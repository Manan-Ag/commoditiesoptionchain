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nan/Documents/git projects/commoditiesoptionchain-1/"/>
    </mc:Choice>
  </mc:AlternateContent>
  <xr:revisionPtr revIDLastSave="0" documentId="8_{6BDC7A6A-5D06-374D-9540-16E923BF4838}" xr6:coauthVersionLast="47" xr6:coauthVersionMax="47" xr10:uidLastSave="{00000000-0000-0000-0000-000000000000}"/>
  <bookViews>
    <workbookView xWindow="140" yWindow="920" windowWidth="29920" windowHeight="18560" activeTab="2" xr2:uid="{83F4F380-47E1-3F45-90D9-31FDA84D72AD}"/>
  </bookViews>
  <sheets>
    <sheet name="Options" sheetId="1" r:id="rId1"/>
    <sheet name="Futures" sheetId="2" r:id="rId2"/>
    <sheet name="Option chain" sheetId="3" r:id="rId3"/>
  </sheets>
  <functionGroups builtInGroupCount="19"/>
  <definedNames>
    <definedName name="_xlpm.allStrikes" hidden="1" xlm="1">#NAME?</definedName>
    <definedName name="_xlpm.atmStrike" hidden="1" xlm="1">#NAME?</definedName>
    <definedName name="_xlpm.baseDown" hidden="1" xlm="1">#NAME?</definedName>
    <definedName name="_xlpm.baseUp" hidden="1" xlm="1">#NAME?</definedName>
    <definedName name="_xlpm.colNum" hidden="1" xlm="1">#NAME?</definedName>
    <definedName name="_xlpm.downATM" hidden="1" xlm="1">#NAME?</definedName>
    <definedName name="_xlpm.downBase" hidden="1" xlm="1">#NAME?</definedName>
    <definedName name="_xlpm.downStrikes" hidden="1" xlm="1">#NAME?</definedName>
    <definedName name="_xlpm.sortedStrikes" hidden="1" xlm="1">#NAME?</definedName>
    <definedName name="_xlpm.spot" hidden="1" xlm="1">#NAME?</definedName>
    <definedName name="_xlpm.startStrike" hidden="1" xlm="1">#NAME?</definedName>
    <definedName name="_xlpm.step" hidden="1" xlm="1">#NAME?</definedName>
    <definedName name="_xlpm.upATM" hidden="1" xlm="1">#NAME?</definedName>
    <definedName name="_xlpm.upBase" hidden="1" xlm="1">#NAME?</definedName>
    <definedName name="_xlpm.upStrike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Q2" i="3"/>
  <c r="E1" i="3"/>
  <c r="P8" i="3" a="1"/>
  <c r="P8" i="3" s="1"/>
  <c r="P9" i="3" a="1"/>
  <c r="P9" i="3" s="1"/>
  <c r="H6" i="3"/>
  <c r="E3" i="3" l="1"/>
  <c r="D3" i="3"/>
  <c r="C3" i="3"/>
  <c r="B3" i="3"/>
  <c r="G7" i="3" l="1" a="1"/>
  <c r="E15" i="3" s="1" a="1"/>
  <c r="E15" i="3" s="1"/>
  <c r="H9" i="3" a="1"/>
  <c r="H9" i="3" s="1"/>
  <c r="F12" i="3" a="1"/>
  <c r="F12" i="3" s="1"/>
  <c r="F3" i="3"/>
  <c r="G3" i="3" s="1"/>
  <c r="E20" i="3" a="1"/>
  <c r="E20" i="3" s="1"/>
  <c r="E22" i="3" a="1"/>
  <c r="E22" i="3" s="1"/>
  <c r="E21" i="3" a="1"/>
  <c r="E21" i="3" s="1"/>
  <c r="D11" i="3" a="1"/>
  <c r="D11" i="3" s="1"/>
  <c r="H19" i="3" a="1"/>
  <c r="H19" i="3" s="1"/>
  <c r="H15" i="3" a="1"/>
  <c r="H15" i="3" s="1"/>
  <c r="H17" i="3" a="1"/>
  <c r="H17" i="3" s="1"/>
  <c r="H21" i="3" a="1"/>
  <c r="H21" i="3" s="1"/>
  <c r="H16" i="3" a="1"/>
  <c r="H16" i="3" s="1"/>
  <c r="H11" i="3" a="1"/>
  <c r="H11" i="3" s="1"/>
  <c r="H13" i="3" a="1"/>
  <c r="H13" i="3" s="1"/>
  <c r="H8" i="3" a="1"/>
  <c r="H8" i="3" s="1"/>
  <c r="H20" i="3" a="1"/>
  <c r="H20" i="3" s="1"/>
  <c r="H10" i="3" a="1"/>
  <c r="H10" i="3" s="1"/>
  <c r="H14" i="3" a="1"/>
  <c r="H14" i="3" s="1"/>
  <c r="H18" i="3" a="1"/>
  <c r="H18" i="3" s="1"/>
  <c r="H22" i="3" a="1"/>
  <c r="H22" i="3" s="1"/>
  <c r="H12" i="3" a="1"/>
  <c r="H12" i="3" s="1"/>
  <c r="F11" i="3" a="1"/>
  <c r="F11" i="3" s="1"/>
  <c r="F21" i="3" a="1"/>
  <c r="F21" i="3" s="1"/>
  <c r="D15" i="3" a="1"/>
  <c r="D15" i="3" s="1"/>
  <c r="E10" i="3" a="1"/>
  <c r="E10" i="3" s="1"/>
  <c r="F22" i="3" a="1"/>
  <c r="F22" i="3" s="1"/>
  <c r="D16" i="3" a="1"/>
  <c r="D16" i="3" s="1"/>
  <c r="F13" i="3" a="1"/>
  <c r="F13" i="3" s="1"/>
  <c r="D17" i="3" a="1"/>
  <c r="D17" i="3" s="1"/>
  <c r="F14" i="3" a="1"/>
  <c r="F14" i="3" s="1"/>
  <c r="D8" i="3" a="1"/>
  <c r="D8" i="3" s="1"/>
  <c r="D18" i="3" a="1"/>
  <c r="D18" i="3" s="1"/>
  <c r="E13" i="3" a="1"/>
  <c r="E13" i="3" s="1"/>
  <c r="F15" i="3" a="1"/>
  <c r="F15" i="3" s="1"/>
  <c r="D9" i="3" a="1"/>
  <c r="D9" i="3" s="1"/>
  <c r="D19" i="3" a="1"/>
  <c r="D19" i="3" s="1"/>
  <c r="E16" i="3" a="1"/>
  <c r="E16" i="3" s="1"/>
  <c r="F16" i="3" a="1"/>
  <c r="F16" i="3" s="1"/>
  <c r="D20" i="3" a="1"/>
  <c r="D20" i="3" s="1"/>
  <c r="F17" i="3" a="1"/>
  <c r="F17" i="3" s="1"/>
  <c r="D21" i="3" a="1"/>
  <c r="D21" i="3" s="1"/>
  <c r="E18" i="3" a="1"/>
  <c r="E18" i="3" s="1"/>
  <c r="E14" i="3" a="1"/>
  <c r="E14" i="3" s="1"/>
  <c r="F8" i="3" a="1"/>
  <c r="F8" i="3" s="1"/>
  <c r="F18" i="3" a="1"/>
  <c r="F18" i="3" s="1"/>
  <c r="D12" i="3" a="1"/>
  <c r="D12" i="3" s="1"/>
  <c r="D22" i="3" a="1"/>
  <c r="D22" i="3" s="1"/>
  <c r="E19" i="3" a="1"/>
  <c r="E19" i="3" s="1"/>
  <c r="F9" i="3" a="1"/>
  <c r="F9" i="3" s="1"/>
  <c r="F19" i="3" a="1"/>
  <c r="F19" i="3" s="1"/>
  <c r="D13" i="3" a="1"/>
  <c r="D13" i="3" s="1"/>
  <c r="E9" i="3" a="1"/>
  <c r="E9" i="3" s="1"/>
  <c r="F10" i="3" a="1"/>
  <c r="F10" i="3" s="1"/>
  <c r="F20" i="3" a="1"/>
  <c r="F20" i="3" s="1"/>
  <c r="D14" i="3" a="1"/>
  <c r="D14" i="3" s="1"/>
  <c r="E8" i="3" a="1"/>
  <c r="E8" i="3" s="1"/>
  <c r="E12" i="3" a="1"/>
  <c r="E12" i="3" s="1"/>
  <c r="H1" i="3"/>
  <c r="E17" i="3" l="1" a="1"/>
  <c r="E17" i="3" s="1"/>
  <c r="D10" i="3" a="1"/>
  <c r="D10" i="3" s="1"/>
  <c r="E11" i="3" a="1"/>
  <c r="E11" i="3" s="1"/>
  <c r="J22" i="3"/>
  <c r="J17" i="3"/>
  <c r="J12" i="3"/>
  <c r="J21" i="3"/>
  <c r="J16" i="3"/>
  <c r="J11" i="3"/>
  <c r="J19" i="3"/>
  <c r="J14" i="3"/>
  <c r="J9" i="3"/>
  <c r="I19" i="3"/>
  <c r="I13" i="3"/>
  <c r="J20" i="3"/>
  <c r="J15" i="3"/>
  <c r="J10" i="3"/>
  <c r="I14" i="3"/>
  <c r="I9" i="3"/>
  <c r="J18" i="3"/>
  <c r="J13" i="3"/>
  <c r="J8" i="3"/>
  <c r="I18" i="3"/>
  <c r="I8" i="3"/>
  <c r="I22" i="3"/>
  <c r="I16" i="3"/>
  <c r="I21" i="3"/>
  <c r="I12" i="3"/>
  <c r="I10" i="3"/>
  <c r="I20" i="3"/>
  <c r="I17" i="3"/>
  <c r="I15" i="3"/>
  <c r="I11" i="3"/>
  <c r="G7" i="3"/>
  <c r="M8" i="3" a="1"/>
  <c r="M8" i="3" s="1"/>
  <c r="M18" i="3" a="1"/>
  <c r="M18" i="3" s="1"/>
  <c r="A14" i="3" a="1"/>
  <c r="A14" i="3" s="1"/>
  <c r="M11" i="3" a="1"/>
  <c r="M11" i="3" s="1"/>
  <c r="A10" i="3" a="1"/>
  <c r="A10" i="3" s="1"/>
  <c r="M10" i="3" a="1"/>
  <c r="M10" i="3" s="1"/>
  <c r="A20" i="3" a="1"/>
  <c r="A20" i="3" s="1"/>
  <c r="M17" i="3" a="1"/>
  <c r="M17" i="3" s="1"/>
  <c r="A16" i="3" a="1"/>
  <c r="A16" i="3" s="1"/>
  <c r="A8" i="3" a="1"/>
  <c r="A8" i="3" s="1"/>
  <c r="M22" i="3" a="1"/>
  <c r="M22" i="3" s="1"/>
  <c r="A15" i="3" a="1"/>
  <c r="A15" i="3" s="1"/>
  <c r="A13" i="3" a="1"/>
  <c r="A13" i="3" s="1"/>
  <c r="M13" i="3" a="1"/>
  <c r="M13" i="3" s="1"/>
  <c r="A11" i="3" a="1"/>
  <c r="A11" i="3" s="1"/>
  <c r="M19" i="3" a="1"/>
  <c r="M19" i="3" s="1"/>
  <c r="A18" i="3" a="1"/>
  <c r="A18" i="3" s="1"/>
  <c r="A17" i="3" a="1"/>
  <c r="A17" i="3" s="1"/>
  <c r="A22" i="3" a="1"/>
  <c r="A22" i="3" s="1"/>
  <c r="M14" i="3" a="1"/>
  <c r="M14" i="3" s="1"/>
  <c r="B15" i="3" a="1"/>
  <c r="B15" i="3" s="1"/>
  <c r="A21" i="3" a="1"/>
  <c r="A21" i="3" s="1"/>
  <c r="M21" i="3" a="1"/>
  <c r="M21" i="3" s="1"/>
  <c r="M12" i="3" a="1"/>
  <c r="M12" i="3" s="1"/>
  <c r="M20" i="3" a="1"/>
  <c r="M20" i="3" s="1"/>
  <c r="B10" i="3" a="1"/>
  <c r="B10" i="3" s="1"/>
  <c r="M16" i="3" a="1"/>
  <c r="M16" i="3" s="1"/>
  <c r="A9" i="3" a="1"/>
  <c r="A9" i="3" s="1"/>
  <c r="A19" i="3" a="1"/>
  <c r="A19" i="3" s="1"/>
  <c r="M9" i="3" a="1"/>
  <c r="M9" i="3" s="1"/>
  <c r="M15" i="3" a="1"/>
  <c r="M15" i="3" s="1"/>
  <c r="A12" i="3" a="1"/>
  <c r="A12" i="3" s="1"/>
  <c r="L14" i="3" a="1"/>
  <c r="L14" i="3" s="1"/>
  <c r="L7" i="3" a="1"/>
  <c r="L7" i="3" s="1"/>
  <c r="L13" i="3" a="1"/>
  <c r="L13" i="3" s="1"/>
  <c r="B16" i="3" a="1"/>
  <c r="B16" i="3" s="1"/>
  <c r="L9" i="3" a="1"/>
  <c r="L9" i="3" s="1"/>
  <c r="L15" i="3" a="1"/>
  <c r="L15" i="3" s="1"/>
  <c r="B12" i="3" a="1"/>
  <c r="B12" i="3" s="1"/>
  <c r="B22" i="3" a="1"/>
  <c r="B22" i="3" s="1"/>
  <c r="B9" i="3" a="1"/>
  <c r="B9" i="3" s="1"/>
  <c r="L10" i="3" a="1"/>
  <c r="L10" i="3" s="1"/>
  <c r="B7" i="3" a="1"/>
  <c r="B7" i="3" s="1"/>
  <c r="L22" i="3" a="1"/>
  <c r="L22" i="3" s="1"/>
  <c r="L19" i="3" a="1"/>
  <c r="L19" i="3" s="1"/>
  <c r="B19" i="3" a="1"/>
  <c r="B19" i="3" s="1"/>
  <c r="B11" i="3" a="1"/>
  <c r="B11" i="3" s="1"/>
  <c r="B21" i="3" a="1"/>
  <c r="B21" i="3" s="1"/>
  <c r="B13" i="3" a="1"/>
  <c r="B13" i="3" s="1"/>
  <c r="L21" i="3" a="1"/>
  <c r="L21" i="3" s="1"/>
  <c r="B8" i="3" a="1"/>
  <c r="B8" i="3" s="1"/>
  <c r="L18" i="3" a="1"/>
  <c r="L18" i="3" s="1"/>
  <c r="B20" i="3" a="1"/>
  <c r="B20" i="3" s="1"/>
  <c r="L16" i="3" a="1"/>
  <c r="L16" i="3" s="1"/>
  <c r="B18" i="3" a="1"/>
  <c r="B18" i="3" s="1"/>
  <c r="L8" i="3" a="1"/>
  <c r="L8" i="3" s="1"/>
  <c r="L17" i="3" a="1"/>
  <c r="L17" i="3" s="1"/>
  <c r="L20" i="3" a="1"/>
  <c r="L20" i="3" s="1"/>
  <c r="B17" i="3" a="1"/>
  <c r="B17" i="3" s="1"/>
  <c r="L12" i="3" a="1"/>
  <c r="L12" i="3" s="1"/>
  <c r="L11" i="3" a="1"/>
  <c r="L11" i="3" s="1"/>
  <c r="B14" i="3" a="1"/>
  <c r="B14" i="3" s="1"/>
  <c r="E7" i="3" a="1"/>
  <c r="E7" i="3" s="1"/>
  <c r="F7" i="3" a="1"/>
  <c r="F7" i="3" s="1"/>
  <c r="J7" i="3" l="1"/>
  <c r="I7" i="3"/>
  <c r="H7" i="3" a="1"/>
  <c r="H7" i="3" s="1"/>
  <c r="D7" i="3" a="1"/>
  <c r="D7" i="3" s="1"/>
  <c r="M7" i="3" a="1"/>
  <c r="M7" i="3" s="1"/>
  <c r="A7" i="3" a="1"/>
  <c r="A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<sst xmlns="http://schemas.openxmlformats.org/spreadsheetml/2006/main" count="33089" uniqueCount="1676">
  <si>
    <t>Date</t>
  </si>
  <si>
    <t>Instrument Name</t>
  </si>
  <si>
    <t>Symbol</t>
  </si>
  <si>
    <t>Expiry Date</t>
  </si>
  <si>
    <t>Option Type</t>
  </si>
  <si>
    <t>Strike Price</t>
  </si>
  <si>
    <t>Open</t>
  </si>
  <si>
    <t>High</t>
  </si>
  <si>
    <t>Low</t>
  </si>
  <si>
    <t>Close</t>
  </si>
  <si>
    <t>Previous Close</t>
  </si>
  <si>
    <t>Volume(Lots)</t>
  </si>
  <si>
    <t>Volume(In 000's)</t>
  </si>
  <si>
    <t>Value(Lacs)</t>
  </si>
  <si>
    <t>Open Interest(Lots)</t>
  </si>
  <si>
    <t>OPTFUT</t>
  </si>
  <si>
    <t xml:space="preserve">CRUDEOIL     </t>
  </si>
  <si>
    <t>CE</t>
  </si>
  <si>
    <t xml:space="preserve">0.000 BBL  </t>
  </si>
  <si>
    <t>PE</t>
  </si>
  <si>
    <t xml:space="preserve">27.100 BBL  </t>
  </si>
  <si>
    <t xml:space="preserve">241.900 BBL  </t>
  </si>
  <si>
    <t xml:space="preserve">65.200 BBL  </t>
  </si>
  <si>
    <t xml:space="preserve">0.700 BBL  </t>
  </si>
  <si>
    <t xml:space="preserve">47.000 BBL  </t>
  </si>
  <si>
    <t xml:space="preserve">14826.500 BBL  </t>
  </si>
  <si>
    <t xml:space="preserve">0.500 BBL  </t>
  </si>
  <si>
    <t xml:space="preserve">1392.600 BBL  </t>
  </si>
  <si>
    <t xml:space="preserve">0.200 BBL  </t>
  </si>
  <si>
    <t xml:space="preserve">11818.700 BBL  </t>
  </si>
  <si>
    <t xml:space="preserve">5536.000 BBL  </t>
  </si>
  <si>
    <t xml:space="preserve">207.800 BBL  </t>
  </si>
  <si>
    <t xml:space="preserve">3.700 BBL  </t>
  </si>
  <si>
    <t xml:space="preserve">355.000 BBL  </t>
  </si>
  <si>
    <t xml:space="preserve">0.300 BBL  </t>
  </si>
  <si>
    <t xml:space="preserve">10.600 BBL  </t>
  </si>
  <si>
    <t xml:space="preserve">889.700 BBL  </t>
  </si>
  <si>
    <t xml:space="preserve">130.100 BBL  </t>
  </si>
  <si>
    <t xml:space="preserve">4.800 BBL  </t>
  </si>
  <si>
    <t xml:space="preserve">4033.200 BBL  </t>
  </si>
  <si>
    <t xml:space="preserve">312.700 BBL  </t>
  </si>
  <si>
    <t xml:space="preserve">6.700 BBL  </t>
  </si>
  <si>
    <t xml:space="preserve">90.000 BBL  </t>
  </si>
  <si>
    <t xml:space="preserve">13.100 BBL  </t>
  </si>
  <si>
    <t xml:space="preserve">78.800 BBL  </t>
  </si>
  <si>
    <t xml:space="preserve">1459.700 BBL  </t>
  </si>
  <si>
    <t xml:space="preserve">107.400 BBL  </t>
  </si>
  <si>
    <t xml:space="preserve">18.600 BBL  </t>
  </si>
  <si>
    <t xml:space="preserve">17.800 BBL  </t>
  </si>
  <si>
    <t xml:space="preserve">25.300 BBL  </t>
  </si>
  <si>
    <t xml:space="preserve">2245.900 BBL  </t>
  </si>
  <si>
    <t xml:space="preserve">654.900 BBL  </t>
  </si>
  <si>
    <t xml:space="preserve">384.500 BBL  </t>
  </si>
  <si>
    <t xml:space="preserve">17185.400 BBL  </t>
  </si>
  <si>
    <t xml:space="preserve">2.700 BBL  </t>
  </si>
  <si>
    <t xml:space="preserve">193.500 BBL  </t>
  </si>
  <si>
    <t xml:space="preserve">9604.800 BBL  </t>
  </si>
  <si>
    <t xml:space="preserve">16.300 BBL  </t>
  </si>
  <si>
    <t xml:space="preserve">107.700 BBL  </t>
  </si>
  <si>
    <t xml:space="preserve">2.600 BBL  </t>
  </si>
  <si>
    <t xml:space="preserve">497.900 BBL  </t>
  </si>
  <si>
    <t xml:space="preserve">478.600 BBL  </t>
  </si>
  <si>
    <t xml:space="preserve">10.700 BBL  </t>
  </si>
  <si>
    <t xml:space="preserve">841.400 BBL  </t>
  </si>
  <si>
    <t xml:space="preserve">31597.300 BBL  </t>
  </si>
  <si>
    <t xml:space="preserve">365.100 BBL  </t>
  </si>
  <si>
    <t xml:space="preserve">145.500 BBL  </t>
  </si>
  <si>
    <t xml:space="preserve">67.200 BBL  </t>
  </si>
  <si>
    <t xml:space="preserve">31204.100 BBL  </t>
  </si>
  <si>
    <t xml:space="preserve">1.000 BBL  </t>
  </si>
  <si>
    <t xml:space="preserve">13.600 BBL  </t>
  </si>
  <si>
    <t xml:space="preserve">0.800 BBL  </t>
  </si>
  <si>
    <t xml:space="preserve">65.400 BBL  </t>
  </si>
  <si>
    <t xml:space="preserve">2644.700 BBL  </t>
  </si>
  <si>
    <t xml:space="preserve">21333.400 BBL  </t>
  </si>
  <si>
    <t xml:space="preserve">4.000 BBL  </t>
  </si>
  <si>
    <t xml:space="preserve">1271.700 BBL  </t>
  </si>
  <si>
    <t xml:space="preserve">6.500 BBL  </t>
  </si>
  <si>
    <t xml:space="preserve">0.400 BBL  </t>
  </si>
  <si>
    <t xml:space="preserve">41.900 BBL  </t>
  </si>
  <si>
    <t xml:space="preserve">657.200 BBL  </t>
  </si>
  <si>
    <t xml:space="preserve">305.400 BBL  </t>
  </si>
  <si>
    <t xml:space="preserve">80.200 BBL  </t>
  </si>
  <si>
    <t xml:space="preserve">7122.300 BBL  </t>
  </si>
  <si>
    <t xml:space="preserve">6190.600 BBL  </t>
  </si>
  <si>
    <t xml:space="preserve">5564.400 BBL  </t>
  </si>
  <si>
    <t xml:space="preserve">793.200 BBL  </t>
  </si>
  <si>
    <t xml:space="preserve">1.800 BBL  </t>
  </si>
  <si>
    <t xml:space="preserve">75.700 BBL  </t>
  </si>
  <si>
    <t xml:space="preserve">13269.300 BBL  </t>
  </si>
  <si>
    <t xml:space="preserve">25.600 BBL  </t>
  </si>
  <si>
    <t xml:space="preserve">48.500 BBL  </t>
  </si>
  <si>
    <t xml:space="preserve">10938.100 BBL  </t>
  </si>
  <si>
    <t xml:space="preserve">5629.000 BBL  </t>
  </si>
  <si>
    <t xml:space="preserve">4.400 BBL  </t>
  </si>
  <si>
    <t xml:space="preserve">7.400 BBL  </t>
  </si>
  <si>
    <t xml:space="preserve">11071.900 BBL  </t>
  </si>
  <si>
    <t xml:space="preserve">1732.600 BBL  </t>
  </si>
  <si>
    <t xml:space="preserve">30211.300 BBL  </t>
  </si>
  <si>
    <t xml:space="preserve">358.600 BBL  </t>
  </si>
  <si>
    <t xml:space="preserve">5.600 BBL  </t>
  </si>
  <si>
    <t xml:space="preserve">67.700 BBL  </t>
  </si>
  <si>
    <t xml:space="preserve">8375.700 BBL  </t>
  </si>
  <si>
    <t xml:space="preserve">7.300 BBL  </t>
  </si>
  <si>
    <t xml:space="preserve">716.600 BBL  </t>
  </si>
  <si>
    <t xml:space="preserve">4495.300 BBL  </t>
  </si>
  <si>
    <t xml:space="preserve">163.800 BBL  </t>
  </si>
  <si>
    <t xml:space="preserve">75.600 BBL  </t>
  </si>
  <si>
    <t xml:space="preserve">22.200 BBL  </t>
  </si>
  <si>
    <t xml:space="preserve">17.600 BBL  </t>
  </si>
  <si>
    <t xml:space="preserve">73.000 BBL  </t>
  </si>
  <si>
    <t xml:space="preserve">12708.900 BBL  </t>
  </si>
  <si>
    <t xml:space="preserve">26242.300 BBL  </t>
  </si>
  <si>
    <t xml:space="preserve">15917.500 BBL  </t>
  </si>
  <si>
    <t xml:space="preserve">11742.600 BBL  </t>
  </si>
  <si>
    <t xml:space="preserve">1286.700 BBL  </t>
  </si>
  <si>
    <t xml:space="preserve">3007.900 BBL  </t>
  </si>
  <si>
    <t xml:space="preserve">75.400 BBL  </t>
  </si>
  <si>
    <t xml:space="preserve">3983.100 BBL  </t>
  </si>
  <si>
    <t xml:space="preserve">135.300 BBL  </t>
  </si>
  <si>
    <t xml:space="preserve">1020.100 BBL  </t>
  </si>
  <si>
    <t xml:space="preserve">1.300 BBL  </t>
  </si>
  <si>
    <t xml:space="preserve">21.000 BBL  </t>
  </si>
  <si>
    <t xml:space="preserve">10.500 BBL  </t>
  </si>
  <si>
    <t xml:space="preserve">4526.300 BBL  </t>
  </si>
  <si>
    <t xml:space="preserve">21135.600 BBL  </t>
  </si>
  <si>
    <t xml:space="preserve">16544.300 BBL  </t>
  </si>
  <si>
    <t xml:space="preserve">36.100 BBL  </t>
  </si>
  <si>
    <t xml:space="preserve">173.900 BBL  </t>
  </si>
  <si>
    <t xml:space="preserve">45.000 BBL  </t>
  </si>
  <si>
    <t xml:space="preserve">137.400 BBL  </t>
  </si>
  <si>
    <t xml:space="preserve">7499.800 BBL  </t>
  </si>
  <si>
    <t xml:space="preserve">0.600 BBL  </t>
  </si>
  <si>
    <t xml:space="preserve">585.500 BBL  </t>
  </si>
  <si>
    <t xml:space="preserve">148.900 BBL  </t>
  </si>
  <si>
    <t xml:space="preserve">160.100 BBL  </t>
  </si>
  <si>
    <t xml:space="preserve">23652.400 BBL  </t>
  </si>
  <si>
    <t xml:space="preserve">1237.600 BBL  </t>
  </si>
  <si>
    <t xml:space="preserve">188.300 BBL  </t>
  </si>
  <si>
    <t xml:space="preserve">86.900 BBL  </t>
  </si>
  <si>
    <t xml:space="preserve">1.700 BBL  </t>
  </si>
  <si>
    <t xml:space="preserve">3.900 BBL  </t>
  </si>
  <si>
    <t xml:space="preserve">75.100 BBL  </t>
  </si>
  <si>
    <t xml:space="preserve">60.200 BBL  </t>
  </si>
  <si>
    <t xml:space="preserve">22.000 BBL  </t>
  </si>
  <si>
    <t xml:space="preserve">3588.800 BBL  </t>
  </si>
  <si>
    <t xml:space="preserve">3.600 BBL  </t>
  </si>
  <si>
    <t xml:space="preserve">1495.700 BBL  </t>
  </si>
  <si>
    <t xml:space="preserve">22373.500 BBL  </t>
  </si>
  <si>
    <t xml:space="preserve">3392.900 BBL  </t>
  </si>
  <si>
    <t xml:space="preserve">28.800 BBL  </t>
  </si>
  <si>
    <t xml:space="preserve">4.900 BBL  </t>
  </si>
  <si>
    <t xml:space="preserve">114.400 BBL  </t>
  </si>
  <si>
    <t xml:space="preserve">8.600 BBL  </t>
  </si>
  <si>
    <t xml:space="preserve">38.600 BBL  </t>
  </si>
  <si>
    <t xml:space="preserve">0.100 BBL  </t>
  </si>
  <si>
    <t xml:space="preserve">44.500 BBL  </t>
  </si>
  <si>
    <t xml:space="preserve">3512.100 BBL  </t>
  </si>
  <si>
    <t xml:space="preserve">11.200 BBL  </t>
  </si>
  <si>
    <t xml:space="preserve">49.400 BBL  </t>
  </si>
  <si>
    <t xml:space="preserve">521.800 BBL  </t>
  </si>
  <si>
    <t xml:space="preserve">5.400 BBL  </t>
  </si>
  <si>
    <t xml:space="preserve">11262.800 BBL  </t>
  </si>
  <si>
    <t xml:space="preserve">24.500 BBL  </t>
  </si>
  <si>
    <t xml:space="preserve">1358.100 BBL  </t>
  </si>
  <si>
    <t xml:space="preserve">2425.900 BBL  </t>
  </si>
  <si>
    <t xml:space="preserve">6747.200 BBL  </t>
  </si>
  <si>
    <t xml:space="preserve">320.100 BBL  </t>
  </si>
  <si>
    <t xml:space="preserve">10744.900 BBL  </t>
  </si>
  <si>
    <t xml:space="preserve">160.000 BBL  </t>
  </si>
  <si>
    <t xml:space="preserve">593.000 BBL  </t>
  </si>
  <si>
    <t xml:space="preserve">5.000 BBL  </t>
  </si>
  <si>
    <t xml:space="preserve">44.000 BBL  </t>
  </si>
  <si>
    <t xml:space="preserve">5.100 BBL  </t>
  </si>
  <si>
    <t xml:space="preserve">31077.600 BBL  </t>
  </si>
  <si>
    <t xml:space="preserve">435.100 BBL  </t>
  </si>
  <si>
    <t xml:space="preserve">854.600 BBL  </t>
  </si>
  <si>
    <t xml:space="preserve">31.600 BBL  </t>
  </si>
  <si>
    <t xml:space="preserve">6.600 BBL  </t>
  </si>
  <si>
    <t xml:space="preserve">663.000 BBL  </t>
  </si>
  <si>
    <t xml:space="preserve">1.200 BBL  </t>
  </si>
  <si>
    <t xml:space="preserve">2.400 BBL  </t>
  </si>
  <si>
    <t xml:space="preserve">7400.000 BBL  </t>
  </si>
  <si>
    <t xml:space="preserve">42.500 BBL  </t>
  </si>
  <si>
    <t xml:space="preserve">11669.800 BBL  </t>
  </si>
  <si>
    <t xml:space="preserve">6532.300 BBL  </t>
  </si>
  <si>
    <t xml:space="preserve">2.100 BBL  </t>
  </si>
  <si>
    <t xml:space="preserve">54.700 BBL  </t>
  </si>
  <si>
    <t xml:space="preserve">1891.800 BBL  </t>
  </si>
  <si>
    <t xml:space="preserve">2840.400 BBL  </t>
  </si>
  <si>
    <t xml:space="preserve">7485.500 BBL  </t>
  </si>
  <si>
    <t xml:space="preserve">2330.000 BBL  </t>
  </si>
  <si>
    <t xml:space="preserve">7.600 BBL  </t>
  </si>
  <si>
    <t xml:space="preserve">392.900 BBL  </t>
  </si>
  <si>
    <t xml:space="preserve">18.200 BBL  </t>
  </si>
  <si>
    <t xml:space="preserve">12542.300 BBL  </t>
  </si>
  <si>
    <t xml:space="preserve">9462.400 BBL  </t>
  </si>
  <si>
    <t xml:space="preserve">39.700 BBL  </t>
  </si>
  <si>
    <t xml:space="preserve">101.800 BBL  </t>
  </si>
  <si>
    <t xml:space="preserve">129.500 BBL  </t>
  </si>
  <si>
    <t xml:space="preserve">1558.800 BBL  </t>
  </si>
  <si>
    <t xml:space="preserve">3646.000 BBL  </t>
  </si>
  <si>
    <t xml:space="preserve">1128.300 BBL  </t>
  </si>
  <si>
    <t xml:space="preserve">318.400 BBL  </t>
  </si>
  <si>
    <t xml:space="preserve">242.200 BBL  </t>
  </si>
  <si>
    <t xml:space="preserve">3.800 BBL  </t>
  </si>
  <si>
    <t xml:space="preserve">16702.100 BBL  </t>
  </si>
  <si>
    <t xml:space="preserve">258.000 BBL  </t>
  </si>
  <si>
    <t xml:space="preserve">116.900 BBL  </t>
  </si>
  <si>
    <t xml:space="preserve">37.200 BBL  </t>
  </si>
  <si>
    <t xml:space="preserve">234.200 BBL  </t>
  </si>
  <si>
    <t xml:space="preserve">185.100 BBL  </t>
  </si>
  <si>
    <t xml:space="preserve">45.100 BBL  </t>
  </si>
  <si>
    <t xml:space="preserve">5698.900 BBL  </t>
  </si>
  <si>
    <t xml:space="preserve">12180.000 BBL  </t>
  </si>
  <si>
    <t xml:space="preserve">3102.800 BBL  </t>
  </si>
  <si>
    <t xml:space="preserve">6.200 BBL  </t>
  </si>
  <si>
    <t xml:space="preserve">1.400 BBL  </t>
  </si>
  <si>
    <t xml:space="preserve">1769.800 BBL  </t>
  </si>
  <si>
    <t xml:space="preserve">170.300 BBL  </t>
  </si>
  <si>
    <t xml:space="preserve">8167.300 BBL  </t>
  </si>
  <si>
    <t xml:space="preserve">2.300 BBL  </t>
  </si>
  <si>
    <t xml:space="preserve">10463.800 BBL  </t>
  </si>
  <si>
    <t xml:space="preserve">383.800 BBL  </t>
  </si>
  <si>
    <t xml:space="preserve">35.800 BBL  </t>
  </si>
  <si>
    <t xml:space="preserve">23.000 BBL  </t>
  </si>
  <si>
    <t xml:space="preserve">3492.900 BBL  </t>
  </si>
  <si>
    <t xml:space="preserve">90.200 BBL  </t>
  </si>
  <si>
    <t xml:space="preserve">56.900 BBL  </t>
  </si>
  <si>
    <t xml:space="preserve">11.000 BBL  </t>
  </si>
  <si>
    <t xml:space="preserve">4.700 BBL  </t>
  </si>
  <si>
    <t xml:space="preserve">56.200 BBL  </t>
  </si>
  <si>
    <t xml:space="preserve">1566.700 BBL  </t>
  </si>
  <si>
    <t xml:space="preserve">24370.800 BBL  </t>
  </si>
  <si>
    <t xml:space="preserve">110.500 BBL  </t>
  </si>
  <si>
    <t xml:space="preserve">3457.800 BBL  </t>
  </si>
  <si>
    <t xml:space="preserve">1.100 BBL  </t>
  </si>
  <si>
    <t xml:space="preserve">2471.500 BBL  </t>
  </si>
  <si>
    <t xml:space="preserve">26.100 BBL  </t>
  </si>
  <si>
    <t xml:space="preserve">18.000 BBL  </t>
  </si>
  <si>
    <t xml:space="preserve">77.000 BBL  </t>
  </si>
  <si>
    <t xml:space="preserve">6.100 BBL  </t>
  </si>
  <si>
    <t xml:space="preserve">3.200 BBL  </t>
  </si>
  <si>
    <t xml:space="preserve">98.300 BBL  </t>
  </si>
  <si>
    <t xml:space="preserve">122.200 BBL  </t>
  </si>
  <si>
    <t xml:space="preserve">1658.400 BBL  </t>
  </si>
  <si>
    <t xml:space="preserve">25001.000 BBL  </t>
  </si>
  <si>
    <t xml:space="preserve">135.100 BBL  </t>
  </si>
  <si>
    <t xml:space="preserve">148.500 BBL  </t>
  </si>
  <si>
    <t xml:space="preserve">30.300 BBL  </t>
  </si>
  <si>
    <t xml:space="preserve">4.300 BBL  </t>
  </si>
  <si>
    <t xml:space="preserve">19760.900 BBL  </t>
  </si>
  <si>
    <t xml:space="preserve">824.300 BBL  </t>
  </si>
  <si>
    <t xml:space="preserve">111.900 BBL  </t>
  </si>
  <si>
    <t xml:space="preserve">483.600 BBL  </t>
  </si>
  <si>
    <t xml:space="preserve">26119.200 BBL  </t>
  </si>
  <si>
    <t xml:space="preserve">20.600 BBL  </t>
  </si>
  <si>
    <t xml:space="preserve">196.600 BBL  </t>
  </si>
  <si>
    <t xml:space="preserve">2.000 BBL  </t>
  </si>
  <si>
    <t xml:space="preserve">1.600 BBL  </t>
  </si>
  <si>
    <t xml:space="preserve">264.300 BBL  </t>
  </si>
  <si>
    <t xml:space="preserve">424.100 BBL  </t>
  </si>
  <si>
    <t xml:space="preserve">86.100 BBL  </t>
  </si>
  <si>
    <t xml:space="preserve">1350.900 BBL  </t>
  </si>
  <si>
    <t xml:space="preserve">2068.100 BBL  </t>
  </si>
  <si>
    <t xml:space="preserve">29.600 BBL  </t>
  </si>
  <si>
    <t xml:space="preserve">44.200 BBL  </t>
  </si>
  <si>
    <t xml:space="preserve">24.700 BBL  </t>
  </si>
  <si>
    <t xml:space="preserve">4952.500 BBL  </t>
  </si>
  <si>
    <t xml:space="preserve">13702.600 BBL  </t>
  </si>
  <si>
    <t xml:space="preserve">89.800 BBL  </t>
  </si>
  <si>
    <t xml:space="preserve">6609.400 BBL  </t>
  </si>
  <si>
    <t xml:space="preserve">4.100 BBL  </t>
  </si>
  <si>
    <t xml:space="preserve">10511.900 BBL  </t>
  </si>
  <si>
    <t xml:space="preserve">7984.500 BBL  </t>
  </si>
  <si>
    <t xml:space="preserve">340.900 BBL  </t>
  </si>
  <si>
    <t xml:space="preserve">11486.300 BBL  </t>
  </si>
  <si>
    <t xml:space="preserve">252.900 BBL  </t>
  </si>
  <si>
    <t xml:space="preserve">1.500 BBL  </t>
  </si>
  <si>
    <t xml:space="preserve">148.600 BBL  </t>
  </si>
  <si>
    <t xml:space="preserve">1878.300 BBL  </t>
  </si>
  <si>
    <t xml:space="preserve">1950.400 BBL  </t>
  </si>
  <si>
    <t xml:space="preserve">64.600 BBL  </t>
  </si>
  <si>
    <t xml:space="preserve">77.200 BBL  </t>
  </si>
  <si>
    <t xml:space="preserve">113.700 BBL  </t>
  </si>
  <si>
    <t xml:space="preserve">970.800 BBL  </t>
  </si>
  <si>
    <t xml:space="preserve">51.400 BBL  </t>
  </si>
  <si>
    <t xml:space="preserve">12484.000 BBL  </t>
  </si>
  <si>
    <t xml:space="preserve">14.500 BBL  </t>
  </si>
  <si>
    <t xml:space="preserve">2654.000 BBL  </t>
  </si>
  <si>
    <t xml:space="preserve">8647.400 BBL  </t>
  </si>
  <si>
    <t xml:space="preserve">479.400 BBL  </t>
  </si>
  <si>
    <t xml:space="preserve">3722.300 BBL  </t>
  </si>
  <si>
    <t xml:space="preserve">68.400 BBL  </t>
  </si>
  <si>
    <t xml:space="preserve">963.800 BBL  </t>
  </si>
  <si>
    <t xml:space="preserve">63.400 BBL  </t>
  </si>
  <si>
    <t xml:space="preserve">454.100 BBL  </t>
  </si>
  <si>
    <t xml:space="preserve">2.900 BBL  </t>
  </si>
  <si>
    <t xml:space="preserve">32.200 BBL  </t>
  </si>
  <si>
    <t xml:space="preserve">4451.500 BBL  </t>
  </si>
  <si>
    <t xml:space="preserve">4373.600 BBL  </t>
  </si>
  <si>
    <t xml:space="preserve">7886.900 BBL  </t>
  </si>
  <si>
    <t xml:space="preserve">47.300 BBL  </t>
  </si>
  <si>
    <t xml:space="preserve">140.400 BBL  </t>
  </si>
  <si>
    <t xml:space="preserve">400.100 BBL  </t>
  </si>
  <si>
    <t xml:space="preserve">135.700 BBL  </t>
  </si>
  <si>
    <t xml:space="preserve">231.000 BBL  </t>
  </si>
  <si>
    <t xml:space="preserve">23016.000 BBL  </t>
  </si>
  <si>
    <t xml:space="preserve">233.800 BBL  </t>
  </si>
  <si>
    <t xml:space="preserve">597.000 BBL  </t>
  </si>
  <si>
    <t xml:space="preserve">128.500 BBL  </t>
  </si>
  <si>
    <t xml:space="preserve">84.400 BBL  </t>
  </si>
  <si>
    <t xml:space="preserve">14.000 BBL  </t>
  </si>
  <si>
    <t xml:space="preserve">26.200 BBL  </t>
  </si>
  <si>
    <t xml:space="preserve">58.600 BBL  </t>
  </si>
  <si>
    <t xml:space="preserve">18.500 BBL  </t>
  </si>
  <si>
    <t xml:space="preserve">3816.400 BBL  </t>
  </si>
  <si>
    <t xml:space="preserve">1845.700 BBL  </t>
  </si>
  <si>
    <t xml:space="preserve">107.200 BBL  </t>
  </si>
  <si>
    <t xml:space="preserve">15958.300 BBL  </t>
  </si>
  <si>
    <t xml:space="preserve">614.200 BBL  </t>
  </si>
  <si>
    <t xml:space="preserve">65.700 BBL  </t>
  </si>
  <si>
    <t xml:space="preserve">14.800 BBL  </t>
  </si>
  <si>
    <t xml:space="preserve">18.900 BBL  </t>
  </si>
  <si>
    <t xml:space="preserve">34.600 BBL  </t>
  </si>
  <si>
    <t xml:space="preserve">1138.100 BBL  </t>
  </si>
  <si>
    <t xml:space="preserve">100.600 BBL  </t>
  </si>
  <si>
    <t xml:space="preserve">28.000 BBL  </t>
  </si>
  <si>
    <t xml:space="preserve">117.400 BBL  </t>
  </si>
  <si>
    <t xml:space="preserve">28.400 BBL  </t>
  </si>
  <si>
    <t xml:space="preserve">18753.100 BBL  </t>
  </si>
  <si>
    <t xml:space="preserve">3420.000 BBL  </t>
  </si>
  <si>
    <t xml:space="preserve">52.600 BBL  </t>
  </si>
  <si>
    <t xml:space="preserve">2152.700 BBL  </t>
  </si>
  <si>
    <t xml:space="preserve">2271.900 BBL  </t>
  </si>
  <si>
    <t xml:space="preserve">183.800 BBL  </t>
  </si>
  <si>
    <t xml:space="preserve">118.500 BBL  </t>
  </si>
  <si>
    <t xml:space="preserve">278.500 BBL  </t>
  </si>
  <si>
    <t xml:space="preserve">4.600 BBL  </t>
  </si>
  <si>
    <t xml:space="preserve">578.800 BBL  </t>
  </si>
  <si>
    <t xml:space="preserve">17420.000 BBL  </t>
  </si>
  <si>
    <t xml:space="preserve">787.100 BBL  </t>
  </si>
  <si>
    <t xml:space="preserve">24.400 BBL  </t>
  </si>
  <si>
    <t xml:space="preserve">0.900 BBL  </t>
  </si>
  <si>
    <t xml:space="preserve">230.400 BBL  </t>
  </si>
  <si>
    <t xml:space="preserve">23510.600 BBL  </t>
  </si>
  <si>
    <t xml:space="preserve">17.500 BBL  </t>
  </si>
  <si>
    <t xml:space="preserve">23.700 BBL  </t>
  </si>
  <si>
    <t xml:space="preserve">2724.400 BBL  </t>
  </si>
  <si>
    <t xml:space="preserve">333.800 BBL  </t>
  </si>
  <si>
    <t xml:space="preserve">6600.100 BBL  </t>
  </si>
  <si>
    <t xml:space="preserve">6485.800 BBL  </t>
  </si>
  <si>
    <t xml:space="preserve">11.300 BBL  </t>
  </si>
  <si>
    <t xml:space="preserve">59.800 BBL  </t>
  </si>
  <si>
    <t xml:space="preserve">1472.200 BBL  </t>
  </si>
  <si>
    <t xml:space="preserve">39.400 BBL  </t>
  </si>
  <si>
    <t xml:space="preserve">1664.500 BBL  </t>
  </si>
  <si>
    <t xml:space="preserve">543.800 BBL  </t>
  </si>
  <si>
    <t xml:space="preserve">11530.800 BBL  </t>
  </si>
  <si>
    <t xml:space="preserve">4605.100 BBL  </t>
  </si>
  <si>
    <t xml:space="preserve">42.400 BBL  </t>
  </si>
  <si>
    <t xml:space="preserve">12315.900 BBL  </t>
  </si>
  <si>
    <t xml:space="preserve">42.700 BBL  </t>
  </si>
  <si>
    <t xml:space="preserve">1873.100 BBL  </t>
  </si>
  <si>
    <t xml:space="preserve">41.800 BBL  </t>
  </si>
  <si>
    <t xml:space="preserve">143.400 BBL  </t>
  </si>
  <si>
    <t xml:space="preserve">462.600 BBL  </t>
  </si>
  <si>
    <t xml:space="preserve">152.600 BBL  </t>
  </si>
  <si>
    <t xml:space="preserve">2886.900 BBL  </t>
  </si>
  <si>
    <t xml:space="preserve">250.200 BBL  </t>
  </si>
  <si>
    <t xml:space="preserve">15990.600 BBL  </t>
  </si>
  <si>
    <t xml:space="preserve">575.300 BBL  </t>
  </si>
  <si>
    <t xml:space="preserve">5219.300 BBL  </t>
  </si>
  <si>
    <t xml:space="preserve">6506.100 BBL  </t>
  </si>
  <si>
    <t xml:space="preserve">407.700 BBL  </t>
  </si>
  <si>
    <t xml:space="preserve">227.000 BBL  </t>
  </si>
  <si>
    <t xml:space="preserve">128.900 BBL  </t>
  </si>
  <si>
    <t xml:space="preserve">81.200 BBL  </t>
  </si>
  <si>
    <t xml:space="preserve">4559.500 BBL  </t>
  </si>
  <si>
    <t xml:space="preserve">7465.300 BBL  </t>
  </si>
  <si>
    <t xml:space="preserve">3149.600 BBL  </t>
  </si>
  <si>
    <t xml:space="preserve">22.800 BBL  </t>
  </si>
  <si>
    <t xml:space="preserve">1119.100 BBL  </t>
  </si>
  <si>
    <t xml:space="preserve">71.500 BBL  </t>
  </si>
  <si>
    <t xml:space="preserve">3835.500 BBL  </t>
  </si>
  <si>
    <t xml:space="preserve">8191.700 BBL  </t>
  </si>
  <si>
    <t xml:space="preserve">8.400 BBL  </t>
  </si>
  <si>
    <t xml:space="preserve">59.200 BBL  </t>
  </si>
  <si>
    <t xml:space="preserve">132.500 BBL  </t>
  </si>
  <si>
    <t xml:space="preserve">9.400 BBL  </t>
  </si>
  <si>
    <t xml:space="preserve">1312.400 BBL  </t>
  </si>
  <si>
    <t xml:space="preserve">32.300 BBL  </t>
  </si>
  <si>
    <t xml:space="preserve">11.100 BBL  </t>
  </si>
  <si>
    <t xml:space="preserve">35.000 BBL  </t>
  </si>
  <si>
    <t xml:space="preserve">9.300 BBL  </t>
  </si>
  <si>
    <t xml:space="preserve">862.100 BBL  </t>
  </si>
  <si>
    <t xml:space="preserve">13510.700 BBL  </t>
  </si>
  <si>
    <t xml:space="preserve">180.800 BBL  </t>
  </si>
  <si>
    <t xml:space="preserve">2171.500 BBL  </t>
  </si>
  <si>
    <t xml:space="preserve">3.000 BBL  </t>
  </si>
  <si>
    <t xml:space="preserve">52.300 BBL  </t>
  </si>
  <si>
    <t xml:space="preserve">2571.600 BBL  </t>
  </si>
  <si>
    <t xml:space="preserve">29.000 BBL  </t>
  </si>
  <si>
    <t xml:space="preserve">12.700 BBL  </t>
  </si>
  <si>
    <t xml:space="preserve">9.700 BBL  </t>
  </si>
  <si>
    <t xml:space="preserve">163.500 BBL  </t>
  </si>
  <si>
    <t xml:space="preserve">303.400 BBL  </t>
  </si>
  <si>
    <t xml:space="preserve">20616.800 BBL  </t>
  </si>
  <si>
    <t xml:space="preserve">598.700 BBL  </t>
  </si>
  <si>
    <t xml:space="preserve">154.700 BBL  </t>
  </si>
  <si>
    <t xml:space="preserve">102.300 BBL  </t>
  </si>
  <si>
    <t xml:space="preserve">30.100 BBL  </t>
  </si>
  <si>
    <t xml:space="preserve">13262.900 BBL  </t>
  </si>
  <si>
    <t xml:space="preserve">301.800 BBL  </t>
  </si>
  <si>
    <t xml:space="preserve">46.700 BBL  </t>
  </si>
  <si>
    <t xml:space="preserve">412.000 BBL  </t>
  </si>
  <si>
    <t xml:space="preserve">20307.500 BBL  </t>
  </si>
  <si>
    <t xml:space="preserve">215.700 BBL  </t>
  </si>
  <si>
    <t xml:space="preserve">354.900 BBL  </t>
  </si>
  <si>
    <t xml:space="preserve">190.200 BBL  </t>
  </si>
  <si>
    <t xml:space="preserve">214.000 BBL  </t>
  </si>
  <si>
    <t xml:space="preserve">1530.500 BBL  </t>
  </si>
  <si>
    <t xml:space="preserve">1203.500 BBL  </t>
  </si>
  <si>
    <t xml:space="preserve">107.900 BBL  </t>
  </si>
  <si>
    <t xml:space="preserve">17.000 BBL  </t>
  </si>
  <si>
    <t xml:space="preserve">4546.700 BBL  </t>
  </si>
  <si>
    <t xml:space="preserve">6517.300 BBL  </t>
  </si>
  <si>
    <t xml:space="preserve">63.900 BBL  </t>
  </si>
  <si>
    <t xml:space="preserve">3145.900 BBL  </t>
  </si>
  <si>
    <t xml:space="preserve">17.200 BBL  </t>
  </si>
  <si>
    <t xml:space="preserve">5535.800 BBL  </t>
  </si>
  <si>
    <t xml:space="preserve">307.600 BBL  </t>
  </si>
  <si>
    <t xml:space="preserve">5150.900 BBL  </t>
  </si>
  <si>
    <t xml:space="preserve">10989.900 BBL  </t>
  </si>
  <si>
    <t xml:space="preserve">299.000 BBL  </t>
  </si>
  <si>
    <t xml:space="preserve">1068.800 BBL  </t>
  </si>
  <si>
    <t xml:space="preserve">66.700 BBL  </t>
  </si>
  <si>
    <t xml:space="preserve">175.500 BBL  </t>
  </si>
  <si>
    <t xml:space="preserve">738.900 BBL  </t>
  </si>
  <si>
    <t xml:space="preserve">95.500 BBL  </t>
  </si>
  <si>
    <t xml:space="preserve">1173.000 BBL  </t>
  </si>
  <si>
    <t xml:space="preserve">48.400 BBL  </t>
  </si>
  <si>
    <t xml:space="preserve">8571.900 BBL  </t>
  </si>
  <si>
    <t xml:space="preserve">5943.000 BBL  </t>
  </si>
  <si>
    <t xml:space="preserve">363.400 BBL  </t>
  </si>
  <si>
    <t xml:space="preserve">1734.000 BBL  </t>
  </si>
  <si>
    <t xml:space="preserve">2098.800 BBL  </t>
  </si>
  <si>
    <t xml:space="preserve">46.500 BBL  </t>
  </si>
  <si>
    <t xml:space="preserve">1013.900 BBL  </t>
  </si>
  <si>
    <t xml:space="preserve">215.100 BBL  </t>
  </si>
  <si>
    <t xml:space="preserve">1407.400 BBL  </t>
  </si>
  <si>
    <t xml:space="preserve">11.600 BBL  </t>
  </si>
  <si>
    <t xml:space="preserve">2788.900 BBL  </t>
  </si>
  <si>
    <t xml:space="preserve">14435.400 BBL  </t>
  </si>
  <si>
    <t xml:space="preserve">3694.700 BBL  </t>
  </si>
  <si>
    <t xml:space="preserve">57.900 BBL  </t>
  </si>
  <si>
    <t xml:space="preserve">110.300 BBL  </t>
  </si>
  <si>
    <t xml:space="preserve">79.400 BBL  </t>
  </si>
  <si>
    <t xml:space="preserve">839.000 BBL  </t>
  </si>
  <si>
    <t xml:space="preserve">116.500 BBL  </t>
  </si>
  <si>
    <t xml:space="preserve">323.700 BBL  </t>
  </si>
  <si>
    <t xml:space="preserve">15799.900 BBL  </t>
  </si>
  <si>
    <t xml:space="preserve">1636.300 BBL  </t>
  </si>
  <si>
    <t xml:space="preserve">183.100 BBL  </t>
  </si>
  <si>
    <t xml:space="preserve">121.600 BBL  </t>
  </si>
  <si>
    <t xml:space="preserve">2.500 BBL  </t>
  </si>
  <si>
    <t xml:space="preserve">24.200 BBL  </t>
  </si>
  <si>
    <t xml:space="preserve">43.800 BBL  </t>
  </si>
  <si>
    <t xml:space="preserve">36.800 BBL  </t>
  </si>
  <si>
    <t xml:space="preserve">1933.700 BBL  </t>
  </si>
  <si>
    <t xml:space="preserve">3463.500 BBL  </t>
  </si>
  <si>
    <t xml:space="preserve">2003.400 BBL  </t>
  </si>
  <si>
    <t xml:space="preserve">137.800 BBL  </t>
  </si>
  <si>
    <t xml:space="preserve">19731.800 BBL  </t>
  </si>
  <si>
    <t xml:space="preserve">46.000 BBL  </t>
  </si>
  <si>
    <t xml:space="preserve">13.900 BBL  </t>
  </si>
  <si>
    <t xml:space="preserve">31.300 BBL  </t>
  </si>
  <si>
    <t xml:space="preserve">19.800 BBL  </t>
  </si>
  <si>
    <t xml:space="preserve">3966.800 BBL  </t>
  </si>
  <si>
    <t xml:space="preserve">384.200 BBL  </t>
  </si>
  <si>
    <t xml:space="preserve">3507.400 BBL  </t>
  </si>
  <si>
    <t xml:space="preserve">71.800 BBL  </t>
  </si>
  <si>
    <t xml:space="preserve">8648.700 BBL  </t>
  </si>
  <si>
    <t xml:space="preserve">1321.200 BBL  </t>
  </si>
  <si>
    <t xml:space="preserve">1888.600 BBL  </t>
  </si>
  <si>
    <t xml:space="preserve">788.800 BBL  </t>
  </si>
  <si>
    <t xml:space="preserve">199.900 BBL  </t>
  </si>
  <si>
    <t xml:space="preserve">9.800 BBL  </t>
  </si>
  <si>
    <t xml:space="preserve">536.700 BBL  </t>
  </si>
  <si>
    <t xml:space="preserve">201.900 BBL  </t>
  </si>
  <si>
    <t xml:space="preserve">21313.900 BBL  </t>
  </si>
  <si>
    <t xml:space="preserve">56.500 BBL  </t>
  </si>
  <si>
    <t xml:space="preserve">361.800 BBL  </t>
  </si>
  <si>
    <t xml:space="preserve">56.300 BBL  </t>
  </si>
  <si>
    <t xml:space="preserve">687.700 BBL  </t>
  </si>
  <si>
    <t xml:space="preserve">11604.200 BBL  </t>
  </si>
  <si>
    <t xml:space="preserve">57.300 BBL  </t>
  </si>
  <si>
    <t xml:space="preserve">5704.500 BBL  </t>
  </si>
  <si>
    <t xml:space="preserve">72.700 BBL  </t>
  </si>
  <si>
    <t xml:space="preserve">10874.700 BBL  </t>
  </si>
  <si>
    <t xml:space="preserve">4651.700 BBL  </t>
  </si>
  <si>
    <t xml:space="preserve">1113.000 BBL  </t>
  </si>
  <si>
    <t xml:space="preserve">907.500 BBL  </t>
  </si>
  <si>
    <t xml:space="preserve">135.900 BBL  </t>
  </si>
  <si>
    <t xml:space="preserve">565.500 BBL  </t>
  </si>
  <si>
    <t xml:space="preserve">104.800 BBL  </t>
  </si>
  <si>
    <t xml:space="preserve">2786.500 BBL  </t>
  </si>
  <si>
    <t xml:space="preserve">6996.200 BBL  </t>
  </si>
  <si>
    <t xml:space="preserve">2961.200 BBL  </t>
  </si>
  <si>
    <t xml:space="preserve">1020.200 BBL  </t>
  </si>
  <si>
    <t xml:space="preserve">52.000 BBL  </t>
  </si>
  <si>
    <t xml:space="preserve">170.600 BBL  </t>
  </si>
  <si>
    <t xml:space="preserve">312.400 BBL  </t>
  </si>
  <si>
    <t xml:space="preserve">2452.800 BBL  </t>
  </si>
  <si>
    <t xml:space="preserve">186.700 BBL  </t>
  </si>
  <si>
    <t xml:space="preserve">43.700 BBL  </t>
  </si>
  <si>
    <t xml:space="preserve">377.100 BBL  </t>
  </si>
  <si>
    <t xml:space="preserve">1041.200 BBL  </t>
  </si>
  <si>
    <t xml:space="preserve">10433.500 BBL  </t>
  </si>
  <si>
    <t xml:space="preserve">131.700 BBL  </t>
  </si>
  <si>
    <t xml:space="preserve">6699.700 BBL  </t>
  </si>
  <si>
    <t xml:space="preserve">8650.400 BBL  </t>
  </si>
  <si>
    <t xml:space="preserve">424.000 BBL  </t>
  </si>
  <si>
    <t xml:space="preserve">13494.800 BBL  </t>
  </si>
  <si>
    <t xml:space="preserve">153.600 BBL  </t>
  </si>
  <si>
    <t xml:space="preserve">19.500 BBL  </t>
  </si>
  <si>
    <t xml:space="preserve">54.400 BBL  </t>
  </si>
  <si>
    <t xml:space="preserve">244.600 BBL  </t>
  </si>
  <si>
    <t xml:space="preserve">1540.400 BBL  </t>
  </si>
  <si>
    <t xml:space="preserve">1165.700 BBL  </t>
  </si>
  <si>
    <t xml:space="preserve">1664.300 BBL  </t>
  </si>
  <si>
    <t xml:space="preserve">5228.900 BBL  </t>
  </si>
  <si>
    <t xml:space="preserve">3.100 BBL  </t>
  </si>
  <si>
    <t xml:space="preserve">408.500 BBL  </t>
  </si>
  <si>
    <t xml:space="preserve">26.300 BBL  </t>
  </si>
  <si>
    <t xml:space="preserve">5184.100 BBL  </t>
  </si>
  <si>
    <t xml:space="preserve">37.600 BBL  </t>
  </si>
  <si>
    <t xml:space="preserve">41.600 BBL  </t>
  </si>
  <si>
    <t xml:space="preserve">14.200 BBL  </t>
  </si>
  <si>
    <t xml:space="preserve">6.000 BBL  </t>
  </si>
  <si>
    <t xml:space="preserve">12010.100 BBL  </t>
  </si>
  <si>
    <t xml:space="preserve">111.200 BBL  </t>
  </si>
  <si>
    <t xml:space="preserve">3137.900 BBL  </t>
  </si>
  <si>
    <t xml:space="preserve">1710.500 BBL  </t>
  </si>
  <si>
    <t xml:space="preserve">713.100 BBL  </t>
  </si>
  <si>
    <t xml:space="preserve">20.200 BBL  </t>
  </si>
  <si>
    <t xml:space="preserve">1396.100 BBL  </t>
  </si>
  <si>
    <t xml:space="preserve">41.100 BBL  </t>
  </si>
  <si>
    <t xml:space="preserve">15.200 BBL  </t>
  </si>
  <si>
    <t xml:space="preserve">8.100 BBL  </t>
  </si>
  <si>
    <t xml:space="preserve">1.900 BBL  </t>
  </si>
  <si>
    <t xml:space="preserve">85.400 BBL  </t>
  </si>
  <si>
    <t xml:space="preserve">233.600 BBL  </t>
  </si>
  <si>
    <t xml:space="preserve">100.700 BBL  </t>
  </si>
  <si>
    <t xml:space="preserve">2583.400 BBL  </t>
  </si>
  <si>
    <t xml:space="preserve">4244.900 BBL  </t>
  </si>
  <si>
    <t xml:space="preserve">986.900 BBL  </t>
  </si>
  <si>
    <t xml:space="preserve">603.200 BBL  </t>
  </si>
  <si>
    <t xml:space="preserve">54.900 BBL  </t>
  </si>
  <si>
    <t xml:space="preserve">68.700 BBL  </t>
  </si>
  <si>
    <t xml:space="preserve">136.700 BBL  </t>
  </si>
  <si>
    <t xml:space="preserve">7972.300 BBL  </t>
  </si>
  <si>
    <t xml:space="preserve">149.400 BBL  </t>
  </si>
  <si>
    <t xml:space="preserve">353.800 BBL  </t>
  </si>
  <si>
    <t xml:space="preserve">11.800 BBL  </t>
  </si>
  <si>
    <t xml:space="preserve">202.200 BBL  </t>
  </si>
  <si>
    <t xml:space="preserve">426.600 BBL  </t>
  </si>
  <si>
    <t xml:space="preserve">515.900 BBL  </t>
  </si>
  <si>
    <t xml:space="preserve">4176.700 BBL  </t>
  </si>
  <si>
    <t xml:space="preserve">642.100 BBL  </t>
  </si>
  <si>
    <t xml:space="preserve">94.200 BBL  </t>
  </si>
  <si>
    <t xml:space="preserve">123.000 BBL  </t>
  </si>
  <si>
    <t xml:space="preserve">1339.800 BBL  </t>
  </si>
  <si>
    <t xml:space="preserve">20.500 BBL  </t>
  </si>
  <si>
    <t xml:space="preserve">97.900 BBL  </t>
  </si>
  <si>
    <t xml:space="preserve">8011.800 BBL  </t>
  </si>
  <si>
    <t xml:space="preserve">4665.300 BBL  </t>
  </si>
  <si>
    <t xml:space="preserve">3576.100 BBL  </t>
  </si>
  <si>
    <t xml:space="preserve">3004.600 BBL  </t>
  </si>
  <si>
    <t xml:space="preserve">5945.000 BBL  </t>
  </si>
  <si>
    <t xml:space="preserve">33.700 BBL  </t>
  </si>
  <si>
    <t xml:space="preserve">74.400 BBL  </t>
  </si>
  <si>
    <t xml:space="preserve">160.900 BBL  </t>
  </si>
  <si>
    <t xml:space="preserve">62.000 BBL  </t>
  </si>
  <si>
    <t xml:space="preserve">303.500 BBL  </t>
  </si>
  <si>
    <t xml:space="preserve">2875.900 BBL  </t>
  </si>
  <si>
    <t xml:space="preserve">355.500 BBL  </t>
  </si>
  <si>
    <t xml:space="preserve">139.800 BBL  </t>
  </si>
  <si>
    <t xml:space="preserve">360.800 BBL  </t>
  </si>
  <si>
    <t xml:space="preserve">2561.200 BBL  </t>
  </si>
  <si>
    <t xml:space="preserve">185.800 BBL  </t>
  </si>
  <si>
    <t xml:space="preserve">822.600 BBL  </t>
  </si>
  <si>
    <t xml:space="preserve">652.500 BBL  </t>
  </si>
  <si>
    <t xml:space="preserve">391.500 BBL  </t>
  </si>
  <si>
    <t xml:space="preserve">3175.800 BBL  </t>
  </si>
  <si>
    <t xml:space="preserve">2555.200 BBL  </t>
  </si>
  <si>
    <t xml:space="preserve">13.300 BBL  </t>
  </si>
  <si>
    <t xml:space="preserve">3388.600 BBL  </t>
  </si>
  <si>
    <t xml:space="preserve">18.700 BBL  </t>
  </si>
  <si>
    <t xml:space="preserve">14326.300 BBL  </t>
  </si>
  <si>
    <t xml:space="preserve">79.900 BBL  </t>
  </si>
  <si>
    <t xml:space="preserve">38.500 BBL  </t>
  </si>
  <si>
    <t xml:space="preserve">164.900 BBL  </t>
  </si>
  <si>
    <t xml:space="preserve">11.700 BBL  </t>
  </si>
  <si>
    <t xml:space="preserve">1017.100 BBL  </t>
  </si>
  <si>
    <t xml:space="preserve">7060.600 BBL  </t>
  </si>
  <si>
    <t xml:space="preserve">397.800 BBL  </t>
  </si>
  <si>
    <t xml:space="preserve">351.300 BBL  </t>
  </si>
  <si>
    <t xml:space="preserve">9.200 BBL  </t>
  </si>
  <si>
    <t xml:space="preserve">31.700 BBL  </t>
  </si>
  <si>
    <t xml:space="preserve">1775.600 BBL  </t>
  </si>
  <si>
    <t xml:space="preserve">99.300 BBL  </t>
  </si>
  <si>
    <t xml:space="preserve">1449.400 BBL  </t>
  </si>
  <si>
    <t xml:space="preserve">2323.100 BBL  </t>
  </si>
  <si>
    <t xml:space="preserve">4029.000 BBL  </t>
  </si>
  <si>
    <t xml:space="preserve">239.300 BBL  </t>
  </si>
  <si>
    <t xml:space="preserve">15645.200 BBL  </t>
  </si>
  <si>
    <t xml:space="preserve">71.200 BBL  </t>
  </si>
  <si>
    <t xml:space="preserve">59.900 BBL  </t>
  </si>
  <si>
    <t xml:space="preserve">51.100 BBL  </t>
  </si>
  <si>
    <t xml:space="preserve">4314.400 BBL  </t>
  </si>
  <si>
    <t xml:space="preserve">23.500 BBL  </t>
  </si>
  <si>
    <t xml:space="preserve">1015.700 BBL  </t>
  </si>
  <si>
    <t xml:space="preserve">8073.300 BBL  </t>
  </si>
  <si>
    <t xml:space="preserve">240.000 BBL  </t>
  </si>
  <si>
    <t xml:space="preserve">7991.500 BBL  </t>
  </si>
  <si>
    <t xml:space="preserve">1871.900 BBL  </t>
  </si>
  <si>
    <t xml:space="preserve">144.800 BBL  </t>
  </si>
  <si>
    <t xml:space="preserve">659.700 BBL  </t>
  </si>
  <si>
    <t xml:space="preserve">979.200 BBL  </t>
  </si>
  <si>
    <t xml:space="preserve">105.800 BBL  </t>
  </si>
  <si>
    <t xml:space="preserve">47.600 BBL  </t>
  </si>
  <si>
    <t xml:space="preserve">833.900 BBL  </t>
  </si>
  <si>
    <t xml:space="preserve">345.700 BBL  </t>
  </si>
  <si>
    <t xml:space="preserve">15106.800 BBL  </t>
  </si>
  <si>
    <t xml:space="preserve">658.600 BBL  </t>
  </si>
  <si>
    <t xml:space="preserve">125.700 BBL  </t>
  </si>
  <si>
    <t xml:space="preserve">1630.000 BBL  </t>
  </si>
  <si>
    <t xml:space="preserve">854.400 BBL  </t>
  </si>
  <si>
    <t xml:space="preserve">7697.900 BBL  </t>
  </si>
  <si>
    <t xml:space="preserve">45.600 BBL  </t>
  </si>
  <si>
    <t xml:space="preserve">4279.700 BBL  </t>
  </si>
  <si>
    <t xml:space="preserve">9527.400 BBL  </t>
  </si>
  <si>
    <t xml:space="preserve">51.500 BBL  </t>
  </si>
  <si>
    <t xml:space="preserve">33.100 BBL  </t>
  </si>
  <si>
    <t xml:space="preserve">3755.000 BBL  </t>
  </si>
  <si>
    <t xml:space="preserve">6.400 BBL  </t>
  </si>
  <si>
    <t xml:space="preserve">148.800 BBL  </t>
  </si>
  <si>
    <t xml:space="preserve">560.800 BBL  </t>
  </si>
  <si>
    <t xml:space="preserve">1962.400 BBL  </t>
  </si>
  <si>
    <t xml:space="preserve">131.200 BBL  </t>
  </si>
  <si>
    <t xml:space="preserve">516.100 BBL  </t>
  </si>
  <si>
    <t xml:space="preserve">946.800 BBL  </t>
  </si>
  <si>
    <t xml:space="preserve">121.300 BBL  </t>
  </si>
  <si>
    <t xml:space="preserve">998.500 BBL  </t>
  </si>
  <si>
    <t xml:space="preserve">4324.400 BBL  </t>
  </si>
  <si>
    <t xml:space="preserve">3246.200 BBL  </t>
  </si>
  <si>
    <t xml:space="preserve">718.100 BBL  </t>
  </si>
  <si>
    <t xml:space="preserve">245.300 BBL  </t>
  </si>
  <si>
    <t xml:space="preserve">119.700 BBL  </t>
  </si>
  <si>
    <t xml:space="preserve">6594.600 BBL  </t>
  </si>
  <si>
    <t xml:space="preserve">6058.000 BBL  </t>
  </si>
  <si>
    <t xml:space="preserve">2796.000 BBL  </t>
  </si>
  <si>
    <t xml:space="preserve">5.700 BBL  </t>
  </si>
  <si>
    <t xml:space="preserve">1039.700 BBL  </t>
  </si>
  <si>
    <t xml:space="preserve">18258.100 BBL  </t>
  </si>
  <si>
    <t xml:space="preserve">122.300 BBL  </t>
  </si>
  <si>
    <t xml:space="preserve">127.700 BBL  </t>
  </si>
  <si>
    <t xml:space="preserve">932.000 BBL  </t>
  </si>
  <si>
    <t xml:space="preserve">19.600 BBL  </t>
  </si>
  <si>
    <t xml:space="preserve">168.400 BBL  </t>
  </si>
  <si>
    <t xml:space="preserve">1934.600 BBL  </t>
  </si>
  <si>
    <t xml:space="preserve">648.800 BBL  </t>
  </si>
  <si>
    <t xml:space="preserve">6.800 BBL  </t>
  </si>
  <si>
    <t xml:space="preserve">5287.000 BBL  </t>
  </si>
  <si>
    <t xml:space="preserve">15882.800 BBL  </t>
  </si>
  <si>
    <t xml:space="preserve">42.800 BBL  </t>
  </si>
  <si>
    <t xml:space="preserve">65.500 BBL  </t>
  </si>
  <si>
    <t xml:space="preserve">463.000 BBL  </t>
  </si>
  <si>
    <t xml:space="preserve">59.500 BBL  </t>
  </si>
  <si>
    <t xml:space="preserve">12663.100 BBL  </t>
  </si>
  <si>
    <t xml:space="preserve">120.600 BBL  </t>
  </si>
  <si>
    <t xml:space="preserve">5286.700 BBL  </t>
  </si>
  <si>
    <t xml:space="preserve">3893.800 BBL  </t>
  </si>
  <si>
    <t xml:space="preserve">836.200 BBL  </t>
  </si>
  <si>
    <t xml:space="preserve">68.100 BBL  </t>
  </si>
  <si>
    <t xml:space="preserve">2568.200 BBL  </t>
  </si>
  <si>
    <t xml:space="preserve">54.100 BBL  </t>
  </si>
  <si>
    <t xml:space="preserve">44.100 BBL  </t>
  </si>
  <si>
    <t xml:space="preserve">7.700 BBL  </t>
  </si>
  <si>
    <t xml:space="preserve">307.300 BBL  </t>
  </si>
  <si>
    <t xml:space="preserve">303.000 BBL  </t>
  </si>
  <si>
    <t xml:space="preserve">347.300 BBL  </t>
  </si>
  <si>
    <t xml:space="preserve">248.400 BBL  </t>
  </si>
  <si>
    <t xml:space="preserve">3232.600 BBL  </t>
  </si>
  <si>
    <t xml:space="preserve">1441.300 BBL  </t>
  </si>
  <si>
    <t xml:space="preserve">6628.700 BBL  </t>
  </si>
  <si>
    <t xml:space="preserve">1930.700 BBL  </t>
  </si>
  <si>
    <t xml:space="preserve">353.100 BBL  </t>
  </si>
  <si>
    <t xml:space="preserve">192.700 BBL  </t>
  </si>
  <si>
    <t xml:space="preserve">158.200 BBL  </t>
  </si>
  <si>
    <t xml:space="preserve">319.300 BBL  </t>
  </si>
  <si>
    <t xml:space="preserve">11538.600 BBL  </t>
  </si>
  <si>
    <t xml:space="preserve">619.700 BBL  </t>
  </si>
  <si>
    <t xml:space="preserve">108.400 BBL  </t>
  </si>
  <si>
    <t xml:space="preserve">1138.800 BBL  </t>
  </si>
  <si>
    <t xml:space="preserve">1423.100 BBL  </t>
  </si>
  <si>
    <t xml:space="preserve">9.600 BBL  </t>
  </si>
  <si>
    <t xml:space="preserve">2032.600 BBL  </t>
  </si>
  <si>
    <t xml:space="preserve">7616.900 BBL  </t>
  </si>
  <si>
    <t xml:space="preserve">3435.800 BBL  </t>
  </si>
  <si>
    <t xml:space="preserve">141.500 BBL  </t>
  </si>
  <si>
    <t xml:space="preserve">8436.800 BBL  </t>
  </si>
  <si>
    <t xml:space="preserve">3062.400 BBL  </t>
  </si>
  <si>
    <t xml:space="preserve">111.700 BBL  </t>
  </si>
  <si>
    <t xml:space="preserve">36.200 BBL  </t>
  </si>
  <si>
    <t xml:space="preserve">2539.400 BBL  </t>
  </si>
  <si>
    <t xml:space="preserve">21.800 BBL  </t>
  </si>
  <si>
    <t xml:space="preserve">93.200 BBL  </t>
  </si>
  <si>
    <t xml:space="preserve">7018.500 BBL  </t>
  </si>
  <si>
    <t xml:space="preserve">17561.900 BBL  </t>
  </si>
  <si>
    <t xml:space="preserve">15.800 BBL  </t>
  </si>
  <si>
    <t xml:space="preserve">10723.400 BBL  </t>
  </si>
  <si>
    <t xml:space="preserve">2200.200 BBL  </t>
  </si>
  <si>
    <t xml:space="preserve">105.200 BBL  </t>
  </si>
  <si>
    <t xml:space="preserve">18.300 BBL  </t>
  </si>
  <si>
    <t xml:space="preserve">256.800 BBL  </t>
  </si>
  <si>
    <t xml:space="preserve">90.700 BBL  </t>
  </si>
  <si>
    <t xml:space="preserve">5255.900 BBL  </t>
  </si>
  <si>
    <t xml:space="preserve">387.000 BBL  </t>
  </si>
  <si>
    <t xml:space="preserve">529.400 BBL  </t>
  </si>
  <si>
    <t xml:space="preserve">3436.300 BBL  </t>
  </si>
  <si>
    <t xml:space="preserve">267.100 BBL  </t>
  </si>
  <si>
    <t xml:space="preserve">635.400 BBL  </t>
  </si>
  <si>
    <t xml:space="preserve">74.100 BBL  </t>
  </si>
  <si>
    <t xml:space="preserve">358.400 BBL  </t>
  </si>
  <si>
    <t xml:space="preserve">2246.000 BBL  </t>
  </si>
  <si>
    <t xml:space="preserve">709.600 BBL  </t>
  </si>
  <si>
    <t xml:space="preserve">706.900 BBL  </t>
  </si>
  <si>
    <t xml:space="preserve">62.700 BBL  </t>
  </si>
  <si>
    <t xml:space="preserve">163.700 BBL  </t>
  </si>
  <si>
    <t xml:space="preserve">10340.900 BBL  </t>
  </si>
  <si>
    <t xml:space="preserve">2119.800 BBL  </t>
  </si>
  <si>
    <t xml:space="preserve">132.400 BBL  </t>
  </si>
  <si>
    <t xml:space="preserve">102.100 BBL  </t>
  </si>
  <si>
    <t xml:space="preserve">85.800 BBL  </t>
  </si>
  <si>
    <t xml:space="preserve">40.400 BBL  </t>
  </si>
  <si>
    <t xml:space="preserve">3144.100 BBL  </t>
  </si>
  <si>
    <t xml:space="preserve">338.800 BBL  </t>
  </si>
  <si>
    <t xml:space="preserve">3796.200 BBL  </t>
  </si>
  <si>
    <t xml:space="preserve">39.100 BBL  </t>
  </si>
  <si>
    <t xml:space="preserve">5187.300 BBL  </t>
  </si>
  <si>
    <t xml:space="preserve">91.600 BBL  </t>
  </si>
  <si>
    <t xml:space="preserve">4638.600 BBL  </t>
  </si>
  <si>
    <t xml:space="preserve">103.200 BBL  </t>
  </si>
  <si>
    <t xml:space="preserve">50.600 BBL  </t>
  </si>
  <si>
    <t xml:space="preserve">18.400 BBL  </t>
  </si>
  <si>
    <t xml:space="preserve">16581.500 BBL  </t>
  </si>
  <si>
    <t xml:space="preserve">2889.100 BBL  </t>
  </si>
  <si>
    <t xml:space="preserve">20.900 BBL  </t>
  </si>
  <si>
    <t xml:space="preserve">564.800 BBL  </t>
  </si>
  <si>
    <t xml:space="preserve">6746.000 BBL  </t>
  </si>
  <si>
    <t xml:space="preserve">81.100 BBL  </t>
  </si>
  <si>
    <t xml:space="preserve">5455.600 BBL  </t>
  </si>
  <si>
    <t xml:space="preserve">4248.500 BBL  </t>
  </si>
  <si>
    <t xml:space="preserve">714.400 BBL  </t>
  </si>
  <si>
    <t xml:space="preserve">1894.400 BBL  </t>
  </si>
  <si>
    <t xml:space="preserve">1932.000 BBL  </t>
  </si>
  <si>
    <t xml:space="preserve">83.400 BBL  </t>
  </si>
  <si>
    <t xml:space="preserve">8.000 BBL  </t>
  </si>
  <si>
    <t xml:space="preserve">174.000 BBL  </t>
  </si>
  <si>
    <t xml:space="preserve">7244.400 BBL  </t>
  </si>
  <si>
    <t xml:space="preserve">584.500 BBL  </t>
  </si>
  <si>
    <t xml:space="preserve">83.300 BBL  </t>
  </si>
  <si>
    <t xml:space="preserve">138.200 BBL  </t>
  </si>
  <si>
    <t xml:space="preserve">2050.800 BBL  </t>
  </si>
  <si>
    <t xml:space="preserve">196.000 BBL  </t>
  </si>
  <si>
    <t xml:space="preserve">4260.100 BBL  </t>
  </si>
  <si>
    <t xml:space="preserve">916.900 BBL  </t>
  </si>
  <si>
    <t xml:space="preserve">3143.400 BBL  </t>
  </si>
  <si>
    <t xml:space="preserve">3876.100 BBL  </t>
  </si>
  <si>
    <t xml:space="preserve">183.200 BBL  </t>
  </si>
  <si>
    <t xml:space="preserve">34.700 BBL  </t>
  </si>
  <si>
    <t xml:space="preserve">16205.100 BBL  </t>
  </si>
  <si>
    <t xml:space="preserve">2312.700 BBL  </t>
  </si>
  <si>
    <t xml:space="preserve">55.500 BBL  </t>
  </si>
  <si>
    <t xml:space="preserve">915.200 BBL  </t>
  </si>
  <si>
    <t xml:space="preserve">4558.400 BBL  </t>
  </si>
  <si>
    <t xml:space="preserve">121.800 BBL  </t>
  </si>
  <si>
    <t xml:space="preserve">97.500 BBL  </t>
  </si>
  <si>
    <t xml:space="preserve">344.700 BBL  </t>
  </si>
  <si>
    <t xml:space="preserve">120.000 BBL  </t>
  </si>
  <si>
    <t xml:space="preserve">2175.300 BBL  </t>
  </si>
  <si>
    <t xml:space="preserve">5134.500 BBL  </t>
  </si>
  <si>
    <t xml:space="preserve">126.500 BBL  </t>
  </si>
  <si>
    <t xml:space="preserve">50.200 BBL  </t>
  </si>
  <si>
    <t xml:space="preserve">841.900 BBL  </t>
  </si>
  <si>
    <t xml:space="preserve">49.200 BBL  </t>
  </si>
  <si>
    <t xml:space="preserve">9195.100 BBL  </t>
  </si>
  <si>
    <t xml:space="preserve">670.900 BBL  </t>
  </si>
  <si>
    <t xml:space="preserve">1494.800 BBL  </t>
  </si>
  <si>
    <t xml:space="preserve">8540.700 BBL  </t>
  </si>
  <si>
    <t xml:space="preserve">98.100 BBL  </t>
  </si>
  <si>
    <t xml:space="preserve">661.900 BBL  </t>
  </si>
  <si>
    <t xml:space="preserve">65.300 BBL  </t>
  </si>
  <si>
    <t xml:space="preserve">201.500 BBL  </t>
  </si>
  <si>
    <t xml:space="preserve">5.300 BBL  </t>
  </si>
  <si>
    <t xml:space="preserve">651.500 BBL  </t>
  </si>
  <si>
    <t xml:space="preserve">424.800 BBL  </t>
  </si>
  <si>
    <t xml:space="preserve">237.800 BBL  </t>
  </si>
  <si>
    <t xml:space="preserve">2196.200 BBL  </t>
  </si>
  <si>
    <t xml:space="preserve">32.500 BBL  </t>
  </si>
  <si>
    <t xml:space="preserve">78.100 BBL  </t>
  </si>
  <si>
    <t xml:space="preserve">133.500 BBL  </t>
  </si>
  <si>
    <t xml:space="preserve">4309.600 BBL  </t>
  </si>
  <si>
    <t xml:space="preserve">2757.200 BBL  </t>
  </si>
  <si>
    <t xml:space="preserve">15025.300 BBL  </t>
  </si>
  <si>
    <t xml:space="preserve">413.000 BBL  </t>
  </si>
  <si>
    <t xml:space="preserve">70.900 BBL  </t>
  </si>
  <si>
    <t xml:space="preserve">3528.800 BBL  </t>
  </si>
  <si>
    <t xml:space="preserve">51.000 BBL  </t>
  </si>
  <si>
    <t xml:space="preserve">2120.200 BBL  </t>
  </si>
  <si>
    <t xml:space="preserve">80.100 BBL  </t>
  </si>
  <si>
    <t xml:space="preserve">33.000 BBL  </t>
  </si>
  <si>
    <t xml:space="preserve">14.900 BBL  </t>
  </si>
  <si>
    <t xml:space="preserve">171.000 BBL  </t>
  </si>
  <si>
    <t xml:space="preserve">120.200 BBL  </t>
  </si>
  <si>
    <t xml:space="preserve">134.200 BBL  </t>
  </si>
  <si>
    <t xml:space="preserve">2355.400 BBL  </t>
  </si>
  <si>
    <t xml:space="preserve">3089.700 BBL  </t>
  </si>
  <si>
    <t xml:space="preserve">1074.500 BBL  </t>
  </si>
  <si>
    <t xml:space="preserve">1518.900 BBL  </t>
  </si>
  <si>
    <t xml:space="preserve">236.000 BBL  </t>
  </si>
  <si>
    <t xml:space="preserve">302.700 BBL  </t>
  </si>
  <si>
    <t xml:space="preserve">353.400 BBL  </t>
  </si>
  <si>
    <t xml:space="preserve">436.200 BBL  </t>
  </si>
  <si>
    <t xml:space="preserve">119.300 BBL  </t>
  </si>
  <si>
    <t xml:space="preserve">5554.900 BBL  </t>
  </si>
  <si>
    <t xml:space="preserve">237.100 BBL  </t>
  </si>
  <si>
    <t xml:space="preserve">1934.000 BBL  </t>
  </si>
  <si>
    <t xml:space="preserve">1568.100 BBL  </t>
  </si>
  <si>
    <t xml:space="preserve">8.300 BBL  </t>
  </si>
  <si>
    <t xml:space="preserve">1538.300 BBL  </t>
  </si>
  <si>
    <t xml:space="preserve">3203.100 BBL  </t>
  </si>
  <si>
    <t xml:space="preserve">4391.000 BBL  </t>
  </si>
  <si>
    <t xml:space="preserve">165.600 BBL  </t>
  </si>
  <si>
    <t xml:space="preserve">6054.200 BBL  </t>
  </si>
  <si>
    <t xml:space="preserve">554.900 BBL  </t>
  </si>
  <si>
    <t xml:space="preserve">83.500 BBL  </t>
  </si>
  <si>
    <t xml:space="preserve">29.100 BBL  </t>
  </si>
  <si>
    <t xml:space="preserve">1351.900 BBL  </t>
  </si>
  <si>
    <t xml:space="preserve">296.700 BBL  </t>
  </si>
  <si>
    <t xml:space="preserve">3090.700 BBL  </t>
  </si>
  <si>
    <t xml:space="preserve">13178.200 BBL  </t>
  </si>
  <si>
    <t xml:space="preserve">19.700 BBL  </t>
  </si>
  <si>
    <t xml:space="preserve">466.500 BBL  </t>
  </si>
  <si>
    <t xml:space="preserve">7964.900 BBL  </t>
  </si>
  <si>
    <t xml:space="preserve">112.100 BBL  </t>
  </si>
  <si>
    <t xml:space="preserve">134.600 BBL  </t>
  </si>
  <si>
    <t xml:space="preserve">3428.700 BBL  </t>
  </si>
  <si>
    <t xml:space="preserve">187.200 BBL  </t>
  </si>
  <si>
    <t xml:space="preserve">1749.500 BBL  </t>
  </si>
  <si>
    <t xml:space="preserve">45.200 BBL  </t>
  </si>
  <si>
    <t xml:space="preserve">735.500 BBL  </t>
  </si>
  <si>
    <t xml:space="preserve">39.900 BBL  </t>
  </si>
  <si>
    <t xml:space="preserve">127.400 BBL  </t>
  </si>
  <si>
    <t xml:space="preserve">2702.900 BBL  </t>
  </si>
  <si>
    <t xml:space="preserve">753.400 BBL  </t>
  </si>
  <si>
    <t xml:space="preserve">150.600 BBL  </t>
  </si>
  <si>
    <t xml:space="preserve">16.900 BBL  </t>
  </si>
  <si>
    <t xml:space="preserve">63.300 BBL  </t>
  </si>
  <si>
    <t xml:space="preserve">678.100 BBL  </t>
  </si>
  <si>
    <t xml:space="preserve">92.900 BBL  </t>
  </si>
  <si>
    <t xml:space="preserve">8945.300 BBL  </t>
  </si>
  <si>
    <t xml:space="preserve">1376.000 BBL  </t>
  </si>
  <si>
    <t xml:space="preserve">61.700 BBL  </t>
  </si>
  <si>
    <t xml:space="preserve">114.500 BBL  </t>
  </si>
  <si>
    <t xml:space="preserve">4064.400 BBL  </t>
  </si>
  <si>
    <t xml:space="preserve">108.700 BBL  </t>
  </si>
  <si>
    <t xml:space="preserve">15.900 BBL  </t>
  </si>
  <si>
    <t xml:space="preserve">36.400 BBL  </t>
  </si>
  <si>
    <t xml:space="preserve">1859.500 BBL  </t>
  </si>
  <si>
    <t xml:space="preserve">28.600 BBL  </t>
  </si>
  <si>
    <t xml:space="preserve">14018.400 BBL  </t>
  </si>
  <si>
    <t xml:space="preserve">340.800 BBL  </t>
  </si>
  <si>
    <t xml:space="preserve">3299.700 BBL  </t>
  </si>
  <si>
    <t xml:space="preserve">5618.700 BBL  </t>
  </si>
  <si>
    <t xml:space="preserve">6.900 BBL  </t>
  </si>
  <si>
    <t xml:space="preserve">24.000 BBL  </t>
  </si>
  <si>
    <t xml:space="preserve">154.800 BBL  </t>
  </si>
  <si>
    <t xml:space="preserve">132.000 BBL  </t>
  </si>
  <si>
    <t xml:space="preserve">89.400 BBL  </t>
  </si>
  <si>
    <t xml:space="preserve">19.300 BBL  </t>
  </si>
  <si>
    <t xml:space="preserve">2166.000 BBL  </t>
  </si>
  <si>
    <t xml:space="preserve">283.500 BBL  </t>
  </si>
  <si>
    <t xml:space="preserve">5294.100 BBL  </t>
  </si>
  <si>
    <t xml:space="preserve">78.200 BBL  </t>
  </si>
  <si>
    <t xml:space="preserve">3713.900 BBL  </t>
  </si>
  <si>
    <t xml:space="preserve">4043.700 BBL  </t>
  </si>
  <si>
    <t xml:space="preserve">1101.600 BBL  </t>
  </si>
  <si>
    <t xml:space="preserve">2.800 BBL  </t>
  </si>
  <si>
    <t xml:space="preserve">1300.800 BBL  </t>
  </si>
  <si>
    <t xml:space="preserve">1942.600 BBL  </t>
  </si>
  <si>
    <t xml:space="preserve">236.600 BBL  </t>
  </si>
  <si>
    <t xml:space="preserve">5.200 BBL  </t>
  </si>
  <si>
    <t xml:space="preserve">5109.600 BBL  </t>
  </si>
  <si>
    <t xml:space="preserve">374.100 BBL  </t>
  </si>
  <si>
    <t xml:space="preserve">219.200 BBL  </t>
  </si>
  <si>
    <t xml:space="preserve">232.700 BBL  </t>
  </si>
  <si>
    <t xml:space="preserve">1296.200 BBL  </t>
  </si>
  <si>
    <t xml:space="preserve">1287.700 BBL  </t>
  </si>
  <si>
    <t xml:space="preserve">3803.900 BBL  </t>
  </si>
  <si>
    <t xml:space="preserve">22.600 BBL  </t>
  </si>
  <si>
    <t xml:space="preserve">2519.700 BBL  </t>
  </si>
  <si>
    <t xml:space="preserve">12948.600 BBL  </t>
  </si>
  <si>
    <t xml:space="preserve">3472.100 BBL  </t>
  </si>
  <si>
    <t xml:space="preserve">1278.000 BBL  </t>
  </si>
  <si>
    <t xml:space="preserve">46.100 BBL  </t>
  </si>
  <si>
    <t xml:space="preserve">41.700 BBL  </t>
  </si>
  <si>
    <t xml:space="preserve">845.100 BBL  </t>
  </si>
  <si>
    <t xml:space="preserve">2704.700 BBL  </t>
  </si>
  <si>
    <t xml:space="preserve">198.900 BBL  </t>
  </si>
  <si>
    <t xml:space="preserve">43.600 BBL  </t>
  </si>
  <si>
    <t xml:space="preserve">124.900 BBL  </t>
  </si>
  <si>
    <t xml:space="preserve">494.300 BBL  </t>
  </si>
  <si>
    <t xml:space="preserve">1215.200 BBL  </t>
  </si>
  <si>
    <t xml:space="preserve">170.000 BBL  </t>
  </si>
  <si>
    <t xml:space="preserve">4307.500 BBL  </t>
  </si>
  <si>
    <t xml:space="preserve">66.400 BBL  </t>
  </si>
  <si>
    <t xml:space="preserve">76.100 BBL  </t>
  </si>
  <si>
    <t xml:space="preserve">10571.700 BBL  </t>
  </si>
  <si>
    <t xml:space="preserve">84.200 BBL  </t>
  </si>
  <si>
    <t xml:space="preserve">21.200 BBL  </t>
  </si>
  <si>
    <t xml:space="preserve">37.800 BBL  </t>
  </si>
  <si>
    <t xml:space="preserve">537.800 BBL  </t>
  </si>
  <si>
    <t xml:space="preserve">2.200 BBL  </t>
  </si>
  <si>
    <t xml:space="preserve">1458.700 BBL  </t>
  </si>
  <si>
    <t xml:space="preserve">10416.200 BBL  </t>
  </si>
  <si>
    <t xml:space="preserve">90.400 BBL  </t>
  </si>
  <si>
    <t xml:space="preserve">496.100 BBL  </t>
  </si>
  <si>
    <t xml:space="preserve">120.100 BBL  </t>
  </si>
  <si>
    <t xml:space="preserve">179.800 BBL  </t>
  </si>
  <si>
    <t xml:space="preserve">34.200 BBL  </t>
  </si>
  <si>
    <t xml:space="preserve">834.800 BBL  </t>
  </si>
  <si>
    <t xml:space="preserve">604.700 BBL  </t>
  </si>
  <si>
    <t xml:space="preserve">27.800 BBL  </t>
  </si>
  <si>
    <t xml:space="preserve">432.600 BBL  </t>
  </si>
  <si>
    <t xml:space="preserve">2196.000 BBL  </t>
  </si>
  <si>
    <t xml:space="preserve">162.700 BBL  </t>
  </si>
  <si>
    <t xml:space="preserve">174.500 BBL  </t>
  </si>
  <si>
    <t xml:space="preserve">42.900 BBL  </t>
  </si>
  <si>
    <t xml:space="preserve">3002.600 BBL  </t>
  </si>
  <si>
    <t xml:space="preserve">32.600 BBL  </t>
  </si>
  <si>
    <t xml:space="preserve">4331.900 BBL  </t>
  </si>
  <si>
    <t xml:space="preserve">496.200 BBL  </t>
  </si>
  <si>
    <t xml:space="preserve">13840.000 BBL  </t>
  </si>
  <si>
    <t xml:space="preserve">147.700 BBL  </t>
  </si>
  <si>
    <t xml:space="preserve">93.600 BBL  </t>
  </si>
  <si>
    <t xml:space="preserve">34.000 BBL  </t>
  </si>
  <si>
    <t xml:space="preserve">1312.000 BBL  </t>
  </si>
  <si>
    <t xml:space="preserve">9.900 BBL  </t>
  </si>
  <si>
    <t xml:space="preserve">232.800 BBL  </t>
  </si>
  <si>
    <t xml:space="preserve">280.400 BBL  </t>
  </si>
  <si>
    <t xml:space="preserve">5107.500 BBL  </t>
  </si>
  <si>
    <t xml:space="preserve">136.300 BBL  </t>
  </si>
  <si>
    <t xml:space="preserve">236.400 BBL  </t>
  </si>
  <si>
    <t xml:space="preserve">12.600 BBL  </t>
  </si>
  <si>
    <t xml:space="preserve">2224.600 BBL  </t>
  </si>
  <si>
    <t xml:space="preserve">38.100 BBL  </t>
  </si>
  <si>
    <t xml:space="preserve">3325.600 BBL  </t>
  </si>
  <si>
    <t xml:space="preserve">1705.200 BBL  </t>
  </si>
  <si>
    <t xml:space="preserve">1411.900 BBL  </t>
  </si>
  <si>
    <t xml:space="preserve">322.900 BBL  </t>
  </si>
  <si>
    <t xml:space="preserve">277.800 BBL  </t>
  </si>
  <si>
    <t xml:space="preserve">531.500 BBL  </t>
  </si>
  <si>
    <t xml:space="preserve">206.700 BBL  </t>
  </si>
  <si>
    <t xml:space="preserve">329.400 BBL  </t>
  </si>
  <si>
    <t xml:space="preserve">232.100 BBL  </t>
  </si>
  <si>
    <t xml:space="preserve">14.300 BBL  </t>
  </si>
  <si>
    <t xml:space="preserve">6052.800 BBL  </t>
  </si>
  <si>
    <t xml:space="preserve">2262.500 BBL  </t>
  </si>
  <si>
    <t xml:space="preserve">960.500 BBL  </t>
  </si>
  <si>
    <t xml:space="preserve">11.500 BBL  </t>
  </si>
  <si>
    <t xml:space="preserve">1104.100 BBL  </t>
  </si>
  <si>
    <t xml:space="preserve">4764.800 BBL  </t>
  </si>
  <si>
    <t xml:space="preserve">3817.400 BBL  </t>
  </si>
  <si>
    <t xml:space="preserve">150.200 BBL  </t>
  </si>
  <si>
    <t xml:space="preserve">3739.200 BBL  </t>
  </si>
  <si>
    <t xml:space="preserve">1113.300 BBL  </t>
  </si>
  <si>
    <t xml:space="preserve">99.600 BBL  </t>
  </si>
  <si>
    <t xml:space="preserve">40.100 BBL  </t>
  </si>
  <si>
    <t xml:space="preserve">1446.800 BBL  </t>
  </si>
  <si>
    <t xml:space="preserve">37.300 BBL  </t>
  </si>
  <si>
    <t xml:space="preserve">129.000 BBL  </t>
  </si>
  <si>
    <t xml:space="preserve">12411.800 BBL  </t>
  </si>
  <si>
    <t xml:space="preserve">3028.700 BBL  </t>
  </si>
  <si>
    <t xml:space="preserve">28.100 BBL  </t>
  </si>
  <si>
    <t xml:space="preserve">607.400 BBL  </t>
  </si>
  <si>
    <t xml:space="preserve">28.700 BBL  </t>
  </si>
  <si>
    <t xml:space="preserve">8552.200 BBL  </t>
  </si>
  <si>
    <t xml:space="preserve">180.100 BBL  </t>
  </si>
  <si>
    <t xml:space="preserve">141.300 BBL  </t>
  </si>
  <si>
    <t xml:space="preserve">245.700 BBL  </t>
  </si>
  <si>
    <t xml:space="preserve">3771.000 BBL  </t>
  </si>
  <si>
    <t xml:space="preserve">6.300 BBL  </t>
  </si>
  <si>
    <t xml:space="preserve">1314.400 BBL  </t>
  </si>
  <si>
    <t xml:space="preserve">31.500 BBL  </t>
  </si>
  <si>
    <t xml:space="preserve">81.300 BBL  </t>
  </si>
  <si>
    <t xml:space="preserve">589.300 BBL  </t>
  </si>
  <si>
    <t xml:space="preserve">100.300 BBL  </t>
  </si>
  <si>
    <t xml:space="preserve">269.500 BBL  </t>
  </si>
  <si>
    <t xml:space="preserve">2425.200 BBL  </t>
  </si>
  <si>
    <t xml:space="preserve">1425.600 BBL  </t>
  </si>
  <si>
    <t xml:space="preserve">2821.800 BBL  </t>
  </si>
  <si>
    <t xml:space="preserve">21.600 BBL  </t>
  </si>
  <si>
    <t xml:space="preserve">7.000 BBL  </t>
  </si>
  <si>
    <t xml:space="preserve">7.200 BBL  </t>
  </si>
  <si>
    <t xml:space="preserve">1041.900 BBL  </t>
  </si>
  <si>
    <t xml:space="preserve">124.100 BBL  </t>
  </si>
  <si>
    <t xml:space="preserve">108.500 BBL  </t>
  </si>
  <si>
    <t xml:space="preserve">9872.100 BBL  </t>
  </si>
  <si>
    <t xml:space="preserve">1979.100 BBL  </t>
  </si>
  <si>
    <t xml:space="preserve">14.400 BBL  </t>
  </si>
  <si>
    <t xml:space="preserve">195.100 BBL  </t>
  </si>
  <si>
    <t xml:space="preserve">318.700 BBL  </t>
  </si>
  <si>
    <t xml:space="preserve">4527.400 BBL  </t>
  </si>
  <si>
    <t xml:space="preserve">320.300 BBL  </t>
  </si>
  <si>
    <t xml:space="preserve">423.500 BBL  </t>
  </si>
  <si>
    <t xml:space="preserve">10.200 BBL  </t>
  </si>
  <si>
    <t xml:space="preserve">286.100 BBL  </t>
  </si>
  <si>
    <t xml:space="preserve">14036.900 BBL  </t>
  </si>
  <si>
    <t xml:space="preserve">576.200 BBL  </t>
  </si>
  <si>
    <t xml:space="preserve">4634.500 BBL  </t>
  </si>
  <si>
    <t xml:space="preserve">1715.100 BBL  </t>
  </si>
  <si>
    <t xml:space="preserve">71.000 BBL  </t>
  </si>
  <si>
    <t xml:space="preserve">3559.200 BBL  </t>
  </si>
  <si>
    <t xml:space="preserve">45.300 BBL  </t>
  </si>
  <si>
    <t xml:space="preserve">212.000 BBL  </t>
  </si>
  <si>
    <t xml:space="preserve">299.500 BBL  </t>
  </si>
  <si>
    <t xml:space="preserve">86.400 BBL  </t>
  </si>
  <si>
    <t xml:space="preserve">1847.000 BBL  </t>
  </si>
  <si>
    <t xml:space="preserve">13.500 BBL  </t>
  </si>
  <si>
    <t xml:space="preserve">652.900 BBL  </t>
  </si>
  <si>
    <t xml:space="preserve">119.900 BBL  </t>
  </si>
  <si>
    <t xml:space="preserve">1066.300 BBL  </t>
  </si>
  <si>
    <t xml:space="preserve">4599.700 BBL  </t>
  </si>
  <si>
    <t xml:space="preserve">224.300 BBL  </t>
  </si>
  <si>
    <t xml:space="preserve">4422.700 BBL  </t>
  </si>
  <si>
    <t xml:space="preserve">5997.200 BBL  </t>
  </si>
  <si>
    <t xml:space="preserve">872.500 BBL  </t>
  </si>
  <si>
    <t xml:space="preserve">1104.500 BBL  </t>
  </si>
  <si>
    <t xml:space="preserve">3075.900 BBL  </t>
  </si>
  <si>
    <t xml:space="preserve">6201.800 BBL  </t>
  </si>
  <si>
    <t xml:space="preserve">26.000 BBL  </t>
  </si>
  <si>
    <t xml:space="preserve">325.200 BBL  </t>
  </si>
  <si>
    <t xml:space="preserve">344.900 BBL  </t>
  </si>
  <si>
    <t xml:space="preserve">235.900 BBL  </t>
  </si>
  <si>
    <t xml:space="preserve">529.200 BBL  </t>
  </si>
  <si>
    <t xml:space="preserve">299.200 BBL  </t>
  </si>
  <si>
    <t xml:space="preserve">263.400 BBL  </t>
  </si>
  <si>
    <t xml:space="preserve">1990.800 BBL  </t>
  </si>
  <si>
    <t xml:space="preserve">3626.400 BBL  </t>
  </si>
  <si>
    <t xml:space="preserve">2620.900 BBL  </t>
  </si>
  <si>
    <t xml:space="preserve">22.300 BBL  </t>
  </si>
  <si>
    <t xml:space="preserve">2509.300 BBL  </t>
  </si>
  <si>
    <t xml:space="preserve">11685.000 BBL  </t>
  </si>
  <si>
    <t xml:space="preserve">91.700 BBL  </t>
  </si>
  <si>
    <t xml:space="preserve">203.700 BBL  </t>
  </si>
  <si>
    <t xml:space="preserve">40.600 BBL  </t>
  </si>
  <si>
    <t xml:space="preserve">2216.500 BBL  </t>
  </si>
  <si>
    <t xml:space="preserve">115.700 BBL  </t>
  </si>
  <si>
    <t xml:space="preserve">1080.400 BBL  </t>
  </si>
  <si>
    <t xml:space="preserve">239.600 BBL  </t>
  </si>
  <si>
    <t xml:space="preserve">119.500 BBL  </t>
  </si>
  <si>
    <t xml:space="preserve">33.300 BBL  </t>
  </si>
  <si>
    <t xml:space="preserve">2481.700 BBL  </t>
  </si>
  <si>
    <t xml:space="preserve">664.200 BBL  </t>
  </si>
  <si>
    <t xml:space="preserve">3.300 BBL  </t>
  </si>
  <si>
    <t xml:space="preserve">333.600 BBL  </t>
  </si>
  <si>
    <t xml:space="preserve">573.500 BBL  </t>
  </si>
  <si>
    <t xml:space="preserve">3927.200 BBL  </t>
  </si>
  <si>
    <t xml:space="preserve">1352.000 BBL  </t>
  </si>
  <si>
    <t xml:space="preserve">278.700 BBL  </t>
  </si>
  <si>
    <t xml:space="preserve">287.600 BBL  </t>
  </si>
  <si>
    <t xml:space="preserve">9668.000 BBL  </t>
  </si>
  <si>
    <t xml:space="preserve">59.000 BBL  </t>
  </si>
  <si>
    <t xml:space="preserve">87.200 BBL  </t>
  </si>
  <si>
    <t xml:space="preserve">566.400 BBL  </t>
  </si>
  <si>
    <t xml:space="preserve">3.400 BBL  </t>
  </si>
  <si>
    <t xml:space="preserve">17.300 BBL  </t>
  </si>
  <si>
    <t xml:space="preserve">1910.200 BBL  </t>
  </si>
  <si>
    <t xml:space="preserve">1044.600 BBL  </t>
  </si>
  <si>
    <t xml:space="preserve">412.400 BBL  </t>
  </si>
  <si>
    <t xml:space="preserve">981.800 BBL  </t>
  </si>
  <si>
    <t xml:space="preserve">2794.000 BBL  </t>
  </si>
  <si>
    <t xml:space="preserve">11897.000 BBL  </t>
  </si>
  <si>
    <t xml:space="preserve">99.100 BBL  </t>
  </si>
  <si>
    <t xml:space="preserve">11.900 BBL  </t>
  </si>
  <si>
    <t xml:space="preserve">41.400 BBL  </t>
  </si>
  <si>
    <t xml:space="preserve">25.100 BBL  </t>
  </si>
  <si>
    <t xml:space="preserve">4418.100 BBL  </t>
  </si>
  <si>
    <t xml:space="preserve">2665.600 BBL  </t>
  </si>
  <si>
    <t xml:space="preserve">1879.700 BBL  </t>
  </si>
  <si>
    <t xml:space="preserve">115.400 BBL  </t>
  </si>
  <si>
    <t xml:space="preserve">113.500 BBL  </t>
  </si>
  <si>
    <t xml:space="preserve">154.600 BBL  </t>
  </si>
  <si>
    <t xml:space="preserve">7375.300 BBL  </t>
  </si>
  <si>
    <t xml:space="preserve">307.000 BBL  </t>
  </si>
  <si>
    <t xml:space="preserve">191.900 BBL  </t>
  </si>
  <si>
    <t xml:space="preserve">137.900 BBL  </t>
  </si>
  <si>
    <t xml:space="preserve">11424.100 BBL  </t>
  </si>
  <si>
    <t xml:space="preserve">530.800 BBL  </t>
  </si>
  <si>
    <t xml:space="preserve">1385.200 BBL  </t>
  </si>
  <si>
    <t xml:space="preserve">4457.300 BBL  </t>
  </si>
  <si>
    <t xml:space="preserve">5461.300 BBL  </t>
  </si>
  <si>
    <t xml:space="preserve">50.000 BBL  </t>
  </si>
  <si>
    <t xml:space="preserve">410.600 BBL  </t>
  </si>
  <si>
    <t xml:space="preserve">2030.200 BBL  </t>
  </si>
  <si>
    <t xml:space="preserve">99.700 BBL  </t>
  </si>
  <si>
    <t xml:space="preserve">149.200 BBL  </t>
  </si>
  <si>
    <t xml:space="preserve">988.800 BBL  </t>
  </si>
  <si>
    <t xml:space="preserve">708.500 BBL  </t>
  </si>
  <si>
    <t xml:space="preserve">865.300 BBL  </t>
  </si>
  <si>
    <t xml:space="preserve">578.100 BBL  </t>
  </si>
  <si>
    <t xml:space="preserve">4823.700 BBL  </t>
  </si>
  <si>
    <t xml:space="preserve">4993.300 BBL  </t>
  </si>
  <si>
    <t xml:space="preserve">2721.500 BBL  </t>
  </si>
  <si>
    <t xml:space="preserve">162.800 BBL  </t>
  </si>
  <si>
    <t xml:space="preserve">7493.800 BBL  </t>
  </si>
  <si>
    <t xml:space="preserve">5635.300 BBL  </t>
  </si>
  <si>
    <t xml:space="preserve">764.700 BBL  </t>
  </si>
  <si>
    <t xml:space="preserve">4228.200 BBL  </t>
  </si>
  <si>
    <t xml:space="preserve">642.400 BBL  </t>
  </si>
  <si>
    <t xml:space="preserve">9990.300 BBL  </t>
  </si>
  <si>
    <t xml:space="preserve">716.200 BBL  </t>
  </si>
  <si>
    <t xml:space="preserve">11303.600 BBL  </t>
  </si>
  <si>
    <t xml:space="preserve">2956.500 BBL  </t>
  </si>
  <si>
    <t xml:space="preserve">68.300 BBL  </t>
  </si>
  <si>
    <t xml:space="preserve">4446.100 BBL  </t>
  </si>
  <si>
    <t xml:space="preserve">795.400 BBL  </t>
  </si>
  <si>
    <t xml:space="preserve">978.900 BBL  </t>
  </si>
  <si>
    <t xml:space="preserve">3265.000 BBL  </t>
  </si>
  <si>
    <t xml:space="preserve">572.200 BBL  </t>
  </si>
  <si>
    <t xml:space="preserve">15.700 BBL  </t>
  </si>
  <si>
    <t xml:space="preserve">460.100 BBL  </t>
  </si>
  <si>
    <t xml:space="preserve">76.400 BBL  </t>
  </si>
  <si>
    <t xml:space="preserve">3980.900 BBL  </t>
  </si>
  <si>
    <t xml:space="preserve">204.900 BBL  </t>
  </si>
  <si>
    <t xml:space="preserve">11031.100 BBL  </t>
  </si>
  <si>
    <t xml:space="preserve">237.300 BBL  </t>
  </si>
  <si>
    <t xml:space="preserve">2712.500 BBL  </t>
  </si>
  <si>
    <t xml:space="preserve">61.000 BBL  </t>
  </si>
  <si>
    <t xml:space="preserve">94.100 BBL  </t>
  </si>
  <si>
    <t xml:space="preserve">1920.700 BBL  </t>
  </si>
  <si>
    <t xml:space="preserve">2031.500 BBL  </t>
  </si>
  <si>
    <t xml:space="preserve">12481.900 BBL  </t>
  </si>
  <si>
    <t xml:space="preserve">17.400 BBL  </t>
  </si>
  <si>
    <t xml:space="preserve">393.100 BBL  </t>
  </si>
  <si>
    <t xml:space="preserve">266.900 BBL  </t>
  </si>
  <si>
    <t xml:space="preserve">183.500 BBL  </t>
  </si>
  <si>
    <t xml:space="preserve">485.500 BBL  </t>
  </si>
  <si>
    <t xml:space="preserve">13.000 BBL  </t>
  </si>
  <si>
    <t xml:space="preserve">674.000 BBL  </t>
  </si>
  <si>
    <t xml:space="preserve">542.200 BBL  </t>
  </si>
  <si>
    <t xml:space="preserve">471.800 BBL  </t>
  </si>
  <si>
    <t xml:space="preserve">682.700 BBL  </t>
  </si>
  <si>
    <t xml:space="preserve">3562.600 BBL  </t>
  </si>
  <si>
    <t xml:space="preserve">353.900 BBL  </t>
  </si>
  <si>
    <t xml:space="preserve">1888.800 BBL  </t>
  </si>
  <si>
    <t xml:space="preserve">933.300 BBL  </t>
  </si>
  <si>
    <t xml:space="preserve">399.300 BBL  </t>
  </si>
  <si>
    <t xml:space="preserve">1339.400 BBL  </t>
  </si>
  <si>
    <t xml:space="preserve">1837.200 BBL  </t>
  </si>
  <si>
    <t xml:space="preserve">473.300 BBL  </t>
  </si>
  <si>
    <t xml:space="preserve">1751.000 BBL  </t>
  </si>
  <si>
    <t xml:space="preserve">963.400 BBL  </t>
  </si>
  <si>
    <t xml:space="preserve">972.100 BBL  </t>
  </si>
  <si>
    <t xml:space="preserve">293.600 BBL  </t>
  </si>
  <si>
    <t xml:space="preserve">29.900 BBL  </t>
  </si>
  <si>
    <t xml:space="preserve">165.500 BBL  </t>
  </si>
  <si>
    <t xml:space="preserve">1779.700 BBL  </t>
  </si>
  <si>
    <t xml:space="preserve">2157.900 BBL  </t>
  </si>
  <si>
    <t xml:space="preserve">10.800 BBL  </t>
  </si>
  <si>
    <t xml:space="preserve">542.600 BBL  </t>
  </si>
  <si>
    <t xml:space="preserve">216.900 BBL  </t>
  </si>
  <si>
    <t xml:space="preserve">612.200 BBL  </t>
  </si>
  <si>
    <t xml:space="preserve">3039.100 BBL  </t>
  </si>
  <si>
    <t xml:space="preserve">2947.400 BBL  </t>
  </si>
  <si>
    <t xml:space="preserve">3061.700 BBL  </t>
  </si>
  <si>
    <t xml:space="preserve">3679.100 BBL  </t>
  </si>
  <si>
    <t xml:space="preserve">2188.400 BBL  </t>
  </si>
  <si>
    <t xml:space="preserve">368.100 BBL  </t>
  </si>
  <si>
    <t xml:space="preserve">1460.300 BBL  </t>
  </si>
  <si>
    <t xml:space="preserve">313.800 BBL  </t>
  </si>
  <si>
    <t xml:space="preserve">257.200 BBL  </t>
  </si>
  <si>
    <t xml:space="preserve">102.700 BBL  </t>
  </si>
  <si>
    <t xml:space="preserve">1952.800 BBL  </t>
  </si>
  <si>
    <t xml:space="preserve">301.700 BBL  </t>
  </si>
  <si>
    <t xml:space="preserve">1228.500 BBL  </t>
  </si>
  <si>
    <t xml:space="preserve">147.300 BBL  </t>
  </si>
  <si>
    <t xml:space="preserve">1611.400 BBL  </t>
  </si>
  <si>
    <t xml:space="preserve">4991.800 BBL  </t>
  </si>
  <si>
    <t xml:space="preserve">696.000 BBL  </t>
  </si>
  <si>
    <t xml:space="preserve">443.000 BBL  </t>
  </si>
  <si>
    <t xml:space="preserve">127.200 BBL  </t>
  </si>
  <si>
    <t xml:space="preserve">170.500 BBL  </t>
  </si>
  <si>
    <t xml:space="preserve">130.300 BBL  </t>
  </si>
  <si>
    <t xml:space="preserve">10339.300 BBL  </t>
  </si>
  <si>
    <t xml:space="preserve">171.200 BBL  </t>
  </si>
  <si>
    <t xml:space="preserve">2610.000 BBL  </t>
  </si>
  <si>
    <t xml:space="preserve">3868.900 BBL  </t>
  </si>
  <si>
    <t xml:space="preserve">19.000 BBL  </t>
  </si>
  <si>
    <t xml:space="preserve">440.100 BBL  </t>
  </si>
  <si>
    <t xml:space="preserve">7160.100 BBL  </t>
  </si>
  <si>
    <t xml:space="preserve">74.000 BBL  </t>
  </si>
  <si>
    <t xml:space="preserve">1072.800 BBL  </t>
  </si>
  <si>
    <t xml:space="preserve">1418.100 BBL  </t>
  </si>
  <si>
    <t xml:space="preserve">242.700 BBL  </t>
  </si>
  <si>
    <t xml:space="preserve">299.400 BBL  </t>
  </si>
  <si>
    <t xml:space="preserve">852.500 BBL  </t>
  </si>
  <si>
    <t xml:space="preserve">2141.200 BBL  </t>
  </si>
  <si>
    <t xml:space="preserve">211.100 BBL  </t>
  </si>
  <si>
    <t xml:space="preserve">124.600 BBL  </t>
  </si>
  <si>
    <t xml:space="preserve">389.100 BBL  </t>
  </si>
  <si>
    <t xml:space="preserve">888.100 BBL  </t>
  </si>
  <si>
    <t xml:space="preserve">306.600 BBL  </t>
  </si>
  <si>
    <t xml:space="preserve">2278.300 BBL  </t>
  </si>
  <si>
    <t xml:space="preserve">451.900 BBL  </t>
  </si>
  <si>
    <t xml:space="preserve">1754.100 BBL  </t>
  </si>
  <si>
    <t xml:space="preserve">82.700 BBL  </t>
  </si>
  <si>
    <t xml:space="preserve">23.300 BBL  </t>
  </si>
  <si>
    <t xml:space="preserve">1075.900 BBL  </t>
  </si>
  <si>
    <t xml:space="preserve">2011.100 BBL  </t>
  </si>
  <si>
    <t xml:space="preserve">160.300 BBL  </t>
  </si>
  <si>
    <t xml:space="preserve">7474.300 BBL  </t>
  </si>
  <si>
    <t xml:space="preserve">1565.300 BBL  </t>
  </si>
  <si>
    <t xml:space="preserve">372.100 BBL  </t>
  </si>
  <si>
    <t xml:space="preserve">3850.600 BBL  </t>
  </si>
  <si>
    <t xml:space="preserve">5055.600 BBL  </t>
  </si>
  <si>
    <t xml:space="preserve">491.800 BBL  </t>
  </si>
  <si>
    <t xml:space="preserve">5.500 BBL  </t>
  </si>
  <si>
    <t xml:space="preserve">2253.200 BBL  </t>
  </si>
  <si>
    <t xml:space="preserve">4270.000 BBL  </t>
  </si>
  <si>
    <t xml:space="preserve">485.600 BBL  </t>
  </si>
  <si>
    <t xml:space="preserve">2831.400 BBL  </t>
  </si>
  <si>
    <t xml:space="preserve">2426.600 BBL  </t>
  </si>
  <si>
    <t xml:space="preserve">312.300 BBL  </t>
  </si>
  <si>
    <t xml:space="preserve">2746.900 BBL  </t>
  </si>
  <si>
    <t xml:space="preserve">3295.000 BBL  </t>
  </si>
  <si>
    <t xml:space="preserve">1086.000 BBL  </t>
  </si>
  <si>
    <t xml:space="preserve">640.200 BBL  </t>
  </si>
  <si>
    <t xml:space="preserve">2769.200 BBL  </t>
  </si>
  <si>
    <t xml:space="preserve">8539.800 BBL  </t>
  </si>
  <si>
    <t xml:space="preserve">1205.000 BBL  </t>
  </si>
  <si>
    <t xml:space="preserve">172.400 BBL  </t>
  </si>
  <si>
    <t xml:space="preserve">226.500 BBL  </t>
  </si>
  <si>
    <t xml:space="preserve">942.600 BBL  </t>
  </si>
  <si>
    <t xml:space="preserve">131.400 BBL  </t>
  </si>
  <si>
    <t xml:space="preserve">8.900 BBL  </t>
  </si>
  <si>
    <t xml:space="preserve">543.000 BBL  </t>
  </si>
  <si>
    <t xml:space="preserve">458.400 BBL  </t>
  </si>
  <si>
    <t xml:space="preserve">27.900 BBL  </t>
  </si>
  <si>
    <t xml:space="preserve">366.500 BBL  </t>
  </si>
  <si>
    <t xml:space="preserve">82.200 BBL  </t>
  </si>
  <si>
    <t xml:space="preserve">12.500 BBL  </t>
  </si>
  <si>
    <t xml:space="preserve">2188.800 BBL  </t>
  </si>
  <si>
    <t xml:space="preserve">54.600 BBL  </t>
  </si>
  <si>
    <t xml:space="preserve">123.100 BBL  </t>
  </si>
  <si>
    <t xml:space="preserve">8.200 BBL  </t>
  </si>
  <si>
    <t xml:space="preserve">567.600 BBL  </t>
  </si>
  <si>
    <t xml:space="preserve">362.300 BBL  </t>
  </si>
  <si>
    <t xml:space="preserve">708.300 BBL  </t>
  </si>
  <si>
    <t xml:space="preserve">602.600 BBL  </t>
  </si>
  <si>
    <t xml:space="preserve">47.500 BBL  </t>
  </si>
  <si>
    <t xml:space="preserve">102.000 BBL  </t>
  </si>
  <si>
    <t xml:space="preserve">109.200 BBL  </t>
  </si>
  <si>
    <t xml:space="preserve">377.400 BBL  </t>
  </si>
  <si>
    <t xml:space="preserve">1130.800 BBL  </t>
  </si>
  <si>
    <t xml:space="preserve">1348.500 BBL  </t>
  </si>
  <si>
    <t xml:space="preserve">3249.200 BBL  </t>
  </si>
  <si>
    <t xml:space="preserve">1299.700 BBL  </t>
  </si>
  <si>
    <t xml:space="preserve">1939.200 BBL  </t>
  </si>
  <si>
    <t xml:space="preserve">80.000 BBL  </t>
  </si>
  <si>
    <t xml:space="preserve">1557.300 BBL  </t>
  </si>
  <si>
    <t xml:space="preserve">139.900 BBL  </t>
  </si>
  <si>
    <t xml:space="preserve">86.300 BBL  </t>
  </si>
  <si>
    <t xml:space="preserve">402.300 BBL  </t>
  </si>
  <si>
    <t xml:space="preserve">976.400 BBL  </t>
  </si>
  <si>
    <t xml:space="preserve">222.300 BBL  </t>
  </si>
  <si>
    <t xml:space="preserve">12.300 BBL  </t>
  </si>
  <si>
    <t xml:space="preserve">100.500 BBL  </t>
  </si>
  <si>
    <t xml:space="preserve">2910.300 BBL  </t>
  </si>
  <si>
    <t xml:space="preserve">151.900 BBL  </t>
  </si>
  <si>
    <t xml:space="preserve">88.500 BBL  </t>
  </si>
  <si>
    <t xml:space="preserve">1330.500 BBL  </t>
  </si>
  <si>
    <t xml:space="preserve">2379.900 BBL  </t>
  </si>
  <si>
    <t xml:space="preserve">4571.700 BBL  </t>
  </si>
  <si>
    <t xml:space="preserve">452.800 BBL  </t>
  </si>
  <si>
    <t xml:space="preserve">991.000 BBL  </t>
  </si>
  <si>
    <t xml:space="preserve">207.500 BBL  </t>
  </si>
  <si>
    <t xml:space="preserve">23.800 BBL  </t>
  </si>
  <si>
    <t xml:space="preserve">1009.100 BBL  </t>
  </si>
  <si>
    <t xml:space="preserve">1065.600 BBL  </t>
  </si>
  <si>
    <t xml:space="preserve">103.500 BBL  </t>
  </si>
  <si>
    <t xml:space="preserve">382.200 BBL  </t>
  </si>
  <si>
    <t xml:space="preserve">1473.600 BBL  </t>
  </si>
  <si>
    <t xml:space="preserve">310.500 BBL  </t>
  </si>
  <si>
    <t xml:space="preserve">1432.600 BBL  </t>
  </si>
  <si>
    <t xml:space="preserve">158.600 BBL  </t>
  </si>
  <si>
    <t xml:space="preserve">28.500 BBL  </t>
  </si>
  <si>
    <t xml:space="preserve">170.400 BBL  </t>
  </si>
  <si>
    <t xml:space="preserve">53.400 BBL  </t>
  </si>
  <si>
    <t xml:space="preserve">1676.300 BBL  </t>
  </si>
  <si>
    <t xml:space="preserve">1246.200 BBL  </t>
  </si>
  <si>
    <t xml:space="preserve">1661.600 BBL  </t>
  </si>
  <si>
    <t xml:space="preserve">210.700 BBL  </t>
  </si>
  <si>
    <t xml:space="preserve">3309.400 BBL  </t>
  </si>
  <si>
    <t xml:space="preserve">2946.900 BBL  </t>
  </si>
  <si>
    <t xml:space="preserve">1878.800 BBL  </t>
  </si>
  <si>
    <t xml:space="preserve">184.100 BBL  </t>
  </si>
  <si>
    <t xml:space="preserve">941.000 BBL  </t>
  </si>
  <si>
    <t xml:space="preserve">4342.900 BBL  </t>
  </si>
  <si>
    <t xml:space="preserve">104.000 BBL  </t>
  </si>
  <si>
    <t xml:space="preserve">481.400 BBL  </t>
  </si>
  <si>
    <t xml:space="preserve">350.700 BBL  </t>
  </si>
  <si>
    <t xml:space="preserve">518.200 BBL  </t>
  </si>
  <si>
    <t xml:space="preserve">799.900 BBL  </t>
  </si>
  <si>
    <t xml:space="preserve">101.700 BBL  </t>
  </si>
  <si>
    <t xml:space="preserve">16.100 BBL  </t>
  </si>
  <si>
    <t xml:space="preserve">308.400 BBL  </t>
  </si>
  <si>
    <t xml:space="preserve">241.500 BBL  </t>
  </si>
  <si>
    <t xml:space="preserve">30.900 BBL  </t>
  </si>
  <si>
    <t xml:space="preserve">1935.500 BBL  </t>
  </si>
  <si>
    <t xml:space="preserve">1190.500 BBL  </t>
  </si>
  <si>
    <t xml:space="preserve">1929.900 BBL  </t>
  </si>
  <si>
    <t xml:space="preserve">2912.600 BBL  </t>
  </si>
  <si>
    <t xml:space="preserve">1383.800 BBL  </t>
  </si>
  <si>
    <t xml:space="preserve">877.100 BBL  </t>
  </si>
  <si>
    <t xml:space="preserve">361.700 BBL  </t>
  </si>
  <si>
    <t xml:space="preserve">150.500 BBL  </t>
  </si>
  <si>
    <t xml:space="preserve">177.700 BBL  </t>
  </si>
  <si>
    <t xml:space="preserve">36.300 BBL  </t>
  </si>
  <si>
    <t xml:space="preserve">483.400 BBL  </t>
  </si>
  <si>
    <t xml:space="preserve">779.100 BBL  </t>
  </si>
  <si>
    <t xml:space="preserve">474.000 BBL  </t>
  </si>
  <si>
    <t xml:space="preserve">990.100 BBL  </t>
  </si>
  <si>
    <t xml:space="preserve">20.300 BBL  </t>
  </si>
  <si>
    <t xml:space="preserve">134.500 BBL  </t>
  </si>
  <si>
    <t xml:space="preserve">14.700 BBL  </t>
  </si>
  <si>
    <t xml:space="preserve">77.400 BBL  </t>
  </si>
  <si>
    <t xml:space="preserve">477.900 BBL  </t>
  </si>
  <si>
    <t xml:space="preserve">5382.800 BBL  </t>
  </si>
  <si>
    <t xml:space="preserve">134.900 BBL  </t>
  </si>
  <si>
    <t xml:space="preserve">1575.900 BBL  </t>
  </si>
  <si>
    <t xml:space="preserve">19.900 BBL  </t>
  </si>
  <si>
    <t xml:space="preserve">127.300 BBL  </t>
  </si>
  <si>
    <t xml:space="preserve">3318.900 BBL  </t>
  </si>
  <si>
    <t xml:space="preserve">66.100 BBL  </t>
  </si>
  <si>
    <t xml:space="preserve">12.200 BBL  </t>
  </si>
  <si>
    <t xml:space="preserve">153.900 BBL  </t>
  </si>
  <si>
    <t xml:space="preserve">467.700 BBL  </t>
  </si>
  <si>
    <t xml:space="preserve">337.100 BBL  </t>
  </si>
  <si>
    <t xml:space="preserve">37.400 BBL  </t>
  </si>
  <si>
    <t xml:space="preserve">20.400 BBL  </t>
  </si>
  <si>
    <t xml:space="preserve">164.200 BBL  </t>
  </si>
  <si>
    <t xml:space="preserve">134.800 BBL  </t>
  </si>
  <si>
    <t xml:space="preserve">531.000 BBL  </t>
  </si>
  <si>
    <t xml:space="preserve">116.400 BBL  </t>
  </si>
  <si>
    <t xml:space="preserve">768.700 BBL  </t>
  </si>
  <si>
    <t xml:space="preserve">143.700 BBL  </t>
  </si>
  <si>
    <t xml:space="preserve">1297.200 BBL  </t>
  </si>
  <si>
    <t xml:space="preserve">197.600 BBL  </t>
  </si>
  <si>
    <t xml:space="preserve">81.800 BBL  </t>
  </si>
  <si>
    <t xml:space="preserve">2461.600 BBL  </t>
  </si>
  <si>
    <t xml:space="preserve">2855.500 BBL  </t>
  </si>
  <si>
    <t xml:space="preserve">157.500 BBL  </t>
  </si>
  <si>
    <t xml:space="preserve">2240.400 BBL  </t>
  </si>
  <si>
    <t xml:space="preserve">809.300 BBL  </t>
  </si>
  <si>
    <t xml:space="preserve">2705.800 BBL  </t>
  </si>
  <si>
    <t xml:space="preserve">2308.000 BBL  </t>
  </si>
  <si>
    <t xml:space="preserve">760.000 BBL  </t>
  </si>
  <si>
    <t xml:space="preserve">549.900 BBL  </t>
  </si>
  <si>
    <t xml:space="preserve">176.300 BBL  </t>
  </si>
  <si>
    <t xml:space="preserve">1508.500 BBL  </t>
  </si>
  <si>
    <t xml:space="preserve">602.200 BBL  </t>
  </si>
  <si>
    <t xml:space="preserve">3521.600 BBL  </t>
  </si>
  <si>
    <t xml:space="preserve">231.800 BBL  </t>
  </si>
  <si>
    <t xml:space="preserve">1236.500 BBL  </t>
  </si>
  <si>
    <t xml:space="preserve">485.900 BBL  </t>
  </si>
  <si>
    <t xml:space="preserve">341.100 BBL  </t>
  </si>
  <si>
    <t xml:space="preserve">1145.900 BBL  </t>
  </si>
  <si>
    <t xml:space="preserve">60.800 BBL  </t>
  </si>
  <si>
    <t xml:space="preserve">2328.600 BBL  </t>
  </si>
  <si>
    <t xml:space="preserve">490.800 BBL  </t>
  </si>
  <si>
    <t xml:space="preserve">43.100 BBL  </t>
  </si>
  <si>
    <t xml:space="preserve">1050.400 BBL  </t>
  </si>
  <si>
    <t xml:space="preserve">254.900 BBL  </t>
  </si>
  <si>
    <t xml:space="preserve">1932.500 BBL  </t>
  </si>
  <si>
    <t xml:space="preserve">4187.400 BBL  </t>
  </si>
  <si>
    <t xml:space="preserve">149.700 BBL  </t>
  </si>
  <si>
    <t xml:space="preserve">2285.800 BBL  </t>
  </si>
  <si>
    <t xml:space="preserve">429.200 BBL  </t>
  </si>
  <si>
    <t xml:space="preserve">1881.300 BBL  </t>
  </si>
  <si>
    <t xml:space="preserve">945.500 BBL  </t>
  </si>
  <si>
    <t xml:space="preserve">30.400 BBL  </t>
  </si>
  <si>
    <t xml:space="preserve">187.700 BBL  </t>
  </si>
  <si>
    <t xml:space="preserve">216.000 BBL  </t>
  </si>
  <si>
    <t xml:space="preserve">102.400 BBL  </t>
  </si>
  <si>
    <t xml:space="preserve">2676.300 BBL  </t>
  </si>
  <si>
    <t xml:space="preserve">2852.200 BBL  </t>
  </si>
  <si>
    <t xml:space="preserve">83.700 BBL  </t>
  </si>
  <si>
    <t xml:space="preserve">2049.900 BBL  </t>
  </si>
  <si>
    <t xml:space="preserve">2888.100 BBL  </t>
  </si>
  <si>
    <t xml:space="preserve">1342.000 BBL  </t>
  </si>
  <si>
    <t xml:space="preserve">924.200 BBL  </t>
  </si>
  <si>
    <t xml:space="preserve">67.100 BBL  </t>
  </si>
  <si>
    <t xml:space="preserve">495.400 BBL  </t>
  </si>
  <si>
    <t xml:space="preserve">608.400 BBL  </t>
  </si>
  <si>
    <t xml:space="preserve">37.900 BBL  </t>
  </si>
  <si>
    <t xml:space="preserve">1104.800 BBL  </t>
  </si>
  <si>
    <t xml:space="preserve">58.500 BBL  </t>
  </si>
  <si>
    <t xml:space="preserve">5661.800 BBL  </t>
  </si>
  <si>
    <t xml:space="preserve">121.400 BBL  </t>
  </si>
  <si>
    <t xml:space="preserve">4461.300 BBL  </t>
  </si>
  <si>
    <t xml:space="preserve">5725.000 BBL  </t>
  </si>
  <si>
    <t xml:space="preserve">238.400 BBL  </t>
  </si>
  <si>
    <t xml:space="preserve">1746.300 BBL  </t>
  </si>
  <si>
    <t xml:space="preserve">34.100 BBL  </t>
  </si>
  <si>
    <t xml:space="preserve">479.600 BBL  </t>
  </si>
  <si>
    <t xml:space="preserve">1052.800 BBL  </t>
  </si>
  <si>
    <t xml:space="preserve">499.500 BBL  </t>
  </si>
  <si>
    <t xml:space="preserve">290.300 BBL  </t>
  </si>
  <si>
    <t xml:space="preserve">2080.200 BBL  </t>
  </si>
  <si>
    <t xml:space="preserve">2154.900 BBL  </t>
  </si>
  <si>
    <t xml:space="preserve">179.600 BBL  </t>
  </si>
  <si>
    <t xml:space="preserve">921.700 BBL  </t>
  </si>
  <si>
    <t xml:space="preserve">1849.700 BBL  </t>
  </si>
  <si>
    <t xml:space="preserve">206.500 BBL  </t>
  </si>
  <si>
    <t xml:space="preserve">673.600 BBL  </t>
  </si>
  <si>
    <t xml:space="preserve">1096.300 BBL  </t>
  </si>
  <si>
    <t xml:space="preserve">316.100 BBL  </t>
  </si>
  <si>
    <t xml:space="preserve">3356.300 BBL  </t>
  </si>
  <si>
    <t xml:space="preserve">79.600 BBL  </t>
  </si>
  <si>
    <t xml:space="preserve">184.400 BBL  </t>
  </si>
  <si>
    <t xml:space="preserve">295.500 BBL  </t>
  </si>
  <si>
    <t xml:space="preserve">827.300 BBL  </t>
  </si>
  <si>
    <t xml:space="preserve">3574.500 BBL  </t>
  </si>
  <si>
    <t xml:space="preserve">2934.600 BBL  </t>
  </si>
  <si>
    <t xml:space="preserve">4306.300 BBL  </t>
  </si>
  <si>
    <t xml:space="preserve">6404.600 BBL  </t>
  </si>
  <si>
    <t xml:space="preserve">1095.700 BBL  </t>
  </si>
  <si>
    <t xml:space="preserve">5.900 BBL  </t>
  </si>
  <si>
    <t xml:space="preserve">694.100 BBL  </t>
  </si>
  <si>
    <t xml:space="preserve">6541.300 BBL  </t>
  </si>
  <si>
    <t xml:space="preserve">109.700 BBL  </t>
  </si>
  <si>
    <t xml:space="preserve">12.900 BBL  </t>
  </si>
  <si>
    <t xml:space="preserve">16.700 BBL  </t>
  </si>
  <si>
    <t xml:space="preserve">873.000 BBL  </t>
  </si>
  <si>
    <t xml:space="preserve">600.100 BBL  </t>
  </si>
  <si>
    <t xml:space="preserve">360.600 BBL  </t>
  </si>
  <si>
    <t xml:space="preserve">2091.900 BBL  </t>
  </si>
  <si>
    <t xml:space="preserve">482.500 BBL  </t>
  </si>
  <si>
    <t xml:space="preserve">1893.700 BBL  </t>
  </si>
  <si>
    <t xml:space="preserve">1265.700 BBL  </t>
  </si>
  <si>
    <t xml:space="preserve">46.900 BBL  </t>
  </si>
  <si>
    <t xml:space="preserve">115.900 BBL  </t>
  </si>
  <si>
    <t xml:space="preserve">265.900 BBL  </t>
  </si>
  <si>
    <t xml:space="preserve">33.900 BBL  </t>
  </si>
  <si>
    <t xml:space="preserve">2237.700 BBL  </t>
  </si>
  <si>
    <t xml:space="preserve">1181.800 BBL  </t>
  </si>
  <si>
    <t xml:space="preserve">171.100 BBL  </t>
  </si>
  <si>
    <t xml:space="preserve">1076.900 BBL  </t>
  </si>
  <si>
    <t xml:space="preserve">64.200 BBL  </t>
  </si>
  <si>
    <t xml:space="preserve">25.800 BBL  </t>
  </si>
  <si>
    <t xml:space="preserve">4346.700 BBL  </t>
  </si>
  <si>
    <t xml:space="preserve">2095.900 BBL  </t>
  </si>
  <si>
    <t xml:space="preserve">75.000 BBL  </t>
  </si>
  <si>
    <t xml:space="preserve">5078.800 BBL  </t>
  </si>
  <si>
    <t xml:space="preserve">592.600 BBL  </t>
  </si>
  <si>
    <t xml:space="preserve">6579.900 BBL  </t>
  </si>
  <si>
    <t xml:space="preserve">12.100 BBL  </t>
  </si>
  <si>
    <t xml:space="preserve">4323.300 BBL  </t>
  </si>
  <si>
    <t xml:space="preserve">9.000 BBL  </t>
  </si>
  <si>
    <t xml:space="preserve">756.800 BBL  </t>
  </si>
  <si>
    <t xml:space="preserve">249.200 BBL  </t>
  </si>
  <si>
    <t xml:space="preserve">1270.100 BBL  </t>
  </si>
  <si>
    <t xml:space="preserve">586.800 BBL  </t>
  </si>
  <si>
    <t xml:space="preserve">231.900 BBL  </t>
  </si>
  <si>
    <t xml:space="preserve">30.600 BBL  </t>
  </si>
  <si>
    <t xml:space="preserve">33.500 BBL  </t>
  </si>
  <si>
    <t xml:space="preserve">231.600 BBL  </t>
  </si>
  <si>
    <t xml:space="preserve">103.400 BBL  </t>
  </si>
  <si>
    <t xml:space="preserve">1700.900 BBL  </t>
  </si>
  <si>
    <t xml:space="preserve">23.900 BBL  </t>
  </si>
  <si>
    <t xml:space="preserve">2413.800 BBL  </t>
  </si>
  <si>
    <t xml:space="preserve">1008.200 BBL  </t>
  </si>
  <si>
    <t xml:space="preserve">2919.400 BBL  </t>
  </si>
  <si>
    <t xml:space="preserve">4193.900 BBL  </t>
  </si>
  <si>
    <t xml:space="preserve">1951.700 BBL  </t>
  </si>
  <si>
    <t xml:space="preserve">2029.800 BBL  </t>
  </si>
  <si>
    <t xml:space="preserve">5174.200 BBL  </t>
  </si>
  <si>
    <t xml:space="preserve">350.900 BBL  </t>
  </si>
  <si>
    <t xml:space="preserve">204.100 BBL  </t>
  </si>
  <si>
    <t xml:space="preserve">628.000 BBL  </t>
  </si>
  <si>
    <t xml:space="preserve">108.000 BBL  </t>
  </si>
  <si>
    <t xml:space="preserve">2385.500 BBL  </t>
  </si>
  <si>
    <t xml:space="preserve">38.400 BBL  </t>
  </si>
  <si>
    <t xml:space="preserve">15.300 BBL  </t>
  </si>
  <si>
    <t xml:space="preserve">1218.400 BBL  </t>
  </si>
  <si>
    <t xml:space="preserve">475.200 BBL  </t>
  </si>
  <si>
    <t xml:space="preserve">1430.700 BBL  </t>
  </si>
  <si>
    <t xml:space="preserve">306.800 BBL  </t>
  </si>
  <si>
    <t xml:space="preserve">3036.700 BBL  </t>
  </si>
  <si>
    <t xml:space="preserve">2045.700 BBL  </t>
  </si>
  <si>
    <t xml:space="preserve">93.000 BBL  </t>
  </si>
  <si>
    <t xml:space="preserve">80.900 BBL  </t>
  </si>
  <si>
    <t xml:space="preserve">96.400 BBL  </t>
  </si>
  <si>
    <t xml:space="preserve">42.200 BBL  </t>
  </si>
  <si>
    <t xml:space="preserve">36.700 BBL  </t>
  </si>
  <si>
    <t xml:space="preserve">1655.400 BBL  </t>
  </si>
  <si>
    <t xml:space="preserve">622.200 BBL  </t>
  </si>
  <si>
    <t xml:space="preserve">1308.600 BBL  </t>
  </si>
  <si>
    <t xml:space="preserve">22.500 BBL  </t>
  </si>
  <si>
    <t xml:space="preserve">1170.000 BBL  </t>
  </si>
  <si>
    <t xml:space="preserve">35.200 BBL  </t>
  </si>
  <si>
    <t xml:space="preserve">683.800 BBL  </t>
  </si>
  <si>
    <t xml:space="preserve">1603.700 BBL  </t>
  </si>
  <si>
    <t xml:space="preserve">15.000 BBL  </t>
  </si>
  <si>
    <t xml:space="preserve">161.400 BBL  </t>
  </si>
  <si>
    <t xml:space="preserve">425.900 BBL  </t>
  </si>
  <si>
    <t xml:space="preserve">452.900 BBL  </t>
  </si>
  <si>
    <t xml:space="preserve">211.800 BBL  </t>
  </si>
  <si>
    <t xml:space="preserve">635.700 BBL  </t>
  </si>
  <si>
    <t xml:space="preserve">3419.500 BBL  </t>
  </si>
  <si>
    <t xml:space="preserve">292.000 BBL  </t>
  </si>
  <si>
    <t xml:space="preserve">484.900 BBL  </t>
  </si>
  <si>
    <t xml:space="preserve">2353.500 BBL  </t>
  </si>
  <si>
    <t xml:space="preserve">2023.000 BBL  </t>
  </si>
  <si>
    <t xml:space="preserve">136.100 BBL  </t>
  </si>
  <si>
    <t xml:space="preserve">163.000 BBL  </t>
  </si>
  <si>
    <t xml:space="preserve">1114.600 BBL  </t>
  </si>
  <si>
    <t xml:space="preserve">45.800 BBL  </t>
  </si>
  <si>
    <t xml:space="preserve">2392.400 BBL  </t>
  </si>
  <si>
    <t xml:space="preserve">3046.400 BBL  </t>
  </si>
  <si>
    <t xml:space="preserve">59.700 BBL  </t>
  </si>
  <si>
    <t xml:space="preserve">87.400 BBL  </t>
  </si>
  <si>
    <t xml:space="preserve">1487.400 BBL  </t>
  </si>
  <si>
    <t xml:space="preserve">39.200 BBL  </t>
  </si>
  <si>
    <t xml:space="preserve">1961.100 BBL  </t>
  </si>
  <si>
    <t xml:space="preserve">1120.200 BBL  </t>
  </si>
  <si>
    <t xml:space="preserve">2014.300 BBL  </t>
  </si>
  <si>
    <t xml:space="preserve">10.400 BBL  </t>
  </si>
  <si>
    <t xml:space="preserve">1611.300 BBL  </t>
  </si>
  <si>
    <t xml:space="preserve">1100.600 BBL  </t>
  </si>
  <si>
    <t xml:space="preserve">7.900 BBL  </t>
  </si>
  <si>
    <t xml:space="preserve">17.700 BBL  </t>
  </si>
  <si>
    <t xml:space="preserve">361.100 BBL  </t>
  </si>
  <si>
    <t xml:space="preserve">58.200 BBL  </t>
  </si>
  <si>
    <t xml:space="preserve">8.700 BBL  </t>
  </si>
  <si>
    <t xml:space="preserve">81.900 BBL  </t>
  </si>
  <si>
    <t xml:space="preserve">3542.000 BBL  </t>
  </si>
  <si>
    <t xml:space="preserve">250.400 BBL  </t>
  </si>
  <si>
    <t xml:space="preserve">110.100 BBL  </t>
  </si>
  <si>
    <t xml:space="preserve">161.800 BBL  </t>
  </si>
  <si>
    <t xml:space="preserve">7.500 BBL  </t>
  </si>
  <si>
    <t xml:space="preserve">244.500 BBL  </t>
  </si>
  <si>
    <t xml:space="preserve">455.400 BBL  </t>
  </si>
  <si>
    <t xml:space="preserve">44.700 BBL  </t>
  </si>
  <si>
    <t xml:space="preserve">115.200 BBL  </t>
  </si>
  <si>
    <t xml:space="preserve">171.300 BBL  </t>
  </si>
  <si>
    <t xml:space="preserve">359.800 BBL  </t>
  </si>
  <si>
    <t xml:space="preserve">628.500 BBL  </t>
  </si>
  <si>
    <t xml:space="preserve">1104.900 BBL  </t>
  </si>
  <si>
    <t xml:space="preserve">600.000 BBL  </t>
  </si>
  <si>
    <t xml:space="preserve">1069.400 BBL  </t>
  </si>
  <si>
    <t xml:space="preserve">411.600 BBL  </t>
  </si>
  <si>
    <t xml:space="preserve">236.300 BBL  </t>
  </si>
  <si>
    <t xml:space="preserve">48.000 BBL  </t>
  </si>
  <si>
    <t xml:space="preserve">341.300 BBL  </t>
  </si>
  <si>
    <t xml:space="preserve">202.300 BBL  </t>
  </si>
  <si>
    <t xml:space="preserve">616.200 BBL  </t>
  </si>
  <si>
    <t xml:space="preserve">21.700 BBL  </t>
  </si>
  <si>
    <t xml:space="preserve">85.600 BBL  </t>
  </si>
  <si>
    <t xml:space="preserve">517.100 BBL  </t>
  </si>
  <si>
    <t xml:space="preserve">345.500 BBL  </t>
  </si>
  <si>
    <t xml:space="preserve">36.500 BBL  </t>
  </si>
  <si>
    <t xml:space="preserve">175.000 BBL  </t>
  </si>
  <si>
    <t xml:space="preserve">228.400 BBL  </t>
  </si>
  <si>
    <t xml:space="preserve">103.300 BBL  </t>
  </si>
  <si>
    <t xml:space="preserve">45.700 BBL  </t>
  </si>
  <si>
    <t xml:space="preserve">70.700 BBL  </t>
  </si>
  <si>
    <t xml:space="preserve">436.300 BBL  </t>
  </si>
  <si>
    <t xml:space="preserve">88.700 BBL  </t>
  </si>
  <si>
    <t xml:space="preserve">451.500 BBL  </t>
  </si>
  <si>
    <t xml:space="preserve">5.800 BBL  </t>
  </si>
  <si>
    <t xml:space="preserve">240.300 BBL  </t>
  </si>
  <si>
    <t xml:space="preserve">281.500 BBL  </t>
  </si>
  <si>
    <t xml:space="preserve">288.600 BBL  </t>
  </si>
  <si>
    <t xml:space="preserve">229.100 BBL  </t>
  </si>
  <si>
    <t xml:space="preserve">99.200 BBL  </t>
  </si>
  <si>
    <t xml:space="preserve">89.900 BBL  </t>
  </si>
  <si>
    <t xml:space="preserve">220.800 BBL  </t>
  </si>
  <si>
    <t xml:space="preserve">295.800 BBL  </t>
  </si>
  <si>
    <t xml:space="preserve">69.000 BBL  </t>
  </si>
  <si>
    <t xml:space="preserve">25.700 BBL  </t>
  </si>
  <si>
    <t xml:space="preserve">15.400 BBL  </t>
  </si>
  <si>
    <t xml:space="preserve">57.500 BBL  </t>
  </si>
  <si>
    <t xml:space="preserve">168.500 BBL  </t>
  </si>
  <si>
    <t xml:space="preserve">25.900 BBL  </t>
  </si>
  <si>
    <t xml:space="preserve">69.800 BBL  </t>
  </si>
  <si>
    <t xml:space="preserve">47.900 BBL  </t>
  </si>
  <si>
    <t xml:space="preserve">16.600 BBL  </t>
  </si>
  <si>
    <t xml:space="preserve">49.800 BBL  </t>
  </si>
  <si>
    <t xml:space="preserve">29.300 BBL  </t>
  </si>
  <si>
    <t xml:space="preserve">37.100 BBL  </t>
  </si>
  <si>
    <t>FUTCOM</t>
  </si>
  <si>
    <t>-</t>
  </si>
  <si>
    <t xml:space="preserve">2598.900 BBL  </t>
  </si>
  <si>
    <t xml:space="preserve">2238.500 BBL  </t>
  </si>
  <si>
    <t xml:space="preserve">2820.400 BBL  </t>
  </si>
  <si>
    <t xml:space="preserve">2233.700 BBL  </t>
  </si>
  <si>
    <t xml:space="preserve">2161.300 BBL  </t>
  </si>
  <si>
    <t xml:space="preserve">2592.800 BBL  </t>
  </si>
  <si>
    <t xml:space="preserve">1110.200 BBL  </t>
  </si>
  <si>
    <t xml:space="preserve">2223.800 BBL  </t>
  </si>
  <si>
    <t xml:space="preserve">2634.200 BBL  </t>
  </si>
  <si>
    <t xml:space="preserve">1651.300 BBL  </t>
  </si>
  <si>
    <t xml:space="preserve">1680.000 BBL  </t>
  </si>
  <si>
    <t xml:space="preserve">2261.800 BBL  </t>
  </si>
  <si>
    <t xml:space="preserve">3228.700 BBL  </t>
  </si>
  <si>
    <t xml:space="preserve">2826.600 BBL  </t>
  </si>
  <si>
    <t xml:space="preserve">6421.600 BBL  </t>
  </si>
  <si>
    <t xml:space="preserve">7428.600 BBL  </t>
  </si>
  <si>
    <t xml:space="preserve">3327.800 BBL  </t>
  </si>
  <si>
    <t xml:space="preserve">4627.300 BBL  </t>
  </si>
  <si>
    <t xml:space="preserve">5558.000 BBL  </t>
  </si>
  <si>
    <t xml:space="preserve">3648.900 BBL  </t>
  </si>
  <si>
    <t xml:space="preserve">2581.000 BBL  </t>
  </si>
  <si>
    <t xml:space="preserve">3143.500 BBL  </t>
  </si>
  <si>
    <t xml:space="preserve">840.800 BBL  </t>
  </si>
  <si>
    <t xml:space="preserve">684.700 BBL  </t>
  </si>
  <si>
    <t xml:space="preserve">322.400 BBL  </t>
  </si>
  <si>
    <t xml:space="preserve">301.000 BBL  </t>
  </si>
  <si>
    <t xml:space="preserve">199.400 BBL  </t>
  </si>
  <si>
    <t xml:space="preserve">313.900 BBL  </t>
  </si>
  <si>
    <t xml:space="preserve">244.100 BBL  </t>
  </si>
  <si>
    <t xml:space="preserve">574.000 BBL  </t>
  </si>
  <si>
    <t xml:space="preserve">578.900 BBL  </t>
  </si>
  <si>
    <t xml:space="preserve">340.400 BBL  </t>
  </si>
  <si>
    <t xml:space="preserve">155.000 BBL  </t>
  </si>
  <si>
    <t xml:space="preserve">303.200 BBL  </t>
  </si>
  <si>
    <t xml:space="preserve">209.400 BBL  </t>
  </si>
  <si>
    <t xml:space="preserve">146.300 BBL  </t>
  </si>
  <si>
    <t xml:space="preserve">55.100 BBL  </t>
  </si>
  <si>
    <t xml:space="preserve">51.600 BBL  </t>
  </si>
  <si>
    <t xml:space="preserve">59.100 BBL  </t>
  </si>
  <si>
    <t xml:space="preserve">61.400 BBL  </t>
  </si>
  <si>
    <t xml:space="preserve">47.400 BBL  </t>
  </si>
  <si>
    <t xml:space="preserve">53.600 BBL  </t>
  </si>
  <si>
    <t xml:space="preserve">50.300 BBL  </t>
  </si>
  <si>
    <t>Future</t>
  </si>
  <si>
    <t>Gain/Loss (Pts)</t>
  </si>
  <si>
    <t>Gain/Loss (%)</t>
  </si>
  <si>
    <t>Expiry</t>
  </si>
  <si>
    <t>Days to expiry</t>
  </si>
  <si>
    <t>IV</t>
  </si>
  <si>
    <t>OI</t>
  </si>
  <si>
    <t>Volume</t>
  </si>
  <si>
    <t>CALLS</t>
  </si>
  <si>
    <t>STRIKE</t>
  </si>
  <si>
    <t>PUTS</t>
  </si>
  <si>
    <t>Delta</t>
  </si>
  <si>
    <t>Theta</t>
  </si>
  <si>
    <t>Strike difference</t>
  </si>
  <si>
    <t>Risk-Free Rate (r)</t>
  </si>
  <si>
    <t>Time to expiry(years)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</si>
</sst>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$-F800]dddd\,\ mmmm\ dd\,\ yyyy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0"/>
      <color theme="1"/>
      <name val="Arial Unicode MS"/>
      <family val="2"/>
    </font>
    <font>
      <sz val="12"/>
      <color theme="3" tint="9.9978637043366805E-2"/>
      <name val="Aptos Narrow"/>
      <family val="2"/>
      <scheme val="minor"/>
    </font>
    <font>
      <sz val="12"/>
      <color theme="3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F5CD0B"/>
        <bgColor indexed="64"/>
      </patternFill>
    </fill>
    <fill>
      <patternFill patternType="solid">
        <fgColor rgb="FF4FCAFF"/>
        <bgColor indexed="64"/>
      </patternFill>
    </fill>
    <fill>
      <patternFill patternType="solid">
        <fgColor rgb="FF10B2F2"/>
        <bgColor indexed="64"/>
      </patternFill>
    </fill>
    <fill>
      <patternFill patternType="solid">
        <fgColor rgb="FF69A9FC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5" fontId="0" fillId="0" borderId="0" xfId="0" applyNumberFormat="1"/>
    <xf numFmtId="0" fontId="18" fillId="0" borderId="0" xfId="0" applyFont="1"/>
    <xf numFmtId="15" fontId="18" fillId="0" borderId="0" xfId="0" applyNumberFormat="1" applyFont="1"/>
    <xf numFmtId="167" fontId="0" fillId="0" borderId="0" xfId="0" applyNumberFormat="1"/>
    <xf numFmtId="14" fontId="18" fillId="0" borderId="0" xfId="0" applyNumberFormat="1" applyFont="1"/>
    <xf numFmtId="14" fontId="0" fillId="0" borderId="0" xfId="0" applyNumberFormat="1"/>
    <xf numFmtId="0" fontId="19" fillId="0" borderId="0" xfId="0" applyFont="1"/>
    <xf numFmtId="1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20" fillId="0" borderId="10" xfId="0" applyFont="1" applyBorder="1"/>
    <xf numFmtId="0" fontId="20" fillId="0" borderId="10" xfId="0" applyFont="1" applyFill="1" applyBorder="1"/>
    <xf numFmtId="2" fontId="21" fillId="34" borderId="10" xfId="0" applyNumberFormat="1" applyFont="1" applyFill="1" applyBorder="1"/>
    <xf numFmtId="2" fontId="21" fillId="34" borderId="10" xfId="0" applyNumberFormat="1" applyFont="1" applyFill="1" applyBorder="1" applyAlignment="1">
      <alignment horizontal="left" vertical="center"/>
    </xf>
    <xf numFmtId="2" fontId="21" fillId="35" borderId="10" xfId="0" applyNumberFormat="1" applyFont="1" applyFill="1" applyBorder="1"/>
    <xf numFmtId="2" fontId="21" fillId="35" borderId="10" xfId="0" applyNumberFormat="1" applyFont="1" applyFill="1" applyBorder="1" applyAlignment="1">
      <alignment horizontal="left" vertical="center"/>
    </xf>
    <xf numFmtId="2" fontId="21" fillId="36" borderId="10" xfId="0" applyNumberFormat="1" applyFont="1" applyFill="1" applyBorder="1"/>
    <xf numFmtId="2" fontId="21" fillId="36" borderId="10" xfId="0" applyNumberFormat="1" applyFont="1" applyFill="1" applyBorder="1" applyAlignment="1">
      <alignment vertical="center"/>
    </xf>
    <xf numFmtId="0" fontId="20" fillId="37" borderId="10" xfId="0" applyFont="1" applyFill="1" applyBorder="1" applyAlignment="1">
      <alignment horizontal="center"/>
    </xf>
    <xf numFmtId="0" fontId="20" fillId="37" borderId="10" xfId="0" applyFont="1" applyFill="1" applyBorder="1" applyAlignment="1">
      <alignment horizontal="center" vertical="center"/>
    </xf>
    <xf numFmtId="0" fontId="20" fillId="38" borderId="11" xfId="0" applyFont="1" applyFill="1" applyBorder="1" applyAlignment="1">
      <alignment horizontal="center" vertical="center"/>
    </xf>
    <xf numFmtId="0" fontId="20" fillId="38" borderId="12" xfId="0" applyFont="1" applyFill="1" applyBorder="1" applyAlignment="1">
      <alignment horizontal="center" vertical="center"/>
    </xf>
    <xf numFmtId="0" fontId="19" fillId="0" borderId="0" xfId="0" applyFont="1" applyFill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CD0B"/>
      <color rgb="FFACACAC"/>
      <color rgb="FFFF0000"/>
      <color rgb="FFE72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87089-C1FD-5D4F-BAA7-5698106BB05D}">
  <sheetPr codeName="Sheet1"/>
  <dimension ref="A1:O8199"/>
  <sheetViews>
    <sheetView workbookViewId="0">
      <selection activeCell="F23" sqref="F23"/>
    </sheetView>
  </sheetViews>
  <sheetFormatPr baseColWidth="10" defaultRowHeight="16" x14ac:dyDescent="0.2"/>
  <cols>
    <col min="1" max="1" width="10.83203125" style="6"/>
  </cols>
  <sheetData>
    <row r="1" spans="1:15" x14ac:dyDescent="0.2">
      <c r="A1" s="6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">
      <c r="A2" s="6">
        <v>45852</v>
      </c>
      <c r="B2" t="s">
        <v>15</v>
      </c>
      <c r="C2" t="s">
        <v>16</v>
      </c>
      <c r="D2" s="1">
        <v>45855</v>
      </c>
      <c r="E2" t="s">
        <v>17</v>
      </c>
      <c r="F2">
        <v>4650</v>
      </c>
      <c r="J2">
        <v>1120.4000000000001</v>
      </c>
      <c r="K2">
        <v>1229.8</v>
      </c>
      <c r="L2">
        <v>0</v>
      </c>
      <c r="M2" t="s">
        <v>18</v>
      </c>
      <c r="N2">
        <v>0</v>
      </c>
      <c r="O2">
        <v>0</v>
      </c>
    </row>
    <row r="3" spans="1:15" x14ac:dyDescent="0.2">
      <c r="A3" s="6">
        <v>45852</v>
      </c>
      <c r="B3" t="s">
        <v>15</v>
      </c>
      <c r="C3" t="s">
        <v>16</v>
      </c>
      <c r="D3" s="1">
        <v>45855</v>
      </c>
      <c r="E3" t="s">
        <v>19</v>
      </c>
      <c r="F3">
        <v>3600</v>
      </c>
      <c r="G3">
        <v>2</v>
      </c>
      <c r="H3">
        <v>2.7</v>
      </c>
      <c r="I3">
        <v>1.6</v>
      </c>
      <c r="J3">
        <v>2.2000000000000002</v>
      </c>
      <c r="K3">
        <v>1.9</v>
      </c>
      <c r="L3">
        <v>271</v>
      </c>
      <c r="M3" t="s">
        <v>20</v>
      </c>
      <c r="N3">
        <v>976.17</v>
      </c>
      <c r="O3">
        <v>221</v>
      </c>
    </row>
    <row r="4" spans="1:15" x14ac:dyDescent="0.2">
      <c r="A4" s="6">
        <v>45852</v>
      </c>
      <c r="B4" t="s">
        <v>15</v>
      </c>
      <c r="C4" t="s">
        <v>16</v>
      </c>
      <c r="D4" s="1">
        <v>45855</v>
      </c>
      <c r="E4" t="s">
        <v>19</v>
      </c>
      <c r="F4">
        <v>5100</v>
      </c>
      <c r="G4">
        <v>4.8</v>
      </c>
      <c r="H4">
        <v>5.5</v>
      </c>
      <c r="I4">
        <v>3.4</v>
      </c>
      <c r="J4">
        <v>3.9</v>
      </c>
      <c r="K4">
        <v>5.9</v>
      </c>
      <c r="L4">
        <v>2419</v>
      </c>
      <c r="M4" t="s">
        <v>21</v>
      </c>
      <c r="N4">
        <v>12348.06</v>
      </c>
      <c r="O4">
        <v>1428</v>
      </c>
    </row>
    <row r="5" spans="1:15" x14ac:dyDescent="0.2">
      <c r="A5" s="6">
        <v>45852</v>
      </c>
      <c r="B5" t="s">
        <v>15</v>
      </c>
      <c r="C5" t="s">
        <v>16</v>
      </c>
      <c r="D5" s="1">
        <v>45855</v>
      </c>
      <c r="E5" t="s">
        <v>19</v>
      </c>
      <c r="F5">
        <v>4900</v>
      </c>
      <c r="G5">
        <v>4.2</v>
      </c>
      <c r="H5">
        <v>4.3</v>
      </c>
      <c r="I5">
        <v>2.8</v>
      </c>
      <c r="J5">
        <v>3.1</v>
      </c>
      <c r="K5">
        <v>4.9000000000000004</v>
      </c>
      <c r="L5">
        <v>652</v>
      </c>
      <c r="M5" t="s">
        <v>22</v>
      </c>
      <c r="N5">
        <v>3197.26</v>
      </c>
      <c r="O5">
        <v>730</v>
      </c>
    </row>
    <row r="6" spans="1:15" x14ac:dyDescent="0.2">
      <c r="A6" s="6">
        <v>45852</v>
      </c>
      <c r="B6" t="s">
        <v>15</v>
      </c>
      <c r="C6" t="s">
        <v>16</v>
      </c>
      <c r="D6" s="1">
        <v>45855</v>
      </c>
      <c r="E6" t="s">
        <v>17</v>
      </c>
      <c r="F6">
        <v>5250</v>
      </c>
      <c r="G6">
        <v>653.79999999999995</v>
      </c>
      <c r="H6">
        <v>654.1</v>
      </c>
      <c r="I6">
        <v>597.20000000000005</v>
      </c>
      <c r="J6">
        <v>645.9</v>
      </c>
      <c r="K6">
        <v>514.29999999999995</v>
      </c>
      <c r="L6">
        <v>7</v>
      </c>
      <c r="M6" t="s">
        <v>23</v>
      </c>
      <c r="N6">
        <v>41.27</v>
      </c>
      <c r="O6">
        <v>9</v>
      </c>
    </row>
    <row r="7" spans="1:15" x14ac:dyDescent="0.2">
      <c r="A7" s="6">
        <v>45852</v>
      </c>
      <c r="B7" t="s">
        <v>15</v>
      </c>
      <c r="C7" t="s">
        <v>16</v>
      </c>
      <c r="D7" s="1">
        <v>45855</v>
      </c>
      <c r="E7" t="s">
        <v>17</v>
      </c>
      <c r="F7">
        <v>7300</v>
      </c>
      <c r="G7">
        <v>5.5</v>
      </c>
      <c r="H7">
        <v>6</v>
      </c>
      <c r="I7">
        <v>3.2</v>
      </c>
      <c r="J7">
        <v>3.8</v>
      </c>
      <c r="K7">
        <v>5.8</v>
      </c>
      <c r="L7">
        <v>470</v>
      </c>
      <c r="M7" t="s">
        <v>24</v>
      </c>
      <c r="N7">
        <v>3433.03</v>
      </c>
      <c r="O7">
        <v>729</v>
      </c>
    </row>
    <row r="8" spans="1:15" x14ac:dyDescent="0.2">
      <c r="A8" s="6">
        <v>45852</v>
      </c>
      <c r="B8" t="s">
        <v>15</v>
      </c>
      <c r="C8" t="s">
        <v>16</v>
      </c>
      <c r="D8" s="1">
        <v>45855</v>
      </c>
      <c r="E8" t="s">
        <v>17</v>
      </c>
      <c r="F8">
        <v>4200</v>
      </c>
      <c r="J8">
        <v>1570.2</v>
      </c>
      <c r="K8">
        <v>1679.4</v>
      </c>
      <c r="L8">
        <v>0</v>
      </c>
      <c r="M8" t="s">
        <v>18</v>
      </c>
      <c r="N8">
        <v>0</v>
      </c>
      <c r="O8">
        <v>0</v>
      </c>
    </row>
    <row r="9" spans="1:15" x14ac:dyDescent="0.2">
      <c r="A9" s="6">
        <v>45852</v>
      </c>
      <c r="B9" t="s">
        <v>15</v>
      </c>
      <c r="C9" t="s">
        <v>16</v>
      </c>
      <c r="D9" s="1">
        <v>45855</v>
      </c>
      <c r="E9" t="s">
        <v>17</v>
      </c>
      <c r="F9">
        <v>5950</v>
      </c>
      <c r="G9">
        <v>84.1</v>
      </c>
      <c r="H9">
        <v>150.5</v>
      </c>
      <c r="I9">
        <v>29.2</v>
      </c>
      <c r="J9">
        <v>33.5</v>
      </c>
      <c r="K9">
        <v>86.4</v>
      </c>
      <c r="L9">
        <v>148265</v>
      </c>
      <c r="M9" t="s">
        <v>25</v>
      </c>
      <c r="N9">
        <v>895950.33</v>
      </c>
      <c r="O9">
        <v>4793</v>
      </c>
    </row>
    <row r="10" spans="1:15" x14ac:dyDescent="0.2">
      <c r="A10" s="6">
        <v>45852</v>
      </c>
      <c r="B10" t="s">
        <v>15</v>
      </c>
      <c r="C10" t="s">
        <v>16</v>
      </c>
      <c r="D10" s="1">
        <v>45855</v>
      </c>
      <c r="E10" t="s">
        <v>19</v>
      </c>
      <c r="F10">
        <v>6650</v>
      </c>
      <c r="G10">
        <v>720.8</v>
      </c>
      <c r="H10">
        <v>814.1</v>
      </c>
      <c r="I10">
        <v>720.3</v>
      </c>
      <c r="J10">
        <v>739.4</v>
      </c>
      <c r="K10">
        <v>900.1</v>
      </c>
      <c r="L10">
        <v>5</v>
      </c>
      <c r="M10" t="s">
        <v>26</v>
      </c>
      <c r="N10">
        <v>36.950000000000003</v>
      </c>
      <c r="O10">
        <v>24</v>
      </c>
    </row>
    <row r="11" spans="1:15" x14ac:dyDescent="0.2">
      <c r="A11" s="6">
        <v>45852</v>
      </c>
      <c r="B11" t="s">
        <v>15</v>
      </c>
      <c r="C11" t="s">
        <v>16</v>
      </c>
      <c r="D11" s="1">
        <v>45855</v>
      </c>
      <c r="E11" t="s">
        <v>19</v>
      </c>
      <c r="F11">
        <v>3900</v>
      </c>
      <c r="J11">
        <v>0.1</v>
      </c>
      <c r="K11">
        <v>0.1</v>
      </c>
      <c r="L11">
        <v>0</v>
      </c>
      <c r="M11" t="s">
        <v>18</v>
      </c>
      <c r="N11">
        <v>0</v>
      </c>
      <c r="O11">
        <v>0</v>
      </c>
    </row>
    <row r="12" spans="1:15" x14ac:dyDescent="0.2">
      <c r="A12" s="6">
        <v>45852</v>
      </c>
      <c r="B12" t="s">
        <v>15</v>
      </c>
      <c r="C12" t="s">
        <v>16</v>
      </c>
      <c r="D12" s="1">
        <v>45855</v>
      </c>
      <c r="E12" t="s">
        <v>19</v>
      </c>
      <c r="F12">
        <v>6050</v>
      </c>
      <c r="G12">
        <v>214</v>
      </c>
      <c r="H12">
        <v>305</v>
      </c>
      <c r="I12">
        <v>161</v>
      </c>
      <c r="J12">
        <v>294.3</v>
      </c>
      <c r="K12">
        <v>229.2</v>
      </c>
      <c r="L12">
        <v>13926</v>
      </c>
      <c r="M12" t="s">
        <v>27</v>
      </c>
      <c r="N12">
        <v>87148.58</v>
      </c>
      <c r="O12">
        <v>107</v>
      </c>
    </row>
    <row r="13" spans="1:15" x14ac:dyDescent="0.2">
      <c r="A13" s="6">
        <v>45852</v>
      </c>
      <c r="B13" t="s">
        <v>15</v>
      </c>
      <c r="C13" t="s">
        <v>16</v>
      </c>
      <c r="D13" s="1">
        <v>45855</v>
      </c>
      <c r="E13" t="s">
        <v>17</v>
      </c>
      <c r="F13">
        <v>5100</v>
      </c>
      <c r="G13">
        <v>800.4</v>
      </c>
      <c r="H13">
        <v>800.4</v>
      </c>
      <c r="I13">
        <v>800.4</v>
      </c>
      <c r="J13">
        <v>800.4</v>
      </c>
      <c r="K13">
        <v>780.4</v>
      </c>
      <c r="L13">
        <v>2</v>
      </c>
      <c r="M13" t="s">
        <v>28</v>
      </c>
      <c r="N13">
        <v>11.8</v>
      </c>
      <c r="O13">
        <v>7</v>
      </c>
    </row>
    <row r="14" spans="1:15" x14ac:dyDescent="0.2">
      <c r="A14" s="6">
        <v>45852</v>
      </c>
      <c r="B14" t="s">
        <v>15</v>
      </c>
      <c r="C14" t="s">
        <v>16</v>
      </c>
      <c r="D14" s="1">
        <v>45855</v>
      </c>
      <c r="E14" t="s">
        <v>17</v>
      </c>
      <c r="F14">
        <v>6200</v>
      </c>
      <c r="G14">
        <v>35</v>
      </c>
      <c r="H14">
        <v>63.6</v>
      </c>
      <c r="I14">
        <v>11.5</v>
      </c>
      <c r="J14">
        <v>12.4</v>
      </c>
      <c r="K14">
        <v>30.8</v>
      </c>
      <c r="L14">
        <v>118187</v>
      </c>
      <c r="M14" t="s">
        <v>29</v>
      </c>
      <c r="N14">
        <v>737030.05</v>
      </c>
      <c r="O14">
        <v>5659</v>
      </c>
    </row>
    <row r="15" spans="1:15" x14ac:dyDescent="0.2">
      <c r="A15" s="6">
        <v>45852</v>
      </c>
      <c r="B15" t="s">
        <v>15</v>
      </c>
      <c r="C15" t="s">
        <v>16</v>
      </c>
      <c r="D15" s="1">
        <v>45855</v>
      </c>
      <c r="E15" t="s">
        <v>19</v>
      </c>
      <c r="F15">
        <v>4200</v>
      </c>
      <c r="J15">
        <v>0.1</v>
      </c>
      <c r="K15">
        <v>0.1</v>
      </c>
      <c r="L15">
        <v>0</v>
      </c>
      <c r="M15" t="s">
        <v>18</v>
      </c>
      <c r="N15">
        <v>0</v>
      </c>
      <c r="O15">
        <v>0</v>
      </c>
    </row>
    <row r="16" spans="1:15" x14ac:dyDescent="0.2">
      <c r="A16" s="6">
        <v>45852</v>
      </c>
      <c r="B16" t="s">
        <v>15</v>
      </c>
      <c r="C16" t="s">
        <v>16</v>
      </c>
      <c r="D16" s="1">
        <v>45855</v>
      </c>
      <c r="E16" t="s">
        <v>17</v>
      </c>
      <c r="F16">
        <v>4800</v>
      </c>
      <c r="J16">
        <v>970.5</v>
      </c>
      <c r="K16">
        <v>1079.9000000000001</v>
      </c>
      <c r="L16">
        <v>0</v>
      </c>
      <c r="M16" t="s">
        <v>18</v>
      </c>
      <c r="N16">
        <v>0</v>
      </c>
      <c r="O16">
        <v>4</v>
      </c>
    </row>
    <row r="17" spans="1:15" x14ac:dyDescent="0.2">
      <c r="A17" s="6">
        <v>45852</v>
      </c>
      <c r="B17" t="s">
        <v>15</v>
      </c>
      <c r="C17" t="s">
        <v>16</v>
      </c>
      <c r="D17" s="1">
        <v>45855</v>
      </c>
      <c r="E17" t="s">
        <v>17</v>
      </c>
      <c r="F17">
        <v>4250</v>
      </c>
      <c r="J17">
        <v>1520.3</v>
      </c>
      <c r="K17">
        <v>1629.4</v>
      </c>
      <c r="L17">
        <v>0</v>
      </c>
      <c r="M17" t="s">
        <v>18</v>
      </c>
      <c r="N17">
        <v>0</v>
      </c>
      <c r="O17">
        <v>0</v>
      </c>
    </row>
    <row r="18" spans="1:15" x14ac:dyDescent="0.2">
      <c r="A18" s="6">
        <v>45852</v>
      </c>
      <c r="B18" t="s">
        <v>15</v>
      </c>
      <c r="C18" t="s">
        <v>16</v>
      </c>
      <c r="D18" s="1">
        <v>45855</v>
      </c>
      <c r="E18" t="s">
        <v>17</v>
      </c>
      <c r="F18">
        <v>4900</v>
      </c>
      <c r="J18">
        <v>870.6</v>
      </c>
      <c r="K18">
        <v>980</v>
      </c>
      <c r="L18">
        <v>0</v>
      </c>
      <c r="M18" t="s">
        <v>18</v>
      </c>
      <c r="N18">
        <v>0</v>
      </c>
      <c r="O18">
        <v>0</v>
      </c>
    </row>
    <row r="19" spans="1:15" x14ac:dyDescent="0.2">
      <c r="A19" s="6">
        <v>45852</v>
      </c>
      <c r="B19" t="s">
        <v>15</v>
      </c>
      <c r="C19" t="s">
        <v>16</v>
      </c>
      <c r="D19" s="1">
        <v>45855</v>
      </c>
      <c r="E19" t="s">
        <v>19</v>
      </c>
      <c r="F19">
        <v>6550</v>
      </c>
      <c r="G19">
        <v>632.4</v>
      </c>
      <c r="H19">
        <v>722.8</v>
      </c>
      <c r="I19">
        <v>632.4</v>
      </c>
      <c r="J19">
        <v>677.6</v>
      </c>
      <c r="K19">
        <v>670.2</v>
      </c>
      <c r="L19">
        <v>2</v>
      </c>
      <c r="M19" t="s">
        <v>28</v>
      </c>
      <c r="N19">
        <v>14.46</v>
      </c>
      <c r="O19">
        <v>55</v>
      </c>
    </row>
    <row r="20" spans="1:15" x14ac:dyDescent="0.2">
      <c r="A20" s="6">
        <v>45852</v>
      </c>
      <c r="B20" t="s">
        <v>15</v>
      </c>
      <c r="C20" t="s">
        <v>16</v>
      </c>
      <c r="D20" s="1">
        <v>45855</v>
      </c>
      <c r="E20" t="s">
        <v>17</v>
      </c>
      <c r="F20">
        <v>5700</v>
      </c>
      <c r="G20">
        <v>233.9</v>
      </c>
      <c r="H20">
        <v>320</v>
      </c>
      <c r="I20">
        <v>117.7</v>
      </c>
      <c r="J20">
        <v>129.5</v>
      </c>
      <c r="K20">
        <v>224.9</v>
      </c>
      <c r="L20">
        <v>55360</v>
      </c>
      <c r="M20" t="s">
        <v>30</v>
      </c>
      <c r="N20">
        <v>325884.48</v>
      </c>
      <c r="O20">
        <v>5535</v>
      </c>
    </row>
    <row r="21" spans="1:15" x14ac:dyDescent="0.2">
      <c r="A21" s="6">
        <v>45852</v>
      </c>
      <c r="B21" t="s">
        <v>15</v>
      </c>
      <c r="C21" t="s">
        <v>16</v>
      </c>
      <c r="D21" s="1">
        <v>45855</v>
      </c>
      <c r="E21" t="s">
        <v>17</v>
      </c>
      <c r="F21">
        <v>4950</v>
      </c>
      <c r="J21">
        <v>820.6</v>
      </c>
      <c r="K21">
        <v>930.1</v>
      </c>
      <c r="L21">
        <v>0</v>
      </c>
      <c r="M21" t="s">
        <v>18</v>
      </c>
      <c r="N21">
        <v>0</v>
      </c>
      <c r="O21">
        <v>0</v>
      </c>
    </row>
    <row r="22" spans="1:15" x14ac:dyDescent="0.2">
      <c r="A22" s="6">
        <v>45852</v>
      </c>
      <c r="B22" t="s">
        <v>15</v>
      </c>
      <c r="C22" t="s">
        <v>16</v>
      </c>
      <c r="D22" s="1">
        <v>45855</v>
      </c>
      <c r="E22" t="s">
        <v>19</v>
      </c>
      <c r="F22">
        <v>6150</v>
      </c>
      <c r="G22">
        <v>290.39999999999998</v>
      </c>
      <c r="H22">
        <v>402.1</v>
      </c>
      <c r="I22">
        <v>98.8</v>
      </c>
      <c r="J22">
        <v>388.1</v>
      </c>
      <c r="K22">
        <v>311</v>
      </c>
      <c r="L22">
        <v>2078</v>
      </c>
      <c r="M22" t="s">
        <v>31</v>
      </c>
      <c r="N22">
        <v>13358.68</v>
      </c>
      <c r="O22">
        <v>116</v>
      </c>
    </row>
    <row r="23" spans="1:15" x14ac:dyDescent="0.2">
      <c r="A23" s="6">
        <v>45852</v>
      </c>
      <c r="B23" t="s">
        <v>15</v>
      </c>
      <c r="C23" t="s">
        <v>16</v>
      </c>
      <c r="D23" s="1">
        <v>45855</v>
      </c>
      <c r="E23" t="s">
        <v>19</v>
      </c>
      <c r="F23">
        <v>7200</v>
      </c>
      <c r="J23">
        <v>1428.3</v>
      </c>
      <c r="K23">
        <v>1317.7</v>
      </c>
      <c r="L23">
        <v>0</v>
      </c>
      <c r="M23" t="s">
        <v>18</v>
      </c>
      <c r="N23">
        <v>0</v>
      </c>
      <c r="O23">
        <v>0</v>
      </c>
    </row>
    <row r="24" spans="1:15" x14ac:dyDescent="0.2">
      <c r="A24" s="6">
        <v>45852</v>
      </c>
      <c r="B24" t="s">
        <v>15</v>
      </c>
      <c r="C24" t="s">
        <v>16</v>
      </c>
      <c r="D24" s="1">
        <v>45855</v>
      </c>
      <c r="E24" t="s">
        <v>17</v>
      </c>
      <c r="F24">
        <v>5300</v>
      </c>
      <c r="G24">
        <v>652</v>
      </c>
      <c r="H24">
        <v>680</v>
      </c>
      <c r="I24">
        <v>484.1</v>
      </c>
      <c r="J24">
        <v>519.79999999999995</v>
      </c>
      <c r="K24">
        <v>566.6</v>
      </c>
      <c r="L24">
        <v>37</v>
      </c>
      <c r="M24" t="s">
        <v>32</v>
      </c>
      <c r="N24">
        <v>218.17</v>
      </c>
      <c r="O24">
        <v>55</v>
      </c>
    </row>
    <row r="25" spans="1:15" x14ac:dyDescent="0.2">
      <c r="A25" s="6">
        <v>45852</v>
      </c>
      <c r="B25" t="s">
        <v>15</v>
      </c>
      <c r="C25" t="s">
        <v>16</v>
      </c>
      <c r="D25" s="1">
        <v>45855</v>
      </c>
      <c r="E25" t="s">
        <v>17</v>
      </c>
      <c r="F25">
        <v>5500</v>
      </c>
      <c r="G25">
        <v>408.5</v>
      </c>
      <c r="H25">
        <v>497</v>
      </c>
      <c r="I25">
        <v>277</v>
      </c>
      <c r="J25">
        <v>291.10000000000002</v>
      </c>
      <c r="K25">
        <v>393.1</v>
      </c>
      <c r="L25">
        <v>3550</v>
      </c>
      <c r="M25" t="s">
        <v>33</v>
      </c>
      <c r="N25">
        <v>20800.79</v>
      </c>
      <c r="O25">
        <v>956</v>
      </c>
    </row>
    <row r="26" spans="1:15" x14ac:dyDescent="0.2">
      <c r="A26" s="6">
        <v>45852</v>
      </c>
      <c r="B26" t="s">
        <v>15</v>
      </c>
      <c r="C26" t="s">
        <v>16</v>
      </c>
      <c r="D26" s="1">
        <v>45855</v>
      </c>
      <c r="E26" t="s">
        <v>17</v>
      </c>
      <c r="F26">
        <v>4450</v>
      </c>
      <c r="J26">
        <v>1320.4</v>
      </c>
      <c r="K26">
        <v>1429.6</v>
      </c>
      <c r="L26">
        <v>0</v>
      </c>
      <c r="M26" t="s">
        <v>18</v>
      </c>
      <c r="N26">
        <v>0</v>
      </c>
      <c r="O26">
        <v>0</v>
      </c>
    </row>
    <row r="27" spans="1:15" x14ac:dyDescent="0.2">
      <c r="A27" s="6">
        <v>45852</v>
      </c>
      <c r="B27" t="s">
        <v>15</v>
      </c>
      <c r="C27" t="s">
        <v>16</v>
      </c>
      <c r="D27" s="1">
        <v>45855</v>
      </c>
      <c r="E27" t="s">
        <v>17</v>
      </c>
      <c r="F27">
        <v>4100</v>
      </c>
      <c r="J27">
        <v>1670.2</v>
      </c>
      <c r="K27">
        <v>1779.3</v>
      </c>
      <c r="L27">
        <v>0</v>
      </c>
      <c r="M27" t="s">
        <v>18</v>
      </c>
      <c r="N27">
        <v>0</v>
      </c>
      <c r="O27">
        <v>0</v>
      </c>
    </row>
    <row r="28" spans="1:15" x14ac:dyDescent="0.2">
      <c r="A28" s="6">
        <v>45852</v>
      </c>
      <c r="B28" t="s">
        <v>15</v>
      </c>
      <c r="C28" t="s">
        <v>16</v>
      </c>
      <c r="D28" s="1">
        <v>45855</v>
      </c>
      <c r="E28" t="s">
        <v>17</v>
      </c>
      <c r="F28">
        <v>4000</v>
      </c>
      <c r="J28">
        <v>1770.1</v>
      </c>
      <c r="K28">
        <v>1879.2</v>
      </c>
      <c r="L28">
        <v>0</v>
      </c>
      <c r="M28" t="s">
        <v>18</v>
      </c>
      <c r="N28">
        <v>0</v>
      </c>
      <c r="O28">
        <v>0</v>
      </c>
    </row>
    <row r="29" spans="1:15" x14ac:dyDescent="0.2">
      <c r="A29" s="6">
        <v>45852</v>
      </c>
      <c r="B29" t="s">
        <v>15</v>
      </c>
      <c r="C29" t="s">
        <v>16</v>
      </c>
      <c r="D29" s="1">
        <v>45855</v>
      </c>
      <c r="E29" t="s">
        <v>17</v>
      </c>
      <c r="F29">
        <v>4400</v>
      </c>
      <c r="J29">
        <v>1370.3</v>
      </c>
      <c r="K29">
        <v>1479.5</v>
      </c>
      <c r="L29">
        <v>0</v>
      </c>
      <c r="M29" t="s">
        <v>18</v>
      </c>
      <c r="N29">
        <v>0</v>
      </c>
      <c r="O29">
        <v>0</v>
      </c>
    </row>
    <row r="30" spans="1:15" x14ac:dyDescent="0.2">
      <c r="A30" s="6">
        <v>45852</v>
      </c>
      <c r="B30" t="s">
        <v>15</v>
      </c>
      <c r="C30" t="s">
        <v>16</v>
      </c>
      <c r="D30" s="1">
        <v>45855</v>
      </c>
      <c r="E30" t="s">
        <v>17</v>
      </c>
      <c r="F30">
        <v>4750</v>
      </c>
      <c r="J30">
        <v>1020.5</v>
      </c>
      <c r="K30">
        <v>1129.9000000000001</v>
      </c>
      <c r="L30">
        <v>0</v>
      </c>
      <c r="M30" t="s">
        <v>18</v>
      </c>
      <c r="N30">
        <v>0</v>
      </c>
      <c r="O30">
        <v>0</v>
      </c>
    </row>
    <row r="31" spans="1:15" x14ac:dyDescent="0.2">
      <c r="A31" s="6">
        <v>45852</v>
      </c>
      <c r="B31" t="s">
        <v>15</v>
      </c>
      <c r="C31" t="s">
        <v>16</v>
      </c>
      <c r="D31" s="1">
        <v>45855</v>
      </c>
      <c r="E31" t="s">
        <v>17</v>
      </c>
      <c r="F31">
        <v>5000</v>
      </c>
      <c r="J31">
        <v>770.6</v>
      </c>
      <c r="K31">
        <v>759.7</v>
      </c>
      <c r="L31">
        <v>0</v>
      </c>
      <c r="M31" t="s">
        <v>18</v>
      </c>
      <c r="N31">
        <v>0</v>
      </c>
      <c r="O31">
        <v>15</v>
      </c>
    </row>
    <row r="32" spans="1:15" x14ac:dyDescent="0.2">
      <c r="A32" s="6">
        <v>45852</v>
      </c>
      <c r="B32" t="s">
        <v>15</v>
      </c>
      <c r="C32" t="s">
        <v>16</v>
      </c>
      <c r="D32" s="1">
        <v>45855</v>
      </c>
      <c r="E32" t="s">
        <v>17</v>
      </c>
      <c r="F32">
        <v>4350</v>
      </c>
      <c r="J32">
        <v>1420.3</v>
      </c>
      <c r="K32">
        <v>1529.5</v>
      </c>
      <c r="L32">
        <v>0</v>
      </c>
      <c r="M32" t="s">
        <v>18</v>
      </c>
      <c r="N32">
        <v>0</v>
      </c>
      <c r="O32">
        <v>0</v>
      </c>
    </row>
    <row r="33" spans="1:15" x14ac:dyDescent="0.2">
      <c r="A33" s="6">
        <v>45852</v>
      </c>
      <c r="B33" t="s">
        <v>15</v>
      </c>
      <c r="C33" t="s">
        <v>16</v>
      </c>
      <c r="D33" s="1">
        <v>45855</v>
      </c>
      <c r="E33" t="s">
        <v>19</v>
      </c>
      <c r="F33">
        <v>6950</v>
      </c>
      <c r="G33">
        <v>1015.8</v>
      </c>
      <c r="H33">
        <v>1120.5999999999999</v>
      </c>
      <c r="I33">
        <v>1015.8</v>
      </c>
      <c r="J33">
        <v>1050.7</v>
      </c>
      <c r="K33">
        <v>1068</v>
      </c>
      <c r="L33">
        <v>3</v>
      </c>
      <c r="M33" t="s">
        <v>34</v>
      </c>
      <c r="N33">
        <v>24</v>
      </c>
      <c r="O33">
        <v>15</v>
      </c>
    </row>
    <row r="34" spans="1:15" x14ac:dyDescent="0.2">
      <c r="A34" s="6">
        <v>45852</v>
      </c>
      <c r="B34" t="s">
        <v>15</v>
      </c>
      <c r="C34" t="s">
        <v>16</v>
      </c>
      <c r="D34" s="1">
        <v>45855</v>
      </c>
      <c r="E34" t="s">
        <v>17</v>
      </c>
      <c r="F34">
        <v>7450</v>
      </c>
      <c r="G34">
        <v>5.7</v>
      </c>
      <c r="H34">
        <v>7.7</v>
      </c>
      <c r="I34">
        <v>3.6</v>
      </c>
      <c r="J34">
        <v>4</v>
      </c>
      <c r="K34">
        <v>5.7</v>
      </c>
      <c r="L34">
        <v>106</v>
      </c>
      <c r="M34" t="s">
        <v>35</v>
      </c>
      <c r="N34">
        <v>790.19</v>
      </c>
      <c r="O34">
        <v>63</v>
      </c>
    </row>
    <row r="35" spans="1:15" x14ac:dyDescent="0.2">
      <c r="A35" s="6">
        <v>45852</v>
      </c>
      <c r="B35" t="s">
        <v>15</v>
      </c>
      <c r="C35" t="s">
        <v>16</v>
      </c>
      <c r="D35" s="1">
        <v>45855</v>
      </c>
      <c r="E35" t="s">
        <v>19</v>
      </c>
      <c r="F35">
        <v>5200</v>
      </c>
      <c r="G35">
        <v>7.6</v>
      </c>
      <c r="H35">
        <v>7.6</v>
      </c>
      <c r="I35">
        <v>4.5999999999999996</v>
      </c>
      <c r="J35">
        <v>5.4</v>
      </c>
      <c r="K35">
        <v>8.4</v>
      </c>
      <c r="L35">
        <v>8897</v>
      </c>
      <c r="M35" t="s">
        <v>36</v>
      </c>
      <c r="N35">
        <v>46319.71</v>
      </c>
      <c r="O35">
        <v>2464</v>
      </c>
    </row>
    <row r="36" spans="1:15" x14ac:dyDescent="0.2">
      <c r="A36" s="6">
        <v>45852</v>
      </c>
      <c r="B36" t="s">
        <v>15</v>
      </c>
      <c r="C36" t="s">
        <v>16</v>
      </c>
      <c r="D36" s="1">
        <v>45855</v>
      </c>
      <c r="E36" t="s">
        <v>17</v>
      </c>
      <c r="F36">
        <v>4850</v>
      </c>
      <c r="J36">
        <v>920.5</v>
      </c>
      <c r="K36">
        <v>1030</v>
      </c>
      <c r="L36">
        <v>0</v>
      </c>
      <c r="M36" t="s">
        <v>18</v>
      </c>
      <c r="N36">
        <v>0</v>
      </c>
      <c r="O36">
        <v>0</v>
      </c>
    </row>
    <row r="37" spans="1:15" x14ac:dyDescent="0.2">
      <c r="A37" s="6">
        <v>45852</v>
      </c>
      <c r="B37" t="s">
        <v>15</v>
      </c>
      <c r="C37" t="s">
        <v>16</v>
      </c>
      <c r="D37" s="1">
        <v>45855</v>
      </c>
      <c r="E37" t="s">
        <v>19</v>
      </c>
      <c r="F37">
        <v>5250</v>
      </c>
      <c r="G37">
        <v>8.4</v>
      </c>
      <c r="H37">
        <v>8.6</v>
      </c>
      <c r="I37">
        <v>5.8</v>
      </c>
      <c r="J37">
        <v>7.4</v>
      </c>
      <c r="K37">
        <v>9.6999999999999993</v>
      </c>
      <c r="L37">
        <v>1301</v>
      </c>
      <c r="M37" t="s">
        <v>37</v>
      </c>
      <c r="N37">
        <v>6839.47</v>
      </c>
      <c r="O37">
        <v>278</v>
      </c>
    </row>
    <row r="38" spans="1:15" x14ac:dyDescent="0.2">
      <c r="A38" s="6">
        <v>45852</v>
      </c>
      <c r="B38" t="s">
        <v>15</v>
      </c>
      <c r="C38" t="s">
        <v>16</v>
      </c>
      <c r="D38" s="1">
        <v>45855</v>
      </c>
      <c r="E38" t="s">
        <v>19</v>
      </c>
      <c r="F38">
        <v>6800</v>
      </c>
      <c r="G38">
        <v>910</v>
      </c>
      <c r="H38">
        <v>1052.3</v>
      </c>
      <c r="I38">
        <v>853.7</v>
      </c>
      <c r="J38">
        <v>875.7</v>
      </c>
      <c r="K38">
        <v>1000.7</v>
      </c>
      <c r="L38">
        <v>48</v>
      </c>
      <c r="M38" t="s">
        <v>38</v>
      </c>
      <c r="N38">
        <v>368.25</v>
      </c>
      <c r="O38">
        <v>89</v>
      </c>
    </row>
    <row r="39" spans="1:15" x14ac:dyDescent="0.2">
      <c r="A39" s="6">
        <v>45852</v>
      </c>
      <c r="B39" t="s">
        <v>15</v>
      </c>
      <c r="C39" t="s">
        <v>16</v>
      </c>
      <c r="D39" s="1">
        <v>45855</v>
      </c>
      <c r="E39" t="s">
        <v>17</v>
      </c>
      <c r="F39">
        <v>5750</v>
      </c>
      <c r="G39">
        <v>191</v>
      </c>
      <c r="H39">
        <v>531.6</v>
      </c>
      <c r="I39">
        <v>89.1</v>
      </c>
      <c r="J39">
        <v>99.7</v>
      </c>
      <c r="K39">
        <v>188.8</v>
      </c>
      <c r="L39">
        <v>40332</v>
      </c>
      <c r="M39" t="s">
        <v>39</v>
      </c>
      <c r="N39">
        <v>238064.95</v>
      </c>
      <c r="O39">
        <v>2053</v>
      </c>
    </row>
    <row r="40" spans="1:15" x14ac:dyDescent="0.2">
      <c r="A40" s="6">
        <v>45852</v>
      </c>
      <c r="B40" t="s">
        <v>15</v>
      </c>
      <c r="C40" t="s">
        <v>16</v>
      </c>
      <c r="D40" s="1">
        <v>45855</v>
      </c>
      <c r="E40" t="s">
        <v>19</v>
      </c>
      <c r="F40">
        <v>6200</v>
      </c>
      <c r="G40">
        <v>335.9</v>
      </c>
      <c r="H40">
        <v>449</v>
      </c>
      <c r="I40">
        <v>270.10000000000002</v>
      </c>
      <c r="J40">
        <v>439.7</v>
      </c>
      <c r="K40">
        <v>354.9</v>
      </c>
      <c r="L40">
        <v>3127</v>
      </c>
      <c r="M40" t="s">
        <v>40</v>
      </c>
      <c r="N40">
        <v>20397.36</v>
      </c>
      <c r="O40">
        <v>623</v>
      </c>
    </row>
    <row r="41" spans="1:15" x14ac:dyDescent="0.2">
      <c r="A41" s="6">
        <v>45852</v>
      </c>
      <c r="B41" t="s">
        <v>15</v>
      </c>
      <c r="C41" t="s">
        <v>16</v>
      </c>
      <c r="D41" s="1">
        <v>45855</v>
      </c>
      <c r="E41" t="s">
        <v>19</v>
      </c>
      <c r="F41">
        <v>3950</v>
      </c>
      <c r="J41">
        <v>0.1</v>
      </c>
      <c r="K41">
        <v>0.1</v>
      </c>
      <c r="L41">
        <v>0</v>
      </c>
      <c r="M41" t="s">
        <v>18</v>
      </c>
      <c r="N41">
        <v>0</v>
      </c>
      <c r="O41">
        <v>0</v>
      </c>
    </row>
    <row r="42" spans="1:15" x14ac:dyDescent="0.2">
      <c r="A42" s="6">
        <v>45852</v>
      </c>
      <c r="B42" t="s">
        <v>15</v>
      </c>
      <c r="C42" t="s">
        <v>16</v>
      </c>
      <c r="D42" s="1">
        <v>45855</v>
      </c>
      <c r="E42" t="s">
        <v>17</v>
      </c>
      <c r="F42">
        <v>7250</v>
      </c>
      <c r="G42">
        <v>6.4</v>
      </c>
      <c r="H42">
        <v>6.6</v>
      </c>
      <c r="I42">
        <v>3</v>
      </c>
      <c r="J42">
        <v>4.5999999999999996</v>
      </c>
      <c r="K42">
        <v>5.9</v>
      </c>
      <c r="L42">
        <v>67</v>
      </c>
      <c r="M42" t="s">
        <v>41</v>
      </c>
      <c r="N42">
        <v>486.1</v>
      </c>
      <c r="O42">
        <v>98</v>
      </c>
    </row>
    <row r="43" spans="1:15" x14ac:dyDescent="0.2">
      <c r="A43" s="6">
        <v>45852</v>
      </c>
      <c r="B43" t="s">
        <v>15</v>
      </c>
      <c r="C43" t="s">
        <v>16</v>
      </c>
      <c r="D43" s="1">
        <v>45855</v>
      </c>
      <c r="E43" t="s">
        <v>19</v>
      </c>
      <c r="F43">
        <v>7600</v>
      </c>
      <c r="J43">
        <v>1828.1</v>
      </c>
      <c r="K43">
        <v>1717.3</v>
      </c>
      <c r="L43">
        <v>0</v>
      </c>
      <c r="M43" t="s">
        <v>18</v>
      </c>
      <c r="N43">
        <v>0</v>
      </c>
      <c r="O43">
        <v>0</v>
      </c>
    </row>
    <row r="44" spans="1:15" x14ac:dyDescent="0.2">
      <c r="A44" s="6">
        <v>45852</v>
      </c>
      <c r="B44" t="s">
        <v>15</v>
      </c>
      <c r="C44" t="s">
        <v>16</v>
      </c>
      <c r="D44" s="1">
        <v>45855</v>
      </c>
      <c r="E44" t="s">
        <v>19</v>
      </c>
      <c r="F44">
        <v>4800</v>
      </c>
      <c r="G44">
        <v>4.9000000000000004</v>
      </c>
      <c r="H44">
        <v>5.7</v>
      </c>
      <c r="I44">
        <v>3.5</v>
      </c>
      <c r="J44">
        <v>3.8</v>
      </c>
      <c r="K44">
        <v>5.6</v>
      </c>
      <c r="L44">
        <v>900</v>
      </c>
      <c r="M44" t="s">
        <v>42</v>
      </c>
      <c r="N44">
        <v>4323.8599999999997</v>
      </c>
      <c r="O44">
        <v>569</v>
      </c>
    </row>
    <row r="45" spans="1:15" x14ac:dyDescent="0.2">
      <c r="A45" s="6">
        <v>45852</v>
      </c>
      <c r="B45" t="s">
        <v>15</v>
      </c>
      <c r="C45" t="s">
        <v>16</v>
      </c>
      <c r="D45" s="1">
        <v>45855</v>
      </c>
      <c r="E45" t="s">
        <v>19</v>
      </c>
      <c r="F45">
        <v>4600</v>
      </c>
      <c r="G45">
        <v>3.9</v>
      </c>
      <c r="H45">
        <v>4.8</v>
      </c>
      <c r="I45">
        <v>2.7</v>
      </c>
      <c r="J45">
        <v>3.5</v>
      </c>
      <c r="K45">
        <v>4.8</v>
      </c>
      <c r="L45">
        <v>131</v>
      </c>
      <c r="M45" t="s">
        <v>43</v>
      </c>
      <c r="N45">
        <v>603.1</v>
      </c>
      <c r="O45">
        <v>162</v>
      </c>
    </row>
    <row r="46" spans="1:15" x14ac:dyDescent="0.2">
      <c r="A46" s="6">
        <v>45852</v>
      </c>
      <c r="B46" t="s">
        <v>15</v>
      </c>
      <c r="C46" t="s">
        <v>16</v>
      </c>
      <c r="D46" s="1">
        <v>45855</v>
      </c>
      <c r="E46" t="s">
        <v>17</v>
      </c>
      <c r="F46">
        <v>5550</v>
      </c>
      <c r="G46">
        <v>362.8</v>
      </c>
      <c r="H46">
        <v>448.6</v>
      </c>
      <c r="I46">
        <v>233.6</v>
      </c>
      <c r="J46">
        <v>244.9</v>
      </c>
      <c r="K46">
        <v>350</v>
      </c>
      <c r="L46">
        <v>788</v>
      </c>
      <c r="M46" t="s">
        <v>44</v>
      </c>
      <c r="N46">
        <v>4606.32</v>
      </c>
      <c r="O46">
        <v>135</v>
      </c>
    </row>
    <row r="47" spans="1:15" x14ac:dyDescent="0.2">
      <c r="A47" s="6">
        <v>45852</v>
      </c>
      <c r="B47" t="s">
        <v>15</v>
      </c>
      <c r="C47" t="s">
        <v>16</v>
      </c>
      <c r="D47" s="1">
        <v>45855</v>
      </c>
      <c r="E47" t="s">
        <v>17</v>
      </c>
      <c r="F47">
        <v>5600</v>
      </c>
      <c r="G47">
        <v>310</v>
      </c>
      <c r="H47">
        <v>405</v>
      </c>
      <c r="I47">
        <v>187.2</v>
      </c>
      <c r="J47">
        <v>201.7</v>
      </c>
      <c r="K47">
        <v>303.3</v>
      </c>
      <c r="L47">
        <v>14597</v>
      </c>
      <c r="M47" t="s">
        <v>45</v>
      </c>
      <c r="N47">
        <v>85531.09</v>
      </c>
      <c r="O47">
        <v>2475</v>
      </c>
    </row>
    <row r="48" spans="1:15" x14ac:dyDescent="0.2">
      <c r="A48" s="6">
        <v>45852</v>
      </c>
      <c r="B48" t="s">
        <v>15</v>
      </c>
      <c r="C48" t="s">
        <v>16</v>
      </c>
      <c r="D48" s="1">
        <v>45855</v>
      </c>
      <c r="E48" t="s">
        <v>19</v>
      </c>
      <c r="F48">
        <v>3700</v>
      </c>
      <c r="J48">
        <v>0.1</v>
      </c>
      <c r="K48">
        <v>3.1</v>
      </c>
      <c r="L48">
        <v>0</v>
      </c>
      <c r="M48" t="s">
        <v>18</v>
      </c>
      <c r="N48">
        <v>0</v>
      </c>
      <c r="O48">
        <v>8</v>
      </c>
    </row>
    <row r="49" spans="1:15" x14ac:dyDescent="0.2">
      <c r="A49" s="6">
        <v>45852</v>
      </c>
      <c r="B49" t="s">
        <v>15</v>
      </c>
      <c r="C49" t="s">
        <v>16</v>
      </c>
      <c r="D49" s="1">
        <v>45855</v>
      </c>
      <c r="E49" t="s">
        <v>17</v>
      </c>
      <c r="F49">
        <v>3800</v>
      </c>
      <c r="J49">
        <v>1970</v>
      </c>
      <c r="K49">
        <v>2079</v>
      </c>
      <c r="L49">
        <v>0</v>
      </c>
      <c r="M49" t="s">
        <v>18</v>
      </c>
      <c r="N49">
        <v>0</v>
      </c>
      <c r="O49">
        <v>0</v>
      </c>
    </row>
    <row r="50" spans="1:15" x14ac:dyDescent="0.2">
      <c r="A50" s="6">
        <v>45852</v>
      </c>
      <c r="B50" t="s">
        <v>15</v>
      </c>
      <c r="C50" t="s">
        <v>16</v>
      </c>
      <c r="D50" s="1">
        <v>45855</v>
      </c>
      <c r="E50" t="s">
        <v>17</v>
      </c>
      <c r="F50">
        <v>6750</v>
      </c>
      <c r="G50">
        <v>8.6</v>
      </c>
      <c r="H50">
        <v>15.4</v>
      </c>
      <c r="I50">
        <v>5.6</v>
      </c>
      <c r="J50">
        <v>6.6</v>
      </c>
      <c r="K50">
        <v>11.1</v>
      </c>
      <c r="L50">
        <v>1074</v>
      </c>
      <c r="M50" t="s">
        <v>46</v>
      </c>
      <c r="N50">
        <v>7260.49</v>
      </c>
      <c r="O50">
        <v>113</v>
      </c>
    </row>
    <row r="51" spans="1:15" x14ac:dyDescent="0.2">
      <c r="A51" s="6">
        <v>45852</v>
      </c>
      <c r="B51" t="s">
        <v>15</v>
      </c>
      <c r="C51" t="s">
        <v>16</v>
      </c>
      <c r="D51" s="1">
        <v>45855</v>
      </c>
      <c r="E51" t="s">
        <v>19</v>
      </c>
      <c r="F51">
        <v>4950</v>
      </c>
      <c r="G51">
        <v>4.5</v>
      </c>
      <c r="H51">
        <v>5.3</v>
      </c>
      <c r="I51">
        <v>3.6</v>
      </c>
      <c r="J51">
        <v>3.9</v>
      </c>
      <c r="K51">
        <v>6.2</v>
      </c>
      <c r="L51">
        <v>186</v>
      </c>
      <c r="M51" t="s">
        <v>47</v>
      </c>
      <c r="N51">
        <v>921.57</v>
      </c>
      <c r="O51">
        <v>115</v>
      </c>
    </row>
    <row r="52" spans="1:15" x14ac:dyDescent="0.2">
      <c r="A52" s="6">
        <v>45852</v>
      </c>
      <c r="B52" t="s">
        <v>15</v>
      </c>
      <c r="C52" t="s">
        <v>16</v>
      </c>
      <c r="D52" s="1">
        <v>45855</v>
      </c>
      <c r="E52" t="s">
        <v>19</v>
      </c>
      <c r="F52">
        <v>4450</v>
      </c>
      <c r="J52">
        <v>0.1</v>
      </c>
      <c r="K52">
        <v>0.1</v>
      </c>
      <c r="L52">
        <v>0</v>
      </c>
      <c r="M52" t="s">
        <v>18</v>
      </c>
      <c r="N52">
        <v>0</v>
      </c>
      <c r="O52">
        <v>1</v>
      </c>
    </row>
    <row r="53" spans="1:15" x14ac:dyDescent="0.2">
      <c r="A53" s="6">
        <v>45852</v>
      </c>
      <c r="B53" t="s">
        <v>15</v>
      </c>
      <c r="C53" t="s">
        <v>16</v>
      </c>
      <c r="D53" s="1">
        <v>45855</v>
      </c>
      <c r="E53" t="s">
        <v>19</v>
      </c>
      <c r="F53">
        <v>4250</v>
      </c>
      <c r="J53">
        <v>0.1</v>
      </c>
      <c r="K53">
        <v>0.1</v>
      </c>
      <c r="L53">
        <v>0</v>
      </c>
      <c r="M53" t="s">
        <v>18</v>
      </c>
      <c r="N53">
        <v>0</v>
      </c>
      <c r="O53">
        <v>5</v>
      </c>
    </row>
    <row r="54" spans="1:15" x14ac:dyDescent="0.2">
      <c r="A54" s="6">
        <v>45852</v>
      </c>
      <c r="B54" t="s">
        <v>15</v>
      </c>
      <c r="C54" t="s">
        <v>16</v>
      </c>
      <c r="D54" s="1">
        <v>45855</v>
      </c>
      <c r="E54" t="s">
        <v>17</v>
      </c>
      <c r="F54">
        <v>3850</v>
      </c>
      <c r="J54">
        <v>1920.1</v>
      </c>
      <c r="K54">
        <v>2029</v>
      </c>
      <c r="L54">
        <v>0</v>
      </c>
      <c r="M54" t="s">
        <v>18</v>
      </c>
      <c r="N54">
        <v>0</v>
      </c>
      <c r="O54">
        <v>0</v>
      </c>
    </row>
    <row r="55" spans="1:15" x14ac:dyDescent="0.2">
      <c r="A55" s="6">
        <v>45852</v>
      </c>
      <c r="B55" t="s">
        <v>15</v>
      </c>
      <c r="C55" t="s">
        <v>16</v>
      </c>
      <c r="D55" s="1">
        <v>45855</v>
      </c>
      <c r="E55" t="s">
        <v>17</v>
      </c>
      <c r="F55">
        <v>7650</v>
      </c>
      <c r="G55">
        <v>4.8</v>
      </c>
      <c r="H55">
        <v>4.8</v>
      </c>
      <c r="I55">
        <v>2.7</v>
      </c>
      <c r="J55">
        <v>3.5</v>
      </c>
      <c r="K55">
        <v>4.8</v>
      </c>
      <c r="L55">
        <v>178</v>
      </c>
      <c r="M55" t="s">
        <v>48</v>
      </c>
      <c r="N55">
        <v>1362.34</v>
      </c>
      <c r="O55">
        <v>189</v>
      </c>
    </row>
    <row r="56" spans="1:15" x14ac:dyDescent="0.2">
      <c r="A56" s="6">
        <v>45852</v>
      </c>
      <c r="B56" t="s">
        <v>15</v>
      </c>
      <c r="C56" t="s">
        <v>16</v>
      </c>
      <c r="D56" s="1">
        <v>45855</v>
      </c>
      <c r="E56" t="s">
        <v>19</v>
      </c>
      <c r="F56">
        <v>5050</v>
      </c>
      <c r="G56">
        <v>6.6</v>
      </c>
      <c r="H56">
        <v>6.6</v>
      </c>
      <c r="I56">
        <v>3.9</v>
      </c>
      <c r="J56">
        <v>4.4000000000000004</v>
      </c>
      <c r="K56">
        <v>6.6</v>
      </c>
      <c r="L56">
        <v>253</v>
      </c>
      <c r="M56" t="s">
        <v>49</v>
      </c>
      <c r="N56">
        <v>1278.93</v>
      </c>
      <c r="O56">
        <v>269</v>
      </c>
    </row>
    <row r="57" spans="1:15" x14ac:dyDescent="0.2">
      <c r="A57" s="6">
        <v>45852</v>
      </c>
      <c r="B57" t="s">
        <v>15</v>
      </c>
      <c r="C57" t="s">
        <v>16</v>
      </c>
      <c r="D57" s="1">
        <v>45855</v>
      </c>
      <c r="E57" t="s">
        <v>19</v>
      </c>
      <c r="F57">
        <v>5400</v>
      </c>
      <c r="G57">
        <v>11.4</v>
      </c>
      <c r="H57">
        <v>15</v>
      </c>
      <c r="I57">
        <v>9.1</v>
      </c>
      <c r="J57">
        <v>11.2</v>
      </c>
      <c r="K57">
        <v>13.6</v>
      </c>
      <c r="L57">
        <v>22459</v>
      </c>
      <c r="M57" t="s">
        <v>50</v>
      </c>
      <c r="N57">
        <v>121538.07</v>
      </c>
      <c r="O57">
        <v>2817</v>
      </c>
    </row>
    <row r="58" spans="1:15" x14ac:dyDescent="0.2">
      <c r="A58" s="6">
        <v>45852</v>
      </c>
      <c r="B58" t="s">
        <v>15</v>
      </c>
      <c r="C58" t="s">
        <v>16</v>
      </c>
      <c r="D58" s="1">
        <v>45855</v>
      </c>
      <c r="E58" t="s">
        <v>19</v>
      </c>
      <c r="F58">
        <v>5300</v>
      </c>
      <c r="G58">
        <v>7.2</v>
      </c>
      <c r="H58">
        <v>10.5</v>
      </c>
      <c r="I58">
        <v>6.6</v>
      </c>
      <c r="J58">
        <v>8.1</v>
      </c>
      <c r="K58">
        <v>10.5</v>
      </c>
      <c r="L58">
        <v>6549</v>
      </c>
      <c r="M58" t="s">
        <v>51</v>
      </c>
      <c r="N58">
        <v>34763.919999999998</v>
      </c>
      <c r="O58">
        <v>1545</v>
      </c>
    </row>
    <row r="59" spans="1:15" x14ac:dyDescent="0.2">
      <c r="A59" s="6">
        <v>45852</v>
      </c>
      <c r="B59" t="s">
        <v>15</v>
      </c>
      <c r="C59" t="s">
        <v>16</v>
      </c>
      <c r="D59" s="1">
        <v>45855</v>
      </c>
      <c r="E59" t="s">
        <v>17</v>
      </c>
      <c r="F59">
        <v>6550</v>
      </c>
      <c r="G59">
        <v>15.3</v>
      </c>
      <c r="H59">
        <v>23.4</v>
      </c>
      <c r="I59">
        <v>5.5</v>
      </c>
      <c r="J59">
        <v>6.6</v>
      </c>
      <c r="K59">
        <v>15.3</v>
      </c>
      <c r="L59">
        <v>3845</v>
      </c>
      <c r="M59" t="s">
        <v>52</v>
      </c>
      <c r="N59">
        <v>25239.91</v>
      </c>
      <c r="O59">
        <v>1083</v>
      </c>
    </row>
    <row r="60" spans="1:15" x14ac:dyDescent="0.2">
      <c r="A60" s="6">
        <v>45852</v>
      </c>
      <c r="B60" t="s">
        <v>15</v>
      </c>
      <c r="C60" t="s">
        <v>16</v>
      </c>
      <c r="D60" s="1">
        <v>45855</v>
      </c>
      <c r="E60" t="s">
        <v>19</v>
      </c>
      <c r="F60">
        <v>5700</v>
      </c>
      <c r="G60">
        <v>39.4</v>
      </c>
      <c r="H60">
        <v>70.599999999999994</v>
      </c>
      <c r="I60">
        <v>30.7</v>
      </c>
      <c r="J60">
        <v>57.1</v>
      </c>
      <c r="K60">
        <v>48.9</v>
      </c>
      <c r="L60">
        <v>171854</v>
      </c>
      <c r="M60" t="s">
        <v>53</v>
      </c>
      <c r="N60">
        <v>988490.16</v>
      </c>
      <c r="O60">
        <v>9909</v>
      </c>
    </row>
    <row r="61" spans="1:15" x14ac:dyDescent="0.2">
      <c r="A61" s="6">
        <v>45852</v>
      </c>
      <c r="B61" t="s">
        <v>15</v>
      </c>
      <c r="C61" t="s">
        <v>16</v>
      </c>
      <c r="D61" s="1">
        <v>45855</v>
      </c>
      <c r="E61" t="s">
        <v>19</v>
      </c>
      <c r="F61">
        <v>6750</v>
      </c>
      <c r="G61">
        <v>861.7</v>
      </c>
      <c r="H61">
        <v>861.7</v>
      </c>
      <c r="I61">
        <v>817</v>
      </c>
      <c r="J61">
        <v>827.1</v>
      </c>
      <c r="K61">
        <v>868.5</v>
      </c>
      <c r="L61">
        <v>27</v>
      </c>
      <c r="M61" t="s">
        <v>54</v>
      </c>
      <c r="N61">
        <v>204.58</v>
      </c>
      <c r="O61">
        <v>29</v>
      </c>
    </row>
    <row r="62" spans="1:15" x14ac:dyDescent="0.2">
      <c r="A62" s="6">
        <v>45852</v>
      </c>
      <c r="B62" t="s">
        <v>15</v>
      </c>
      <c r="C62" t="s">
        <v>16</v>
      </c>
      <c r="D62" s="1">
        <v>45855</v>
      </c>
      <c r="E62" t="s">
        <v>19</v>
      </c>
      <c r="F62">
        <v>7700</v>
      </c>
      <c r="J62">
        <v>1928.1</v>
      </c>
      <c r="K62">
        <v>1817.2</v>
      </c>
      <c r="L62">
        <v>0</v>
      </c>
      <c r="M62" t="s">
        <v>18</v>
      </c>
      <c r="N62">
        <v>0</v>
      </c>
      <c r="O62">
        <v>0</v>
      </c>
    </row>
    <row r="63" spans="1:15" x14ac:dyDescent="0.2">
      <c r="A63" s="6">
        <v>45852</v>
      </c>
      <c r="B63" t="s">
        <v>15</v>
      </c>
      <c r="C63" t="s">
        <v>16</v>
      </c>
      <c r="D63" s="1">
        <v>45855</v>
      </c>
      <c r="E63" t="s">
        <v>17</v>
      </c>
      <c r="F63">
        <v>7150</v>
      </c>
      <c r="G63">
        <v>5.8</v>
      </c>
      <c r="H63">
        <v>6.5</v>
      </c>
      <c r="I63">
        <v>3.9</v>
      </c>
      <c r="J63">
        <v>4.8</v>
      </c>
      <c r="K63">
        <v>7.3</v>
      </c>
      <c r="L63">
        <v>37</v>
      </c>
      <c r="M63" t="s">
        <v>32</v>
      </c>
      <c r="N63">
        <v>264.74</v>
      </c>
      <c r="O63">
        <v>86</v>
      </c>
    </row>
    <row r="64" spans="1:15" x14ac:dyDescent="0.2">
      <c r="A64" s="6">
        <v>45852</v>
      </c>
      <c r="B64" t="s">
        <v>15</v>
      </c>
      <c r="C64" t="s">
        <v>16</v>
      </c>
      <c r="D64" s="1">
        <v>45855</v>
      </c>
      <c r="E64" t="s">
        <v>17</v>
      </c>
      <c r="F64">
        <v>6650</v>
      </c>
      <c r="G64">
        <v>13</v>
      </c>
      <c r="H64">
        <v>19.2</v>
      </c>
      <c r="I64">
        <v>6.4</v>
      </c>
      <c r="J64">
        <v>7</v>
      </c>
      <c r="K64">
        <v>12.9</v>
      </c>
      <c r="L64">
        <v>1935</v>
      </c>
      <c r="M64" t="s">
        <v>55</v>
      </c>
      <c r="N64">
        <v>12890.79</v>
      </c>
      <c r="O64">
        <v>428</v>
      </c>
    </row>
    <row r="65" spans="1:15" x14ac:dyDescent="0.2">
      <c r="A65" s="6">
        <v>45852</v>
      </c>
      <c r="B65" t="s">
        <v>15</v>
      </c>
      <c r="C65" t="s">
        <v>16</v>
      </c>
      <c r="D65" s="1">
        <v>45855</v>
      </c>
      <c r="E65" t="s">
        <v>17</v>
      </c>
      <c r="F65">
        <v>6050</v>
      </c>
      <c r="G65">
        <v>64.900000000000006</v>
      </c>
      <c r="H65">
        <v>105</v>
      </c>
      <c r="I65">
        <v>18.2</v>
      </c>
      <c r="J65">
        <v>20.3</v>
      </c>
      <c r="K65">
        <v>56.7</v>
      </c>
      <c r="L65">
        <v>96048</v>
      </c>
      <c r="M65" t="s">
        <v>56</v>
      </c>
      <c r="N65">
        <v>587506.34</v>
      </c>
      <c r="O65">
        <v>3371</v>
      </c>
    </row>
    <row r="66" spans="1:15" x14ac:dyDescent="0.2">
      <c r="A66" s="6">
        <v>45852</v>
      </c>
      <c r="B66" t="s">
        <v>15</v>
      </c>
      <c r="C66" t="s">
        <v>16</v>
      </c>
      <c r="D66" s="1">
        <v>45855</v>
      </c>
      <c r="E66" t="s">
        <v>19</v>
      </c>
      <c r="F66">
        <v>4700</v>
      </c>
      <c r="G66">
        <v>3.1</v>
      </c>
      <c r="H66">
        <v>4.8</v>
      </c>
      <c r="I66">
        <v>3.1</v>
      </c>
      <c r="J66">
        <v>3.7</v>
      </c>
      <c r="K66">
        <v>5.2</v>
      </c>
      <c r="L66">
        <v>163</v>
      </c>
      <c r="M66" t="s">
        <v>57</v>
      </c>
      <c r="N66">
        <v>766.77</v>
      </c>
      <c r="O66">
        <v>155</v>
      </c>
    </row>
    <row r="67" spans="1:15" x14ac:dyDescent="0.2">
      <c r="A67" s="6">
        <v>45852</v>
      </c>
      <c r="B67" t="s">
        <v>15</v>
      </c>
      <c r="C67" t="s">
        <v>16</v>
      </c>
      <c r="D67" s="1">
        <v>45855</v>
      </c>
      <c r="E67" t="s">
        <v>17</v>
      </c>
      <c r="F67">
        <v>3750</v>
      </c>
      <c r="J67">
        <v>2020</v>
      </c>
      <c r="K67">
        <v>2128.9</v>
      </c>
      <c r="L67">
        <v>0</v>
      </c>
      <c r="M67" t="s">
        <v>18</v>
      </c>
      <c r="N67">
        <v>0</v>
      </c>
      <c r="O67">
        <v>0</v>
      </c>
    </row>
    <row r="68" spans="1:15" x14ac:dyDescent="0.2">
      <c r="A68" s="6">
        <v>45852</v>
      </c>
      <c r="B68" t="s">
        <v>15</v>
      </c>
      <c r="C68" t="s">
        <v>16</v>
      </c>
      <c r="D68" s="1">
        <v>45855</v>
      </c>
      <c r="E68" t="s">
        <v>19</v>
      </c>
      <c r="F68">
        <v>3750</v>
      </c>
      <c r="J68">
        <v>0.1</v>
      </c>
      <c r="K68">
        <v>0.1</v>
      </c>
      <c r="L68">
        <v>0</v>
      </c>
      <c r="M68" t="s">
        <v>18</v>
      </c>
      <c r="N68">
        <v>0</v>
      </c>
      <c r="O68">
        <v>0</v>
      </c>
    </row>
    <row r="69" spans="1:15" x14ac:dyDescent="0.2">
      <c r="A69" s="6">
        <v>45852</v>
      </c>
      <c r="B69" t="s">
        <v>15</v>
      </c>
      <c r="C69" t="s">
        <v>16</v>
      </c>
      <c r="D69" s="1">
        <v>45855</v>
      </c>
      <c r="E69" t="s">
        <v>17</v>
      </c>
      <c r="F69">
        <v>6850</v>
      </c>
      <c r="G69">
        <v>7.4</v>
      </c>
      <c r="H69">
        <v>12.7</v>
      </c>
      <c r="I69">
        <v>4.9000000000000004</v>
      </c>
      <c r="J69">
        <v>5.3</v>
      </c>
      <c r="K69">
        <v>9.1999999999999993</v>
      </c>
      <c r="L69">
        <v>1077</v>
      </c>
      <c r="M69" t="s">
        <v>58</v>
      </c>
      <c r="N69">
        <v>7386.83</v>
      </c>
      <c r="O69">
        <v>265</v>
      </c>
    </row>
    <row r="70" spans="1:15" x14ac:dyDescent="0.2">
      <c r="A70" s="6">
        <v>45852</v>
      </c>
      <c r="B70" t="s">
        <v>15</v>
      </c>
      <c r="C70" t="s">
        <v>16</v>
      </c>
      <c r="D70" s="1">
        <v>45855</v>
      </c>
      <c r="E70" t="s">
        <v>17</v>
      </c>
      <c r="F70">
        <v>7350</v>
      </c>
      <c r="G70">
        <v>5.8</v>
      </c>
      <c r="H70">
        <v>6.6</v>
      </c>
      <c r="I70">
        <v>4.2</v>
      </c>
      <c r="J70">
        <v>4.7</v>
      </c>
      <c r="K70">
        <v>5.8</v>
      </c>
      <c r="L70">
        <v>26</v>
      </c>
      <c r="M70" t="s">
        <v>59</v>
      </c>
      <c r="N70">
        <v>191.23</v>
      </c>
      <c r="O70">
        <v>191</v>
      </c>
    </row>
    <row r="71" spans="1:15" x14ac:dyDescent="0.2">
      <c r="A71" s="6">
        <v>45852</v>
      </c>
      <c r="B71" t="s">
        <v>15</v>
      </c>
      <c r="C71" t="s">
        <v>16</v>
      </c>
      <c r="D71" s="1">
        <v>45855</v>
      </c>
      <c r="E71" t="s">
        <v>19</v>
      </c>
      <c r="F71">
        <v>7150</v>
      </c>
      <c r="J71">
        <v>1378.3</v>
      </c>
      <c r="K71">
        <v>1267.8</v>
      </c>
      <c r="L71">
        <v>0</v>
      </c>
      <c r="M71" t="s">
        <v>18</v>
      </c>
      <c r="N71">
        <v>0</v>
      </c>
      <c r="O71">
        <v>0</v>
      </c>
    </row>
    <row r="72" spans="1:15" x14ac:dyDescent="0.2">
      <c r="A72" s="6">
        <v>45852</v>
      </c>
      <c r="B72" t="s">
        <v>15</v>
      </c>
      <c r="C72" t="s">
        <v>16</v>
      </c>
      <c r="D72" s="1">
        <v>45855</v>
      </c>
      <c r="E72" t="s">
        <v>17</v>
      </c>
      <c r="F72">
        <v>6700</v>
      </c>
      <c r="G72">
        <v>11.8</v>
      </c>
      <c r="H72">
        <v>16.3</v>
      </c>
      <c r="I72">
        <v>5.4</v>
      </c>
      <c r="J72">
        <v>5.9</v>
      </c>
      <c r="K72">
        <v>11.2</v>
      </c>
      <c r="L72">
        <v>4979</v>
      </c>
      <c r="M72" t="s">
        <v>60</v>
      </c>
      <c r="N72">
        <v>33412.86</v>
      </c>
      <c r="O72">
        <v>1685</v>
      </c>
    </row>
    <row r="73" spans="1:15" x14ac:dyDescent="0.2">
      <c r="A73" s="6">
        <v>45852</v>
      </c>
      <c r="B73" t="s">
        <v>15</v>
      </c>
      <c r="C73" t="s">
        <v>16</v>
      </c>
      <c r="D73" s="1">
        <v>45855</v>
      </c>
      <c r="E73" t="s">
        <v>17</v>
      </c>
      <c r="F73">
        <v>6800</v>
      </c>
      <c r="G73">
        <v>9.6999999999999993</v>
      </c>
      <c r="H73">
        <v>13.4</v>
      </c>
      <c r="I73">
        <v>5</v>
      </c>
      <c r="J73">
        <v>5.6</v>
      </c>
      <c r="K73">
        <v>9.6</v>
      </c>
      <c r="L73">
        <v>4786</v>
      </c>
      <c r="M73" t="s">
        <v>61</v>
      </c>
      <c r="N73">
        <v>32585.45</v>
      </c>
      <c r="O73">
        <v>1161</v>
      </c>
    </row>
    <row r="74" spans="1:15" x14ac:dyDescent="0.2">
      <c r="A74" s="6">
        <v>45852</v>
      </c>
      <c r="B74" t="s">
        <v>15</v>
      </c>
      <c r="C74" t="s">
        <v>16</v>
      </c>
      <c r="D74" s="1">
        <v>45855</v>
      </c>
      <c r="E74" t="s">
        <v>19</v>
      </c>
      <c r="F74">
        <v>6400</v>
      </c>
      <c r="G74">
        <v>519.6</v>
      </c>
      <c r="H74">
        <v>644</v>
      </c>
      <c r="I74">
        <v>452.7</v>
      </c>
      <c r="J74">
        <v>591.9</v>
      </c>
      <c r="K74">
        <v>612.1</v>
      </c>
      <c r="L74">
        <v>107</v>
      </c>
      <c r="M74" t="s">
        <v>62</v>
      </c>
      <c r="N74">
        <v>738.97</v>
      </c>
      <c r="O74">
        <v>764</v>
      </c>
    </row>
    <row r="75" spans="1:15" x14ac:dyDescent="0.2">
      <c r="A75" s="6">
        <v>45852</v>
      </c>
      <c r="B75" t="s">
        <v>15</v>
      </c>
      <c r="C75" t="s">
        <v>16</v>
      </c>
      <c r="D75" s="1">
        <v>45855</v>
      </c>
      <c r="E75" t="s">
        <v>17</v>
      </c>
      <c r="F75">
        <v>3650</v>
      </c>
      <c r="J75">
        <v>2120</v>
      </c>
      <c r="K75">
        <v>2228.8000000000002</v>
      </c>
      <c r="L75">
        <v>0</v>
      </c>
      <c r="M75" t="s">
        <v>18</v>
      </c>
      <c r="N75">
        <v>0</v>
      </c>
      <c r="O75">
        <v>0</v>
      </c>
    </row>
    <row r="76" spans="1:15" x14ac:dyDescent="0.2">
      <c r="A76" s="6">
        <v>45852</v>
      </c>
      <c r="B76" t="s">
        <v>15</v>
      </c>
      <c r="C76" t="s">
        <v>16</v>
      </c>
      <c r="D76" s="1">
        <v>45855</v>
      </c>
      <c r="E76" t="s">
        <v>19</v>
      </c>
      <c r="F76">
        <v>5450</v>
      </c>
      <c r="G76">
        <v>13.7</v>
      </c>
      <c r="H76">
        <v>20</v>
      </c>
      <c r="I76">
        <v>10.4</v>
      </c>
      <c r="J76">
        <v>15</v>
      </c>
      <c r="K76">
        <v>16</v>
      </c>
      <c r="L76">
        <v>8414</v>
      </c>
      <c r="M76" t="s">
        <v>63</v>
      </c>
      <c r="N76">
        <v>45986.2</v>
      </c>
      <c r="O76">
        <v>1018</v>
      </c>
    </row>
    <row r="77" spans="1:15" x14ac:dyDescent="0.2">
      <c r="A77" s="6">
        <v>45852</v>
      </c>
      <c r="B77" t="s">
        <v>15</v>
      </c>
      <c r="C77" t="s">
        <v>16</v>
      </c>
      <c r="D77" s="1">
        <v>45855</v>
      </c>
      <c r="E77" t="s">
        <v>19</v>
      </c>
      <c r="F77">
        <v>5800</v>
      </c>
      <c r="G77">
        <v>79.7</v>
      </c>
      <c r="H77">
        <v>115.5</v>
      </c>
      <c r="I77">
        <v>51</v>
      </c>
      <c r="J77">
        <v>102.5</v>
      </c>
      <c r="K77">
        <v>80.3</v>
      </c>
      <c r="L77">
        <v>315973</v>
      </c>
      <c r="M77" t="s">
        <v>64</v>
      </c>
      <c r="N77">
        <v>1859693.74</v>
      </c>
      <c r="O77">
        <v>6904</v>
      </c>
    </row>
    <row r="78" spans="1:15" x14ac:dyDescent="0.2">
      <c r="A78" s="6">
        <v>45852</v>
      </c>
      <c r="B78" t="s">
        <v>15</v>
      </c>
      <c r="C78" t="s">
        <v>16</v>
      </c>
      <c r="D78" s="1">
        <v>45855</v>
      </c>
      <c r="E78" t="s">
        <v>17</v>
      </c>
      <c r="F78">
        <v>7500</v>
      </c>
      <c r="G78">
        <v>4</v>
      </c>
      <c r="H78">
        <v>5.7</v>
      </c>
      <c r="I78">
        <v>3.3</v>
      </c>
      <c r="J78">
        <v>3.7</v>
      </c>
      <c r="K78">
        <v>5.2</v>
      </c>
      <c r="L78">
        <v>3651</v>
      </c>
      <c r="M78" t="s">
        <v>65</v>
      </c>
      <c r="N78">
        <v>27398.31</v>
      </c>
      <c r="O78">
        <v>2697</v>
      </c>
    </row>
    <row r="79" spans="1:15" x14ac:dyDescent="0.2">
      <c r="A79" s="6">
        <v>45852</v>
      </c>
      <c r="B79" t="s">
        <v>15</v>
      </c>
      <c r="C79" t="s">
        <v>16</v>
      </c>
      <c r="D79" s="1">
        <v>45855</v>
      </c>
      <c r="E79" t="s">
        <v>17</v>
      </c>
      <c r="F79">
        <v>6900</v>
      </c>
      <c r="G79">
        <v>9.6999999999999993</v>
      </c>
      <c r="H79">
        <v>11.3</v>
      </c>
      <c r="I79">
        <v>4.9000000000000004</v>
      </c>
      <c r="J79">
        <v>5.4</v>
      </c>
      <c r="K79">
        <v>9.1999999999999993</v>
      </c>
      <c r="L79">
        <v>1455</v>
      </c>
      <c r="M79" t="s">
        <v>66</v>
      </c>
      <c r="N79">
        <v>10050.59</v>
      </c>
      <c r="O79">
        <v>760</v>
      </c>
    </row>
    <row r="80" spans="1:15" x14ac:dyDescent="0.2">
      <c r="A80" s="6">
        <v>45852</v>
      </c>
      <c r="B80" t="s">
        <v>15</v>
      </c>
      <c r="C80" t="s">
        <v>16</v>
      </c>
      <c r="D80" s="1">
        <v>45855</v>
      </c>
      <c r="E80" t="s">
        <v>19</v>
      </c>
      <c r="F80">
        <v>4550</v>
      </c>
      <c r="J80">
        <v>0.1</v>
      </c>
      <c r="K80">
        <v>0.1</v>
      </c>
      <c r="L80">
        <v>0</v>
      </c>
      <c r="M80" t="s">
        <v>18</v>
      </c>
      <c r="N80">
        <v>0</v>
      </c>
      <c r="O80">
        <v>2</v>
      </c>
    </row>
    <row r="81" spans="1:15" x14ac:dyDescent="0.2">
      <c r="A81" s="6">
        <v>45852</v>
      </c>
      <c r="B81" t="s">
        <v>15</v>
      </c>
      <c r="C81" t="s">
        <v>16</v>
      </c>
      <c r="D81" s="1">
        <v>45855</v>
      </c>
      <c r="E81" t="s">
        <v>17</v>
      </c>
      <c r="F81">
        <v>3600</v>
      </c>
      <c r="J81">
        <v>2169.9</v>
      </c>
      <c r="K81">
        <v>2278.8000000000002</v>
      </c>
      <c r="L81">
        <v>0</v>
      </c>
      <c r="M81" t="s">
        <v>18</v>
      </c>
      <c r="N81">
        <v>0</v>
      </c>
      <c r="O81">
        <v>0</v>
      </c>
    </row>
    <row r="82" spans="1:15" x14ac:dyDescent="0.2">
      <c r="A82" s="6">
        <v>45852</v>
      </c>
      <c r="B82" t="s">
        <v>15</v>
      </c>
      <c r="C82" t="s">
        <v>16</v>
      </c>
      <c r="D82" s="1">
        <v>45855</v>
      </c>
      <c r="E82" t="s">
        <v>17</v>
      </c>
      <c r="F82">
        <v>3700</v>
      </c>
      <c r="J82">
        <v>2070</v>
      </c>
      <c r="K82">
        <v>2178.9</v>
      </c>
      <c r="L82">
        <v>0</v>
      </c>
      <c r="M82" t="s">
        <v>18</v>
      </c>
      <c r="N82">
        <v>0</v>
      </c>
      <c r="O82">
        <v>0</v>
      </c>
    </row>
    <row r="83" spans="1:15" x14ac:dyDescent="0.2">
      <c r="A83" s="6">
        <v>45852</v>
      </c>
      <c r="B83" t="s">
        <v>15</v>
      </c>
      <c r="C83" t="s">
        <v>16</v>
      </c>
      <c r="D83" s="1">
        <v>45855</v>
      </c>
      <c r="E83" t="s">
        <v>17</v>
      </c>
      <c r="F83">
        <v>6950</v>
      </c>
      <c r="G83">
        <v>8.8000000000000007</v>
      </c>
      <c r="H83">
        <v>10.7</v>
      </c>
      <c r="I83">
        <v>5</v>
      </c>
      <c r="J83">
        <v>5.2</v>
      </c>
      <c r="K83">
        <v>8.8000000000000007</v>
      </c>
      <c r="L83">
        <v>672</v>
      </c>
      <c r="M83" t="s">
        <v>67</v>
      </c>
      <c r="N83">
        <v>4675.4399999999996</v>
      </c>
      <c r="O83">
        <v>375</v>
      </c>
    </row>
    <row r="84" spans="1:15" x14ac:dyDescent="0.2">
      <c r="A84" s="6">
        <v>45852</v>
      </c>
      <c r="B84" t="s">
        <v>15</v>
      </c>
      <c r="C84" t="s">
        <v>16</v>
      </c>
      <c r="D84" s="1">
        <v>45855</v>
      </c>
      <c r="E84" t="s">
        <v>17</v>
      </c>
      <c r="F84">
        <v>4150</v>
      </c>
      <c r="J84">
        <v>1620.2</v>
      </c>
      <c r="K84">
        <v>1729.3</v>
      </c>
      <c r="L84">
        <v>0</v>
      </c>
      <c r="M84" t="s">
        <v>18</v>
      </c>
      <c r="N84">
        <v>0</v>
      </c>
      <c r="O84">
        <v>0</v>
      </c>
    </row>
    <row r="85" spans="1:15" x14ac:dyDescent="0.2">
      <c r="A85" s="6">
        <v>45852</v>
      </c>
      <c r="B85" t="s">
        <v>15</v>
      </c>
      <c r="C85" t="s">
        <v>16</v>
      </c>
      <c r="D85" s="1">
        <v>45855</v>
      </c>
      <c r="E85" t="s">
        <v>17</v>
      </c>
      <c r="F85">
        <v>5900</v>
      </c>
      <c r="G85">
        <v>111.5</v>
      </c>
      <c r="H85">
        <v>177</v>
      </c>
      <c r="I85">
        <v>37</v>
      </c>
      <c r="J85">
        <v>42.9</v>
      </c>
      <c r="K85">
        <v>106.2</v>
      </c>
      <c r="L85">
        <v>312041</v>
      </c>
      <c r="M85" t="s">
        <v>68</v>
      </c>
      <c r="N85">
        <v>1873003.91</v>
      </c>
      <c r="O85">
        <v>11783</v>
      </c>
    </row>
    <row r="86" spans="1:15" x14ac:dyDescent="0.2">
      <c r="A86" s="6">
        <v>45852</v>
      </c>
      <c r="B86" t="s">
        <v>15</v>
      </c>
      <c r="C86" t="s">
        <v>16</v>
      </c>
      <c r="D86" s="1">
        <v>45855</v>
      </c>
      <c r="E86" t="s">
        <v>17</v>
      </c>
      <c r="F86">
        <v>5200</v>
      </c>
      <c r="G86">
        <v>700</v>
      </c>
      <c r="H86">
        <v>800</v>
      </c>
      <c r="I86">
        <v>569.9</v>
      </c>
      <c r="J86">
        <v>689.7</v>
      </c>
      <c r="K86">
        <v>602.9</v>
      </c>
      <c r="L86">
        <v>10</v>
      </c>
      <c r="M86" t="s">
        <v>69</v>
      </c>
      <c r="N86">
        <v>58.9</v>
      </c>
      <c r="O86">
        <v>81</v>
      </c>
    </row>
    <row r="87" spans="1:15" x14ac:dyDescent="0.2">
      <c r="A87" s="6">
        <v>45852</v>
      </c>
      <c r="B87" t="s">
        <v>15</v>
      </c>
      <c r="C87" t="s">
        <v>16</v>
      </c>
      <c r="D87" s="1">
        <v>45855</v>
      </c>
      <c r="E87" t="s">
        <v>17</v>
      </c>
      <c r="F87">
        <v>4550</v>
      </c>
      <c r="J87">
        <v>1220.4000000000001</v>
      </c>
      <c r="K87">
        <v>1329.7</v>
      </c>
      <c r="L87">
        <v>0</v>
      </c>
      <c r="M87" t="s">
        <v>18</v>
      </c>
      <c r="N87">
        <v>0</v>
      </c>
      <c r="O87">
        <v>0</v>
      </c>
    </row>
    <row r="88" spans="1:15" x14ac:dyDescent="0.2">
      <c r="A88" s="6">
        <v>45852</v>
      </c>
      <c r="B88" t="s">
        <v>15</v>
      </c>
      <c r="C88" t="s">
        <v>16</v>
      </c>
      <c r="D88" s="1">
        <v>45855</v>
      </c>
      <c r="E88" t="s">
        <v>19</v>
      </c>
      <c r="F88">
        <v>6250</v>
      </c>
      <c r="G88">
        <v>379.6</v>
      </c>
      <c r="H88">
        <v>507</v>
      </c>
      <c r="I88">
        <v>317.89999999999998</v>
      </c>
      <c r="J88">
        <v>472.8</v>
      </c>
      <c r="K88">
        <v>411.3</v>
      </c>
      <c r="L88">
        <v>136</v>
      </c>
      <c r="M88" t="s">
        <v>70</v>
      </c>
      <c r="N88">
        <v>899.3</v>
      </c>
      <c r="O88">
        <v>77</v>
      </c>
    </row>
    <row r="89" spans="1:15" x14ac:dyDescent="0.2">
      <c r="A89" s="6">
        <v>45852</v>
      </c>
      <c r="B89" t="s">
        <v>15</v>
      </c>
      <c r="C89" t="s">
        <v>16</v>
      </c>
      <c r="D89" s="1">
        <v>45855</v>
      </c>
      <c r="E89" t="s">
        <v>17</v>
      </c>
      <c r="F89">
        <v>4500</v>
      </c>
      <c r="J89">
        <v>1270.4000000000001</v>
      </c>
      <c r="K89">
        <v>1379.6</v>
      </c>
      <c r="L89">
        <v>0</v>
      </c>
      <c r="M89" t="s">
        <v>18</v>
      </c>
      <c r="N89">
        <v>0</v>
      </c>
      <c r="O89">
        <v>0</v>
      </c>
    </row>
    <row r="90" spans="1:15" x14ac:dyDescent="0.2">
      <c r="A90" s="6">
        <v>45852</v>
      </c>
      <c r="B90" t="s">
        <v>15</v>
      </c>
      <c r="C90" t="s">
        <v>16</v>
      </c>
      <c r="D90" s="1">
        <v>45855</v>
      </c>
      <c r="E90" t="s">
        <v>17</v>
      </c>
      <c r="F90">
        <v>4050</v>
      </c>
      <c r="J90">
        <v>1720.2</v>
      </c>
      <c r="K90">
        <v>1829.2</v>
      </c>
      <c r="L90">
        <v>0</v>
      </c>
      <c r="M90" t="s">
        <v>18</v>
      </c>
      <c r="N90">
        <v>0</v>
      </c>
      <c r="O90">
        <v>0</v>
      </c>
    </row>
    <row r="91" spans="1:15" x14ac:dyDescent="0.2">
      <c r="A91" s="6">
        <v>45852</v>
      </c>
      <c r="B91" t="s">
        <v>15</v>
      </c>
      <c r="C91" t="s">
        <v>16</v>
      </c>
      <c r="D91" s="1">
        <v>45855</v>
      </c>
      <c r="E91" t="s">
        <v>17</v>
      </c>
      <c r="F91">
        <v>5050</v>
      </c>
      <c r="G91">
        <v>850.1</v>
      </c>
      <c r="H91">
        <v>871.9</v>
      </c>
      <c r="I91">
        <v>850</v>
      </c>
      <c r="J91">
        <v>860.9</v>
      </c>
      <c r="K91">
        <v>830.3</v>
      </c>
      <c r="L91">
        <v>8</v>
      </c>
      <c r="M91" t="s">
        <v>71</v>
      </c>
      <c r="N91">
        <v>47.29</v>
      </c>
      <c r="O91">
        <v>1</v>
      </c>
    </row>
    <row r="92" spans="1:15" x14ac:dyDescent="0.2">
      <c r="A92" s="6">
        <v>45852</v>
      </c>
      <c r="B92" t="s">
        <v>15</v>
      </c>
      <c r="C92" t="s">
        <v>16</v>
      </c>
      <c r="D92" s="1">
        <v>45855</v>
      </c>
      <c r="E92" t="s">
        <v>19</v>
      </c>
      <c r="F92">
        <v>7500</v>
      </c>
      <c r="J92">
        <v>1728.2</v>
      </c>
      <c r="K92">
        <v>1617.4</v>
      </c>
      <c r="L92">
        <v>0</v>
      </c>
      <c r="M92" t="s">
        <v>18</v>
      </c>
      <c r="N92">
        <v>0</v>
      </c>
      <c r="O92">
        <v>0</v>
      </c>
    </row>
    <row r="93" spans="1:15" x14ac:dyDescent="0.2">
      <c r="A93" s="6">
        <v>45852</v>
      </c>
      <c r="B93" t="s">
        <v>15</v>
      </c>
      <c r="C93" t="s">
        <v>16</v>
      </c>
      <c r="D93" s="1">
        <v>45855</v>
      </c>
      <c r="E93" t="s">
        <v>19</v>
      </c>
      <c r="F93">
        <v>5150</v>
      </c>
      <c r="G93">
        <v>7.7</v>
      </c>
      <c r="H93">
        <v>7.7</v>
      </c>
      <c r="I93">
        <v>4.0999999999999996</v>
      </c>
      <c r="J93">
        <v>4.9000000000000004</v>
      </c>
      <c r="K93">
        <v>7.7</v>
      </c>
      <c r="L93">
        <v>654</v>
      </c>
      <c r="M93" t="s">
        <v>72</v>
      </c>
      <c r="N93">
        <v>3371.72</v>
      </c>
      <c r="O93">
        <v>247</v>
      </c>
    </row>
    <row r="94" spans="1:15" x14ac:dyDescent="0.2">
      <c r="A94" s="6">
        <v>45852</v>
      </c>
      <c r="B94" t="s">
        <v>15</v>
      </c>
      <c r="C94" t="s">
        <v>16</v>
      </c>
      <c r="D94" s="1">
        <v>45855</v>
      </c>
      <c r="E94" t="s">
        <v>19</v>
      </c>
      <c r="F94">
        <v>7250</v>
      </c>
      <c r="J94">
        <v>1478.3</v>
      </c>
      <c r="K94">
        <v>1367.7</v>
      </c>
      <c r="L94">
        <v>0</v>
      </c>
      <c r="M94" t="s">
        <v>18</v>
      </c>
      <c r="N94">
        <v>0</v>
      </c>
      <c r="O94">
        <v>0</v>
      </c>
    </row>
    <row r="95" spans="1:15" x14ac:dyDescent="0.2">
      <c r="A95" s="6">
        <v>45852</v>
      </c>
      <c r="B95" t="s">
        <v>15</v>
      </c>
      <c r="C95" t="s">
        <v>16</v>
      </c>
      <c r="D95" s="1">
        <v>45855</v>
      </c>
      <c r="E95" t="s">
        <v>17</v>
      </c>
      <c r="F95">
        <v>5150</v>
      </c>
      <c r="J95">
        <v>620.70000000000005</v>
      </c>
      <c r="K95">
        <v>677.5</v>
      </c>
      <c r="L95">
        <v>0</v>
      </c>
      <c r="M95" t="s">
        <v>18</v>
      </c>
      <c r="N95">
        <v>0</v>
      </c>
      <c r="O95">
        <v>3</v>
      </c>
    </row>
    <row r="96" spans="1:15" x14ac:dyDescent="0.2">
      <c r="A96" s="6">
        <v>45852</v>
      </c>
      <c r="B96" t="s">
        <v>15</v>
      </c>
      <c r="C96" t="s">
        <v>16</v>
      </c>
      <c r="D96" s="1">
        <v>45855</v>
      </c>
      <c r="E96" t="s">
        <v>19</v>
      </c>
      <c r="F96">
        <v>4400</v>
      </c>
      <c r="J96">
        <v>0.1</v>
      </c>
      <c r="K96">
        <v>0.1</v>
      </c>
      <c r="L96">
        <v>0</v>
      </c>
      <c r="M96" t="s">
        <v>18</v>
      </c>
      <c r="N96">
        <v>0</v>
      </c>
      <c r="O96">
        <v>1</v>
      </c>
    </row>
    <row r="97" spans="1:15" x14ac:dyDescent="0.2">
      <c r="A97" s="6">
        <v>45852</v>
      </c>
      <c r="B97" t="s">
        <v>15</v>
      </c>
      <c r="C97" t="s">
        <v>16</v>
      </c>
      <c r="D97" s="1">
        <v>45855</v>
      </c>
      <c r="E97" t="s">
        <v>17</v>
      </c>
      <c r="F97">
        <v>6250</v>
      </c>
      <c r="G97">
        <v>28.1</v>
      </c>
      <c r="H97">
        <v>55.3</v>
      </c>
      <c r="I97">
        <v>11.4</v>
      </c>
      <c r="J97">
        <v>11.8</v>
      </c>
      <c r="K97">
        <v>26.8</v>
      </c>
      <c r="L97">
        <v>26447</v>
      </c>
      <c r="M97" t="s">
        <v>73</v>
      </c>
      <c r="N97">
        <v>166276.73000000001</v>
      </c>
      <c r="O97">
        <v>2518</v>
      </c>
    </row>
    <row r="98" spans="1:15" x14ac:dyDescent="0.2">
      <c r="A98" s="6">
        <v>45852</v>
      </c>
      <c r="B98" t="s">
        <v>15</v>
      </c>
      <c r="C98" t="s">
        <v>16</v>
      </c>
      <c r="D98" s="1">
        <v>45855</v>
      </c>
      <c r="E98" t="s">
        <v>17</v>
      </c>
      <c r="F98">
        <v>5800</v>
      </c>
      <c r="G98">
        <v>160.19999999999999</v>
      </c>
      <c r="H98">
        <v>242</v>
      </c>
      <c r="I98">
        <v>66.099999999999994</v>
      </c>
      <c r="J98">
        <v>75.599999999999994</v>
      </c>
      <c r="K98">
        <v>158.69999999999999</v>
      </c>
      <c r="L98">
        <v>213334</v>
      </c>
      <c r="M98" t="s">
        <v>74</v>
      </c>
      <c r="N98">
        <v>1264643.8600000001</v>
      </c>
      <c r="O98">
        <v>10437</v>
      </c>
    </row>
    <row r="99" spans="1:15" x14ac:dyDescent="0.2">
      <c r="A99" s="6">
        <v>45852</v>
      </c>
      <c r="B99" t="s">
        <v>15</v>
      </c>
      <c r="C99" t="s">
        <v>16</v>
      </c>
      <c r="D99" s="1">
        <v>45855</v>
      </c>
      <c r="E99" t="s">
        <v>17</v>
      </c>
      <c r="F99">
        <v>5450</v>
      </c>
      <c r="G99">
        <v>463</v>
      </c>
      <c r="H99">
        <v>540.5</v>
      </c>
      <c r="I99">
        <v>324.60000000000002</v>
      </c>
      <c r="J99">
        <v>337.4</v>
      </c>
      <c r="K99">
        <v>422.2</v>
      </c>
      <c r="L99">
        <v>40</v>
      </c>
      <c r="M99" t="s">
        <v>75</v>
      </c>
      <c r="N99">
        <v>233.45</v>
      </c>
      <c r="O99">
        <v>51</v>
      </c>
    </row>
    <row r="100" spans="1:15" x14ac:dyDescent="0.2">
      <c r="A100" s="6">
        <v>45852</v>
      </c>
      <c r="B100" t="s">
        <v>15</v>
      </c>
      <c r="C100" t="s">
        <v>16</v>
      </c>
      <c r="D100" s="1">
        <v>45855</v>
      </c>
      <c r="E100" t="s">
        <v>17</v>
      </c>
      <c r="F100">
        <v>6350</v>
      </c>
      <c r="G100">
        <v>17.899999999999999</v>
      </c>
      <c r="H100">
        <v>40.799999999999997</v>
      </c>
      <c r="I100">
        <v>8.6</v>
      </c>
      <c r="J100">
        <v>9.6</v>
      </c>
      <c r="K100">
        <v>21</v>
      </c>
      <c r="L100">
        <v>12717</v>
      </c>
      <c r="M100" t="s">
        <v>76</v>
      </c>
      <c r="N100">
        <v>81067.38</v>
      </c>
      <c r="O100">
        <v>1710</v>
      </c>
    </row>
    <row r="101" spans="1:15" x14ac:dyDescent="0.2">
      <c r="A101" s="6">
        <v>45852</v>
      </c>
      <c r="B101" t="s">
        <v>15</v>
      </c>
      <c r="C101" t="s">
        <v>16</v>
      </c>
      <c r="D101" s="1">
        <v>45855</v>
      </c>
      <c r="E101" t="s">
        <v>19</v>
      </c>
      <c r="F101">
        <v>4650</v>
      </c>
      <c r="G101">
        <v>5.2</v>
      </c>
      <c r="H101">
        <v>5.2</v>
      </c>
      <c r="I101">
        <v>3.4</v>
      </c>
      <c r="J101">
        <v>3.7</v>
      </c>
      <c r="K101">
        <v>5.0999999999999996</v>
      </c>
      <c r="L101">
        <v>65</v>
      </c>
      <c r="M101" t="s">
        <v>77</v>
      </c>
      <c r="N101">
        <v>302.5</v>
      </c>
      <c r="O101">
        <v>5</v>
      </c>
    </row>
    <row r="102" spans="1:15" x14ac:dyDescent="0.2">
      <c r="A102" s="6">
        <v>45852</v>
      </c>
      <c r="B102" t="s">
        <v>15</v>
      </c>
      <c r="C102" t="s">
        <v>16</v>
      </c>
      <c r="D102" s="1">
        <v>45855</v>
      </c>
      <c r="E102" t="s">
        <v>19</v>
      </c>
      <c r="F102">
        <v>6850</v>
      </c>
      <c r="G102">
        <v>960.9</v>
      </c>
      <c r="H102">
        <v>1093</v>
      </c>
      <c r="I102">
        <v>900</v>
      </c>
      <c r="J102">
        <v>966.4</v>
      </c>
      <c r="K102">
        <v>968.2</v>
      </c>
      <c r="L102">
        <v>4</v>
      </c>
      <c r="M102" t="s">
        <v>78</v>
      </c>
      <c r="N102">
        <v>31.27</v>
      </c>
      <c r="O102">
        <v>5</v>
      </c>
    </row>
    <row r="103" spans="1:15" x14ac:dyDescent="0.2">
      <c r="A103" s="6">
        <v>45852</v>
      </c>
      <c r="B103" t="s">
        <v>15</v>
      </c>
      <c r="C103" t="s">
        <v>16</v>
      </c>
      <c r="D103" s="1">
        <v>45855</v>
      </c>
      <c r="E103" t="s">
        <v>17</v>
      </c>
      <c r="F103">
        <v>7050</v>
      </c>
      <c r="G103">
        <v>6.7</v>
      </c>
      <c r="H103">
        <v>10.8</v>
      </c>
      <c r="I103">
        <v>4.5999999999999996</v>
      </c>
      <c r="J103">
        <v>5.0999999999999996</v>
      </c>
      <c r="K103">
        <v>7.9</v>
      </c>
      <c r="L103">
        <v>419</v>
      </c>
      <c r="M103" t="s">
        <v>79</v>
      </c>
      <c r="N103">
        <v>2956.86</v>
      </c>
      <c r="O103">
        <v>206</v>
      </c>
    </row>
    <row r="104" spans="1:15" x14ac:dyDescent="0.2">
      <c r="A104" s="6">
        <v>45852</v>
      </c>
      <c r="B104" t="s">
        <v>15</v>
      </c>
      <c r="C104" t="s">
        <v>16</v>
      </c>
      <c r="D104" s="1">
        <v>45855</v>
      </c>
      <c r="E104" t="s">
        <v>17</v>
      </c>
      <c r="F104">
        <v>7000</v>
      </c>
      <c r="G104">
        <v>7.8</v>
      </c>
      <c r="H104">
        <v>9.3000000000000007</v>
      </c>
      <c r="I104">
        <v>4.3</v>
      </c>
      <c r="J104">
        <v>5.0999999999999996</v>
      </c>
      <c r="K104">
        <v>7.8</v>
      </c>
      <c r="L104">
        <v>6572</v>
      </c>
      <c r="M104" t="s">
        <v>80</v>
      </c>
      <c r="N104">
        <v>46045.86</v>
      </c>
      <c r="O104">
        <v>3544</v>
      </c>
    </row>
    <row r="105" spans="1:15" x14ac:dyDescent="0.2">
      <c r="A105" s="6">
        <v>45852</v>
      </c>
      <c r="B105" t="s">
        <v>15</v>
      </c>
      <c r="C105" t="s">
        <v>16</v>
      </c>
      <c r="D105" s="1">
        <v>45855</v>
      </c>
      <c r="E105" t="s">
        <v>19</v>
      </c>
      <c r="F105">
        <v>7350</v>
      </c>
      <c r="J105">
        <v>1578.2</v>
      </c>
      <c r="K105">
        <v>1467.6</v>
      </c>
      <c r="L105">
        <v>0</v>
      </c>
      <c r="M105" t="s">
        <v>18</v>
      </c>
      <c r="N105">
        <v>0</v>
      </c>
      <c r="O105">
        <v>0</v>
      </c>
    </row>
    <row r="106" spans="1:15" x14ac:dyDescent="0.2">
      <c r="A106" s="6">
        <v>45852</v>
      </c>
      <c r="B106" t="s">
        <v>15</v>
      </c>
      <c r="C106" t="s">
        <v>16</v>
      </c>
      <c r="D106" s="1">
        <v>45855</v>
      </c>
      <c r="E106" t="s">
        <v>19</v>
      </c>
      <c r="F106">
        <v>5350</v>
      </c>
      <c r="G106">
        <v>8.3000000000000007</v>
      </c>
      <c r="H106">
        <v>12.7</v>
      </c>
      <c r="I106">
        <v>6.7</v>
      </c>
      <c r="J106">
        <v>9.9</v>
      </c>
      <c r="K106">
        <v>12.1</v>
      </c>
      <c r="L106">
        <v>3054</v>
      </c>
      <c r="M106" t="s">
        <v>81</v>
      </c>
      <c r="N106">
        <v>16368.82</v>
      </c>
      <c r="O106">
        <v>607</v>
      </c>
    </row>
    <row r="107" spans="1:15" x14ac:dyDescent="0.2">
      <c r="A107" s="6">
        <v>45852</v>
      </c>
      <c r="B107" t="s">
        <v>15</v>
      </c>
      <c r="C107" t="s">
        <v>16</v>
      </c>
      <c r="D107" s="1">
        <v>45855</v>
      </c>
      <c r="E107" t="s">
        <v>19</v>
      </c>
      <c r="F107">
        <v>4500</v>
      </c>
      <c r="G107">
        <v>3.6</v>
      </c>
      <c r="H107">
        <v>4</v>
      </c>
      <c r="I107">
        <v>2.8</v>
      </c>
      <c r="J107">
        <v>3.1</v>
      </c>
      <c r="K107">
        <v>4.5</v>
      </c>
      <c r="L107">
        <v>802</v>
      </c>
      <c r="M107" t="s">
        <v>82</v>
      </c>
      <c r="N107">
        <v>3611.77</v>
      </c>
      <c r="O107">
        <v>674</v>
      </c>
    </row>
    <row r="108" spans="1:15" x14ac:dyDescent="0.2">
      <c r="A108" s="6">
        <v>45852</v>
      </c>
      <c r="B108" t="s">
        <v>15</v>
      </c>
      <c r="C108" t="s">
        <v>16</v>
      </c>
      <c r="D108" s="1">
        <v>45855</v>
      </c>
      <c r="E108" t="s">
        <v>19</v>
      </c>
      <c r="F108">
        <v>5500</v>
      </c>
      <c r="G108">
        <v>15.3</v>
      </c>
      <c r="H108">
        <v>24.5</v>
      </c>
      <c r="I108">
        <v>12</v>
      </c>
      <c r="J108">
        <v>17.600000000000001</v>
      </c>
      <c r="K108">
        <v>17.7</v>
      </c>
      <c r="L108">
        <v>71223</v>
      </c>
      <c r="M108" t="s">
        <v>83</v>
      </c>
      <c r="N108">
        <v>392998.79</v>
      </c>
      <c r="O108">
        <v>8226</v>
      </c>
    </row>
    <row r="109" spans="1:15" x14ac:dyDescent="0.2">
      <c r="A109" s="6">
        <v>45852</v>
      </c>
      <c r="B109" t="s">
        <v>15</v>
      </c>
      <c r="C109" t="s">
        <v>16</v>
      </c>
      <c r="D109" s="1">
        <v>45855</v>
      </c>
      <c r="E109" t="s">
        <v>17</v>
      </c>
      <c r="F109">
        <v>6300</v>
      </c>
      <c r="G109">
        <v>22.7</v>
      </c>
      <c r="H109">
        <v>47</v>
      </c>
      <c r="I109">
        <v>9.6999999999999993</v>
      </c>
      <c r="J109">
        <v>10.3</v>
      </c>
      <c r="K109">
        <v>22</v>
      </c>
      <c r="L109">
        <v>61906</v>
      </c>
      <c r="M109" t="s">
        <v>84</v>
      </c>
      <c r="N109">
        <v>391799.03</v>
      </c>
      <c r="O109">
        <v>4228</v>
      </c>
    </row>
    <row r="110" spans="1:15" x14ac:dyDescent="0.2">
      <c r="A110" s="6">
        <v>45852</v>
      </c>
      <c r="B110" t="s">
        <v>15</v>
      </c>
      <c r="C110" t="s">
        <v>16</v>
      </c>
      <c r="D110" s="1">
        <v>45855</v>
      </c>
      <c r="E110" t="s">
        <v>19</v>
      </c>
      <c r="F110">
        <v>4350</v>
      </c>
      <c r="J110">
        <v>0.1</v>
      </c>
      <c r="K110">
        <v>0.1</v>
      </c>
      <c r="L110">
        <v>0</v>
      </c>
      <c r="M110" t="s">
        <v>18</v>
      </c>
      <c r="N110">
        <v>0</v>
      </c>
      <c r="O110">
        <v>5</v>
      </c>
    </row>
    <row r="111" spans="1:15" x14ac:dyDescent="0.2">
      <c r="A111" s="6">
        <v>45852</v>
      </c>
      <c r="B111" t="s">
        <v>15</v>
      </c>
      <c r="C111" t="s">
        <v>16</v>
      </c>
      <c r="D111" s="1">
        <v>45855</v>
      </c>
      <c r="E111" t="s">
        <v>19</v>
      </c>
      <c r="F111">
        <v>4100</v>
      </c>
      <c r="J111">
        <v>0.1</v>
      </c>
      <c r="K111">
        <v>0.1</v>
      </c>
      <c r="L111">
        <v>0</v>
      </c>
      <c r="M111" t="s">
        <v>18</v>
      </c>
      <c r="N111">
        <v>0</v>
      </c>
      <c r="O111">
        <v>0</v>
      </c>
    </row>
    <row r="112" spans="1:15" x14ac:dyDescent="0.2">
      <c r="A112" s="6">
        <v>45852</v>
      </c>
      <c r="B112" t="s">
        <v>15</v>
      </c>
      <c r="C112" t="s">
        <v>16</v>
      </c>
      <c r="D112" s="1">
        <v>45855</v>
      </c>
      <c r="E112" t="s">
        <v>17</v>
      </c>
      <c r="F112">
        <v>6500</v>
      </c>
      <c r="G112">
        <v>13.8</v>
      </c>
      <c r="H112">
        <v>26.3</v>
      </c>
      <c r="I112">
        <v>7.1</v>
      </c>
      <c r="J112">
        <v>7.9</v>
      </c>
      <c r="K112">
        <v>15.6</v>
      </c>
      <c r="L112">
        <v>55644</v>
      </c>
      <c r="M112" t="s">
        <v>85</v>
      </c>
      <c r="N112">
        <v>362571.29</v>
      </c>
      <c r="O112">
        <v>10417</v>
      </c>
    </row>
    <row r="113" spans="1:15" x14ac:dyDescent="0.2">
      <c r="A113" s="6">
        <v>45852</v>
      </c>
      <c r="B113" t="s">
        <v>15</v>
      </c>
      <c r="C113" t="s">
        <v>16</v>
      </c>
      <c r="D113" s="1">
        <v>45855</v>
      </c>
      <c r="E113" t="s">
        <v>19</v>
      </c>
      <c r="F113">
        <v>3800</v>
      </c>
      <c r="J113">
        <v>0.1</v>
      </c>
      <c r="K113">
        <v>0.1</v>
      </c>
      <c r="L113">
        <v>0</v>
      </c>
      <c r="M113" t="s">
        <v>18</v>
      </c>
      <c r="N113">
        <v>0</v>
      </c>
      <c r="O113">
        <v>0</v>
      </c>
    </row>
    <row r="114" spans="1:15" x14ac:dyDescent="0.2">
      <c r="A114" s="6">
        <v>45852</v>
      </c>
      <c r="B114" t="s">
        <v>15</v>
      </c>
      <c r="C114" t="s">
        <v>16</v>
      </c>
      <c r="D114" s="1">
        <v>45855</v>
      </c>
      <c r="E114" t="s">
        <v>17</v>
      </c>
      <c r="F114">
        <v>6450</v>
      </c>
      <c r="G114">
        <v>14.6</v>
      </c>
      <c r="H114">
        <v>30.5</v>
      </c>
      <c r="I114">
        <v>7.9</v>
      </c>
      <c r="J114">
        <v>8.6</v>
      </c>
      <c r="K114">
        <v>17.8</v>
      </c>
      <c r="L114">
        <v>7932</v>
      </c>
      <c r="M114" t="s">
        <v>86</v>
      </c>
      <c r="N114">
        <v>51311.67</v>
      </c>
      <c r="O114">
        <v>1702</v>
      </c>
    </row>
    <row r="115" spans="1:15" x14ac:dyDescent="0.2">
      <c r="A115" s="6">
        <v>45852</v>
      </c>
      <c r="B115" t="s">
        <v>15</v>
      </c>
      <c r="C115" t="s">
        <v>16</v>
      </c>
      <c r="D115" s="1">
        <v>45855</v>
      </c>
      <c r="E115" t="s">
        <v>19</v>
      </c>
      <c r="F115">
        <v>6700</v>
      </c>
      <c r="G115">
        <v>871.4</v>
      </c>
      <c r="H115">
        <v>876.4</v>
      </c>
      <c r="I115">
        <v>769.3</v>
      </c>
      <c r="J115">
        <v>839</v>
      </c>
      <c r="K115">
        <v>962.4</v>
      </c>
      <c r="L115">
        <v>3</v>
      </c>
      <c r="M115" t="s">
        <v>34</v>
      </c>
      <c r="N115">
        <v>22.62</v>
      </c>
      <c r="O115">
        <v>179</v>
      </c>
    </row>
    <row r="116" spans="1:15" x14ac:dyDescent="0.2">
      <c r="A116" s="6">
        <v>45852</v>
      </c>
      <c r="B116" t="s">
        <v>15</v>
      </c>
      <c r="C116" t="s">
        <v>16</v>
      </c>
      <c r="D116" s="1">
        <v>45855</v>
      </c>
      <c r="E116" t="s">
        <v>19</v>
      </c>
      <c r="F116">
        <v>6900</v>
      </c>
      <c r="G116">
        <v>965.2</v>
      </c>
      <c r="H116">
        <v>1106</v>
      </c>
      <c r="I116">
        <v>965.2</v>
      </c>
      <c r="J116">
        <v>1088.7</v>
      </c>
      <c r="K116">
        <v>1045.8</v>
      </c>
      <c r="L116">
        <v>18</v>
      </c>
      <c r="M116" t="s">
        <v>87</v>
      </c>
      <c r="N116">
        <v>143.66999999999999</v>
      </c>
      <c r="O116">
        <v>24</v>
      </c>
    </row>
    <row r="117" spans="1:15" x14ac:dyDescent="0.2">
      <c r="A117" s="6">
        <v>45852</v>
      </c>
      <c r="B117" t="s">
        <v>15</v>
      </c>
      <c r="C117" t="s">
        <v>16</v>
      </c>
      <c r="D117" s="1">
        <v>45855</v>
      </c>
      <c r="E117" t="s">
        <v>19</v>
      </c>
      <c r="F117">
        <v>7400</v>
      </c>
      <c r="J117">
        <v>1628.2</v>
      </c>
      <c r="K117">
        <v>1517.5</v>
      </c>
      <c r="L117">
        <v>0</v>
      </c>
      <c r="M117" t="s">
        <v>18</v>
      </c>
      <c r="N117">
        <v>0</v>
      </c>
      <c r="O117">
        <v>0</v>
      </c>
    </row>
    <row r="118" spans="1:15" x14ac:dyDescent="0.2">
      <c r="A118" s="6">
        <v>45852</v>
      </c>
      <c r="B118" t="s">
        <v>15</v>
      </c>
      <c r="C118" t="s">
        <v>16</v>
      </c>
      <c r="D118" s="1">
        <v>45855</v>
      </c>
      <c r="E118" t="s">
        <v>19</v>
      </c>
      <c r="F118">
        <v>3650</v>
      </c>
      <c r="J118">
        <v>0.1</v>
      </c>
      <c r="K118">
        <v>0.1</v>
      </c>
      <c r="L118">
        <v>0</v>
      </c>
      <c r="M118" t="s">
        <v>18</v>
      </c>
      <c r="N118">
        <v>0</v>
      </c>
      <c r="O118">
        <v>0</v>
      </c>
    </row>
    <row r="119" spans="1:15" x14ac:dyDescent="0.2">
      <c r="A119" s="6">
        <v>45852</v>
      </c>
      <c r="B119" t="s">
        <v>15</v>
      </c>
      <c r="C119" t="s">
        <v>16</v>
      </c>
      <c r="D119" s="1">
        <v>45855</v>
      </c>
      <c r="E119" t="s">
        <v>17</v>
      </c>
      <c r="F119">
        <v>7200</v>
      </c>
      <c r="G119">
        <v>6</v>
      </c>
      <c r="H119">
        <v>7.3</v>
      </c>
      <c r="I119">
        <v>3.9</v>
      </c>
      <c r="J119">
        <v>4.5</v>
      </c>
      <c r="K119">
        <v>6.3</v>
      </c>
      <c r="L119">
        <v>757</v>
      </c>
      <c r="M119" t="s">
        <v>88</v>
      </c>
      <c r="N119">
        <v>5454.3</v>
      </c>
      <c r="O119">
        <v>703</v>
      </c>
    </row>
    <row r="120" spans="1:15" x14ac:dyDescent="0.2">
      <c r="A120" s="6">
        <v>45852</v>
      </c>
      <c r="B120" t="s">
        <v>15</v>
      </c>
      <c r="C120" t="s">
        <v>16</v>
      </c>
      <c r="D120" s="1">
        <v>45855</v>
      </c>
      <c r="E120" t="s">
        <v>19</v>
      </c>
      <c r="F120">
        <v>7100</v>
      </c>
      <c r="J120">
        <v>1328.3</v>
      </c>
      <c r="K120">
        <v>1217.8</v>
      </c>
      <c r="L120">
        <v>0</v>
      </c>
      <c r="M120" t="s">
        <v>18</v>
      </c>
      <c r="N120">
        <v>0</v>
      </c>
      <c r="O120">
        <v>0</v>
      </c>
    </row>
    <row r="121" spans="1:15" x14ac:dyDescent="0.2">
      <c r="A121" s="6">
        <v>45852</v>
      </c>
      <c r="B121" t="s">
        <v>15</v>
      </c>
      <c r="C121" t="s">
        <v>16</v>
      </c>
      <c r="D121" s="1">
        <v>45855</v>
      </c>
      <c r="E121" t="s">
        <v>17</v>
      </c>
      <c r="F121">
        <v>4600</v>
      </c>
      <c r="J121">
        <v>1170.4000000000001</v>
      </c>
      <c r="K121">
        <v>1279.7</v>
      </c>
      <c r="L121">
        <v>0</v>
      </c>
      <c r="M121" t="s">
        <v>18</v>
      </c>
      <c r="N121">
        <v>0</v>
      </c>
      <c r="O121">
        <v>0</v>
      </c>
    </row>
    <row r="122" spans="1:15" x14ac:dyDescent="0.2">
      <c r="A122" s="6">
        <v>45852</v>
      </c>
      <c r="B122" t="s">
        <v>15</v>
      </c>
      <c r="C122" t="s">
        <v>16</v>
      </c>
      <c r="D122" s="1">
        <v>45855</v>
      </c>
      <c r="E122" t="s">
        <v>17</v>
      </c>
      <c r="F122">
        <v>5350</v>
      </c>
      <c r="G122">
        <v>550</v>
      </c>
      <c r="H122">
        <v>594.4</v>
      </c>
      <c r="I122">
        <v>499.4</v>
      </c>
      <c r="J122">
        <v>547.9</v>
      </c>
      <c r="K122">
        <v>412.1</v>
      </c>
      <c r="L122">
        <v>3</v>
      </c>
      <c r="M122" t="s">
        <v>34</v>
      </c>
      <c r="N122">
        <v>17.690000000000001</v>
      </c>
      <c r="O122">
        <v>14</v>
      </c>
    </row>
    <row r="123" spans="1:15" x14ac:dyDescent="0.2">
      <c r="A123" s="6">
        <v>45852</v>
      </c>
      <c r="B123" t="s">
        <v>15</v>
      </c>
      <c r="C123" t="s">
        <v>16</v>
      </c>
      <c r="D123" s="1">
        <v>45855</v>
      </c>
      <c r="E123" t="s">
        <v>17</v>
      </c>
      <c r="F123">
        <v>6100</v>
      </c>
      <c r="G123">
        <v>48.1</v>
      </c>
      <c r="H123">
        <v>88.5</v>
      </c>
      <c r="I123">
        <v>15</v>
      </c>
      <c r="J123">
        <v>16.8</v>
      </c>
      <c r="K123">
        <v>46.5</v>
      </c>
      <c r="L123">
        <v>132693</v>
      </c>
      <c r="M123" t="s">
        <v>89</v>
      </c>
      <c r="N123">
        <v>816114.42</v>
      </c>
      <c r="O123">
        <v>5237</v>
      </c>
    </row>
    <row r="124" spans="1:15" x14ac:dyDescent="0.2">
      <c r="A124" s="6">
        <v>45852</v>
      </c>
      <c r="B124" t="s">
        <v>15</v>
      </c>
      <c r="C124" t="s">
        <v>16</v>
      </c>
      <c r="D124" s="1">
        <v>45855</v>
      </c>
      <c r="E124" t="s">
        <v>19</v>
      </c>
      <c r="F124">
        <v>4850</v>
      </c>
      <c r="G124">
        <v>4.4000000000000004</v>
      </c>
      <c r="H124">
        <v>4.8</v>
      </c>
      <c r="I124">
        <v>2.8</v>
      </c>
      <c r="J124">
        <v>3.4</v>
      </c>
      <c r="K124">
        <v>6</v>
      </c>
      <c r="L124">
        <v>256</v>
      </c>
      <c r="M124" t="s">
        <v>90</v>
      </c>
      <c r="N124">
        <v>1242.6400000000001</v>
      </c>
      <c r="O124">
        <v>66</v>
      </c>
    </row>
    <row r="125" spans="1:15" x14ac:dyDescent="0.2">
      <c r="A125" s="6">
        <v>45852</v>
      </c>
      <c r="B125" t="s">
        <v>15</v>
      </c>
      <c r="C125" t="s">
        <v>16</v>
      </c>
      <c r="D125" s="1">
        <v>45855</v>
      </c>
      <c r="E125" t="s">
        <v>19</v>
      </c>
      <c r="F125">
        <v>4000</v>
      </c>
      <c r="G125">
        <v>3.1</v>
      </c>
      <c r="H125">
        <v>3.2</v>
      </c>
      <c r="I125">
        <v>2.5</v>
      </c>
      <c r="J125">
        <v>2.8</v>
      </c>
      <c r="K125">
        <v>3.8</v>
      </c>
      <c r="L125">
        <v>485</v>
      </c>
      <c r="M125" t="s">
        <v>91</v>
      </c>
      <c r="N125">
        <v>1941.34</v>
      </c>
      <c r="O125">
        <v>726</v>
      </c>
    </row>
    <row r="126" spans="1:15" x14ac:dyDescent="0.2">
      <c r="A126" s="6">
        <v>45852</v>
      </c>
      <c r="B126" t="s">
        <v>15</v>
      </c>
      <c r="C126" t="s">
        <v>16</v>
      </c>
      <c r="D126" s="1">
        <v>45855</v>
      </c>
      <c r="E126" t="s">
        <v>19</v>
      </c>
      <c r="F126">
        <v>5600</v>
      </c>
      <c r="G126">
        <v>20.399999999999999</v>
      </c>
      <c r="H126">
        <v>41.5</v>
      </c>
      <c r="I126">
        <v>18.3</v>
      </c>
      <c r="J126">
        <v>31.1</v>
      </c>
      <c r="K126">
        <v>28.8</v>
      </c>
      <c r="L126">
        <v>109381</v>
      </c>
      <c r="M126" t="s">
        <v>92</v>
      </c>
      <c r="N126">
        <v>615761.92000000004</v>
      </c>
      <c r="O126">
        <v>7196</v>
      </c>
    </row>
    <row r="127" spans="1:15" x14ac:dyDescent="0.2">
      <c r="A127" s="6">
        <v>45852</v>
      </c>
      <c r="B127" t="s">
        <v>15</v>
      </c>
      <c r="C127" t="s">
        <v>16</v>
      </c>
      <c r="D127" s="1">
        <v>45855</v>
      </c>
      <c r="E127" t="s">
        <v>19</v>
      </c>
      <c r="F127">
        <v>5650</v>
      </c>
      <c r="G127">
        <v>35</v>
      </c>
      <c r="H127">
        <v>55.4</v>
      </c>
      <c r="I127">
        <v>24.5</v>
      </c>
      <c r="J127">
        <v>42.7</v>
      </c>
      <c r="K127">
        <v>37.9</v>
      </c>
      <c r="L127">
        <v>56290</v>
      </c>
      <c r="M127" t="s">
        <v>93</v>
      </c>
      <c r="N127">
        <v>320306.39</v>
      </c>
      <c r="O127">
        <v>2710</v>
      </c>
    </row>
    <row r="128" spans="1:15" x14ac:dyDescent="0.2">
      <c r="A128" s="6">
        <v>45852</v>
      </c>
      <c r="B128" t="s">
        <v>15</v>
      </c>
      <c r="C128" t="s">
        <v>16</v>
      </c>
      <c r="D128" s="1">
        <v>45855</v>
      </c>
      <c r="E128" t="s">
        <v>19</v>
      </c>
      <c r="F128">
        <v>6350</v>
      </c>
      <c r="G128">
        <v>422.8</v>
      </c>
      <c r="H128">
        <v>631</v>
      </c>
      <c r="I128">
        <v>409.6</v>
      </c>
      <c r="J128">
        <v>538.5</v>
      </c>
      <c r="K128">
        <v>592.4</v>
      </c>
      <c r="L128">
        <v>44</v>
      </c>
      <c r="M128" t="s">
        <v>94</v>
      </c>
      <c r="N128">
        <v>299.69</v>
      </c>
      <c r="O128">
        <v>94</v>
      </c>
    </row>
    <row r="129" spans="1:15" x14ac:dyDescent="0.2">
      <c r="A129" s="6">
        <v>45852</v>
      </c>
      <c r="B129" t="s">
        <v>15</v>
      </c>
      <c r="C129" t="s">
        <v>16</v>
      </c>
      <c r="D129" s="1">
        <v>45855</v>
      </c>
      <c r="E129" t="s">
        <v>17</v>
      </c>
      <c r="F129">
        <v>3950</v>
      </c>
      <c r="J129">
        <v>1820.1</v>
      </c>
      <c r="K129">
        <v>1929.1</v>
      </c>
      <c r="L129">
        <v>0</v>
      </c>
      <c r="M129" t="s">
        <v>18</v>
      </c>
      <c r="N129">
        <v>0</v>
      </c>
      <c r="O129">
        <v>0</v>
      </c>
    </row>
    <row r="130" spans="1:15" x14ac:dyDescent="0.2">
      <c r="A130" s="6">
        <v>45852</v>
      </c>
      <c r="B130" t="s">
        <v>15</v>
      </c>
      <c r="C130" t="s">
        <v>16</v>
      </c>
      <c r="D130" s="1">
        <v>45855</v>
      </c>
      <c r="E130" t="s">
        <v>17</v>
      </c>
      <c r="F130">
        <v>7550</v>
      </c>
      <c r="G130">
        <v>5</v>
      </c>
      <c r="H130">
        <v>5</v>
      </c>
      <c r="I130">
        <v>3.1</v>
      </c>
      <c r="J130">
        <v>3.7</v>
      </c>
      <c r="K130">
        <v>5</v>
      </c>
      <c r="L130">
        <v>74</v>
      </c>
      <c r="M130" t="s">
        <v>95</v>
      </c>
      <c r="N130">
        <v>558.98</v>
      </c>
      <c r="O130">
        <v>122</v>
      </c>
    </row>
    <row r="131" spans="1:15" x14ac:dyDescent="0.2">
      <c r="A131" s="6">
        <v>45852</v>
      </c>
      <c r="B131" t="s">
        <v>15</v>
      </c>
      <c r="C131" t="s">
        <v>16</v>
      </c>
      <c r="D131" s="1">
        <v>45855</v>
      </c>
      <c r="E131" t="s">
        <v>19</v>
      </c>
      <c r="F131">
        <v>7450</v>
      </c>
      <c r="J131">
        <v>1678.2</v>
      </c>
      <c r="K131">
        <v>1567.5</v>
      </c>
      <c r="L131">
        <v>0</v>
      </c>
      <c r="M131" t="s">
        <v>18</v>
      </c>
      <c r="N131">
        <v>0</v>
      </c>
      <c r="O131">
        <v>0</v>
      </c>
    </row>
    <row r="132" spans="1:15" x14ac:dyDescent="0.2">
      <c r="A132" s="6">
        <v>45852</v>
      </c>
      <c r="B132" t="s">
        <v>15</v>
      </c>
      <c r="C132" t="s">
        <v>16</v>
      </c>
      <c r="D132" s="1">
        <v>45855</v>
      </c>
      <c r="E132" t="s">
        <v>19</v>
      </c>
      <c r="F132">
        <v>4050</v>
      </c>
      <c r="J132">
        <v>0.1</v>
      </c>
      <c r="K132">
        <v>0.1</v>
      </c>
      <c r="L132">
        <v>0</v>
      </c>
      <c r="M132" t="s">
        <v>18</v>
      </c>
      <c r="N132">
        <v>0</v>
      </c>
      <c r="O132">
        <v>0</v>
      </c>
    </row>
    <row r="133" spans="1:15" x14ac:dyDescent="0.2">
      <c r="A133" s="6">
        <v>45852</v>
      </c>
      <c r="B133" t="s">
        <v>15</v>
      </c>
      <c r="C133" t="s">
        <v>16</v>
      </c>
      <c r="D133" s="1">
        <v>45855</v>
      </c>
      <c r="E133" t="s">
        <v>19</v>
      </c>
      <c r="F133">
        <v>5750</v>
      </c>
      <c r="G133">
        <v>54.2</v>
      </c>
      <c r="H133">
        <v>90.6</v>
      </c>
      <c r="I133">
        <v>39.799999999999997</v>
      </c>
      <c r="J133">
        <v>77</v>
      </c>
      <c r="K133">
        <v>62.6</v>
      </c>
      <c r="L133">
        <v>110719</v>
      </c>
      <c r="M133" t="s">
        <v>96</v>
      </c>
      <c r="N133">
        <v>644208.91</v>
      </c>
      <c r="O133">
        <v>2880</v>
      </c>
    </row>
    <row r="134" spans="1:15" x14ac:dyDescent="0.2">
      <c r="A134" s="6">
        <v>45852</v>
      </c>
      <c r="B134" t="s">
        <v>15</v>
      </c>
      <c r="C134" t="s">
        <v>16</v>
      </c>
      <c r="D134" s="1">
        <v>45855</v>
      </c>
      <c r="E134" t="s">
        <v>19</v>
      </c>
      <c r="F134">
        <v>6100</v>
      </c>
      <c r="G134">
        <v>248.9</v>
      </c>
      <c r="H134">
        <v>353.6</v>
      </c>
      <c r="I134">
        <v>193</v>
      </c>
      <c r="J134">
        <v>343.3</v>
      </c>
      <c r="K134">
        <v>268.60000000000002</v>
      </c>
      <c r="L134">
        <v>17326</v>
      </c>
      <c r="M134" t="s">
        <v>97</v>
      </c>
      <c r="N134">
        <v>109917.63</v>
      </c>
      <c r="O134">
        <v>806</v>
      </c>
    </row>
    <row r="135" spans="1:15" x14ac:dyDescent="0.2">
      <c r="A135" s="6">
        <v>45852</v>
      </c>
      <c r="B135" t="s">
        <v>15</v>
      </c>
      <c r="C135" t="s">
        <v>16</v>
      </c>
      <c r="D135" s="1">
        <v>45855</v>
      </c>
      <c r="E135" t="s">
        <v>17</v>
      </c>
      <c r="F135">
        <v>6000</v>
      </c>
      <c r="G135">
        <v>73.099999999999994</v>
      </c>
      <c r="H135">
        <v>124.9</v>
      </c>
      <c r="I135">
        <v>23.3</v>
      </c>
      <c r="J135">
        <v>26.6</v>
      </c>
      <c r="K135">
        <v>69.599999999999994</v>
      </c>
      <c r="L135">
        <v>302113</v>
      </c>
      <c r="M135" t="s">
        <v>98</v>
      </c>
      <c r="N135">
        <v>1835987.95</v>
      </c>
      <c r="O135">
        <v>16449</v>
      </c>
    </row>
    <row r="136" spans="1:15" x14ac:dyDescent="0.2">
      <c r="A136" s="6">
        <v>45852</v>
      </c>
      <c r="B136" t="s">
        <v>15</v>
      </c>
      <c r="C136" t="s">
        <v>16</v>
      </c>
      <c r="D136" s="1">
        <v>45855</v>
      </c>
      <c r="E136" t="s">
        <v>19</v>
      </c>
      <c r="F136">
        <v>4150</v>
      </c>
      <c r="J136">
        <v>0.1</v>
      </c>
      <c r="K136">
        <v>0.1</v>
      </c>
      <c r="L136">
        <v>0</v>
      </c>
      <c r="M136" t="s">
        <v>18</v>
      </c>
      <c r="N136">
        <v>0</v>
      </c>
      <c r="O136">
        <v>0</v>
      </c>
    </row>
    <row r="137" spans="1:15" x14ac:dyDescent="0.2">
      <c r="A137" s="6">
        <v>45852</v>
      </c>
      <c r="B137" t="s">
        <v>15</v>
      </c>
      <c r="C137" t="s">
        <v>16</v>
      </c>
      <c r="D137" s="1">
        <v>45855</v>
      </c>
      <c r="E137" t="s">
        <v>19</v>
      </c>
      <c r="F137">
        <v>5000</v>
      </c>
      <c r="G137">
        <v>5.3</v>
      </c>
      <c r="H137">
        <v>5.3</v>
      </c>
      <c r="I137">
        <v>3</v>
      </c>
      <c r="J137">
        <v>3.6</v>
      </c>
      <c r="K137">
        <v>6</v>
      </c>
      <c r="L137">
        <v>3586</v>
      </c>
      <c r="M137" t="s">
        <v>99</v>
      </c>
      <c r="N137">
        <v>17945.54</v>
      </c>
      <c r="O137">
        <v>2193</v>
      </c>
    </row>
    <row r="138" spans="1:15" x14ac:dyDescent="0.2">
      <c r="A138" s="6">
        <v>45852</v>
      </c>
      <c r="B138" t="s">
        <v>15</v>
      </c>
      <c r="C138" t="s">
        <v>16</v>
      </c>
      <c r="D138" s="1">
        <v>45855</v>
      </c>
      <c r="E138" t="s">
        <v>19</v>
      </c>
      <c r="F138">
        <v>4750</v>
      </c>
      <c r="G138">
        <v>4.0999999999999996</v>
      </c>
      <c r="H138">
        <v>4.7</v>
      </c>
      <c r="I138">
        <v>3</v>
      </c>
      <c r="J138">
        <v>3.8</v>
      </c>
      <c r="K138">
        <v>5.2</v>
      </c>
      <c r="L138">
        <v>56</v>
      </c>
      <c r="M138" t="s">
        <v>100</v>
      </c>
      <c r="N138">
        <v>266.23</v>
      </c>
      <c r="O138">
        <v>4</v>
      </c>
    </row>
    <row r="139" spans="1:15" x14ac:dyDescent="0.2">
      <c r="A139" s="6">
        <v>45852</v>
      </c>
      <c r="B139" t="s">
        <v>15</v>
      </c>
      <c r="C139" t="s">
        <v>16</v>
      </c>
      <c r="D139" s="1">
        <v>45855</v>
      </c>
      <c r="E139" t="s">
        <v>17</v>
      </c>
      <c r="F139">
        <v>7100</v>
      </c>
      <c r="G139">
        <v>5.9</v>
      </c>
      <c r="H139">
        <v>8.3000000000000007</v>
      </c>
      <c r="I139">
        <v>3.6</v>
      </c>
      <c r="J139">
        <v>4.9000000000000004</v>
      </c>
      <c r="K139">
        <v>6.5</v>
      </c>
      <c r="L139">
        <v>677</v>
      </c>
      <c r="M139" t="s">
        <v>101</v>
      </c>
      <c r="N139">
        <v>4810.63</v>
      </c>
      <c r="O139">
        <v>354</v>
      </c>
    </row>
    <row r="140" spans="1:15" x14ac:dyDescent="0.2">
      <c r="A140" s="6">
        <v>45852</v>
      </c>
      <c r="B140" t="s">
        <v>15</v>
      </c>
      <c r="C140" t="s">
        <v>16</v>
      </c>
      <c r="D140" s="1">
        <v>45855</v>
      </c>
      <c r="E140" t="s">
        <v>19</v>
      </c>
      <c r="F140">
        <v>5950</v>
      </c>
      <c r="G140">
        <v>148.80000000000001</v>
      </c>
      <c r="H140">
        <v>219.2</v>
      </c>
      <c r="I140">
        <v>105</v>
      </c>
      <c r="J140">
        <v>211.9</v>
      </c>
      <c r="K140">
        <v>158.69999999999999</v>
      </c>
      <c r="L140">
        <v>83757</v>
      </c>
      <c r="M140" t="s">
        <v>102</v>
      </c>
      <c r="N140">
        <v>510607.69</v>
      </c>
      <c r="O140">
        <v>459</v>
      </c>
    </row>
    <row r="141" spans="1:15" x14ac:dyDescent="0.2">
      <c r="A141" s="6">
        <v>45852</v>
      </c>
      <c r="B141" t="s">
        <v>15</v>
      </c>
      <c r="C141" t="s">
        <v>16</v>
      </c>
      <c r="D141" s="1">
        <v>45855</v>
      </c>
      <c r="E141" t="s">
        <v>19</v>
      </c>
      <c r="F141">
        <v>4300</v>
      </c>
      <c r="J141">
        <v>0.1</v>
      </c>
      <c r="K141">
        <v>0.1</v>
      </c>
      <c r="L141">
        <v>0</v>
      </c>
      <c r="M141" t="s">
        <v>18</v>
      </c>
      <c r="N141">
        <v>0</v>
      </c>
      <c r="O141">
        <v>0</v>
      </c>
    </row>
    <row r="142" spans="1:15" x14ac:dyDescent="0.2">
      <c r="A142" s="6">
        <v>45852</v>
      </c>
      <c r="B142" t="s">
        <v>15</v>
      </c>
      <c r="C142" t="s">
        <v>16</v>
      </c>
      <c r="D142" s="1">
        <v>45855</v>
      </c>
      <c r="E142" t="s">
        <v>19</v>
      </c>
      <c r="F142">
        <v>6450</v>
      </c>
      <c r="G142">
        <v>572.1</v>
      </c>
      <c r="H142">
        <v>683.6</v>
      </c>
      <c r="I142">
        <v>503</v>
      </c>
      <c r="J142">
        <v>634.20000000000005</v>
      </c>
      <c r="K142">
        <v>676.8</v>
      </c>
      <c r="L142">
        <v>73</v>
      </c>
      <c r="M142" t="s">
        <v>103</v>
      </c>
      <c r="N142">
        <v>512.21</v>
      </c>
      <c r="O142">
        <v>336</v>
      </c>
    </row>
    <row r="143" spans="1:15" x14ac:dyDescent="0.2">
      <c r="A143" s="6">
        <v>45852</v>
      </c>
      <c r="B143" t="s">
        <v>15</v>
      </c>
      <c r="C143" t="s">
        <v>16</v>
      </c>
      <c r="D143" s="1">
        <v>45855</v>
      </c>
      <c r="E143" t="s">
        <v>17</v>
      </c>
      <c r="F143">
        <v>4700</v>
      </c>
      <c r="J143">
        <v>1070.5</v>
      </c>
      <c r="K143">
        <v>1179.8</v>
      </c>
      <c r="L143">
        <v>0</v>
      </c>
      <c r="M143" t="s">
        <v>18</v>
      </c>
      <c r="N143">
        <v>0</v>
      </c>
      <c r="O143">
        <v>0</v>
      </c>
    </row>
    <row r="144" spans="1:15" x14ac:dyDescent="0.2">
      <c r="A144" s="6">
        <v>45852</v>
      </c>
      <c r="B144" t="s">
        <v>15</v>
      </c>
      <c r="C144" t="s">
        <v>16</v>
      </c>
      <c r="D144" s="1">
        <v>45855</v>
      </c>
      <c r="E144" t="s">
        <v>17</v>
      </c>
      <c r="F144">
        <v>5650</v>
      </c>
      <c r="G144">
        <v>265.7</v>
      </c>
      <c r="H144">
        <v>361</v>
      </c>
      <c r="I144">
        <v>150.9</v>
      </c>
      <c r="J144">
        <v>163.80000000000001</v>
      </c>
      <c r="K144">
        <v>263.5</v>
      </c>
      <c r="L144">
        <v>7166</v>
      </c>
      <c r="M144" t="s">
        <v>104</v>
      </c>
      <c r="N144">
        <v>42054.77</v>
      </c>
      <c r="O144">
        <v>729</v>
      </c>
    </row>
    <row r="145" spans="1:15" x14ac:dyDescent="0.2">
      <c r="A145" s="6">
        <v>45852</v>
      </c>
      <c r="B145" t="s">
        <v>15</v>
      </c>
      <c r="C145" t="s">
        <v>16</v>
      </c>
      <c r="D145" s="1">
        <v>45855</v>
      </c>
      <c r="E145" t="s">
        <v>17</v>
      </c>
      <c r="F145">
        <v>6150</v>
      </c>
      <c r="G145">
        <v>39.299999999999997</v>
      </c>
      <c r="H145">
        <v>75.099999999999994</v>
      </c>
      <c r="I145">
        <v>12.9</v>
      </c>
      <c r="J145">
        <v>13.9</v>
      </c>
      <c r="K145">
        <v>38</v>
      </c>
      <c r="L145">
        <v>44953</v>
      </c>
      <c r="M145" t="s">
        <v>105</v>
      </c>
      <c r="N145">
        <v>278587.57</v>
      </c>
      <c r="O145">
        <v>1947</v>
      </c>
    </row>
    <row r="146" spans="1:15" x14ac:dyDescent="0.2">
      <c r="A146" s="6">
        <v>45852</v>
      </c>
      <c r="B146" t="s">
        <v>15</v>
      </c>
      <c r="C146" t="s">
        <v>16</v>
      </c>
      <c r="D146" s="1">
        <v>45855</v>
      </c>
      <c r="E146" t="s">
        <v>17</v>
      </c>
      <c r="F146">
        <v>3900</v>
      </c>
      <c r="J146">
        <v>1870.1</v>
      </c>
      <c r="K146">
        <v>1979.1</v>
      </c>
      <c r="L146">
        <v>0</v>
      </c>
      <c r="M146" t="s">
        <v>18</v>
      </c>
      <c r="N146">
        <v>0</v>
      </c>
      <c r="O146">
        <v>0</v>
      </c>
    </row>
    <row r="147" spans="1:15" x14ac:dyDescent="0.2">
      <c r="A147" s="6">
        <v>45852</v>
      </c>
      <c r="B147" t="s">
        <v>15</v>
      </c>
      <c r="C147" t="s">
        <v>16</v>
      </c>
      <c r="D147" s="1">
        <v>45855</v>
      </c>
      <c r="E147" t="s">
        <v>17</v>
      </c>
      <c r="F147">
        <v>4300</v>
      </c>
      <c r="J147">
        <v>1470.3</v>
      </c>
      <c r="K147">
        <v>1579.4</v>
      </c>
      <c r="L147">
        <v>0</v>
      </c>
      <c r="M147" t="s">
        <v>18</v>
      </c>
      <c r="N147">
        <v>0</v>
      </c>
      <c r="O147">
        <v>0</v>
      </c>
    </row>
    <row r="148" spans="1:15" x14ac:dyDescent="0.2">
      <c r="A148" s="6">
        <v>45852</v>
      </c>
      <c r="B148" t="s">
        <v>15</v>
      </c>
      <c r="C148" t="s">
        <v>16</v>
      </c>
      <c r="D148" s="1">
        <v>45855</v>
      </c>
      <c r="E148" t="s">
        <v>19</v>
      </c>
      <c r="F148">
        <v>7300</v>
      </c>
      <c r="J148">
        <v>1528.2</v>
      </c>
      <c r="K148">
        <v>1417.6</v>
      </c>
      <c r="L148">
        <v>0</v>
      </c>
      <c r="M148" t="s">
        <v>18</v>
      </c>
      <c r="N148">
        <v>0</v>
      </c>
      <c r="O148">
        <v>0</v>
      </c>
    </row>
    <row r="149" spans="1:15" x14ac:dyDescent="0.2">
      <c r="A149" s="6">
        <v>45852</v>
      </c>
      <c r="B149" t="s">
        <v>15</v>
      </c>
      <c r="C149" t="s">
        <v>16</v>
      </c>
      <c r="D149" s="1">
        <v>45855</v>
      </c>
      <c r="E149" t="s">
        <v>17</v>
      </c>
      <c r="F149">
        <v>7700</v>
      </c>
      <c r="G149">
        <v>2.5</v>
      </c>
      <c r="H149">
        <v>4.5</v>
      </c>
      <c r="I149">
        <v>2.5</v>
      </c>
      <c r="J149">
        <v>3.2</v>
      </c>
      <c r="K149">
        <v>3.7</v>
      </c>
      <c r="L149">
        <v>1638</v>
      </c>
      <c r="M149" t="s">
        <v>106</v>
      </c>
      <c r="N149">
        <v>12618.46</v>
      </c>
      <c r="O149">
        <v>1798</v>
      </c>
    </row>
    <row r="150" spans="1:15" x14ac:dyDescent="0.2">
      <c r="A150" s="6">
        <v>45852</v>
      </c>
      <c r="B150" t="s">
        <v>15</v>
      </c>
      <c r="C150" t="s">
        <v>16</v>
      </c>
      <c r="D150" s="1">
        <v>45855</v>
      </c>
      <c r="E150" t="s">
        <v>19</v>
      </c>
      <c r="F150">
        <v>6600</v>
      </c>
      <c r="G150">
        <v>650</v>
      </c>
      <c r="H150">
        <v>837.9</v>
      </c>
      <c r="I150">
        <v>645</v>
      </c>
      <c r="J150">
        <v>681.1</v>
      </c>
      <c r="K150">
        <v>859.3</v>
      </c>
      <c r="L150">
        <v>18</v>
      </c>
      <c r="M150" t="s">
        <v>87</v>
      </c>
      <c r="N150">
        <v>131.03</v>
      </c>
      <c r="O150">
        <v>139</v>
      </c>
    </row>
    <row r="151" spans="1:15" x14ac:dyDescent="0.2">
      <c r="A151" s="6">
        <v>45852</v>
      </c>
      <c r="B151" t="s">
        <v>15</v>
      </c>
      <c r="C151" t="s">
        <v>16</v>
      </c>
      <c r="D151" s="1">
        <v>45855</v>
      </c>
      <c r="E151" t="s">
        <v>19</v>
      </c>
      <c r="F151">
        <v>7000</v>
      </c>
      <c r="G151">
        <v>1056.9000000000001</v>
      </c>
      <c r="H151">
        <v>1064.2</v>
      </c>
      <c r="I151">
        <v>1056.9000000000001</v>
      </c>
      <c r="J151">
        <v>1060.5999999999999</v>
      </c>
      <c r="K151">
        <v>1117.9000000000001</v>
      </c>
      <c r="L151">
        <v>2</v>
      </c>
      <c r="M151" t="s">
        <v>28</v>
      </c>
      <c r="N151">
        <v>16.12</v>
      </c>
      <c r="O151">
        <v>12</v>
      </c>
    </row>
    <row r="152" spans="1:15" x14ac:dyDescent="0.2">
      <c r="A152" s="6">
        <v>45852</v>
      </c>
      <c r="B152" t="s">
        <v>15</v>
      </c>
      <c r="C152" t="s">
        <v>16</v>
      </c>
      <c r="D152" s="1">
        <v>45855</v>
      </c>
      <c r="E152" t="s">
        <v>17</v>
      </c>
      <c r="F152">
        <v>7400</v>
      </c>
      <c r="G152">
        <v>3</v>
      </c>
      <c r="H152">
        <v>5.9</v>
      </c>
      <c r="I152">
        <v>3</v>
      </c>
      <c r="J152">
        <v>4.0999999999999996</v>
      </c>
      <c r="K152">
        <v>6</v>
      </c>
      <c r="L152">
        <v>756</v>
      </c>
      <c r="M152" t="s">
        <v>107</v>
      </c>
      <c r="N152">
        <v>5597.81</v>
      </c>
      <c r="O152">
        <v>1524</v>
      </c>
    </row>
    <row r="153" spans="1:15" x14ac:dyDescent="0.2">
      <c r="A153" s="6">
        <v>45852</v>
      </c>
      <c r="B153" t="s">
        <v>15</v>
      </c>
      <c r="C153" t="s">
        <v>16</v>
      </c>
      <c r="D153" s="1">
        <v>45855</v>
      </c>
      <c r="E153" t="s">
        <v>17</v>
      </c>
      <c r="F153">
        <v>5400</v>
      </c>
      <c r="G153">
        <v>478.5</v>
      </c>
      <c r="H153">
        <v>592.4</v>
      </c>
      <c r="I153">
        <v>371.1</v>
      </c>
      <c r="J153">
        <v>378.5</v>
      </c>
      <c r="K153">
        <v>490.7</v>
      </c>
      <c r="L153">
        <v>222</v>
      </c>
      <c r="M153" t="s">
        <v>108</v>
      </c>
      <c r="N153">
        <v>1303.68</v>
      </c>
      <c r="O153">
        <v>531</v>
      </c>
    </row>
    <row r="154" spans="1:15" x14ac:dyDescent="0.2">
      <c r="A154" s="6">
        <v>45852</v>
      </c>
      <c r="B154" t="s">
        <v>15</v>
      </c>
      <c r="C154" t="s">
        <v>16</v>
      </c>
      <c r="D154" s="1">
        <v>45855</v>
      </c>
      <c r="E154" t="s">
        <v>19</v>
      </c>
      <c r="F154">
        <v>7650</v>
      </c>
      <c r="J154">
        <v>1878.1</v>
      </c>
      <c r="K154">
        <v>1767.3</v>
      </c>
      <c r="L154">
        <v>0</v>
      </c>
      <c r="M154" t="s">
        <v>18</v>
      </c>
      <c r="N154">
        <v>0</v>
      </c>
      <c r="O154">
        <v>0</v>
      </c>
    </row>
    <row r="155" spans="1:15" x14ac:dyDescent="0.2">
      <c r="A155" s="6">
        <v>45852</v>
      </c>
      <c r="B155" t="s">
        <v>15</v>
      </c>
      <c r="C155" t="s">
        <v>16</v>
      </c>
      <c r="D155" s="1">
        <v>45855</v>
      </c>
      <c r="E155" t="s">
        <v>19</v>
      </c>
      <c r="F155">
        <v>6500</v>
      </c>
      <c r="G155">
        <v>632.4</v>
      </c>
      <c r="H155">
        <v>730.4</v>
      </c>
      <c r="I155">
        <v>545</v>
      </c>
      <c r="J155">
        <v>702.9</v>
      </c>
      <c r="K155">
        <v>671.6</v>
      </c>
      <c r="L155">
        <v>176</v>
      </c>
      <c r="M155" t="s">
        <v>109</v>
      </c>
      <c r="N155">
        <v>1246.6500000000001</v>
      </c>
      <c r="O155">
        <v>721</v>
      </c>
    </row>
    <row r="156" spans="1:15" x14ac:dyDescent="0.2">
      <c r="A156" s="6">
        <v>45852</v>
      </c>
      <c r="B156" t="s">
        <v>15</v>
      </c>
      <c r="C156" t="s">
        <v>16</v>
      </c>
      <c r="D156" s="1">
        <v>45855</v>
      </c>
      <c r="E156" t="s">
        <v>19</v>
      </c>
      <c r="F156">
        <v>6300</v>
      </c>
      <c r="G156">
        <v>425.4</v>
      </c>
      <c r="H156">
        <v>546.5</v>
      </c>
      <c r="I156">
        <v>352.4</v>
      </c>
      <c r="J156">
        <v>536.70000000000005</v>
      </c>
      <c r="K156">
        <v>443.8</v>
      </c>
      <c r="L156">
        <v>730</v>
      </c>
      <c r="M156" t="s">
        <v>110</v>
      </c>
      <c r="N156">
        <v>4897.99</v>
      </c>
      <c r="O156">
        <v>318</v>
      </c>
    </row>
    <row r="157" spans="1:15" x14ac:dyDescent="0.2">
      <c r="A157" s="6">
        <v>45852</v>
      </c>
      <c r="B157" t="s">
        <v>15</v>
      </c>
      <c r="C157" t="s">
        <v>16</v>
      </c>
      <c r="D157" s="1">
        <v>45855</v>
      </c>
      <c r="E157" t="s">
        <v>17</v>
      </c>
      <c r="F157">
        <v>5850</v>
      </c>
      <c r="G157">
        <v>131.69999999999999</v>
      </c>
      <c r="H157">
        <v>208</v>
      </c>
      <c r="I157">
        <v>49</v>
      </c>
      <c r="J157">
        <v>55.9</v>
      </c>
      <c r="K157">
        <v>129.9</v>
      </c>
      <c r="L157">
        <v>127089</v>
      </c>
      <c r="M157" t="s">
        <v>111</v>
      </c>
      <c r="N157">
        <v>757826.78</v>
      </c>
      <c r="O157">
        <v>5840</v>
      </c>
    </row>
    <row r="158" spans="1:15" x14ac:dyDescent="0.2">
      <c r="A158" s="6">
        <v>45852</v>
      </c>
      <c r="B158" t="s">
        <v>15</v>
      </c>
      <c r="C158" t="s">
        <v>16</v>
      </c>
      <c r="D158" s="1">
        <v>45855</v>
      </c>
      <c r="E158" t="s">
        <v>19</v>
      </c>
      <c r="F158">
        <v>5900</v>
      </c>
      <c r="G158">
        <v>121.7</v>
      </c>
      <c r="H158">
        <v>178.9</v>
      </c>
      <c r="I158">
        <v>83.7</v>
      </c>
      <c r="J158">
        <v>169.4</v>
      </c>
      <c r="K158">
        <v>127.7</v>
      </c>
      <c r="L158">
        <v>262423</v>
      </c>
      <c r="M158" t="s">
        <v>112</v>
      </c>
      <c r="N158">
        <v>1581887.64</v>
      </c>
      <c r="O158">
        <v>2145</v>
      </c>
    </row>
    <row r="159" spans="1:15" x14ac:dyDescent="0.2">
      <c r="A159" s="6">
        <v>45852</v>
      </c>
      <c r="B159" t="s">
        <v>15</v>
      </c>
      <c r="C159" t="s">
        <v>16</v>
      </c>
      <c r="D159" s="1">
        <v>45855</v>
      </c>
      <c r="E159" t="s">
        <v>19</v>
      </c>
      <c r="F159">
        <v>3850</v>
      </c>
      <c r="J159">
        <v>0.1</v>
      </c>
      <c r="K159">
        <v>0.1</v>
      </c>
      <c r="L159">
        <v>0</v>
      </c>
      <c r="M159" t="s">
        <v>18</v>
      </c>
      <c r="N159">
        <v>0</v>
      </c>
      <c r="O159">
        <v>0</v>
      </c>
    </row>
    <row r="160" spans="1:15" x14ac:dyDescent="0.2">
      <c r="A160" s="6">
        <v>45852</v>
      </c>
      <c r="B160" t="s">
        <v>15</v>
      </c>
      <c r="C160" t="s">
        <v>16</v>
      </c>
      <c r="D160" s="1">
        <v>45855</v>
      </c>
      <c r="E160" t="s">
        <v>19</v>
      </c>
      <c r="F160">
        <v>5850</v>
      </c>
      <c r="G160">
        <v>89.2</v>
      </c>
      <c r="H160">
        <v>144</v>
      </c>
      <c r="I160">
        <v>64.8</v>
      </c>
      <c r="J160">
        <v>132.9</v>
      </c>
      <c r="K160">
        <v>103.1</v>
      </c>
      <c r="L160">
        <v>159175</v>
      </c>
      <c r="M160" t="s">
        <v>113</v>
      </c>
      <c r="N160">
        <v>947791.62</v>
      </c>
      <c r="O160">
        <v>2130</v>
      </c>
    </row>
    <row r="161" spans="1:15" x14ac:dyDescent="0.2">
      <c r="A161" s="6">
        <v>45852</v>
      </c>
      <c r="B161" t="s">
        <v>15</v>
      </c>
      <c r="C161" t="s">
        <v>16</v>
      </c>
      <c r="D161" s="1">
        <v>45855</v>
      </c>
      <c r="E161" t="s">
        <v>19</v>
      </c>
      <c r="F161">
        <v>6000</v>
      </c>
      <c r="G161">
        <v>177.6</v>
      </c>
      <c r="H161">
        <v>263.89999999999998</v>
      </c>
      <c r="I161">
        <v>131</v>
      </c>
      <c r="J161">
        <v>252.4</v>
      </c>
      <c r="K161">
        <v>191.4</v>
      </c>
      <c r="L161">
        <v>117426</v>
      </c>
      <c r="M161" t="s">
        <v>114</v>
      </c>
      <c r="N161">
        <v>725195.21</v>
      </c>
      <c r="O161">
        <v>2718</v>
      </c>
    </row>
    <row r="162" spans="1:15" x14ac:dyDescent="0.2">
      <c r="A162" s="6">
        <v>45852</v>
      </c>
      <c r="B162" t="s">
        <v>15</v>
      </c>
      <c r="C162" t="s">
        <v>16</v>
      </c>
      <c r="D162" s="1">
        <v>45855</v>
      </c>
      <c r="E162" t="s">
        <v>17</v>
      </c>
      <c r="F162">
        <v>6600</v>
      </c>
      <c r="G162">
        <v>12.6</v>
      </c>
      <c r="H162">
        <v>21.1</v>
      </c>
      <c r="I162">
        <v>6.4</v>
      </c>
      <c r="J162">
        <v>7.9</v>
      </c>
      <c r="K162">
        <v>13.5</v>
      </c>
      <c r="L162">
        <v>12867</v>
      </c>
      <c r="M162" t="s">
        <v>115</v>
      </c>
      <c r="N162">
        <v>85097.47</v>
      </c>
      <c r="O162">
        <v>3042</v>
      </c>
    </row>
    <row r="163" spans="1:15" x14ac:dyDescent="0.2">
      <c r="A163" s="6">
        <v>45852</v>
      </c>
      <c r="B163" t="s">
        <v>15</v>
      </c>
      <c r="C163" t="s">
        <v>16</v>
      </c>
      <c r="D163" s="1">
        <v>45855</v>
      </c>
      <c r="E163" t="s">
        <v>19</v>
      </c>
      <c r="F163">
        <v>5550</v>
      </c>
      <c r="G163">
        <v>16.600000000000001</v>
      </c>
      <c r="H163">
        <v>32.6</v>
      </c>
      <c r="I163">
        <v>15.4</v>
      </c>
      <c r="J163">
        <v>23.8</v>
      </c>
      <c r="K163">
        <v>23</v>
      </c>
      <c r="L163">
        <v>30079</v>
      </c>
      <c r="M163" t="s">
        <v>116</v>
      </c>
      <c r="N163">
        <v>167674.70000000001</v>
      </c>
      <c r="O163">
        <v>2471</v>
      </c>
    </row>
    <row r="164" spans="1:15" x14ac:dyDescent="0.2">
      <c r="A164" s="6">
        <v>45852</v>
      </c>
      <c r="B164" t="s">
        <v>15</v>
      </c>
      <c r="C164" t="s">
        <v>16</v>
      </c>
      <c r="D164" s="1">
        <v>45855</v>
      </c>
      <c r="E164" t="s">
        <v>19</v>
      </c>
      <c r="F164">
        <v>7550</v>
      </c>
      <c r="J164">
        <v>1778.1</v>
      </c>
      <c r="K164">
        <v>1667.4</v>
      </c>
      <c r="L164">
        <v>0</v>
      </c>
      <c r="M164" t="s">
        <v>18</v>
      </c>
      <c r="N164">
        <v>0</v>
      </c>
      <c r="O164">
        <v>0</v>
      </c>
    </row>
    <row r="165" spans="1:15" x14ac:dyDescent="0.2">
      <c r="A165" s="6">
        <v>45852</v>
      </c>
      <c r="B165" t="s">
        <v>15</v>
      </c>
      <c r="C165" t="s">
        <v>16</v>
      </c>
      <c r="D165" s="1">
        <v>45855</v>
      </c>
      <c r="E165" t="s">
        <v>19</v>
      </c>
      <c r="F165">
        <v>7050</v>
      </c>
      <c r="J165">
        <v>1278.4000000000001</v>
      </c>
      <c r="K165">
        <v>1167.9000000000001</v>
      </c>
      <c r="L165">
        <v>0</v>
      </c>
      <c r="M165" t="s">
        <v>18</v>
      </c>
      <c r="N165">
        <v>0</v>
      </c>
      <c r="O165">
        <v>0</v>
      </c>
    </row>
    <row r="166" spans="1:15" x14ac:dyDescent="0.2">
      <c r="A166" s="6">
        <v>45852</v>
      </c>
      <c r="B166" t="s">
        <v>15</v>
      </c>
      <c r="C166" t="s">
        <v>16</v>
      </c>
      <c r="D166" s="1">
        <v>45855</v>
      </c>
      <c r="E166" t="s">
        <v>17</v>
      </c>
      <c r="F166">
        <v>7600</v>
      </c>
      <c r="G166">
        <v>4</v>
      </c>
      <c r="H166">
        <v>4.5</v>
      </c>
      <c r="I166">
        <v>3.4</v>
      </c>
      <c r="J166">
        <v>3.7</v>
      </c>
      <c r="K166">
        <v>5.3</v>
      </c>
      <c r="L166">
        <v>754</v>
      </c>
      <c r="M166" t="s">
        <v>117</v>
      </c>
      <c r="N166">
        <v>5733.43</v>
      </c>
      <c r="O166">
        <v>1144</v>
      </c>
    </row>
    <row r="167" spans="1:15" x14ac:dyDescent="0.2">
      <c r="A167" s="6">
        <v>45852</v>
      </c>
      <c r="B167" t="s">
        <v>15</v>
      </c>
      <c r="C167" t="s">
        <v>16</v>
      </c>
      <c r="D167" s="1">
        <v>45855</v>
      </c>
      <c r="E167" t="s">
        <v>17</v>
      </c>
      <c r="F167">
        <v>6400</v>
      </c>
      <c r="G167">
        <v>17.899999999999999</v>
      </c>
      <c r="H167">
        <v>34.4</v>
      </c>
      <c r="I167">
        <v>8.1</v>
      </c>
      <c r="J167">
        <v>8.5</v>
      </c>
      <c r="K167">
        <v>18</v>
      </c>
      <c r="L167">
        <v>39831</v>
      </c>
      <c r="M167" t="s">
        <v>118</v>
      </c>
      <c r="N167">
        <v>255749.43</v>
      </c>
      <c r="O167">
        <v>4897</v>
      </c>
    </row>
    <row r="168" spans="1:15" x14ac:dyDescent="0.2">
      <c r="A168" s="6">
        <v>45849</v>
      </c>
      <c r="B168" t="s">
        <v>15</v>
      </c>
      <c r="C168" t="s">
        <v>16</v>
      </c>
      <c r="D168" s="1">
        <v>45855</v>
      </c>
      <c r="E168" t="s">
        <v>17</v>
      </c>
      <c r="F168">
        <v>4850</v>
      </c>
      <c r="J168">
        <v>1030</v>
      </c>
      <c r="K168">
        <v>867.1</v>
      </c>
      <c r="L168">
        <v>0</v>
      </c>
      <c r="M168" t="s">
        <v>18</v>
      </c>
      <c r="N168">
        <v>0</v>
      </c>
      <c r="O168">
        <v>0</v>
      </c>
    </row>
    <row r="169" spans="1:15" x14ac:dyDescent="0.2">
      <c r="A169" s="6">
        <v>45849</v>
      </c>
      <c r="B169" t="s">
        <v>15</v>
      </c>
      <c r="C169" t="s">
        <v>16</v>
      </c>
      <c r="D169" s="1">
        <v>45855</v>
      </c>
      <c r="E169" t="s">
        <v>19</v>
      </c>
      <c r="F169">
        <v>5250</v>
      </c>
      <c r="G169">
        <v>12.4</v>
      </c>
      <c r="H169">
        <v>13</v>
      </c>
      <c r="I169">
        <v>8</v>
      </c>
      <c r="J169">
        <v>9.6999999999999993</v>
      </c>
      <c r="K169">
        <v>12.8</v>
      </c>
      <c r="L169">
        <v>1353</v>
      </c>
      <c r="M169" t="s">
        <v>119</v>
      </c>
      <c r="N169">
        <v>7117.44</v>
      </c>
      <c r="O169">
        <v>330</v>
      </c>
    </row>
    <row r="170" spans="1:15" x14ac:dyDescent="0.2">
      <c r="A170" s="6">
        <v>45849</v>
      </c>
      <c r="B170" t="s">
        <v>15</v>
      </c>
      <c r="C170" t="s">
        <v>16</v>
      </c>
      <c r="D170" s="1">
        <v>45855</v>
      </c>
      <c r="E170" t="s">
        <v>17</v>
      </c>
      <c r="F170">
        <v>3700</v>
      </c>
      <c r="J170">
        <v>2178.9</v>
      </c>
      <c r="K170">
        <v>2015.7</v>
      </c>
      <c r="L170">
        <v>0</v>
      </c>
      <c r="M170" t="s">
        <v>18</v>
      </c>
      <c r="N170">
        <v>0</v>
      </c>
      <c r="O170">
        <v>0</v>
      </c>
    </row>
    <row r="171" spans="1:15" x14ac:dyDescent="0.2">
      <c r="A171" s="6">
        <v>45849</v>
      </c>
      <c r="B171" t="s">
        <v>15</v>
      </c>
      <c r="C171" t="s">
        <v>16</v>
      </c>
      <c r="D171" s="1">
        <v>45855</v>
      </c>
      <c r="E171" t="s">
        <v>19</v>
      </c>
      <c r="F171">
        <v>5200</v>
      </c>
      <c r="G171">
        <v>11.1</v>
      </c>
      <c r="H171">
        <v>12</v>
      </c>
      <c r="I171">
        <v>7.5</v>
      </c>
      <c r="J171">
        <v>8.4</v>
      </c>
      <c r="K171">
        <v>11.3</v>
      </c>
      <c r="L171">
        <v>10201</v>
      </c>
      <c r="M171" t="s">
        <v>120</v>
      </c>
      <c r="N171">
        <v>53142.32</v>
      </c>
      <c r="O171">
        <v>2564</v>
      </c>
    </row>
    <row r="172" spans="1:15" x14ac:dyDescent="0.2">
      <c r="A172" s="6">
        <v>45849</v>
      </c>
      <c r="B172" t="s">
        <v>15</v>
      </c>
      <c r="C172" t="s">
        <v>16</v>
      </c>
      <c r="D172" s="1">
        <v>45855</v>
      </c>
      <c r="E172" t="s">
        <v>17</v>
      </c>
      <c r="F172">
        <v>7450</v>
      </c>
      <c r="G172">
        <v>3.8</v>
      </c>
      <c r="H172">
        <v>6.3</v>
      </c>
      <c r="I172">
        <v>3.8</v>
      </c>
      <c r="J172">
        <v>5.7</v>
      </c>
      <c r="K172">
        <v>6.6</v>
      </c>
      <c r="L172">
        <v>4</v>
      </c>
      <c r="M172" t="s">
        <v>78</v>
      </c>
      <c r="N172">
        <v>29.82</v>
      </c>
      <c r="O172">
        <v>67</v>
      </c>
    </row>
    <row r="173" spans="1:15" x14ac:dyDescent="0.2">
      <c r="A173" s="6">
        <v>45849</v>
      </c>
      <c r="B173" t="s">
        <v>15</v>
      </c>
      <c r="C173" t="s">
        <v>16</v>
      </c>
      <c r="D173" s="1">
        <v>45855</v>
      </c>
      <c r="E173" t="s">
        <v>19</v>
      </c>
      <c r="F173">
        <v>6950</v>
      </c>
      <c r="J173">
        <v>1068</v>
      </c>
      <c r="K173">
        <v>1107.7</v>
      </c>
      <c r="L173">
        <v>0</v>
      </c>
      <c r="M173" t="s">
        <v>18</v>
      </c>
      <c r="N173">
        <v>0</v>
      </c>
      <c r="O173">
        <v>14</v>
      </c>
    </row>
    <row r="174" spans="1:15" x14ac:dyDescent="0.2">
      <c r="A174" s="6">
        <v>45849</v>
      </c>
      <c r="B174" t="s">
        <v>15</v>
      </c>
      <c r="C174" t="s">
        <v>16</v>
      </c>
      <c r="D174" s="1">
        <v>45855</v>
      </c>
      <c r="E174" t="s">
        <v>17</v>
      </c>
      <c r="F174">
        <v>4350</v>
      </c>
      <c r="J174">
        <v>1529.5</v>
      </c>
      <c r="K174">
        <v>1366.4</v>
      </c>
      <c r="L174">
        <v>0</v>
      </c>
      <c r="M174" t="s">
        <v>18</v>
      </c>
      <c r="N174">
        <v>0</v>
      </c>
      <c r="O174">
        <v>0</v>
      </c>
    </row>
    <row r="175" spans="1:15" x14ac:dyDescent="0.2">
      <c r="A175" s="6">
        <v>45849</v>
      </c>
      <c r="B175" t="s">
        <v>15</v>
      </c>
      <c r="C175" t="s">
        <v>16</v>
      </c>
      <c r="D175" s="1">
        <v>45855</v>
      </c>
      <c r="E175" t="s">
        <v>17</v>
      </c>
      <c r="F175">
        <v>5000</v>
      </c>
      <c r="G175">
        <v>739</v>
      </c>
      <c r="H175">
        <v>789</v>
      </c>
      <c r="I175">
        <v>733.5</v>
      </c>
      <c r="J175">
        <v>759.7</v>
      </c>
      <c r="K175">
        <v>814.1</v>
      </c>
      <c r="L175">
        <v>13</v>
      </c>
      <c r="M175" t="s">
        <v>121</v>
      </c>
      <c r="N175">
        <v>74.84</v>
      </c>
      <c r="O175">
        <v>15</v>
      </c>
    </row>
    <row r="176" spans="1:15" x14ac:dyDescent="0.2">
      <c r="A176" s="6">
        <v>45849</v>
      </c>
      <c r="B176" t="s">
        <v>15</v>
      </c>
      <c r="C176" t="s">
        <v>16</v>
      </c>
      <c r="D176" s="1">
        <v>45855</v>
      </c>
      <c r="E176" t="s">
        <v>17</v>
      </c>
      <c r="F176">
        <v>4750</v>
      </c>
      <c r="J176">
        <v>1129.9000000000001</v>
      </c>
      <c r="K176">
        <v>966.9</v>
      </c>
      <c r="L176">
        <v>0</v>
      </c>
      <c r="M176" t="s">
        <v>18</v>
      </c>
      <c r="N176">
        <v>0</v>
      </c>
      <c r="O176">
        <v>0</v>
      </c>
    </row>
    <row r="177" spans="1:15" x14ac:dyDescent="0.2">
      <c r="A177" s="6">
        <v>45849</v>
      </c>
      <c r="B177" t="s">
        <v>15</v>
      </c>
      <c r="C177" t="s">
        <v>16</v>
      </c>
      <c r="D177" s="1">
        <v>45855</v>
      </c>
      <c r="E177" t="s">
        <v>17</v>
      </c>
      <c r="F177">
        <v>4400</v>
      </c>
      <c r="J177">
        <v>1479.5</v>
      </c>
      <c r="K177">
        <v>1316.5</v>
      </c>
      <c r="L177">
        <v>0</v>
      </c>
      <c r="M177" t="s">
        <v>18</v>
      </c>
      <c r="N177">
        <v>0</v>
      </c>
      <c r="O177">
        <v>0</v>
      </c>
    </row>
    <row r="178" spans="1:15" x14ac:dyDescent="0.2">
      <c r="A178" s="6">
        <v>45849</v>
      </c>
      <c r="B178" t="s">
        <v>15</v>
      </c>
      <c r="C178" t="s">
        <v>16</v>
      </c>
      <c r="D178" s="1">
        <v>45855</v>
      </c>
      <c r="E178" t="s">
        <v>17</v>
      </c>
      <c r="F178">
        <v>4100</v>
      </c>
      <c r="J178">
        <v>1779.3</v>
      </c>
      <c r="K178">
        <v>1616.1</v>
      </c>
      <c r="L178">
        <v>0</v>
      </c>
      <c r="M178" t="s">
        <v>18</v>
      </c>
      <c r="N178">
        <v>0</v>
      </c>
      <c r="O178">
        <v>0</v>
      </c>
    </row>
    <row r="179" spans="1:15" x14ac:dyDescent="0.2">
      <c r="A179" s="6">
        <v>45849</v>
      </c>
      <c r="B179" t="s">
        <v>15</v>
      </c>
      <c r="C179" t="s">
        <v>16</v>
      </c>
      <c r="D179" s="1">
        <v>45855</v>
      </c>
      <c r="E179" t="s">
        <v>17</v>
      </c>
      <c r="F179">
        <v>4450</v>
      </c>
      <c r="J179">
        <v>1429.6</v>
      </c>
      <c r="K179">
        <v>1266.5</v>
      </c>
      <c r="L179">
        <v>0</v>
      </c>
      <c r="M179" t="s">
        <v>18</v>
      </c>
      <c r="N179">
        <v>0</v>
      </c>
      <c r="O179">
        <v>0</v>
      </c>
    </row>
    <row r="180" spans="1:15" x14ac:dyDescent="0.2">
      <c r="A180" s="6">
        <v>45849</v>
      </c>
      <c r="B180" t="s">
        <v>15</v>
      </c>
      <c r="C180" t="s">
        <v>16</v>
      </c>
      <c r="D180" s="1">
        <v>45855</v>
      </c>
      <c r="E180" t="s">
        <v>17</v>
      </c>
      <c r="F180">
        <v>5300</v>
      </c>
      <c r="G180">
        <v>450</v>
      </c>
      <c r="H180">
        <v>595.9</v>
      </c>
      <c r="I180">
        <v>435.2</v>
      </c>
      <c r="J180">
        <v>566.6</v>
      </c>
      <c r="K180">
        <v>436</v>
      </c>
      <c r="L180">
        <v>210</v>
      </c>
      <c r="M180" t="s">
        <v>122</v>
      </c>
      <c r="N180">
        <v>1217.72</v>
      </c>
      <c r="O180">
        <v>66</v>
      </c>
    </row>
    <row r="181" spans="1:15" x14ac:dyDescent="0.2">
      <c r="A181" s="6">
        <v>45849</v>
      </c>
      <c r="B181" t="s">
        <v>15</v>
      </c>
      <c r="C181" t="s">
        <v>16</v>
      </c>
      <c r="D181" s="1">
        <v>45855</v>
      </c>
      <c r="E181" t="s">
        <v>19</v>
      </c>
      <c r="F181">
        <v>7200</v>
      </c>
      <c r="J181">
        <v>1317.7</v>
      </c>
      <c r="K181">
        <v>1480.3</v>
      </c>
      <c r="L181">
        <v>0</v>
      </c>
      <c r="M181" t="s">
        <v>18</v>
      </c>
      <c r="N181">
        <v>0</v>
      </c>
      <c r="O181">
        <v>0</v>
      </c>
    </row>
    <row r="182" spans="1:15" x14ac:dyDescent="0.2">
      <c r="A182" s="6">
        <v>45849</v>
      </c>
      <c r="B182" t="s">
        <v>15</v>
      </c>
      <c r="C182" t="s">
        <v>16</v>
      </c>
      <c r="D182" s="1">
        <v>45855</v>
      </c>
      <c r="E182" t="s">
        <v>19</v>
      </c>
      <c r="F182">
        <v>6150</v>
      </c>
      <c r="G182">
        <v>424.9</v>
      </c>
      <c r="H182">
        <v>424.9</v>
      </c>
      <c r="I182">
        <v>302</v>
      </c>
      <c r="J182">
        <v>311</v>
      </c>
      <c r="K182">
        <v>430.2</v>
      </c>
      <c r="L182">
        <v>105</v>
      </c>
      <c r="M182" t="s">
        <v>123</v>
      </c>
      <c r="N182">
        <v>680.48</v>
      </c>
      <c r="O182">
        <v>140</v>
      </c>
    </row>
    <row r="183" spans="1:15" x14ac:dyDescent="0.2">
      <c r="A183" s="6">
        <v>45849</v>
      </c>
      <c r="B183" t="s">
        <v>15</v>
      </c>
      <c r="C183" t="s">
        <v>16</v>
      </c>
      <c r="D183" s="1">
        <v>45855</v>
      </c>
      <c r="E183" t="s">
        <v>17</v>
      </c>
      <c r="F183">
        <v>4950</v>
      </c>
      <c r="J183">
        <v>930.1</v>
      </c>
      <c r="K183">
        <v>767.5</v>
      </c>
      <c r="L183">
        <v>0</v>
      </c>
      <c r="M183" t="s">
        <v>18</v>
      </c>
      <c r="N183">
        <v>0</v>
      </c>
      <c r="O183">
        <v>0</v>
      </c>
    </row>
    <row r="184" spans="1:15" x14ac:dyDescent="0.2">
      <c r="A184" s="6">
        <v>45849</v>
      </c>
      <c r="B184" t="s">
        <v>15</v>
      </c>
      <c r="C184" t="s">
        <v>16</v>
      </c>
      <c r="D184" s="1">
        <v>45855</v>
      </c>
      <c r="E184" t="s">
        <v>17</v>
      </c>
      <c r="F184">
        <v>6200</v>
      </c>
      <c r="G184">
        <v>16</v>
      </c>
      <c r="H184">
        <v>37.700000000000003</v>
      </c>
      <c r="I184">
        <v>15.3</v>
      </c>
      <c r="J184">
        <v>30.8</v>
      </c>
      <c r="K184">
        <v>15.9</v>
      </c>
      <c r="L184">
        <v>45263</v>
      </c>
      <c r="M184" t="s">
        <v>124</v>
      </c>
      <c r="N184">
        <v>281900.07</v>
      </c>
      <c r="O184">
        <v>4537</v>
      </c>
    </row>
    <row r="185" spans="1:15" x14ac:dyDescent="0.2">
      <c r="A185" s="6">
        <v>45849</v>
      </c>
      <c r="B185" t="s">
        <v>15</v>
      </c>
      <c r="C185" t="s">
        <v>16</v>
      </c>
      <c r="D185" s="1">
        <v>45855</v>
      </c>
      <c r="E185" t="s">
        <v>17</v>
      </c>
      <c r="F185">
        <v>5900</v>
      </c>
      <c r="G185">
        <v>52.1</v>
      </c>
      <c r="H185">
        <v>114.2</v>
      </c>
      <c r="I185">
        <v>47.4</v>
      </c>
      <c r="J185">
        <v>106.2</v>
      </c>
      <c r="K185">
        <v>47.5</v>
      </c>
      <c r="L185">
        <v>211356</v>
      </c>
      <c r="M185" t="s">
        <v>125</v>
      </c>
      <c r="N185">
        <v>1264748.9099999999</v>
      </c>
      <c r="O185">
        <v>5078</v>
      </c>
    </row>
    <row r="186" spans="1:15" x14ac:dyDescent="0.2">
      <c r="A186" s="6">
        <v>45849</v>
      </c>
      <c r="B186" t="s">
        <v>15</v>
      </c>
      <c r="C186" t="s">
        <v>16</v>
      </c>
      <c r="D186" s="1">
        <v>45855</v>
      </c>
      <c r="E186" t="s">
        <v>17</v>
      </c>
      <c r="F186">
        <v>5700</v>
      </c>
      <c r="G186">
        <v>122</v>
      </c>
      <c r="H186">
        <v>233.9</v>
      </c>
      <c r="I186">
        <v>117.9</v>
      </c>
      <c r="J186">
        <v>224.9</v>
      </c>
      <c r="K186">
        <v>116.7</v>
      </c>
      <c r="L186">
        <v>165443</v>
      </c>
      <c r="M186" t="s">
        <v>126</v>
      </c>
      <c r="N186">
        <v>969668.57</v>
      </c>
      <c r="O186">
        <v>6190</v>
      </c>
    </row>
    <row r="187" spans="1:15" x14ac:dyDescent="0.2">
      <c r="A187" s="6">
        <v>45849</v>
      </c>
      <c r="B187" t="s">
        <v>15</v>
      </c>
      <c r="C187" t="s">
        <v>16</v>
      </c>
      <c r="D187" s="1">
        <v>45855</v>
      </c>
      <c r="E187" t="s">
        <v>17</v>
      </c>
      <c r="F187">
        <v>4900</v>
      </c>
      <c r="J187">
        <v>980</v>
      </c>
      <c r="K187">
        <v>817.2</v>
      </c>
      <c r="L187">
        <v>0</v>
      </c>
      <c r="M187" t="s">
        <v>18</v>
      </c>
      <c r="N187">
        <v>0</v>
      </c>
      <c r="O187">
        <v>0</v>
      </c>
    </row>
    <row r="188" spans="1:15" x14ac:dyDescent="0.2">
      <c r="A188" s="6">
        <v>45849</v>
      </c>
      <c r="B188" t="s">
        <v>15</v>
      </c>
      <c r="C188" t="s">
        <v>16</v>
      </c>
      <c r="D188" s="1">
        <v>45855</v>
      </c>
      <c r="E188" t="s">
        <v>19</v>
      </c>
      <c r="F188">
        <v>6550</v>
      </c>
      <c r="J188">
        <v>670.2</v>
      </c>
      <c r="K188">
        <v>752.4</v>
      </c>
      <c r="L188">
        <v>0</v>
      </c>
      <c r="M188" t="s">
        <v>18</v>
      </c>
      <c r="N188">
        <v>0</v>
      </c>
      <c r="O188">
        <v>55</v>
      </c>
    </row>
    <row r="189" spans="1:15" x14ac:dyDescent="0.2">
      <c r="A189" s="6">
        <v>45849</v>
      </c>
      <c r="B189" t="s">
        <v>15</v>
      </c>
      <c r="C189" t="s">
        <v>16</v>
      </c>
      <c r="D189" s="1">
        <v>45855</v>
      </c>
      <c r="E189" t="s">
        <v>19</v>
      </c>
      <c r="F189">
        <v>3900</v>
      </c>
      <c r="J189">
        <v>0.1</v>
      </c>
      <c r="K189">
        <v>0.1</v>
      </c>
      <c r="L189">
        <v>0</v>
      </c>
      <c r="M189" t="s">
        <v>18</v>
      </c>
      <c r="N189">
        <v>0</v>
      </c>
      <c r="O189">
        <v>0</v>
      </c>
    </row>
    <row r="190" spans="1:15" x14ac:dyDescent="0.2">
      <c r="A190" s="6">
        <v>45849</v>
      </c>
      <c r="B190" t="s">
        <v>15</v>
      </c>
      <c r="C190" t="s">
        <v>16</v>
      </c>
      <c r="D190" s="1">
        <v>45855</v>
      </c>
      <c r="E190" t="s">
        <v>17</v>
      </c>
      <c r="F190">
        <v>4800</v>
      </c>
      <c r="J190">
        <v>1079.9000000000001</v>
      </c>
      <c r="K190">
        <v>917</v>
      </c>
      <c r="L190">
        <v>0</v>
      </c>
      <c r="M190" t="s">
        <v>18</v>
      </c>
      <c r="N190">
        <v>0</v>
      </c>
      <c r="O190">
        <v>4</v>
      </c>
    </row>
    <row r="191" spans="1:15" x14ac:dyDescent="0.2">
      <c r="A191" s="6">
        <v>45849</v>
      </c>
      <c r="B191" t="s">
        <v>15</v>
      </c>
      <c r="C191" t="s">
        <v>16</v>
      </c>
      <c r="D191" s="1">
        <v>45855</v>
      </c>
      <c r="E191" t="s">
        <v>19</v>
      </c>
      <c r="F191">
        <v>4200</v>
      </c>
      <c r="J191">
        <v>0.1</v>
      </c>
      <c r="K191">
        <v>0.1</v>
      </c>
      <c r="L191">
        <v>0</v>
      </c>
      <c r="M191" t="s">
        <v>18</v>
      </c>
      <c r="N191">
        <v>0</v>
      </c>
      <c r="O191">
        <v>0</v>
      </c>
    </row>
    <row r="192" spans="1:15" x14ac:dyDescent="0.2">
      <c r="A192" s="6">
        <v>45849</v>
      </c>
      <c r="B192" t="s">
        <v>15</v>
      </c>
      <c r="C192" t="s">
        <v>16</v>
      </c>
      <c r="D192" s="1">
        <v>45855</v>
      </c>
      <c r="E192" t="s">
        <v>19</v>
      </c>
      <c r="F192">
        <v>3600</v>
      </c>
      <c r="G192">
        <v>2.1</v>
      </c>
      <c r="H192">
        <v>2.9</v>
      </c>
      <c r="I192">
        <v>1.1000000000000001</v>
      </c>
      <c r="J192">
        <v>1.9</v>
      </c>
      <c r="K192">
        <v>1.9</v>
      </c>
      <c r="L192">
        <v>361</v>
      </c>
      <c r="M192" t="s">
        <v>127</v>
      </c>
      <c r="N192">
        <v>1300.49</v>
      </c>
      <c r="O192">
        <v>254</v>
      </c>
    </row>
    <row r="193" spans="1:15" x14ac:dyDescent="0.2">
      <c r="A193" s="6">
        <v>45849</v>
      </c>
      <c r="B193" t="s">
        <v>15</v>
      </c>
      <c r="C193" t="s">
        <v>16</v>
      </c>
      <c r="D193" s="1">
        <v>45855</v>
      </c>
      <c r="E193" t="s">
        <v>17</v>
      </c>
      <c r="F193">
        <v>5100</v>
      </c>
      <c r="J193">
        <v>780.4</v>
      </c>
      <c r="K193">
        <v>734.3</v>
      </c>
      <c r="L193">
        <v>0</v>
      </c>
      <c r="M193" t="s">
        <v>18</v>
      </c>
      <c r="N193">
        <v>0</v>
      </c>
      <c r="O193">
        <v>7</v>
      </c>
    </row>
    <row r="194" spans="1:15" x14ac:dyDescent="0.2">
      <c r="A194" s="6">
        <v>45849</v>
      </c>
      <c r="B194" t="s">
        <v>15</v>
      </c>
      <c r="C194" t="s">
        <v>16</v>
      </c>
      <c r="D194" s="1">
        <v>45855</v>
      </c>
      <c r="E194" t="s">
        <v>19</v>
      </c>
      <c r="F194">
        <v>4900</v>
      </c>
      <c r="G194">
        <v>7.9</v>
      </c>
      <c r="H194">
        <v>7.9</v>
      </c>
      <c r="I194">
        <v>4.5</v>
      </c>
      <c r="J194">
        <v>4.9000000000000004</v>
      </c>
      <c r="K194">
        <v>7</v>
      </c>
      <c r="L194">
        <v>1739</v>
      </c>
      <c r="M194" t="s">
        <v>128</v>
      </c>
      <c r="N194">
        <v>8531.52</v>
      </c>
      <c r="O194">
        <v>767</v>
      </c>
    </row>
    <row r="195" spans="1:15" x14ac:dyDescent="0.2">
      <c r="A195" s="6">
        <v>45849</v>
      </c>
      <c r="B195" t="s">
        <v>15</v>
      </c>
      <c r="C195" t="s">
        <v>16</v>
      </c>
      <c r="D195" s="1">
        <v>45855</v>
      </c>
      <c r="E195" t="s">
        <v>17</v>
      </c>
      <c r="F195">
        <v>7300</v>
      </c>
      <c r="G195">
        <v>4.8</v>
      </c>
      <c r="H195">
        <v>7.2</v>
      </c>
      <c r="I195">
        <v>4.5</v>
      </c>
      <c r="J195">
        <v>5.8</v>
      </c>
      <c r="K195">
        <v>4.4000000000000004</v>
      </c>
      <c r="L195">
        <v>450</v>
      </c>
      <c r="M195" t="s">
        <v>129</v>
      </c>
      <c r="N195">
        <v>3287.49</v>
      </c>
      <c r="O195">
        <v>751</v>
      </c>
    </row>
    <row r="196" spans="1:15" x14ac:dyDescent="0.2">
      <c r="A196" s="6">
        <v>45849</v>
      </c>
      <c r="B196" t="s">
        <v>15</v>
      </c>
      <c r="C196" t="s">
        <v>16</v>
      </c>
      <c r="D196" s="1">
        <v>45855</v>
      </c>
      <c r="E196" t="s">
        <v>19</v>
      </c>
      <c r="F196">
        <v>6050</v>
      </c>
      <c r="G196">
        <v>333.1</v>
      </c>
      <c r="H196">
        <v>350.5</v>
      </c>
      <c r="I196">
        <v>224.8</v>
      </c>
      <c r="J196">
        <v>229.2</v>
      </c>
      <c r="K196">
        <v>356.8</v>
      </c>
      <c r="L196">
        <v>1374</v>
      </c>
      <c r="M196" t="s">
        <v>130</v>
      </c>
      <c r="N196">
        <v>8664.52</v>
      </c>
      <c r="O196">
        <v>134</v>
      </c>
    </row>
    <row r="197" spans="1:15" x14ac:dyDescent="0.2">
      <c r="A197" s="6">
        <v>45849</v>
      </c>
      <c r="B197" t="s">
        <v>15</v>
      </c>
      <c r="C197" t="s">
        <v>16</v>
      </c>
      <c r="D197" s="1">
        <v>45855</v>
      </c>
      <c r="E197" t="s">
        <v>17</v>
      </c>
      <c r="F197">
        <v>5950</v>
      </c>
      <c r="G197">
        <v>43.8</v>
      </c>
      <c r="H197">
        <v>94</v>
      </c>
      <c r="I197">
        <v>37.4</v>
      </c>
      <c r="J197">
        <v>86.4</v>
      </c>
      <c r="K197">
        <v>37.299999999999997</v>
      </c>
      <c r="L197">
        <v>74998</v>
      </c>
      <c r="M197" t="s">
        <v>131</v>
      </c>
      <c r="N197">
        <v>451475.23</v>
      </c>
      <c r="O197">
        <v>1045</v>
      </c>
    </row>
    <row r="198" spans="1:15" x14ac:dyDescent="0.2">
      <c r="A198" s="6">
        <v>45849</v>
      </c>
      <c r="B198" t="s">
        <v>15</v>
      </c>
      <c r="C198" t="s">
        <v>16</v>
      </c>
      <c r="D198" s="1">
        <v>45855</v>
      </c>
      <c r="E198" t="s">
        <v>19</v>
      </c>
      <c r="F198">
        <v>6650</v>
      </c>
      <c r="G198">
        <v>914.1</v>
      </c>
      <c r="H198">
        <v>914.1</v>
      </c>
      <c r="I198">
        <v>886.1</v>
      </c>
      <c r="J198">
        <v>900.1</v>
      </c>
      <c r="K198">
        <v>823</v>
      </c>
      <c r="L198">
        <v>2</v>
      </c>
      <c r="M198" t="s">
        <v>28</v>
      </c>
      <c r="N198">
        <v>15.1</v>
      </c>
      <c r="O198">
        <v>21</v>
      </c>
    </row>
    <row r="199" spans="1:15" x14ac:dyDescent="0.2">
      <c r="A199" s="6">
        <v>45849</v>
      </c>
      <c r="B199" t="s">
        <v>15</v>
      </c>
      <c r="C199" t="s">
        <v>16</v>
      </c>
      <c r="D199" s="1">
        <v>45855</v>
      </c>
      <c r="E199" t="s">
        <v>17</v>
      </c>
      <c r="F199">
        <v>4200</v>
      </c>
      <c r="J199">
        <v>1679.4</v>
      </c>
      <c r="K199">
        <v>1516.3</v>
      </c>
      <c r="L199">
        <v>0</v>
      </c>
      <c r="M199" t="s">
        <v>18</v>
      </c>
      <c r="N199">
        <v>0</v>
      </c>
      <c r="O199">
        <v>0</v>
      </c>
    </row>
    <row r="200" spans="1:15" x14ac:dyDescent="0.2">
      <c r="A200" s="6">
        <v>45849</v>
      </c>
      <c r="B200" t="s">
        <v>15</v>
      </c>
      <c r="C200" t="s">
        <v>16</v>
      </c>
      <c r="D200" s="1">
        <v>45855</v>
      </c>
      <c r="E200" t="s">
        <v>17</v>
      </c>
      <c r="F200">
        <v>5250</v>
      </c>
      <c r="G200">
        <v>510</v>
      </c>
      <c r="H200">
        <v>535.9</v>
      </c>
      <c r="I200">
        <v>510</v>
      </c>
      <c r="J200">
        <v>514.29999999999995</v>
      </c>
      <c r="K200">
        <v>572.70000000000005</v>
      </c>
      <c r="L200">
        <v>6</v>
      </c>
      <c r="M200" t="s">
        <v>132</v>
      </c>
      <c r="N200">
        <v>34.590000000000003</v>
      </c>
      <c r="O200">
        <v>15</v>
      </c>
    </row>
    <row r="201" spans="1:15" x14ac:dyDescent="0.2">
      <c r="A201" s="6">
        <v>45849</v>
      </c>
      <c r="B201" t="s">
        <v>15</v>
      </c>
      <c r="C201" t="s">
        <v>16</v>
      </c>
      <c r="D201" s="1">
        <v>45855</v>
      </c>
      <c r="E201" t="s">
        <v>19</v>
      </c>
      <c r="F201">
        <v>5100</v>
      </c>
      <c r="G201">
        <v>9</v>
      </c>
      <c r="H201">
        <v>9</v>
      </c>
      <c r="I201">
        <v>5.0999999999999996</v>
      </c>
      <c r="J201">
        <v>5.9</v>
      </c>
      <c r="K201">
        <v>10.1</v>
      </c>
      <c r="L201">
        <v>5855</v>
      </c>
      <c r="M201" t="s">
        <v>133</v>
      </c>
      <c r="N201">
        <v>29904.44</v>
      </c>
      <c r="O201">
        <v>1506</v>
      </c>
    </row>
    <row r="202" spans="1:15" x14ac:dyDescent="0.2">
      <c r="A202" s="6">
        <v>45849</v>
      </c>
      <c r="B202" t="s">
        <v>15</v>
      </c>
      <c r="C202" t="s">
        <v>16</v>
      </c>
      <c r="D202" s="1">
        <v>45855</v>
      </c>
      <c r="E202" t="s">
        <v>17</v>
      </c>
      <c r="F202">
        <v>4650</v>
      </c>
      <c r="J202">
        <v>1229.8</v>
      </c>
      <c r="K202">
        <v>1066.8</v>
      </c>
      <c r="L202">
        <v>0</v>
      </c>
      <c r="M202" t="s">
        <v>18</v>
      </c>
      <c r="N202">
        <v>0</v>
      </c>
      <c r="O202">
        <v>0</v>
      </c>
    </row>
    <row r="203" spans="1:15" x14ac:dyDescent="0.2">
      <c r="A203" s="6">
        <v>45849</v>
      </c>
      <c r="B203" t="s">
        <v>15</v>
      </c>
      <c r="C203" t="s">
        <v>16</v>
      </c>
      <c r="D203" s="1">
        <v>45855</v>
      </c>
      <c r="E203" t="s">
        <v>19</v>
      </c>
      <c r="F203">
        <v>4550</v>
      </c>
      <c r="J203">
        <v>0.1</v>
      </c>
      <c r="K203">
        <v>0.1</v>
      </c>
      <c r="L203">
        <v>0</v>
      </c>
      <c r="M203" t="s">
        <v>18</v>
      </c>
      <c r="N203">
        <v>0</v>
      </c>
      <c r="O203">
        <v>2</v>
      </c>
    </row>
    <row r="204" spans="1:15" x14ac:dyDescent="0.2">
      <c r="A204" s="6">
        <v>45849</v>
      </c>
      <c r="B204" t="s">
        <v>15</v>
      </c>
      <c r="C204" t="s">
        <v>16</v>
      </c>
      <c r="D204" s="1">
        <v>45855</v>
      </c>
      <c r="E204" t="s">
        <v>17</v>
      </c>
      <c r="F204">
        <v>3600</v>
      </c>
      <c r="J204">
        <v>2278.8000000000002</v>
      </c>
      <c r="K204">
        <v>2115.6</v>
      </c>
      <c r="L204">
        <v>0</v>
      </c>
      <c r="M204" t="s">
        <v>18</v>
      </c>
      <c r="N204">
        <v>0</v>
      </c>
      <c r="O204">
        <v>0</v>
      </c>
    </row>
    <row r="205" spans="1:15" x14ac:dyDescent="0.2">
      <c r="A205" s="6">
        <v>45849</v>
      </c>
      <c r="B205" t="s">
        <v>15</v>
      </c>
      <c r="C205" t="s">
        <v>16</v>
      </c>
      <c r="D205" s="1">
        <v>45855</v>
      </c>
      <c r="E205" t="s">
        <v>17</v>
      </c>
      <c r="F205">
        <v>7500</v>
      </c>
      <c r="G205">
        <v>5.6</v>
      </c>
      <c r="H205">
        <v>5.6</v>
      </c>
      <c r="I205">
        <v>4.3</v>
      </c>
      <c r="J205">
        <v>5.2</v>
      </c>
      <c r="K205">
        <v>5.8</v>
      </c>
      <c r="L205">
        <v>1489</v>
      </c>
      <c r="M205" t="s">
        <v>134</v>
      </c>
      <c r="N205">
        <v>11175.14</v>
      </c>
      <c r="O205">
        <v>3024</v>
      </c>
    </row>
    <row r="206" spans="1:15" x14ac:dyDescent="0.2">
      <c r="A206" s="6">
        <v>45849</v>
      </c>
      <c r="B206" t="s">
        <v>15</v>
      </c>
      <c r="C206" t="s">
        <v>16</v>
      </c>
      <c r="D206" s="1">
        <v>45855</v>
      </c>
      <c r="E206" t="s">
        <v>17</v>
      </c>
      <c r="F206">
        <v>6700</v>
      </c>
      <c r="G206">
        <v>9.6999999999999993</v>
      </c>
      <c r="H206">
        <v>14.6</v>
      </c>
      <c r="I206">
        <v>8.4</v>
      </c>
      <c r="J206">
        <v>11.2</v>
      </c>
      <c r="K206">
        <v>9.6999999999999993</v>
      </c>
      <c r="L206">
        <v>1601</v>
      </c>
      <c r="M206" t="s">
        <v>135</v>
      </c>
      <c r="N206">
        <v>10744.96</v>
      </c>
      <c r="O206">
        <v>1509</v>
      </c>
    </row>
    <row r="207" spans="1:15" x14ac:dyDescent="0.2">
      <c r="A207" s="6">
        <v>45849</v>
      </c>
      <c r="B207" t="s">
        <v>15</v>
      </c>
      <c r="C207" t="s">
        <v>16</v>
      </c>
      <c r="D207" s="1">
        <v>45855</v>
      </c>
      <c r="E207" t="s">
        <v>19</v>
      </c>
      <c r="F207">
        <v>5800</v>
      </c>
      <c r="G207">
        <v>141.1</v>
      </c>
      <c r="H207">
        <v>157.5</v>
      </c>
      <c r="I207">
        <v>77</v>
      </c>
      <c r="J207">
        <v>80.3</v>
      </c>
      <c r="K207">
        <v>156.1</v>
      </c>
      <c r="L207">
        <v>236524</v>
      </c>
      <c r="M207" t="s">
        <v>136</v>
      </c>
      <c r="N207">
        <v>1396505.94</v>
      </c>
      <c r="O207">
        <v>12550</v>
      </c>
    </row>
    <row r="208" spans="1:15" x14ac:dyDescent="0.2">
      <c r="A208" s="6">
        <v>45849</v>
      </c>
      <c r="B208" t="s">
        <v>15</v>
      </c>
      <c r="C208" t="s">
        <v>16</v>
      </c>
      <c r="D208" s="1">
        <v>45855</v>
      </c>
      <c r="E208" t="s">
        <v>19</v>
      </c>
      <c r="F208">
        <v>5450</v>
      </c>
      <c r="G208">
        <v>22.3</v>
      </c>
      <c r="H208">
        <v>30</v>
      </c>
      <c r="I208">
        <v>14.4</v>
      </c>
      <c r="J208">
        <v>16</v>
      </c>
      <c r="K208">
        <v>26.3</v>
      </c>
      <c r="L208">
        <v>12376</v>
      </c>
      <c r="M208" t="s">
        <v>137</v>
      </c>
      <c r="N208">
        <v>67716.41</v>
      </c>
      <c r="O208">
        <v>1173</v>
      </c>
    </row>
    <row r="209" spans="1:15" x14ac:dyDescent="0.2">
      <c r="A209" s="6">
        <v>45849</v>
      </c>
      <c r="B209" t="s">
        <v>15</v>
      </c>
      <c r="C209" t="s">
        <v>16</v>
      </c>
      <c r="D209" s="1">
        <v>45855</v>
      </c>
      <c r="E209" t="s">
        <v>17</v>
      </c>
      <c r="F209">
        <v>3650</v>
      </c>
      <c r="J209">
        <v>2228.8000000000002</v>
      </c>
      <c r="K209">
        <v>2065.6</v>
      </c>
      <c r="L209">
        <v>0</v>
      </c>
      <c r="M209" t="s">
        <v>18</v>
      </c>
      <c r="N209">
        <v>0</v>
      </c>
      <c r="O209">
        <v>0</v>
      </c>
    </row>
    <row r="210" spans="1:15" x14ac:dyDescent="0.2">
      <c r="A210" s="6">
        <v>45849</v>
      </c>
      <c r="B210" t="s">
        <v>15</v>
      </c>
      <c r="C210" t="s">
        <v>16</v>
      </c>
      <c r="D210" s="1">
        <v>45855</v>
      </c>
      <c r="E210" t="s">
        <v>17</v>
      </c>
      <c r="F210">
        <v>6800</v>
      </c>
      <c r="G210">
        <v>8.1</v>
      </c>
      <c r="H210">
        <v>12.8</v>
      </c>
      <c r="I210">
        <v>7.3</v>
      </c>
      <c r="J210">
        <v>9.6</v>
      </c>
      <c r="K210">
        <v>8.3000000000000007</v>
      </c>
      <c r="L210">
        <v>1883</v>
      </c>
      <c r="M210" t="s">
        <v>138</v>
      </c>
      <c r="N210">
        <v>12823.41</v>
      </c>
      <c r="O210">
        <v>1013</v>
      </c>
    </row>
    <row r="211" spans="1:15" x14ac:dyDescent="0.2">
      <c r="A211" s="6">
        <v>45849</v>
      </c>
      <c r="B211" t="s">
        <v>15</v>
      </c>
      <c r="C211" t="s">
        <v>16</v>
      </c>
      <c r="D211" s="1">
        <v>45855</v>
      </c>
      <c r="E211" t="s">
        <v>17</v>
      </c>
      <c r="F211">
        <v>6900</v>
      </c>
      <c r="G211">
        <v>8.1</v>
      </c>
      <c r="H211">
        <v>11.3</v>
      </c>
      <c r="I211">
        <v>6.9</v>
      </c>
      <c r="J211">
        <v>9.1999999999999993</v>
      </c>
      <c r="K211">
        <v>7.7</v>
      </c>
      <c r="L211">
        <v>869</v>
      </c>
      <c r="M211" t="s">
        <v>139</v>
      </c>
      <c r="N211">
        <v>6004.22</v>
      </c>
      <c r="O211">
        <v>755</v>
      </c>
    </row>
    <row r="212" spans="1:15" x14ac:dyDescent="0.2">
      <c r="A212" s="6">
        <v>45849</v>
      </c>
      <c r="B212" t="s">
        <v>15</v>
      </c>
      <c r="C212" t="s">
        <v>16</v>
      </c>
      <c r="D212" s="1">
        <v>45855</v>
      </c>
      <c r="E212" t="s">
        <v>19</v>
      </c>
      <c r="F212">
        <v>6400</v>
      </c>
      <c r="G212">
        <v>663.2</v>
      </c>
      <c r="H212">
        <v>689.4</v>
      </c>
      <c r="I212">
        <v>543.70000000000005</v>
      </c>
      <c r="J212">
        <v>612.1</v>
      </c>
      <c r="K212">
        <v>688.8</v>
      </c>
      <c r="L212">
        <v>17</v>
      </c>
      <c r="M212" t="s">
        <v>140</v>
      </c>
      <c r="N212">
        <v>119.46</v>
      </c>
      <c r="O212">
        <v>765</v>
      </c>
    </row>
    <row r="213" spans="1:15" x14ac:dyDescent="0.2">
      <c r="A213" s="6">
        <v>45849</v>
      </c>
      <c r="B213" t="s">
        <v>15</v>
      </c>
      <c r="C213" t="s">
        <v>16</v>
      </c>
      <c r="D213" s="1">
        <v>45855</v>
      </c>
      <c r="E213" t="s">
        <v>17</v>
      </c>
      <c r="F213">
        <v>7350</v>
      </c>
      <c r="G213">
        <v>5.7</v>
      </c>
      <c r="H213">
        <v>7.5</v>
      </c>
      <c r="I213">
        <v>3.3</v>
      </c>
      <c r="J213">
        <v>5.8</v>
      </c>
      <c r="K213">
        <v>5.5</v>
      </c>
      <c r="L213">
        <v>39</v>
      </c>
      <c r="M213" t="s">
        <v>141</v>
      </c>
      <c r="N213">
        <v>286.86</v>
      </c>
      <c r="O213">
        <v>193</v>
      </c>
    </row>
    <row r="214" spans="1:15" x14ac:dyDescent="0.2">
      <c r="A214" s="6">
        <v>45849</v>
      </c>
      <c r="B214" t="s">
        <v>15</v>
      </c>
      <c r="C214" t="s">
        <v>16</v>
      </c>
      <c r="D214" s="1">
        <v>45855</v>
      </c>
      <c r="E214" t="s">
        <v>19</v>
      </c>
      <c r="F214">
        <v>7150</v>
      </c>
      <c r="J214">
        <v>1267.8</v>
      </c>
      <c r="K214">
        <v>1430.4</v>
      </c>
      <c r="L214">
        <v>0</v>
      </c>
      <c r="M214" t="s">
        <v>18</v>
      </c>
      <c r="N214">
        <v>0</v>
      </c>
      <c r="O214">
        <v>0</v>
      </c>
    </row>
    <row r="215" spans="1:15" x14ac:dyDescent="0.2">
      <c r="A215" s="6">
        <v>45849</v>
      </c>
      <c r="B215" t="s">
        <v>15</v>
      </c>
      <c r="C215" t="s">
        <v>16</v>
      </c>
      <c r="D215" s="1">
        <v>45855</v>
      </c>
      <c r="E215" t="s">
        <v>17</v>
      </c>
      <c r="F215">
        <v>6650</v>
      </c>
      <c r="G215">
        <v>9.8000000000000007</v>
      </c>
      <c r="H215">
        <v>16.5</v>
      </c>
      <c r="I215">
        <v>9.8000000000000007</v>
      </c>
      <c r="J215">
        <v>12.9</v>
      </c>
      <c r="K215">
        <v>11</v>
      </c>
      <c r="L215">
        <v>751</v>
      </c>
      <c r="M215" t="s">
        <v>142</v>
      </c>
      <c r="N215">
        <v>5004.07</v>
      </c>
      <c r="O215">
        <v>377</v>
      </c>
    </row>
    <row r="216" spans="1:15" x14ac:dyDescent="0.2">
      <c r="A216" s="6">
        <v>45849</v>
      </c>
      <c r="B216" t="s">
        <v>15</v>
      </c>
      <c r="C216" t="s">
        <v>16</v>
      </c>
      <c r="D216" s="1">
        <v>45855</v>
      </c>
      <c r="E216" t="s">
        <v>17</v>
      </c>
      <c r="F216">
        <v>6850</v>
      </c>
      <c r="G216">
        <v>5.8</v>
      </c>
      <c r="H216">
        <v>12.2</v>
      </c>
      <c r="I216">
        <v>5.8</v>
      </c>
      <c r="J216">
        <v>9.1999999999999993</v>
      </c>
      <c r="K216">
        <v>7.2</v>
      </c>
      <c r="L216">
        <v>602</v>
      </c>
      <c r="M216" t="s">
        <v>143</v>
      </c>
      <c r="N216">
        <v>4129.1099999999997</v>
      </c>
      <c r="O216">
        <v>293</v>
      </c>
    </row>
    <row r="217" spans="1:15" x14ac:dyDescent="0.2">
      <c r="A217" s="6">
        <v>45849</v>
      </c>
      <c r="B217" t="s">
        <v>15</v>
      </c>
      <c r="C217" t="s">
        <v>16</v>
      </c>
      <c r="D217" s="1">
        <v>45855</v>
      </c>
      <c r="E217" t="s">
        <v>19</v>
      </c>
      <c r="F217">
        <v>3750</v>
      </c>
      <c r="J217">
        <v>0.1</v>
      </c>
      <c r="K217">
        <v>0.1</v>
      </c>
      <c r="L217">
        <v>0</v>
      </c>
      <c r="M217" t="s">
        <v>18</v>
      </c>
      <c r="N217">
        <v>0</v>
      </c>
      <c r="O217">
        <v>0</v>
      </c>
    </row>
    <row r="218" spans="1:15" x14ac:dyDescent="0.2">
      <c r="A218" s="6">
        <v>45849</v>
      </c>
      <c r="B218" t="s">
        <v>15</v>
      </c>
      <c r="C218" t="s">
        <v>16</v>
      </c>
      <c r="D218" s="1">
        <v>45855</v>
      </c>
      <c r="E218" t="s">
        <v>17</v>
      </c>
      <c r="F218">
        <v>3750</v>
      </c>
      <c r="J218">
        <v>2128.9</v>
      </c>
      <c r="K218">
        <v>1965.7</v>
      </c>
      <c r="L218">
        <v>0</v>
      </c>
      <c r="M218" t="s">
        <v>18</v>
      </c>
      <c r="N218">
        <v>0</v>
      </c>
      <c r="O218">
        <v>0</v>
      </c>
    </row>
    <row r="219" spans="1:15" x14ac:dyDescent="0.2">
      <c r="A219" s="6">
        <v>45849</v>
      </c>
      <c r="B219" t="s">
        <v>15</v>
      </c>
      <c r="C219" t="s">
        <v>16</v>
      </c>
      <c r="D219" s="1">
        <v>45855</v>
      </c>
      <c r="E219" t="s">
        <v>19</v>
      </c>
      <c r="F219">
        <v>4700</v>
      </c>
      <c r="G219">
        <v>5.3</v>
      </c>
      <c r="H219">
        <v>6.1</v>
      </c>
      <c r="I219">
        <v>4.5999999999999996</v>
      </c>
      <c r="J219">
        <v>5.2</v>
      </c>
      <c r="K219">
        <v>6</v>
      </c>
      <c r="L219">
        <v>220</v>
      </c>
      <c r="M219" t="s">
        <v>144</v>
      </c>
      <c r="N219">
        <v>1035.1400000000001</v>
      </c>
      <c r="O219">
        <v>154</v>
      </c>
    </row>
    <row r="220" spans="1:15" x14ac:dyDescent="0.2">
      <c r="A220" s="6">
        <v>45849</v>
      </c>
      <c r="B220" t="s">
        <v>15</v>
      </c>
      <c r="C220" t="s">
        <v>16</v>
      </c>
      <c r="D220" s="1">
        <v>45855</v>
      </c>
      <c r="E220" t="s">
        <v>17</v>
      </c>
      <c r="F220">
        <v>6050</v>
      </c>
      <c r="G220">
        <v>25.9</v>
      </c>
      <c r="H220">
        <v>64.599999999999994</v>
      </c>
      <c r="I220">
        <v>24.6</v>
      </c>
      <c r="J220">
        <v>56.7</v>
      </c>
      <c r="K220">
        <v>24.4</v>
      </c>
      <c r="L220">
        <v>35888</v>
      </c>
      <c r="M220" t="s">
        <v>145</v>
      </c>
      <c r="N220">
        <v>218759.85</v>
      </c>
      <c r="O220">
        <v>847</v>
      </c>
    </row>
    <row r="221" spans="1:15" x14ac:dyDescent="0.2">
      <c r="A221" s="6">
        <v>45849</v>
      </c>
      <c r="B221" t="s">
        <v>15</v>
      </c>
      <c r="C221" t="s">
        <v>16</v>
      </c>
      <c r="D221" s="1">
        <v>45855</v>
      </c>
      <c r="E221" t="s">
        <v>19</v>
      </c>
      <c r="F221">
        <v>6750</v>
      </c>
      <c r="J221">
        <v>868.5</v>
      </c>
      <c r="K221">
        <v>929.5</v>
      </c>
      <c r="L221">
        <v>0</v>
      </c>
      <c r="M221" t="s">
        <v>18</v>
      </c>
      <c r="N221">
        <v>0</v>
      </c>
      <c r="O221">
        <v>19</v>
      </c>
    </row>
    <row r="222" spans="1:15" x14ac:dyDescent="0.2">
      <c r="A222" s="6">
        <v>45849</v>
      </c>
      <c r="B222" t="s">
        <v>15</v>
      </c>
      <c r="C222" t="s">
        <v>16</v>
      </c>
      <c r="D222" s="1">
        <v>45855</v>
      </c>
      <c r="E222" t="s">
        <v>17</v>
      </c>
      <c r="F222">
        <v>7150</v>
      </c>
      <c r="G222">
        <v>7.1</v>
      </c>
      <c r="H222">
        <v>8.9</v>
      </c>
      <c r="I222">
        <v>5.9</v>
      </c>
      <c r="J222">
        <v>7.3</v>
      </c>
      <c r="K222">
        <v>7.9</v>
      </c>
      <c r="L222">
        <v>36</v>
      </c>
      <c r="M222" t="s">
        <v>146</v>
      </c>
      <c r="N222">
        <v>257.66000000000003</v>
      </c>
      <c r="O222">
        <v>98</v>
      </c>
    </row>
    <row r="223" spans="1:15" x14ac:dyDescent="0.2">
      <c r="A223" s="6">
        <v>45849</v>
      </c>
      <c r="B223" t="s">
        <v>15</v>
      </c>
      <c r="C223" t="s">
        <v>16</v>
      </c>
      <c r="D223" s="1">
        <v>45855</v>
      </c>
      <c r="E223" t="s">
        <v>19</v>
      </c>
      <c r="F223">
        <v>7700</v>
      </c>
      <c r="J223">
        <v>1817.2</v>
      </c>
      <c r="K223">
        <v>1793.2</v>
      </c>
      <c r="L223">
        <v>0</v>
      </c>
      <c r="M223" t="s">
        <v>18</v>
      </c>
      <c r="N223">
        <v>0</v>
      </c>
      <c r="O223">
        <v>0</v>
      </c>
    </row>
    <row r="224" spans="1:15" x14ac:dyDescent="0.2">
      <c r="A224" s="6">
        <v>45849</v>
      </c>
      <c r="B224" t="s">
        <v>15</v>
      </c>
      <c r="C224" t="s">
        <v>16</v>
      </c>
      <c r="D224" s="1">
        <v>45855</v>
      </c>
      <c r="E224" t="s">
        <v>19</v>
      </c>
      <c r="F224">
        <v>5300</v>
      </c>
      <c r="G224">
        <v>12.6</v>
      </c>
      <c r="H224">
        <v>15.5</v>
      </c>
      <c r="I224">
        <v>9.6</v>
      </c>
      <c r="J224">
        <v>10.5</v>
      </c>
      <c r="K224">
        <v>13.5</v>
      </c>
      <c r="L224">
        <v>14957</v>
      </c>
      <c r="M224" t="s">
        <v>147</v>
      </c>
      <c r="N224">
        <v>79453.039999999994</v>
      </c>
      <c r="O224">
        <v>1665</v>
      </c>
    </row>
    <row r="225" spans="1:15" x14ac:dyDescent="0.2">
      <c r="A225" s="6">
        <v>45849</v>
      </c>
      <c r="B225" t="s">
        <v>15</v>
      </c>
      <c r="C225" t="s">
        <v>16</v>
      </c>
      <c r="D225" s="1">
        <v>45855</v>
      </c>
      <c r="E225" t="s">
        <v>19</v>
      </c>
      <c r="F225">
        <v>5700</v>
      </c>
      <c r="G225">
        <v>89.8</v>
      </c>
      <c r="H225">
        <v>101.5</v>
      </c>
      <c r="I225">
        <v>46</v>
      </c>
      <c r="J225">
        <v>48.9</v>
      </c>
      <c r="K225">
        <v>98.3</v>
      </c>
      <c r="L225">
        <v>223735</v>
      </c>
      <c r="M225" t="s">
        <v>148</v>
      </c>
      <c r="N225">
        <v>1290905.74</v>
      </c>
      <c r="O225">
        <v>12930</v>
      </c>
    </row>
    <row r="226" spans="1:15" x14ac:dyDescent="0.2">
      <c r="A226" s="6">
        <v>45849</v>
      </c>
      <c r="B226" t="s">
        <v>15</v>
      </c>
      <c r="C226" t="s">
        <v>16</v>
      </c>
      <c r="D226" s="1">
        <v>45855</v>
      </c>
      <c r="E226" t="s">
        <v>19</v>
      </c>
      <c r="F226">
        <v>5400</v>
      </c>
      <c r="G226">
        <v>20</v>
      </c>
      <c r="H226">
        <v>22.6</v>
      </c>
      <c r="I226">
        <v>11.7</v>
      </c>
      <c r="J226">
        <v>13.6</v>
      </c>
      <c r="K226">
        <v>18.8</v>
      </c>
      <c r="L226">
        <v>33929</v>
      </c>
      <c r="M226" t="s">
        <v>149</v>
      </c>
      <c r="N226">
        <v>183753.21</v>
      </c>
      <c r="O226">
        <v>3169</v>
      </c>
    </row>
    <row r="227" spans="1:15" x14ac:dyDescent="0.2">
      <c r="A227" s="6">
        <v>45849</v>
      </c>
      <c r="B227" t="s">
        <v>15</v>
      </c>
      <c r="C227" t="s">
        <v>16</v>
      </c>
      <c r="D227" s="1">
        <v>45855</v>
      </c>
      <c r="E227" t="s">
        <v>19</v>
      </c>
      <c r="F227">
        <v>5050</v>
      </c>
      <c r="G227">
        <v>9.1</v>
      </c>
      <c r="H227">
        <v>9.1</v>
      </c>
      <c r="I227">
        <v>5.8</v>
      </c>
      <c r="J227">
        <v>6.6</v>
      </c>
      <c r="K227">
        <v>10.199999999999999</v>
      </c>
      <c r="L227">
        <v>288</v>
      </c>
      <c r="M227" t="s">
        <v>150</v>
      </c>
      <c r="N227">
        <v>1456.61</v>
      </c>
      <c r="O227">
        <v>260</v>
      </c>
    </row>
    <row r="228" spans="1:15" x14ac:dyDescent="0.2">
      <c r="A228" s="6">
        <v>45849</v>
      </c>
      <c r="B228" t="s">
        <v>15</v>
      </c>
      <c r="C228" t="s">
        <v>16</v>
      </c>
      <c r="D228" s="1">
        <v>45855</v>
      </c>
      <c r="E228" t="s">
        <v>17</v>
      </c>
      <c r="F228">
        <v>7650</v>
      </c>
      <c r="G228">
        <v>4.7</v>
      </c>
      <c r="H228">
        <v>5.5</v>
      </c>
      <c r="I228">
        <v>4.2</v>
      </c>
      <c r="J228">
        <v>4.8</v>
      </c>
      <c r="K228">
        <v>5.5</v>
      </c>
      <c r="L228">
        <v>49</v>
      </c>
      <c r="M228" t="s">
        <v>151</v>
      </c>
      <c r="N228">
        <v>375.08</v>
      </c>
      <c r="O228">
        <v>221</v>
      </c>
    </row>
    <row r="229" spans="1:15" x14ac:dyDescent="0.2">
      <c r="A229" s="6">
        <v>45849</v>
      </c>
      <c r="B229" t="s">
        <v>15</v>
      </c>
      <c r="C229" t="s">
        <v>16</v>
      </c>
      <c r="D229" s="1">
        <v>45855</v>
      </c>
      <c r="E229" t="s">
        <v>17</v>
      </c>
      <c r="F229">
        <v>3850</v>
      </c>
      <c r="J229">
        <v>2029</v>
      </c>
      <c r="K229">
        <v>1865.9</v>
      </c>
      <c r="L229">
        <v>0</v>
      </c>
      <c r="M229" t="s">
        <v>18</v>
      </c>
      <c r="N229">
        <v>0</v>
      </c>
      <c r="O229">
        <v>0</v>
      </c>
    </row>
    <row r="230" spans="1:15" x14ac:dyDescent="0.2">
      <c r="A230" s="6">
        <v>45849</v>
      </c>
      <c r="B230" t="s">
        <v>15</v>
      </c>
      <c r="C230" t="s">
        <v>16</v>
      </c>
      <c r="D230" s="1">
        <v>45855</v>
      </c>
      <c r="E230" t="s">
        <v>17</v>
      </c>
      <c r="F230">
        <v>6550</v>
      </c>
      <c r="G230">
        <v>8.3000000000000007</v>
      </c>
      <c r="H230">
        <v>18.8</v>
      </c>
      <c r="I230">
        <v>8.3000000000000007</v>
      </c>
      <c r="J230">
        <v>15.3</v>
      </c>
      <c r="K230">
        <v>11.9</v>
      </c>
      <c r="L230">
        <v>1144</v>
      </c>
      <c r="M230" t="s">
        <v>152</v>
      </c>
      <c r="N230">
        <v>7511.15</v>
      </c>
      <c r="O230">
        <v>968</v>
      </c>
    </row>
    <row r="231" spans="1:15" x14ac:dyDescent="0.2">
      <c r="A231" s="6">
        <v>45849</v>
      </c>
      <c r="B231" t="s">
        <v>15</v>
      </c>
      <c r="C231" t="s">
        <v>16</v>
      </c>
      <c r="D231" s="1">
        <v>45855</v>
      </c>
      <c r="E231" t="s">
        <v>19</v>
      </c>
      <c r="F231">
        <v>4250</v>
      </c>
      <c r="J231">
        <v>0.1</v>
      </c>
      <c r="K231">
        <v>0.1</v>
      </c>
      <c r="L231">
        <v>0</v>
      </c>
      <c r="M231" t="s">
        <v>18</v>
      </c>
      <c r="N231">
        <v>0</v>
      </c>
      <c r="O231">
        <v>5</v>
      </c>
    </row>
    <row r="232" spans="1:15" x14ac:dyDescent="0.2">
      <c r="A232" s="6">
        <v>45849</v>
      </c>
      <c r="B232" t="s">
        <v>15</v>
      </c>
      <c r="C232" t="s">
        <v>16</v>
      </c>
      <c r="D232" s="1">
        <v>45855</v>
      </c>
      <c r="E232" t="s">
        <v>19</v>
      </c>
      <c r="F232">
        <v>4450</v>
      </c>
      <c r="J232">
        <v>0.1</v>
      </c>
      <c r="K232">
        <v>0.1</v>
      </c>
      <c r="L232">
        <v>0</v>
      </c>
      <c r="M232" t="s">
        <v>18</v>
      </c>
      <c r="N232">
        <v>0</v>
      </c>
      <c r="O232">
        <v>1</v>
      </c>
    </row>
    <row r="233" spans="1:15" x14ac:dyDescent="0.2">
      <c r="A233" s="6">
        <v>45849</v>
      </c>
      <c r="B233" t="s">
        <v>15</v>
      </c>
      <c r="C233" t="s">
        <v>16</v>
      </c>
      <c r="D233" s="1">
        <v>45855</v>
      </c>
      <c r="E233" t="s">
        <v>19</v>
      </c>
      <c r="F233">
        <v>4950</v>
      </c>
      <c r="G233">
        <v>6.7</v>
      </c>
      <c r="H233">
        <v>7.8</v>
      </c>
      <c r="I233">
        <v>4.5</v>
      </c>
      <c r="J233">
        <v>6.2</v>
      </c>
      <c r="K233">
        <v>8.3000000000000007</v>
      </c>
      <c r="L233">
        <v>86</v>
      </c>
      <c r="M233" t="s">
        <v>153</v>
      </c>
      <c r="N233">
        <v>426.27</v>
      </c>
      <c r="O233">
        <v>97</v>
      </c>
    </row>
    <row r="234" spans="1:15" x14ac:dyDescent="0.2">
      <c r="A234" s="6">
        <v>45849</v>
      </c>
      <c r="B234" t="s">
        <v>15</v>
      </c>
      <c r="C234" t="s">
        <v>16</v>
      </c>
      <c r="D234" s="1">
        <v>45855</v>
      </c>
      <c r="E234" t="s">
        <v>17</v>
      </c>
      <c r="F234">
        <v>6750</v>
      </c>
      <c r="G234">
        <v>7.3</v>
      </c>
      <c r="H234">
        <v>14.1</v>
      </c>
      <c r="I234">
        <v>7.3</v>
      </c>
      <c r="J234">
        <v>11.1</v>
      </c>
      <c r="K234">
        <v>9.5</v>
      </c>
      <c r="L234">
        <v>386</v>
      </c>
      <c r="M234" t="s">
        <v>154</v>
      </c>
      <c r="N234">
        <v>2609.94</v>
      </c>
      <c r="O234">
        <v>101</v>
      </c>
    </row>
    <row r="235" spans="1:15" x14ac:dyDescent="0.2">
      <c r="A235" s="6">
        <v>45849</v>
      </c>
      <c r="B235" t="s">
        <v>15</v>
      </c>
      <c r="C235" t="s">
        <v>16</v>
      </c>
      <c r="D235" s="1">
        <v>45855</v>
      </c>
      <c r="E235" t="s">
        <v>19</v>
      </c>
      <c r="F235">
        <v>6800</v>
      </c>
      <c r="G235">
        <v>1000.7</v>
      </c>
      <c r="H235">
        <v>1000.7</v>
      </c>
      <c r="I235">
        <v>1000.7</v>
      </c>
      <c r="J235">
        <v>1000.7</v>
      </c>
      <c r="K235">
        <v>976.3</v>
      </c>
      <c r="L235">
        <v>1</v>
      </c>
      <c r="M235" t="s">
        <v>155</v>
      </c>
      <c r="N235">
        <v>7.8</v>
      </c>
      <c r="O235">
        <v>90</v>
      </c>
    </row>
    <row r="236" spans="1:15" x14ac:dyDescent="0.2">
      <c r="A236" s="6">
        <v>45849</v>
      </c>
      <c r="B236" t="s">
        <v>15</v>
      </c>
      <c r="C236" t="s">
        <v>16</v>
      </c>
      <c r="D236" s="1">
        <v>45855</v>
      </c>
      <c r="E236" t="s">
        <v>19</v>
      </c>
      <c r="F236">
        <v>3700</v>
      </c>
      <c r="G236">
        <v>2.5</v>
      </c>
      <c r="H236">
        <v>3.6</v>
      </c>
      <c r="I236">
        <v>2.5</v>
      </c>
      <c r="J236">
        <v>3.1</v>
      </c>
      <c r="K236">
        <v>0.6</v>
      </c>
      <c r="L236">
        <v>2</v>
      </c>
      <c r="M236" t="s">
        <v>28</v>
      </c>
      <c r="N236">
        <v>7.41</v>
      </c>
      <c r="O236">
        <v>8</v>
      </c>
    </row>
    <row r="237" spans="1:15" x14ac:dyDescent="0.2">
      <c r="A237" s="6">
        <v>45849</v>
      </c>
      <c r="B237" t="s">
        <v>15</v>
      </c>
      <c r="C237" t="s">
        <v>16</v>
      </c>
      <c r="D237" s="1">
        <v>45855</v>
      </c>
      <c r="E237" t="s">
        <v>19</v>
      </c>
      <c r="F237">
        <v>6200</v>
      </c>
      <c r="G237">
        <v>470</v>
      </c>
      <c r="H237">
        <v>489.6</v>
      </c>
      <c r="I237">
        <v>350</v>
      </c>
      <c r="J237">
        <v>354.9</v>
      </c>
      <c r="K237">
        <v>494.6</v>
      </c>
      <c r="L237">
        <v>445</v>
      </c>
      <c r="M237" t="s">
        <v>156</v>
      </c>
      <c r="N237">
        <v>2929.36</v>
      </c>
      <c r="O237">
        <v>512</v>
      </c>
    </row>
    <row r="238" spans="1:15" x14ac:dyDescent="0.2">
      <c r="A238" s="6">
        <v>45849</v>
      </c>
      <c r="B238" t="s">
        <v>15</v>
      </c>
      <c r="C238" t="s">
        <v>16</v>
      </c>
      <c r="D238" s="1">
        <v>45855</v>
      </c>
      <c r="E238" t="s">
        <v>17</v>
      </c>
      <c r="F238">
        <v>5600</v>
      </c>
      <c r="G238">
        <v>194.8</v>
      </c>
      <c r="H238">
        <v>311.60000000000002</v>
      </c>
      <c r="I238">
        <v>178.8</v>
      </c>
      <c r="J238">
        <v>303.3</v>
      </c>
      <c r="K238">
        <v>176.7</v>
      </c>
      <c r="L238">
        <v>35121</v>
      </c>
      <c r="M238" t="s">
        <v>157</v>
      </c>
      <c r="N238">
        <v>204654.5</v>
      </c>
      <c r="O238">
        <v>2382</v>
      </c>
    </row>
    <row r="239" spans="1:15" x14ac:dyDescent="0.2">
      <c r="A239" s="6">
        <v>45849</v>
      </c>
      <c r="B239" t="s">
        <v>15</v>
      </c>
      <c r="C239" t="s">
        <v>16</v>
      </c>
      <c r="D239" s="1">
        <v>45855</v>
      </c>
      <c r="E239" t="s">
        <v>19</v>
      </c>
      <c r="F239">
        <v>4600</v>
      </c>
      <c r="G239">
        <v>4.0999999999999996</v>
      </c>
      <c r="H239">
        <v>5.5</v>
      </c>
      <c r="I239">
        <v>4.0999999999999996</v>
      </c>
      <c r="J239">
        <v>4.8</v>
      </c>
      <c r="K239">
        <v>5.9</v>
      </c>
      <c r="L239">
        <v>112</v>
      </c>
      <c r="M239" t="s">
        <v>158</v>
      </c>
      <c r="N239">
        <v>515.76</v>
      </c>
      <c r="O239">
        <v>165</v>
      </c>
    </row>
    <row r="240" spans="1:15" x14ac:dyDescent="0.2">
      <c r="A240" s="6">
        <v>45849</v>
      </c>
      <c r="B240" t="s">
        <v>15</v>
      </c>
      <c r="C240" t="s">
        <v>16</v>
      </c>
      <c r="D240" s="1">
        <v>45855</v>
      </c>
      <c r="E240" t="s">
        <v>19</v>
      </c>
      <c r="F240">
        <v>4800</v>
      </c>
      <c r="G240">
        <v>6</v>
      </c>
      <c r="H240">
        <v>6.9</v>
      </c>
      <c r="I240">
        <v>5.0999999999999996</v>
      </c>
      <c r="J240">
        <v>5.6</v>
      </c>
      <c r="K240">
        <v>6.5</v>
      </c>
      <c r="L240">
        <v>494</v>
      </c>
      <c r="M240" t="s">
        <v>159</v>
      </c>
      <c r="N240">
        <v>2374.0500000000002</v>
      </c>
      <c r="O240">
        <v>598</v>
      </c>
    </row>
    <row r="241" spans="1:15" x14ac:dyDescent="0.2">
      <c r="A241" s="6">
        <v>45849</v>
      </c>
      <c r="B241" t="s">
        <v>15</v>
      </c>
      <c r="C241" t="s">
        <v>16</v>
      </c>
      <c r="D241" s="1">
        <v>45855</v>
      </c>
      <c r="E241" t="s">
        <v>17</v>
      </c>
      <c r="F241">
        <v>5550</v>
      </c>
      <c r="G241">
        <v>222</v>
      </c>
      <c r="H241">
        <v>358.5</v>
      </c>
      <c r="I241">
        <v>215.3</v>
      </c>
      <c r="J241">
        <v>350</v>
      </c>
      <c r="K241">
        <v>211.6</v>
      </c>
      <c r="L241">
        <v>5218</v>
      </c>
      <c r="M241" t="s">
        <v>160</v>
      </c>
      <c r="N241">
        <v>30312.02</v>
      </c>
      <c r="O241">
        <v>111</v>
      </c>
    </row>
    <row r="242" spans="1:15" x14ac:dyDescent="0.2">
      <c r="A242" s="6">
        <v>45849</v>
      </c>
      <c r="B242" t="s">
        <v>15</v>
      </c>
      <c r="C242" t="s">
        <v>16</v>
      </c>
      <c r="D242" s="1">
        <v>45855</v>
      </c>
      <c r="E242" t="s">
        <v>19</v>
      </c>
      <c r="F242">
        <v>7600</v>
      </c>
      <c r="J242">
        <v>1717.3</v>
      </c>
      <c r="K242">
        <v>1879.8</v>
      </c>
      <c r="L242">
        <v>0</v>
      </c>
      <c r="M242" t="s">
        <v>18</v>
      </c>
      <c r="N242">
        <v>0</v>
      </c>
      <c r="O242">
        <v>0</v>
      </c>
    </row>
    <row r="243" spans="1:15" x14ac:dyDescent="0.2">
      <c r="A243" s="6">
        <v>45849</v>
      </c>
      <c r="B243" t="s">
        <v>15</v>
      </c>
      <c r="C243" t="s">
        <v>16</v>
      </c>
      <c r="D243" s="1">
        <v>45855</v>
      </c>
      <c r="E243" t="s">
        <v>17</v>
      </c>
      <c r="F243">
        <v>3800</v>
      </c>
      <c r="J243">
        <v>2079</v>
      </c>
      <c r="K243">
        <v>1915.8</v>
      </c>
      <c r="L243">
        <v>0</v>
      </c>
      <c r="M243" t="s">
        <v>18</v>
      </c>
      <c r="N243">
        <v>0</v>
      </c>
      <c r="O243">
        <v>0</v>
      </c>
    </row>
    <row r="244" spans="1:15" x14ac:dyDescent="0.2">
      <c r="A244" s="6">
        <v>45849</v>
      </c>
      <c r="B244" t="s">
        <v>15</v>
      </c>
      <c r="C244" t="s">
        <v>16</v>
      </c>
      <c r="D244" s="1">
        <v>45855</v>
      </c>
      <c r="E244" t="s">
        <v>19</v>
      </c>
      <c r="F244">
        <v>3950</v>
      </c>
      <c r="J244">
        <v>0.1</v>
      </c>
      <c r="K244">
        <v>0.1</v>
      </c>
      <c r="L244">
        <v>0</v>
      </c>
      <c r="M244" t="s">
        <v>18</v>
      </c>
      <c r="N244">
        <v>0</v>
      </c>
      <c r="O244">
        <v>0</v>
      </c>
    </row>
    <row r="245" spans="1:15" x14ac:dyDescent="0.2">
      <c r="A245" s="6">
        <v>45849</v>
      </c>
      <c r="B245" t="s">
        <v>15</v>
      </c>
      <c r="C245" t="s">
        <v>16</v>
      </c>
      <c r="D245" s="1">
        <v>45855</v>
      </c>
      <c r="E245" t="s">
        <v>17</v>
      </c>
      <c r="F245">
        <v>7250</v>
      </c>
      <c r="G245">
        <v>6.5</v>
      </c>
      <c r="H245">
        <v>7.5</v>
      </c>
      <c r="I245">
        <v>3</v>
      </c>
      <c r="J245">
        <v>5.9</v>
      </c>
      <c r="K245">
        <v>6.5</v>
      </c>
      <c r="L245">
        <v>54</v>
      </c>
      <c r="M245" t="s">
        <v>161</v>
      </c>
      <c r="N245">
        <v>391.81</v>
      </c>
      <c r="O245">
        <v>94</v>
      </c>
    </row>
    <row r="246" spans="1:15" x14ac:dyDescent="0.2">
      <c r="A246" s="6">
        <v>45849</v>
      </c>
      <c r="B246" t="s">
        <v>15</v>
      </c>
      <c r="C246" t="s">
        <v>16</v>
      </c>
      <c r="D246" s="1">
        <v>45855</v>
      </c>
      <c r="E246" t="s">
        <v>17</v>
      </c>
      <c r="F246">
        <v>5750</v>
      </c>
      <c r="G246">
        <v>105</v>
      </c>
      <c r="H246">
        <v>197</v>
      </c>
      <c r="I246">
        <v>94.1</v>
      </c>
      <c r="J246">
        <v>188.8</v>
      </c>
      <c r="K246">
        <v>94.4</v>
      </c>
      <c r="L246">
        <v>112628</v>
      </c>
      <c r="M246" t="s">
        <v>162</v>
      </c>
      <c r="N246">
        <v>662428.75</v>
      </c>
      <c r="O246">
        <v>1760</v>
      </c>
    </row>
    <row r="247" spans="1:15" x14ac:dyDescent="0.2">
      <c r="A247" s="6">
        <v>45849</v>
      </c>
      <c r="B247" t="s">
        <v>15</v>
      </c>
      <c r="C247" t="s">
        <v>16</v>
      </c>
      <c r="D247" s="1">
        <v>45855</v>
      </c>
      <c r="E247" t="s">
        <v>17</v>
      </c>
      <c r="F247">
        <v>7100</v>
      </c>
      <c r="G247">
        <v>6.2</v>
      </c>
      <c r="H247">
        <v>9.1</v>
      </c>
      <c r="I247">
        <v>5</v>
      </c>
      <c r="J247">
        <v>6.5</v>
      </c>
      <c r="K247">
        <v>6.5</v>
      </c>
      <c r="L247">
        <v>245</v>
      </c>
      <c r="M247" t="s">
        <v>163</v>
      </c>
      <c r="N247">
        <v>1741.2</v>
      </c>
      <c r="O247">
        <v>363</v>
      </c>
    </row>
    <row r="248" spans="1:15" x14ac:dyDescent="0.2">
      <c r="A248" s="6">
        <v>45849</v>
      </c>
      <c r="B248" t="s">
        <v>15</v>
      </c>
      <c r="C248" t="s">
        <v>16</v>
      </c>
      <c r="D248" s="1">
        <v>45855</v>
      </c>
      <c r="E248" t="s">
        <v>17</v>
      </c>
      <c r="F248">
        <v>6500</v>
      </c>
      <c r="G248">
        <v>10.199999999999999</v>
      </c>
      <c r="H248">
        <v>20</v>
      </c>
      <c r="I248">
        <v>10.1</v>
      </c>
      <c r="J248">
        <v>15.6</v>
      </c>
      <c r="K248">
        <v>11.9</v>
      </c>
      <c r="L248">
        <v>13581</v>
      </c>
      <c r="M248" t="s">
        <v>164</v>
      </c>
      <c r="N248">
        <v>88481.96</v>
      </c>
      <c r="O248">
        <v>9216</v>
      </c>
    </row>
    <row r="249" spans="1:15" x14ac:dyDescent="0.2">
      <c r="A249" s="6">
        <v>45849</v>
      </c>
      <c r="B249" t="s">
        <v>15</v>
      </c>
      <c r="C249" t="s">
        <v>16</v>
      </c>
      <c r="D249" s="1">
        <v>45855</v>
      </c>
      <c r="E249" t="s">
        <v>19</v>
      </c>
      <c r="F249">
        <v>3800</v>
      </c>
      <c r="J249">
        <v>0.1</v>
      </c>
      <c r="K249">
        <v>0.1</v>
      </c>
      <c r="L249">
        <v>0</v>
      </c>
      <c r="M249" t="s">
        <v>18</v>
      </c>
      <c r="N249">
        <v>0</v>
      </c>
      <c r="O249">
        <v>0</v>
      </c>
    </row>
    <row r="250" spans="1:15" x14ac:dyDescent="0.2">
      <c r="A250" s="6">
        <v>45849</v>
      </c>
      <c r="B250" t="s">
        <v>15</v>
      </c>
      <c r="C250" t="s">
        <v>16</v>
      </c>
      <c r="D250" s="1">
        <v>45855</v>
      </c>
      <c r="E250" t="s">
        <v>17</v>
      </c>
      <c r="F250">
        <v>6300</v>
      </c>
      <c r="G250">
        <v>15.8</v>
      </c>
      <c r="H250">
        <v>29</v>
      </c>
      <c r="I250">
        <v>13.2</v>
      </c>
      <c r="J250">
        <v>22</v>
      </c>
      <c r="K250">
        <v>14.6</v>
      </c>
      <c r="L250">
        <v>24259</v>
      </c>
      <c r="M250" t="s">
        <v>165</v>
      </c>
      <c r="N250">
        <v>153359.07999999999</v>
      </c>
      <c r="O250">
        <v>4204</v>
      </c>
    </row>
    <row r="251" spans="1:15" x14ac:dyDescent="0.2">
      <c r="A251" s="6">
        <v>45849</v>
      </c>
      <c r="B251" t="s">
        <v>15</v>
      </c>
      <c r="C251" t="s">
        <v>16</v>
      </c>
      <c r="D251" s="1">
        <v>45855</v>
      </c>
      <c r="E251" t="s">
        <v>19</v>
      </c>
      <c r="F251">
        <v>4350</v>
      </c>
      <c r="J251">
        <v>0.1</v>
      </c>
      <c r="K251">
        <v>4</v>
      </c>
      <c r="L251">
        <v>0</v>
      </c>
      <c r="M251" t="s">
        <v>18</v>
      </c>
      <c r="N251">
        <v>0</v>
      </c>
      <c r="O251">
        <v>5</v>
      </c>
    </row>
    <row r="252" spans="1:15" x14ac:dyDescent="0.2">
      <c r="A252" s="6">
        <v>45849</v>
      </c>
      <c r="B252" t="s">
        <v>15</v>
      </c>
      <c r="C252" t="s">
        <v>16</v>
      </c>
      <c r="D252" s="1">
        <v>45855</v>
      </c>
      <c r="E252" t="s">
        <v>19</v>
      </c>
      <c r="F252">
        <v>4100</v>
      </c>
      <c r="J252">
        <v>0.1</v>
      </c>
      <c r="K252">
        <v>0.1</v>
      </c>
      <c r="L252">
        <v>0</v>
      </c>
      <c r="M252" t="s">
        <v>18</v>
      </c>
      <c r="N252">
        <v>0</v>
      </c>
      <c r="O252">
        <v>0</v>
      </c>
    </row>
    <row r="253" spans="1:15" x14ac:dyDescent="0.2">
      <c r="A253" s="6">
        <v>45849</v>
      </c>
      <c r="B253" t="s">
        <v>15</v>
      </c>
      <c r="C253" t="s">
        <v>16</v>
      </c>
      <c r="D253" s="1">
        <v>45855</v>
      </c>
      <c r="E253" t="s">
        <v>19</v>
      </c>
      <c r="F253">
        <v>5500</v>
      </c>
      <c r="G253">
        <v>27.4</v>
      </c>
      <c r="H253">
        <v>38</v>
      </c>
      <c r="I253">
        <v>15.8</v>
      </c>
      <c r="J253">
        <v>17.7</v>
      </c>
      <c r="K253">
        <v>33.299999999999997</v>
      </c>
      <c r="L253">
        <v>67472</v>
      </c>
      <c r="M253" t="s">
        <v>166</v>
      </c>
      <c r="N253">
        <v>372796.24</v>
      </c>
      <c r="O253">
        <v>9499</v>
      </c>
    </row>
    <row r="254" spans="1:15" x14ac:dyDescent="0.2">
      <c r="A254" s="6">
        <v>45849</v>
      </c>
      <c r="B254" t="s">
        <v>15</v>
      </c>
      <c r="C254" t="s">
        <v>16</v>
      </c>
      <c r="D254" s="1">
        <v>45855</v>
      </c>
      <c r="E254" t="s">
        <v>19</v>
      </c>
      <c r="F254">
        <v>5350</v>
      </c>
      <c r="G254">
        <v>13.1</v>
      </c>
      <c r="H254">
        <v>19</v>
      </c>
      <c r="I254">
        <v>11</v>
      </c>
      <c r="J254">
        <v>12.1</v>
      </c>
      <c r="K254">
        <v>17.100000000000001</v>
      </c>
      <c r="L254">
        <v>3201</v>
      </c>
      <c r="M254" t="s">
        <v>167</v>
      </c>
      <c r="N254">
        <v>17171.32</v>
      </c>
      <c r="O254">
        <v>649</v>
      </c>
    </row>
    <row r="255" spans="1:15" x14ac:dyDescent="0.2">
      <c r="A255" s="6">
        <v>45849</v>
      </c>
      <c r="B255" t="s">
        <v>15</v>
      </c>
      <c r="C255" t="s">
        <v>16</v>
      </c>
      <c r="D255" s="1">
        <v>45855</v>
      </c>
      <c r="E255" t="s">
        <v>19</v>
      </c>
      <c r="F255">
        <v>5750</v>
      </c>
      <c r="G255">
        <v>110.8</v>
      </c>
      <c r="H255">
        <v>126.4</v>
      </c>
      <c r="I255">
        <v>59.7</v>
      </c>
      <c r="J255">
        <v>62.6</v>
      </c>
      <c r="K255">
        <v>124.2</v>
      </c>
      <c r="L255">
        <v>107449</v>
      </c>
      <c r="M255" t="s">
        <v>168</v>
      </c>
      <c r="N255">
        <v>627325.38</v>
      </c>
      <c r="O255">
        <v>4929</v>
      </c>
    </row>
    <row r="256" spans="1:15" x14ac:dyDescent="0.2">
      <c r="A256" s="6">
        <v>45849</v>
      </c>
      <c r="B256" t="s">
        <v>15</v>
      </c>
      <c r="C256" t="s">
        <v>16</v>
      </c>
      <c r="D256" s="1">
        <v>45855</v>
      </c>
      <c r="E256" t="s">
        <v>19</v>
      </c>
      <c r="F256">
        <v>4500</v>
      </c>
      <c r="G256">
        <v>4.5999999999999996</v>
      </c>
      <c r="H256">
        <v>5.5</v>
      </c>
      <c r="I256">
        <v>4.2</v>
      </c>
      <c r="J256">
        <v>4.5</v>
      </c>
      <c r="K256">
        <v>5.2</v>
      </c>
      <c r="L256">
        <v>1600</v>
      </c>
      <c r="M256" t="s">
        <v>169</v>
      </c>
      <c r="N256">
        <v>7207.9</v>
      </c>
      <c r="O256">
        <v>643</v>
      </c>
    </row>
    <row r="257" spans="1:15" x14ac:dyDescent="0.2">
      <c r="A257" s="6">
        <v>45849</v>
      </c>
      <c r="B257" t="s">
        <v>15</v>
      </c>
      <c r="C257" t="s">
        <v>16</v>
      </c>
      <c r="D257" s="1">
        <v>45855</v>
      </c>
      <c r="E257" t="s">
        <v>19</v>
      </c>
      <c r="F257">
        <v>7350</v>
      </c>
      <c r="J257">
        <v>1467.6</v>
      </c>
      <c r="K257">
        <v>1630.1</v>
      </c>
      <c r="L257">
        <v>0</v>
      </c>
      <c r="M257" t="s">
        <v>18</v>
      </c>
      <c r="N257">
        <v>0</v>
      </c>
      <c r="O257">
        <v>0</v>
      </c>
    </row>
    <row r="258" spans="1:15" x14ac:dyDescent="0.2">
      <c r="A258" s="6">
        <v>45849</v>
      </c>
      <c r="B258" t="s">
        <v>15</v>
      </c>
      <c r="C258" t="s">
        <v>16</v>
      </c>
      <c r="D258" s="1">
        <v>45855</v>
      </c>
      <c r="E258" t="s">
        <v>17</v>
      </c>
      <c r="F258">
        <v>7000</v>
      </c>
      <c r="G258">
        <v>8.1</v>
      </c>
      <c r="H258">
        <v>10.1</v>
      </c>
      <c r="I258">
        <v>6.7</v>
      </c>
      <c r="J258">
        <v>7.8</v>
      </c>
      <c r="K258">
        <v>8.1</v>
      </c>
      <c r="L258">
        <v>5930</v>
      </c>
      <c r="M258" t="s">
        <v>170</v>
      </c>
      <c r="N258">
        <v>41558.230000000003</v>
      </c>
      <c r="O258">
        <v>4009</v>
      </c>
    </row>
    <row r="259" spans="1:15" x14ac:dyDescent="0.2">
      <c r="A259" s="6">
        <v>45849</v>
      </c>
      <c r="B259" t="s">
        <v>15</v>
      </c>
      <c r="C259" t="s">
        <v>16</v>
      </c>
      <c r="D259" s="1">
        <v>45855</v>
      </c>
      <c r="E259" t="s">
        <v>19</v>
      </c>
      <c r="F259">
        <v>6850</v>
      </c>
      <c r="J259">
        <v>968.2</v>
      </c>
      <c r="K259">
        <v>1132.7</v>
      </c>
      <c r="L259">
        <v>0</v>
      </c>
      <c r="M259" t="s">
        <v>18</v>
      </c>
      <c r="N259">
        <v>0</v>
      </c>
      <c r="O259">
        <v>4</v>
      </c>
    </row>
    <row r="260" spans="1:15" x14ac:dyDescent="0.2">
      <c r="A260" s="6">
        <v>45849</v>
      </c>
      <c r="B260" t="s">
        <v>15</v>
      </c>
      <c r="C260" t="s">
        <v>16</v>
      </c>
      <c r="D260" s="1">
        <v>45855</v>
      </c>
      <c r="E260" t="s">
        <v>19</v>
      </c>
      <c r="F260">
        <v>4650</v>
      </c>
      <c r="G260">
        <v>4.8</v>
      </c>
      <c r="H260">
        <v>5.8</v>
      </c>
      <c r="I260">
        <v>4.7</v>
      </c>
      <c r="J260">
        <v>5.0999999999999996</v>
      </c>
      <c r="K260">
        <v>4.2</v>
      </c>
      <c r="L260">
        <v>50</v>
      </c>
      <c r="M260" t="s">
        <v>171</v>
      </c>
      <c r="N260">
        <v>232.75</v>
      </c>
      <c r="O260">
        <v>3</v>
      </c>
    </row>
    <row r="261" spans="1:15" x14ac:dyDescent="0.2">
      <c r="A261" s="6">
        <v>45849</v>
      </c>
      <c r="B261" t="s">
        <v>15</v>
      </c>
      <c r="C261" t="s">
        <v>16</v>
      </c>
      <c r="D261" s="1">
        <v>45855</v>
      </c>
      <c r="E261" t="s">
        <v>17</v>
      </c>
      <c r="F261">
        <v>7050</v>
      </c>
      <c r="G261">
        <v>10.3</v>
      </c>
      <c r="H261">
        <v>10.3</v>
      </c>
      <c r="I261">
        <v>7.1</v>
      </c>
      <c r="J261">
        <v>7.9</v>
      </c>
      <c r="K261">
        <v>8.6</v>
      </c>
      <c r="L261">
        <v>440</v>
      </c>
      <c r="M261" t="s">
        <v>172</v>
      </c>
      <c r="N261">
        <v>3105.82</v>
      </c>
      <c r="O261">
        <v>178</v>
      </c>
    </row>
    <row r="262" spans="1:15" x14ac:dyDescent="0.2">
      <c r="A262" s="6">
        <v>45849</v>
      </c>
      <c r="B262" t="s">
        <v>15</v>
      </c>
      <c r="C262" t="s">
        <v>16</v>
      </c>
      <c r="D262" s="1">
        <v>45855</v>
      </c>
      <c r="E262" t="s">
        <v>19</v>
      </c>
      <c r="F262">
        <v>4400</v>
      </c>
      <c r="J262">
        <v>0.1</v>
      </c>
      <c r="K262">
        <v>0.1</v>
      </c>
      <c r="L262">
        <v>0</v>
      </c>
      <c r="M262" t="s">
        <v>18</v>
      </c>
      <c r="N262">
        <v>0</v>
      </c>
      <c r="O262">
        <v>1</v>
      </c>
    </row>
    <row r="263" spans="1:15" x14ac:dyDescent="0.2">
      <c r="A263" s="6">
        <v>45849</v>
      </c>
      <c r="B263" t="s">
        <v>15</v>
      </c>
      <c r="C263" t="s">
        <v>16</v>
      </c>
      <c r="D263" s="1">
        <v>45855</v>
      </c>
      <c r="E263" t="s">
        <v>17</v>
      </c>
      <c r="F263">
        <v>4050</v>
      </c>
      <c r="J263">
        <v>1829.2</v>
      </c>
      <c r="K263">
        <v>1666.1</v>
      </c>
      <c r="L263">
        <v>0</v>
      </c>
      <c r="M263" t="s">
        <v>18</v>
      </c>
      <c r="N263">
        <v>0</v>
      </c>
      <c r="O263">
        <v>0</v>
      </c>
    </row>
    <row r="264" spans="1:15" x14ac:dyDescent="0.2">
      <c r="A264" s="6">
        <v>45849</v>
      </c>
      <c r="B264" t="s">
        <v>15</v>
      </c>
      <c r="C264" t="s">
        <v>16</v>
      </c>
      <c r="D264" s="1">
        <v>45855</v>
      </c>
      <c r="E264" t="s">
        <v>17</v>
      </c>
      <c r="F264">
        <v>4000</v>
      </c>
      <c r="J264">
        <v>1879.2</v>
      </c>
      <c r="K264">
        <v>1716</v>
      </c>
      <c r="L264">
        <v>0</v>
      </c>
      <c r="M264" t="s">
        <v>18</v>
      </c>
      <c r="N264">
        <v>0</v>
      </c>
      <c r="O264">
        <v>0</v>
      </c>
    </row>
    <row r="265" spans="1:15" x14ac:dyDescent="0.2">
      <c r="A265" s="6">
        <v>45849</v>
      </c>
      <c r="B265" t="s">
        <v>15</v>
      </c>
      <c r="C265" t="s">
        <v>16</v>
      </c>
      <c r="D265" s="1">
        <v>45855</v>
      </c>
      <c r="E265" t="s">
        <v>17</v>
      </c>
      <c r="F265">
        <v>5450</v>
      </c>
      <c r="G265">
        <v>315</v>
      </c>
      <c r="H265">
        <v>445</v>
      </c>
      <c r="I265">
        <v>301.60000000000002</v>
      </c>
      <c r="J265">
        <v>422.2</v>
      </c>
      <c r="K265">
        <v>294.39999999999998</v>
      </c>
      <c r="L265">
        <v>51</v>
      </c>
      <c r="M265" t="s">
        <v>173</v>
      </c>
      <c r="N265">
        <v>295.75</v>
      </c>
      <c r="O265">
        <v>41</v>
      </c>
    </row>
    <row r="266" spans="1:15" x14ac:dyDescent="0.2">
      <c r="A266" s="6">
        <v>45849</v>
      </c>
      <c r="B266" t="s">
        <v>15</v>
      </c>
      <c r="C266" t="s">
        <v>16</v>
      </c>
      <c r="D266" s="1">
        <v>45855</v>
      </c>
      <c r="E266" t="s">
        <v>17</v>
      </c>
      <c r="F266">
        <v>4550</v>
      </c>
      <c r="J266">
        <v>1329.7</v>
      </c>
      <c r="K266">
        <v>1166.7</v>
      </c>
      <c r="L266">
        <v>0</v>
      </c>
      <c r="M266" t="s">
        <v>18</v>
      </c>
      <c r="N266">
        <v>0</v>
      </c>
      <c r="O266">
        <v>0</v>
      </c>
    </row>
    <row r="267" spans="1:15" x14ac:dyDescent="0.2">
      <c r="A267" s="6">
        <v>45849</v>
      </c>
      <c r="B267" t="s">
        <v>15</v>
      </c>
      <c r="C267" t="s">
        <v>16</v>
      </c>
      <c r="D267" s="1">
        <v>45855</v>
      </c>
      <c r="E267" t="s">
        <v>17</v>
      </c>
      <c r="F267">
        <v>5800</v>
      </c>
      <c r="G267">
        <v>82</v>
      </c>
      <c r="H267">
        <v>166.1</v>
      </c>
      <c r="I267">
        <v>74.3</v>
      </c>
      <c r="J267">
        <v>158.69999999999999</v>
      </c>
      <c r="K267">
        <v>75.3</v>
      </c>
      <c r="L267">
        <v>310776</v>
      </c>
      <c r="M267" t="s">
        <v>174</v>
      </c>
      <c r="N267">
        <v>1837845.67</v>
      </c>
      <c r="O267">
        <v>8652</v>
      </c>
    </row>
    <row r="268" spans="1:15" x14ac:dyDescent="0.2">
      <c r="A268" s="6">
        <v>45849</v>
      </c>
      <c r="B268" t="s">
        <v>15</v>
      </c>
      <c r="C268" t="s">
        <v>16</v>
      </c>
      <c r="D268" s="1">
        <v>45855</v>
      </c>
      <c r="E268" t="s">
        <v>17</v>
      </c>
      <c r="F268">
        <v>6350</v>
      </c>
      <c r="G268">
        <v>13.5</v>
      </c>
      <c r="H268">
        <v>26.2</v>
      </c>
      <c r="I268">
        <v>12.9</v>
      </c>
      <c r="J268">
        <v>21</v>
      </c>
      <c r="K268">
        <v>13.7</v>
      </c>
      <c r="L268">
        <v>4351</v>
      </c>
      <c r="M268" t="s">
        <v>175</v>
      </c>
      <c r="N268">
        <v>27721.87</v>
      </c>
      <c r="O268">
        <v>1445</v>
      </c>
    </row>
    <row r="269" spans="1:15" x14ac:dyDescent="0.2">
      <c r="A269" s="6">
        <v>45849</v>
      </c>
      <c r="B269" t="s">
        <v>15</v>
      </c>
      <c r="C269" t="s">
        <v>16</v>
      </c>
      <c r="D269" s="1">
        <v>45855</v>
      </c>
      <c r="E269" t="s">
        <v>17</v>
      </c>
      <c r="F269">
        <v>6250</v>
      </c>
      <c r="G269">
        <v>16.899999999999999</v>
      </c>
      <c r="H269">
        <v>33.200000000000003</v>
      </c>
      <c r="I269">
        <v>14.8</v>
      </c>
      <c r="J269">
        <v>26.8</v>
      </c>
      <c r="K269">
        <v>16.100000000000001</v>
      </c>
      <c r="L269">
        <v>8546</v>
      </c>
      <c r="M269" t="s">
        <v>176</v>
      </c>
      <c r="N269">
        <v>53633.58</v>
      </c>
      <c r="O269">
        <v>1524</v>
      </c>
    </row>
    <row r="270" spans="1:15" x14ac:dyDescent="0.2">
      <c r="A270" s="6">
        <v>45849</v>
      </c>
      <c r="B270" t="s">
        <v>15</v>
      </c>
      <c r="C270" t="s">
        <v>16</v>
      </c>
      <c r="D270" s="1">
        <v>45855</v>
      </c>
      <c r="E270" t="s">
        <v>19</v>
      </c>
      <c r="F270">
        <v>7250</v>
      </c>
      <c r="J270">
        <v>1367.7</v>
      </c>
      <c r="K270">
        <v>1530.2</v>
      </c>
      <c r="L270">
        <v>0</v>
      </c>
      <c r="M270" t="s">
        <v>18</v>
      </c>
      <c r="N270">
        <v>0</v>
      </c>
      <c r="O270">
        <v>0</v>
      </c>
    </row>
    <row r="271" spans="1:15" x14ac:dyDescent="0.2">
      <c r="A271" s="6">
        <v>45849</v>
      </c>
      <c r="B271" t="s">
        <v>15</v>
      </c>
      <c r="C271" t="s">
        <v>16</v>
      </c>
      <c r="D271" s="1">
        <v>45855</v>
      </c>
      <c r="E271" t="s">
        <v>17</v>
      </c>
      <c r="F271">
        <v>5150</v>
      </c>
      <c r="G271">
        <v>713.1</v>
      </c>
      <c r="H271">
        <v>713.1</v>
      </c>
      <c r="I271">
        <v>641.9</v>
      </c>
      <c r="J271">
        <v>677.5</v>
      </c>
      <c r="K271">
        <v>713.1</v>
      </c>
      <c r="L271">
        <v>2</v>
      </c>
      <c r="M271" t="s">
        <v>28</v>
      </c>
      <c r="N271">
        <v>11.66</v>
      </c>
      <c r="O271">
        <v>3</v>
      </c>
    </row>
    <row r="272" spans="1:15" x14ac:dyDescent="0.2">
      <c r="A272" s="6">
        <v>45849</v>
      </c>
      <c r="B272" t="s">
        <v>15</v>
      </c>
      <c r="C272" t="s">
        <v>16</v>
      </c>
      <c r="D272" s="1">
        <v>45855</v>
      </c>
      <c r="E272" t="s">
        <v>19</v>
      </c>
      <c r="F272">
        <v>5150</v>
      </c>
      <c r="G272">
        <v>8</v>
      </c>
      <c r="H272">
        <v>10.1</v>
      </c>
      <c r="I272">
        <v>7</v>
      </c>
      <c r="J272">
        <v>7.7</v>
      </c>
      <c r="K272">
        <v>10.8</v>
      </c>
      <c r="L272">
        <v>316</v>
      </c>
      <c r="M272" t="s">
        <v>177</v>
      </c>
      <c r="N272">
        <v>1630.08</v>
      </c>
      <c r="O272">
        <v>264</v>
      </c>
    </row>
    <row r="273" spans="1:15" x14ac:dyDescent="0.2">
      <c r="A273" s="6">
        <v>45849</v>
      </c>
      <c r="B273" t="s">
        <v>15</v>
      </c>
      <c r="C273" t="s">
        <v>16</v>
      </c>
      <c r="D273" s="1">
        <v>45855</v>
      </c>
      <c r="E273" t="s">
        <v>19</v>
      </c>
      <c r="F273">
        <v>7500</v>
      </c>
      <c r="J273">
        <v>1617.4</v>
      </c>
      <c r="K273">
        <v>1780</v>
      </c>
      <c r="L273">
        <v>0</v>
      </c>
      <c r="M273" t="s">
        <v>18</v>
      </c>
      <c r="N273">
        <v>0</v>
      </c>
      <c r="O273">
        <v>0</v>
      </c>
    </row>
    <row r="274" spans="1:15" x14ac:dyDescent="0.2">
      <c r="A274" s="6">
        <v>45849</v>
      </c>
      <c r="B274" t="s">
        <v>15</v>
      </c>
      <c r="C274" t="s">
        <v>16</v>
      </c>
      <c r="D274" s="1">
        <v>45855</v>
      </c>
      <c r="E274" t="s">
        <v>19</v>
      </c>
      <c r="F274">
        <v>6250</v>
      </c>
      <c r="G274">
        <v>531.6</v>
      </c>
      <c r="H274">
        <v>531.6</v>
      </c>
      <c r="I274">
        <v>390</v>
      </c>
      <c r="J274">
        <v>411.3</v>
      </c>
      <c r="K274">
        <v>444.3</v>
      </c>
      <c r="L274">
        <v>66</v>
      </c>
      <c r="M274" t="s">
        <v>178</v>
      </c>
      <c r="N274">
        <v>442.03</v>
      </c>
      <c r="O274">
        <v>87</v>
      </c>
    </row>
    <row r="275" spans="1:15" x14ac:dyDescent="0.2">
      <c r="A275" s="6">
        <v>45849</v>
      </c>
      <c r="B275" t="s">
        <v>15</v>
      </c>
      <c r="C275" t="s">
        <v>16</v>
      </c>
      <c r="D275" s="1">
        <v>45855</v>
      </c>
      <c r="E275" t="s">
        <v>17</v>
      </c>
      <c r="F275">
        <v>4500</v>
      </c>
      <c r="J275">
        <v>1379.6</v>
      </c>
      <c r="K275">
        <v>1216.5999999999999</v>
      </c>
      <c r="L275">
        <v>0</v>
      </c>
      <c r="M275" t="s">
        <v>18</v>
      </c>
      <c r="N275">
        <v>0</v>
      </c>
      <c r="O275">
        <v>0</v>
      </c>
    </row>
    <row r="276" spans="1:15" x14ac:dyDescent="0.2">
      <c r="A276" s="6">
        <v>45849</v>
      </c>
      <c r="B276" t="s">
        <v>15</v>
      </c>
      <c r="C276" t="s">
        <v>16</v>
      </c>
      <c r="D276" s="1">
        <v>45855</v>
      </c>
      <c r="E276" t="s">
        <v>17</v>
      </c>
      <c r="F276">
        <v>5050</v>
      </c>
      <c r="J276">
        <v>830.3</v>
      </c>
      <c r="K276">
        <v>814.8</v>
      </c>
      <c r="L276">
        <v>0</v>
      </c>
      <c r="M276" t="s">
        <v>18</v>
      </c>
      <c r="N276">
        <v>0</v>
      </c>
      <c r="O276">
        <v>1</v>
      </c>
    </row>
    <row r="277" spans="1:15" x14ac:dyDescent="0.2">
      <c r="A277" s="6">
        <v>45849</v>
      </c>
      <c r="B277" t="s">
        <v>15</v>
      </c>
      <c r="C277" t="s">
        <v>16</v>
      </c>
      <c r="D277" s="1">
        <v>45855</v>
      </c>
      <c r="E277" t="s">
        <v>17</v>
      </c>
      <c r="F277">
        <v>5500</v>
      </c>
      <c r="G277">
        <v>272.89999999999998</v>
      </c>
      <c r="H277">
        <v>399.8</v>
      </c>
      <c r="I277">
        <v>253.2</v>
      </c>
      <c r="J277">
        <v>393.1</v>
      </c>
      <c r="K277">
        <v>250.4</v>
      </c>
      <c r="L277">
        <v>6630</v>
      </c>
      <c r="M277" t="s">
        <v>179</v>
      </c>
      <c r="N277">
        <v>38549.1</v>
      </c>
      <c r="O277">
        <v>1163</v>
      </c>
    </row>
    <row r="278" spans="1:15" x14ac:dyDescent="0.2">
      <c r="A278" s="6">
        <v>45849</v>
      </c>
      <c r="B278" t="s">
        <v>15</v>
      </c>
      <c r="C278" t="s">
        <v>16</v>
      </c>
      <c r="D278" s="1">
        <v>45855</v>
      </c>
      <c r="E278" t="s">
        <v>17</v>
      </c>
      <c r="F278">
        <v>5200</v>
      </c>
      <c r="G278">
        <v>549.29999999999995</v>
      </c>
      <c r="H278">
        <v>653.20000000000005</v>
      </c>
      <c r="I278">
        <v>549.29999999999995</v>
      </c>
      <c r="J278">
        <v>602.9</v>
      </c>
      <c r="K278">
        <v>539.1</v>
      </c>
      <c r="L278">
        <v>12</v>
      </c>
      <c r="M278" t="s">
        <v>180</v>
      </c>
      <c r="N278">
        <v>69.53</v>
      </c>
      <c r="O278">
        <v>81</v>
      </c>
    </row>
    <row r="279" spans="1:15" x14ac:dyDescent="0.2">
      <c r="A279" s="6">
        <v>45849</v>
      </c>
      <c r="B279" t="s">
        <v>15</v>
      </c>
      <c r="C279" t="s">
        <v>16</v>
      </c>
      <c r="D279" s="1">
        <v>45855</v>
      </c>
      <c r="E279" t="s">
        <v>17</v>
      </c>
      <c r="F279">
        <v>4150</v>
      </c>
      <c r="J279">
        <v>1729.3</v>
      </c>
      <c r="K279">
        <v>1566.2</v>
      </c>
      <c r="L279">
        <v>0</v>
      </c>
      <c r="M279" t="s">
        <v>18</v>
      </c>
      <c r="N279">
        <v>0</v>
      </c>
      <c r="O279">
        <v>0</v>
      </c>
    </row>
    <row r="280" spans="1:15" x14ac:dyDescent="0.2">
      <c r="A280" s="6">
        <v>45849</v>
      </c>
      <c r="B280" t="s">
        <v>15</v>
      </c>
      <c r="C280" t="s">
        <v>16</v>
      </c>
      <c r="D280" s="1">
        <v>45855</v>
      </c>
      <c r="E280" t="s">
        <v>17</v>
      </c>
      <c r="F280">
        <v>6950</v>
      </c>
      <c r="G280">
        <v>7.7</v>
      </c>
      <c r="H280">
        <v>11.9</v>
      </c>
      <c r="I280">
        <v>7</v>
      </c>
      <c r="J280">
        <v>8.8000000000000007</v>
      </c>
      <c r="K280">
        <v>7.8</v>
      </c>
      <c r="L280">
        <v>654</v>
      </c>
      <c r="M280" t="s">
        <v>72</v>
      </c>
      <c r="N280">
        <v>4551.26</v>
      </c>
      <c r="O280">
        <v>407</v>
      </c>
    </row>
    <row r="281" spans="1:15" x14ac:dyDescent="0.2">
      <c r="A281" s="6">
        <v>45849</v>
      </c>
      <c r="B281" t="s">
        <v>15</v>
      </c>
      <c r="C281" t="s">
        <v>16</v>
      </c>
      <c r="D281" s="1">
        <v>45855</v>
      </c>
      <c r="E281" t="s">
        <v>17</v>
      </c>
      <c r="F281">
        <v>4250</v>
      </c>
      <c r="J281">
        <v>1629.4</v>
      </c>
      <c r="K281">
        <v>1466.3</v>
      </c>
      <c r="L281">
        <v>0</v>
      </c>
      <c r="M281" t="s">
        <v>18</v>
      </c>
      <c r="N281">
        <v>0</v>
      </c>
      <c r="O281">
        <v>0</v>
      </c>
    </row>
    <row r="282" spans="1:15" x14ac:dyDescent="0.2">
      <c r="A282" s="6">
        <v>45849</v>
      </c>
      <c r="B282" t="s">
        <v>15</v>
      </c>
      <c r="C282" t="s">
        <v>16</v>
      </c>
      <c r="D282" s="1">
        <v>45855</v>
      </c>
      <c r="E282" t="s">
        <v>19</v>
      </c>
      <c r="F282">
        <v>7450</v>
      </c>
      <c r="J282">
        <v>1567.5</v>
      </c>
      <c r="K282">
        <v>1730</v>
      </c>
      <c r="L282">
        <v>0</v>
      </c>
      <c r="M282" t="s">
        <v>18</v>
      </c>
      <c r="N282">
        <v>0</v>
      </c>
      <c r="O282">
        <v>0</v>
      </c>
    </row>
    <row r="283" spans="1:15" x14ac:dyDescent="0.2">
      <c r="A283" s="6">
        <v>45849</v>
      </c>
      <c r="B283" t="s">
        <v>15</v>
      </c>
      <c r="C283" t="s">
        <v>16</v>
      </c>
      <c r="D283" s="1">
        <v>45855</v>
      </c>
      <c r="E283" t="s">
        <v>17</v>
      </c>
      <c r="F283">
        <v>7550</v>
      </c>
      <c r="G283">
        <v>4.8</v>
      </c>
      <c r="H283">
        <v>6.4</v>
      </c>
      <c r="I283">
        <v>3.9</v>
      </c>
      <c r="J283">
        <v>5</v>
      </c>
      <c r="K283">
        <v>6.4</v>
      </c>
      <c r="L283">
        <v>24</v>
      </c>
      <c r="M283" t="s">
        <v>181</v>
      </c>
      <c r="N283">
        <v>181.31</v>
      </c>
      <c r="O283">
        <v>137</v>
      </c>
    </row>
    <row r="284" spans="1:15" x14ac:dyDescent="0.2">
      <c r="A284" s="6">
        <v>45849</v>
      </c>
      <c r="B284" t="s">
        <v>15</v>
      </c>
      <c r="C284" t="s">
        <v>16</v>
      </c>
      <c r="D284" s="1">
        <v>45855</v>
      </c>
      <c r="E284" t="s">
        <v>17</v>
      </c>
      <c r="F284">
        <v>3950</v>
      </c>
      <c r="J284">
        <v>1929.1</v>
      </c>
      <c r="K284">
        <v>1766</v>
      </c>
      <c r="L284">
        <v>0</v>
      </c>
      <c r="M284" t="s">
        <v>18</v>
      </c>
      <c r="N284">
        <v>0</v>
      </c>
      <c r="O284">
        <v>0</v>
      </c>
    </row>
    <row r="285" spans="1:15" x14ac:dyDescent="0.2">
      <c r="A285" s="6">
        <v>45849</v>
      </c>
      <c r="B285" t="s">
        <v>15</v>
      </c>
      <c r="C285" t="s">
        <v>16</v>
      </c>
      <c r="D285" s="1">
        <v>45855</v>
      </c>
      <c r="E285" t="s">
        <v>19</v>
      </c>
      <c r="F285">
        <v>5650</v>
      </c>
      <c r="G285">
        <v>70</v>
      </c>
      <c r="H285">
        <v>80.599999999999994</v>
      </c>
      <c r="I285">
        <v>35.799999999999997</v>
      </c>
      <c r="J285">
        <v>37.9</v>
      </c>
      <c r="K285">
        <v>77.2</v>
      </c>
      <c r="L285">
        <v>74000</v>
      </c>
      <c r="M285" t="s">
        <v>182</v>
      </c>
      <c r="N285">
        <v>422210.64</v>
      </c>
      <c r="O285">
        <v>4008</v>
      </c>
    </row>
    <row r="286" spans="1:15" x14ac:dyDescent="0.2">
      <c r="A286" s="6">
        <v>45849</v>
      </c>
      <c r="B286" t="s">
        <v>15</v>
      </c>
      <c r="C286" t="s">
        <v>16</v>
      </c>
      <c r="D286" s="1">
        <v>45855</v>
      </c>
      <c r="E286" t="s">
        <v>19</v>
      </c>
      <c r="F286">
        <v>6350</v>
      </c>
      <c r="G286">
        <v>627.5</v>
      </c>
      <c r="H286">
        <v>627.5</v>
      </c>
      <c r="I286">
        <v>521.5</v>
      </c>
      <c r="J286">
        <v>592.4</v>
      </c>
      <c r="K286">
        <v>594</v>
      </c>
      <c r="L286">
        <v>7</v>
      </c>
      <c r="M286" t="s">
        <v>23</v>
      </c>
      <c r="N286">
        <v>48.6</v>
      </c>
      <c r="O286">
        <v>77</v>
      </c>
    </row>
    <row r="287" spans="1:15" x14ac:dyDescent="0.2">
      <c r="A287" s="6">
        <v>45849</v>
      </c>
      <c r="B287" t="s">
        <v>15</v>
      </c>
      <c r="C287" t="s">
        <v>16</v>
      </c>
      <c r="D287" s="1">
        <v>45855</v>
      </c>
      <c r="E287" t="s">
        <v>19</v>
      </c>
      <c r="F287">
        <v>4000</v>
      </c>
      <c r="G287">
        <v>3.5</v>
      </c>
      <c r="H287">
        <v>4.3</v>
      </c>
      <c r="I287">
        <v>3.4</v>
      </c>
      <c r="J287">
        <v>3.8</v>
      </c>
      <c r="K287">
        <v>4.3</v>
      </c>
      <c r="L287">
        <v>425</v>
      </c>
      <c r="M287" t="s">
        <v>183</v>
      </c>
      <c r="N287">
        <v>1701.61</v>
      </c>
      <c r="O287">
        <v>786</v>
      </c>
    </row>
    <row r="288" spans="1:15" x14ac:dyDescent="0.2">
      <c r="A288" s="6">
        <v>45849</v>
      </c>
      <c r="B288" t="s">
        <v>15</v>
      </c>
      <c r="C288" t="s">
        <v>16</v>
      </c>
      <c r="D288" s="1">
        <v>45855</v>
      </c>
      <c r="E288" t="s">
        <v>19</v>
      </c>
      <c r="F288">
        <v>5600</v>
      </c>
      <c r="G288">
        <v>55</v>
      </c>
      <c r="H288">
        <v>62.9</v>
      </c>
      <c r="I288">
        <v>26.7</v>
      </c>
      <c r="J288">
        <v>28.8</v>
      </c>
      <c r="K288">
        <v>58.8</v>
      </c>
      <c r="L288">
        <v>116698</v>
      </c>
      <c r="M288" t="s">
        <v>184</v>
      </c>
      <c r="N288">
        <v>658363.78</v>
      </c>
      <c r="O288">
        <v>9191</v>
      </c>
    </row>
    <row r="289" spans="1:15" x14ac:dyDescent="0.2">
      <c r="A289" s="6">
        <v>45849</v>
      </c>
      <c r="B289" t="s">
        <v>15</v>
      </c>
      <c r="C289" t="s">
        <v>16</v>
      </c>
      <c r="D289" s="1">
        <v>45855</v>
      </c>
      <c r="E289" t="s">
        <v>17</v>
      </c>
      <c r="F289">
        <v>6100</v>
      </c>
      <c r="G289">
        <v>23.7</v>
      </c>
      <c r="H289">
        <v>53.4</v>
      </c>
      <c r="I289">
        <v>19</v>
      </c>
      <c r="J289">
        <v>46.5</v>
      </c>
      <c r="K289">
        <v>20.100000000000001</v>
      </c>
      <c r="L289">
        <v>65323</v>
      </c>
      <c r="M289" t="s">
        <v>185</v>
      </c>
      <c r="N289">
        <v>400916.64</v>
      </c>
      <c r="O289">
        <v>2789</v>
      </c>
    </row>
    <row r="290" spans="1:15" x14ac:dyDescent="0.2">
      <c r="A290" s="6">
        <v>45849</v>
      </c>
      <c r="B290" t="s">
        <v>15</v>
      </c>
      <c r="C290" t="s">
        <v>16</v>
      </c>
      <c r="D290" s="1">
        <v>45855</v>
      </c>
      <c r="E290" t="s">
        <v>19</v>
      </c>
      <c r="F290">
        <v>4850</v>
      </c>
      <c r="G290">
        <v>7</v>
      </c>
      <c r="H290">
        <v>7</v>
      </c>
      <c r="I290">
        <v>5.6</v>
      </c>
      <c r="J290">
        <v>6</v>
      </c>
      <c r="K290">
        <v>7.4</v>
      </c>
      <c r="L290">
        <v>21</v>
      </c>
      <c r="M290" t="s">
        <v>186</v>
      </c>
      <c r="N290">
        <v>101.98</v>
      </c>
      <c r="O290">
        <v>123</v>
      </c>
    </row>
    <row r="291" spans="1:15" x14ac:dyDescent="0.2">
      <c r="A291" s="6">
        <v>45849</v>
      </c>
      <c r="B291" t="s">
        <v>15</v>
      </c>
      <c r="C291" t="s">
        <v>16</v>
      </c>
      <c r="D291" s="1">
        <v>45855</v>
      </c>
      <c r="E291" t="s">
        <v>17</v>
      </c>
      <c r="F291">
        <v>5350</v>
      </c>
      <c r="G291">
        <v>403.5</v>
      </c>
      <c r="H291">
        <v>540.1</v>
      </c>
      <c r="I291">
        <v>391.5</v>
      </c>
      <c r="J291">
        <v>412.1</v>
      </c>
      <c r="K291">
        <v>407.2</v>
      </c>
      <c r="L291">
        <v>8</v>
      </c>
      <c r="M291" t="s">
        <v>71</v>
      </c>
      <c r="N291">
        <v>46.1</v>
      </c>
      <c r="O291">
        <v>14</v>
      </c>
    </row>
    <row r="292" spans="1:15" x14ac:dyDescent="0.2">
      <c r="A292" s="6">
        <v>45849</v>
      </c>
      <c r="B292" t="s">
        <v>15</v>
      </c>
      <c r="C292" t="s">
        <v>16</v>
      </c>
      <c r="D292" s="1">
        <v>45855</v>
      </c>
      <c r="E292" t="s">
        <v>17</v>
      </c>
      <c r="F292">
        <v>4600</v>
      </c>
      <c r="J292">
        <v>1279.7</v>
      </c>
      <c r="K292">
        <v>1116.7</v>
      </c>
      <c r="L292">
        <v>0</v>
      </c>
      <c r="M292" t="s">
        <v>18</v>
      </c>
      <c r="N292">
        <v>0</v>
      </c>
      <c r="O292">
        <v>0</v>
      </c>
    </row>
    <row r="293" spans="1:15" x14ac:dyDescent="0.2">
      <c r="A293" s="6">
        <v>45849</v>
      </c>
      <c r="B293" t="s">
        <v>15</v>
      </c>
      <c r="C293" t="s">
        <v>16</v>
      </c>
      <c r="D293" s="1">
        <v>45855</v>
      </c>
      <c r="E293" t="s">
        <v>19</v>
      </c>
      <c r="F293">
        <v>7100</v>
      </c>
      <c r="J293">
        <v>1217.8</v>
      </c>
      <c r="K293">
        <v>1380.4</v>
      </c>
      <c r="L293">
        <v>0</v>
      </c>
      <c r="M293" t="s">
        <v>18</v>
      </c>
      <c r="N293">
        <v>0</v>
      </c>
      <c r="O293">
        <v>0</v>
      </c>
    </row>
    <row r="294" spans="1:15" x14ac:dyDescent="0.2">
      <c r="A294" s="6">
        <v>45849</v>
      </c>
      <c r="B294" t="s">
        <v>15</v>
      </c>
      <c r="C294" t="s">
        <v>16</v>
      </c>
      <c r="D294" s="1">
        <v>45855</v>
      </c>
      <c r="E294" t="s">
        <v>19</v>
      </c>
      <c r="F294">
        <v>3650</v>
      </c>
      <c r="J294">
        <v>0.1</v>
      </c>
      <c r="K294">
        <v>0.1</v>
      </c>
      <c r="L294">
        <v>0</v>
      </c>
      <c r="M294" t="s">
        <v>18</v>
      </c>
      <c r="N294">
        <v>0</v>
      </c>
      <c r="O294">
        <v>0</v>
      </c>
    </row>
    <row r="295" spans="1:15" x14ac:dyDescent="0.2">
      <c r="A295" s="6">
        <v>45849</v>
      </c>
      <c r="B295" t="s">
        <v>15</v>
      </c>
      <c r="C295" t="s">
        <v>16</v>
      </c>
      <c r="D295" s="1">
        <v>45855</v>
      </c>
      <c r="E295" t="s">
        <v>17</v>
      </c>
      <c r="F295">
        <v>7200</v>
      </c>
      <c r="G295">
        <v>6.1</v>
      </c>
      <c r="H295">
        <v>7.8</v>
      </c>
      <c r="I295">
        <v>4.7</v>
      </c>
      <c r="J295">
        <v>6.3</v>
      </c>
      <c r="K295">
        <v>6.1</v>
      </c>
      <c r="L295">
        <v>547</v>
      </c>
      <c r="M295" t="s">
        <v>187</v>
      </c>
      <c r="N295">
        <v>3941.78</v>
      </c>
      <c r="O295">
        <v>832</v>
      </c>
    </row>
    <row r="296" spans="1:15" x14ac:dyDescent="0.2">
      <c r="A296" s="6">
        <v>45849</v>
      </c>
      <c r="B296" t="s">
        <v>15</v>
      </c>
      <c r="C296" t="s">
        <v>16</v>
      </c>
      <c r="D296" s="1">
        <v>45855</v>
      </c>
      <c r="E296" t="s">
        <v>19</v>
      </c>
      <c r="F296">
        <v>7400</v>
      </c>
      <c r="J296">
        <v>1517.5</v>
      </c>
      <c r="K296">
        <v>1680.1</v>
      </c>
      <c r="L296">
        <v>0</v>
      </c>
      <c r="M296" t="s">
        <v>18</v>
      </c>
      <c r="N296">
        <v>0</v>
      </c>
      <c r="O296">
        <v>0</v>
      </c>
    </row>
    <row r="297" spans="1:15" x14ac:dyDescent="0.2">
      <c r="A297" s="6">
        <v>45849</v>
      </c>
      <c r="B297" t="s">
        <v>15</v>
      </c>
      <c r="C297" t="s">
        <v>16</v>
      </c>
      <c r="D297" s="1">
        <v>45855</v>
      </c>
      <c r="E297" t="s">
        <v>19</v>
      </c>
      <c r="F297">
        <v>6900</v>
      </c>
      <c r="G297">
        <v>1046.2</v>
      </c>
      <c r="H297">
        <v>1046.2</v>
      </c>
      <c r="I297">
        <v>1045.7</v>
      </c>
      <c r="J297">
        <v>1045.8</v>
      </c>
      <c r="K297">
        <v>1075.3</v>
      </c>
      <c r="L297">
        <v>10</v>
      </c>
      <c r="M297" t="s">
        <v>69</v>
      </c>
      <c r="N297">
        <v>79.459999999999994</v>
      </c>
      <c r="O297">
        <v>36</v>
      </c>
    </row>
    <row r="298" spans="1:15" x14ac:dyDescent="0.2">
      <c r="A298" s="6">
        <v>45849</v>
      </c>
      <c r="B298" t="s">
        <v>15</v>
      </c>
      <c r="C298" t="s">
        <v>16</v>
      </c>
      <c r="D298" s="1">
        <v>45855</v>
      </c>
      <c r="E298" t="s">
        <v>19</v>
      </c>
      <c r="F298">
        <v>6700</v>
      </c>
      <c r="G298">
        <v>958.8</v>
      </c>
      <c r="H298">
        <v>966</v>
      </c>
      <c r="I298">
        <v>958.8</v>
      </c>
      <c r="J298">
        <v>962.4</v>
      </c>
      <c r="K298">
        <v>888.6</v>
      </c>
      <c r="L298">
        <v>2</v>
      </c>
      <c r="M298" t="s">
        <v>28</v>
      </c>
      <c r="N298">
        <v>15.32</v>
      </c>
      <c r="O298">
        <v>180</v>
      </c>
    </row>
    <row r="299" spans="1:15" x14ac:dyDescent="0.2">
      <c r="A299" s="6">
        <v>45849</v>
      </c>
      <c r="B299" t="s">
        <v>15</v>
      </c>
      <c r="C299" t="s">
        <v>16</v>
      </c>
      <c r="D299" s="1">
        <v>45855</v>
      </c>
      <c r="E299" t="s">
        <v>17</v>
      </c>
      <c r="F299">
        <v>6400</v>
      </c>
      <c r="G299">
        <v>11.9</v>
      </c>
      <c r="H299">
        <v>23.3</v>
      </c>
      <c r="I299">
        <v>11.4</v>
      </c>
      <c r="J299">
        <v>18</v>
      </c>
      <c r="K299">
        <v>12.6</v>
      </c>
      <c r="L299">
        <v>18918</v>
      </c>
      <c r="M299" t="s">
        <v>188</v>
      </c>
      <c r="N299">
        <v>121403.35</v>
      </c>
      <c r="O299">
        <v>4941</v>
      </c>
    </row>
    <row r="300" spans="1:15" x14ac:dyDescent="0.2">
      <c r="A300" s="6">
        <v>45849</v>
      </c>
      <c r="B300" t="s">
        <v>15</v>
      </c>
      <c r="C300" t="s">
        <v>16</v>
      </c>
      <c r="D300" s="1">
        <v>45855</v>
      </c>
      <c r="E300" t="s">
        <v>17</v>
      </c>
      <c r="F300">
        <v>7600</v>
      </c>
      <c r="G300">
        <v>5.5</v>
      </c>
      <c r="H300">
        <v>5.8</v>
      </c>
      <c r="I300">
        <v>4.8</v>
      </c>
      <c r="J300">
        <v>5.3</v>
      </c>
      <c r="K300">
        <v>5.5</v>
      </c>
      <c r="L300">
        <v>677</v>
      </c>
      <c r="M300" t="s">
        <v>101</v>
      </c>
      <c r="N300">
        <v>5148.7</v>
      </c>
      <c r="O300">
        <v>1166</v>
      </c>
    </row>
    <row r="301" spans="1:15" x14ac:dyDescent="0.2">
      <c r="A301" s="6">
        <v>45849</v>
      </c>
      <c r="B301" t="s">
        <v>15</v>
      </c>
      <c r="C301" t="s">
        <v>16</v>
      </c>
      <c r="D301" s="1">
        <v>45855</v>
      </c>
      <c r="E301" t="s">
        <v>19</v>
      </c>
      <c r="F301">
        <v>7050</v>
      </c>
      <c r="J301">
        <v>1167.9000000000001</v>
      </c>
      <c r="K301">
        <v>1330.5</v>
      </c>
      <c r="L301">
        <v>0</v>
      </c>
      <c r="M301" t="s">
        <v>18</v>
      </c>
      <c r="N301">
        <v>0</v>
      </c>
      <c r="O301">
        <v>0</v>
      </c>
    </row>
    <row r="302" spans="1:15" x14ac:dyDescent="0.2">
      <c r="A302" s="6">
        <v>45849</v>
      </c>
      <c r="B302" t="s">
        <v>15</v>
      </c>
      <c r="C302" t="s">
        <v>16</v>
      </c>
      <c r="D302" s="1">
        <v>45855</v>
      </c>
      <c r="E302" t="s">
        <v>19</v>
      </c>
      <c r="F302">
        <v>7550</v>
      </c>
      <c r="J302">
        <v>1667.4</v>
      </c>
      <c r="K302">
        <v>1829.9</v>
      </c>
      <c r="L302">
        <v>0</v>
      </c>
      <c r="M302" t="s">
        <v>18</v>
      </c>
      <c r="N302">
        <v>0</v>
      </c>
      <c r="O302">
        <v>0</v>
      </c>
    </row>
    <row r="303" spans="1:15" x14ac:dyDescent="0.2">
      <c r="A303" s="6">
        <v>45849</v>
      </c>
      <c r="B303" t="s">
        <v>15</v>
      </c>
      <c r="C303" t="s">
        <v>16</v>
      </c>
      <c r="D303" s="1">
        <v>45855</v>
      </c>
      <c r="E303" t="s">
        <v>19</v>
      </c>
      <c r="F303">
        <v>5550</v>
      </c>
      <c r="G303">
        <v>40.1</v>
      </c>
      <c r="H303">
        <v>49.8</v>
      </c>
      <c r="I303">
        <v>21.5</v>
      </c>
      <c r="J303">
        <v>23</v>
      </c>
      <c r="K303">
        <v>44.8</v>
      </c>
      <c r="L303">
        <v>28404</v>
      </c>
      <c r="M303" t="s">
        <v>189</v>
      </c>
      <c r="N303">
        <v>158592.29</v>
      </c>
      <c r="O303">
        <v>2851</v>
      </c>
    </row>
    <row r="304" spans="1:15" x14ac:dyDescent="0.2">
      <c r="A304" s="6">
        <v>45849</v>
      </c>
      <c r="B304" t="s">
        <v>15</v>
      </c>
      <c r="C304" t="s">
        <v>16</v>
      </c>
      <c r="D304" s="1">
        <v>45855</v>
      </c>
      <c r="E304" t="s">
        <v>19</v>
      </c>
      <c r="F304">
        <v>5850</v>
      </c>
      <c r="G304">
        <v>172.1</v>
      </c>
      <c r="H304">
        <v>192</v>
      </c>
      <c r="I304">
        <v>99.1</v>
      </c>
      <c r="J304">
        <v>103.1</v>
      </c>
      <c r="K304">
        <v>190.7</v>
      </c>
      <c r="L304">
        <v>74855</v>
      </c>
      <c r="M304" t="s">
        <v>190</v>
      </c>
      <c r="N304">
        <v>447441.31</v>
      </c>
      <c r="O304">
        <v>3111</v>
      </c>
    </row>
    <row r="305" spans="1:15" x14ac:dyDescent="0.2">
      <c r="A305" s="6">
        <v>45849</v>
      </c>
      <c r="B305" t="s">
        <v>15</v>
      </c>
      <c r="C305" t="s">
        <v>16</v>
      </c>
      <c r="D305" s="1">
        <v>45855</v>
      </c>
      <c r="E305" t="s">
        <v>19</v>
      </c>
      <c r="F305">
        <v>6000</v>
      </c>
      <c r="G305">
        <v>287.60000000000002</v>
      </c>
      <c r="H305">
        <v>311.7</v>
      </c>
      <c r="I305">
        <v>185.4</v>
      </c>
      <c r="J305">
        <v>191.4</v>
      </c>
      <c r="K305">
        <v>310.10000000000002</v>
      </c>
      <c r="L305">
        <v>23300</v>
      </c>
      <c r="M305" t="s">
        <v>191</v>
      </c>
      <c r="N305">
        <v>144955.34</v>
      </c>
      <c r="O305">
        <v>2904</v>
      </c>
    </row>
    <row r="306" spans="1:15" x14ac:dyDescent="0.2">
      <c r="A306" s="6">
        <v>45849</v>
      </c>
      <c r="B306" t="s">
        <v>15</v>
      </c>
      <c r="C306" t="s">
        <v>16</v>
      </c>
      <c r="D306" s="1">
        <v>45855</v>
      </c>
      <c r="E306" t="s">
        <v>19</v>
      </c>
      <c r="F306">
        <v>6300</v>
      </c>
      <c r="G306">
        <v>578</v>
      </c>
      <c r="H306">
        <v>578</v>
      </c>
      <c r="I306">
        <v>441.7</v>
      </c>
      <c r="J306">
        <v>443.8</v>
      </c>
      <c r="K306">
        <v>579.6</v>
      </c>
      <c r="L306">
        <v>76</v>
      </c>
      <c r="M306" t="s">
        <v>192</v>
      </c>
      <c r="N306">
        <v>514.54999999999995</v>
      </c>
      <c r="O306">
        <v>409</v>
      </c>
    </row>
    <row r="307" spans="1:15" x14ac:dyDescent="0.2">
      <c r="A307" s="6">
        <v>45849</v>
      </c>
      <c r="B307" t="s">
        <v>15</v>
      </c>
      <c r="C307" t="s">
        <v>16</v>
      </c>
      <c r="D307" s="1">
        <v>45855</v>
      </c>
      <c r="E307" t="s">
        <v>17</v>
      </c>
      <c r="F307">
        <v>6600</v>
      </c>
      <c r="G307">
        <v>10.1</v>
      </c>
      <c r="H307">
        <v>16.899999999999999</v>
      </c>
      <c r="I307">
        <v>9.6</v>
      </c>
      <c r="J307">
        <v>13.5</v>
      </c>
      <c r="K307">
        <v>10.6</v>
      </c>
      <c r="L307">
        <v>3929</v>
      </c>
      <c r="M307" t="s">
        <v>193</v>
      </c>
      <c r="N307">
        <v>25982.77</v>
      </c>
      <c r="O307">
        <v>2762</v>
      </c>
    </row>
    <row r="308" spans="1:15" x14ac:dyDescent="0.2">
      <c r="A308" s="6">
        <v>45849</v>
      </c>
      <c r="B308" t="s">
        <v>15</v>
      </c>
      <c r="C308" t="s">
        <v>16</v>
      </c>
      <c r="D308" s="1">
        <v>45855</v>
      </c>
      <c r="E308" t="s">
        <v>19</v>
      </c>
      <c r="F308">
        <v>6500</v>
      </c>
      <c r="G308">
        <v>779.9</v>
      </c>
      <c r="H308">
        <v>785.6</v>
      </c>
      <c r="I308">
        <v>643.20000000000005</v>
      </c>
      <c r="J308">
        <v>671.6</v>
      </c>
      <c r="K308">
        <v>694.1</v>
      </c>
      <c r="L308">
        <v>182</v>
      </c>
      <c r="M308" t="s">
        <v>194</v>
      </c>
      <c r="N308">
        <v>1322.47</v>
      </c>
      <c r="O308">
        <v>745</v>
      </c>
    </row>
    <row r="309" spans="1:15" x14ac:dyDescent="0.2">
      <c r="A309" s="6">
        <v>45849</v>
      </c>
      <c r="B309" t="s">
        <v>15</v>
      </c>
      <c r="C309" t="s">
        <v>16</v>
      </c>
      <c r="D309" s="1">
        <v>45855</v>
      </c>
      <c r="E309" t="s">
        <v>19</v>
      </c>
      <c r="F309">
        <v>3850</v>
      </c>
      <c r="J309">
        <v>0.1</v>
      </c>
      <c r="K309">
        <v>0.1</v>
      </c>
      <c r="L309">
        <v>0</v>
      </c>
      <c r="M309" t="s">
        <v>18</v>
      </c>
      <c r="N309">
        <v>0</v>
      </c>
      <c r="O309">
        <v>0</v>
      </c>
    </row>
    <row r="310" spans="1:15" x14ac:dyDescent="0.2">
      <c r="A310" s="6">
        <v>45849</v>
      </c>
      <c r="B310" t="s">
        <v>15</v>
      </c>
      <c r="C310" t="s">
        <v>16</v>
      </c>
      <c r="D310" s="1">
        <v>45855</v>
      </c>
      <c r="E310" t="s">
        <v>17</v>
      </c>
      <c r="F310">
        <v>5850</v>
      </c>
      <c r="G310">
        <v>67.3</v>
      </c>
      <c r="H310">
        <v>138</v>
      </c>
      <c r="I310">
        <v>59.5</v>
      </c>
      <c r="J310">
        <v>129.9</v>
      </c>
      <c r="K310">
        <v>60.5</v>
      </c>
      <c r="L310">
        <v>125423</v>
      </c>
      <c r="M310" t="s">
        <v>195</v>
      </c>
      <c r="N310">
        <v>746024.01</v>
      </c>
      <c r="O310">
        <v>1239</v>
      </c>
    </row>
    <row r="311" spans="1:15" x14ac:dyDescent="0.2">
      <c r="A311" s="6">
        <v>45849</v>
      </c>
      <c r="B311" t="s">
        <v>15</v>
      </c>
      <c r="C311" t="s">
        <v>16</v>
      </c>
      <c r="D311" s="1">
        <v>45855</v>
      </c>
      <c r="E311" t="s">
        <v>19</v>
      </c>
      <c r="F311">
        <v>5900</v>
      </c>
      <c r="G311">
        <v>208.2</v>
      </c>
      <c r="H311">
        <v>229.9</v>
      </c>
      <c r="I311">
        <v>122.8</v>
      </c>
      <c r="J311">
        <v>127.7</v>
      </c>
      <c r="K311">
        <v>227.4</v>
      </c>
      <c r="L311">
        <v>94624</v>
      </c>
      <c r="M311" t="s">
        <v>196</v>
      </c>
      <c r="N311">
        <v>572666.46</v>
      </c>
      <c r="O311">
        <v>4058</v>
      </c>
    </row>
    <row r="312" spans="1:15" x14ac:dyDescent="0.2">
      <c r="A312" s="6">
        <v>45849</v>
      </c>
      <c r="B312" t="s">
        <v>15</v>
      </c>
      <c r="C312" t="s">
        <v>16</v>
      </c>
      <c r="D312" s="1">
        <v>45855</v>
      </c>
      <c r="E312" t="s">
        <v>19</v>
      </c>
      <c r="F312">
        <v>7650</v>
      </c>
      <c r="J312">
        <v>1767.3</v>
      </c>
      <c r="K312">
        <v>1929.8</v>
      </c>
      <c r="L312">
        <v>0</v>
      </c>
      <c r="M312" t="s">
        <v>18</v>
      </c>
      <c r="N312">
        <v>0</v>
      </c>
      <c r="O312">
        <v>0</v>
      </c>
    </row>
    <row r="313" spans="1:15" x14ac:dyDescent="0.2">
      <c r="A313" s="6">
        <v>45849</v>
      </c>
      <c r="B313" t="s">
        <v>15</v>
      </c>
      <c r="C313" t="s">
        <v>16</v>
      </c>
      <c r="D313" s="1">
        <v>45855</v>
      </c>
      <c r="E313" t="s">
        <v>19</v>
      </c>
      <c r="F313">
        <v>7000</v>
      </c>
      <c r="J313">
        <v>1117.9000000000001</v>
      </c>
      <c r="K313">
        <v>1163.9000000000001</v>
      </c>
      <c r="L313">
        <v>0</v>
      </c>
      <c r="M313" t="s">
        <v>18</v>
      </c>
      <c r="N313">
        <v>0</v>
      </c>
      <c r="O313">
        <v>12</v>
      </c>
    </row>
    <row r="314" spans="1:15" x14ac:dyDescent="0.2">
      <c r="A314" s="6">
        <v>45849</v>
      </c>
      <c r="B314" t="s">
        <v>15</v>
      </c>
      <c r="C314" t="s">
        <v>16</v>
      </c>
      <c r="D314" s="1">
        <v>45855</v>
      </c>
      <c r="E314" t="s">
        <v>17</v>
      </c>
      <c r="F314">
        <v>7400</v>
      </c>
      <c r="G314">
        <v>5.5</v>
      </c>
      <c r="H314">
        <v>8.4</v>
      </c>
      <c r="I314">
        <v>4.5</v>
      </c>
      <c r="J314">
        <v>6</v>
      </c>
      <c r="K314">
        <v>5.5</v>
      </c>
      <c r="L314">
        <v>397</v>
      </c>
      <c r="M314" t="s">
        <v>197</v>
      </c>
      <c r="N314">
        <v>2940.07</v>
      </c>
      <c r="O314">
        <v>1496</v>
      </c>
    </row>
    <row r="315" spans="1:15" x14ac:dyDescent="0.2">
      <c r="A315" s="6">
        <v>45849</v>
      </c>
      <c r="B315" t="s">
        <v>15</v>
      </c>
      <c r="C315" t="s">
        <v>16</v>
      </c>
      <c r="D315" s="1">
        <v>45855</v>
      </c>
      <c r="E315" t="s">
        <v>19</v>
      </c>
      <c r="F315">
        <v>7300</v>
      </c>
      <c r="J315">
        <v>1417.6</v>
      </c>
      <c r="K315">
        <v>1580.2</v>
      </c>
      <c r="L315">
        <v>0</v>
      </c>
      <c r="M315" t="s">
        <v>18</v>
      </c>
      <c r="N315">
        <v>0</v>
      </c>
      <c r="O315">
        <v>0</v>
      </c>
    </row>
    <row r="316" spans="1:15" x14ac:dyDescent="0.2">
      <c r="A316" s="6">
        <v>45849</v>
      </c>
      <c r="B316" t="s">
        <v>15</v>
      </c>
      <c r="C316" t="s">
        <v>16</v>
      </c>
      <c r="D316" s="1">
        <v>45855</v>
      </c>
      <c r="E316" t="s">
        <v>17</v>
      </c>
      <c r="F316">
        <v>7700</v>
      </c>
      <c r="G316">
        <v>4.9000000000000004</v>
      </c>
      <c r="H316">
        <v>5.6</v>
      </c>
      <c r="I316">
        <v>3.3</v>
      </c>
      <c r="J316">
        <v>3.7</v>
      </c>
      <c r="K316">
        <v>4.9000000000000004</v>
      </c>
      <c r="L316">
        <v>1018</v>
      </c>
      <c r="M316" t="s">
        <v>198</v>
      </c>
      <c r="N316">
        <v>7842.64</v>
      </c>
      <c r="O316">
        <v>2040</v>
      </c>
    </row>
    <row r="317" spans="1:15" x14ac:dyDescent="0.2">
      <c r="A317" s="6">
        <v>45849</v>
      </c>
      <c r="B317" t="s">
        <v>15</v>
      </c>
      <c r="C317" t="s">
        <v>16</v>
      </c>
      <c r="D317" s="1">
        <v>45855</v>
      </c>
      <c r="E317" t="s">
        <v>17</v>
      </c>
      <c r="F317">
        <v>4300</v>
      </c>
      <c r="J317">
        <v>1579.4</v>
      </c>
      <c r="K317">
        <v>1416.4</v>
      </c>
      <c r="L317">
        <v>0</v>
      </c>
      <c r="M317" t="s">
        <v>18</v>
      </c>
      <c r="N317">
        <v>0</v>
      </c>
      <c r="O317">
        <v>0</v>
      </c>
    </row>
    <row r="318" spans="1:15" x14ac:dyDescent="0.2">
      <c r="A318" s="6">
        <v>45849</v>
      </c>
      <c r="B318" t="s">
        <v>15</v>
      </c>
      <c r="C318" t="s">
        <v>16</v>
      </c>
      <c r="D318" s="1">
        <v>45855</v>
      </c>
      <c r="E318" t="s">
        <v>17</v>
      </c>
      <c r="F318">
        <v>5400</v>
      </c>
      <c r="G318">
        <v>362</v>
      </c>
      <c r="H318">
        <v>495.9</v>
      </c>
      <c r="I318">
        <v>340.1</v>
      </c>
      <c r="J318">
        <v>490.7</v>
      </c>
      <c r="K318">
        <v>336.4</v>
      </c>
      <c r="L318">
        <v>1295</v>
      </c>
      <c r="M318" t="s">
        <v>199</v>
      </c>
      <c r="N318">
        <v>7503.11</v>
      </c>
      <c r="O318">
        <v>531</v>
      </c>
    </row>
    <row r="319" spans="1:15" x14ac:dyDescent="0.2">
      <c r="A319" s="6">
        <v>45849</v>
      </c>
      <c r="B319" t="s">
        <v>15</v>
      </c>
      <c r="C319" t="s">
        <v>16</v>
      </c>
      <c r="D319" s="1">
        <v>45855</v>
      </c>
      <c r="E319" t="s">
        <v>19</v>
      </c>
      <c r="F319">
        <v>6450</v>
      </c>
      <c r="G319">
        <v>719.9</v>
      </c>
      <c r="H319">
        <v>719.9</v>
      </c>
      <c r="I319">
        <v>607.4</v>
      </c>
      <c r="J319">
        <v>676.8</v>
      </c>
      <c r="K319">
        <v>717.8</v>
      </c>
      <c r="L319">
        <v>7</v>
      </c>
      <c r="M319" t="s">
        <v>23</v>
      </c>
      <c r="N319">
        <v>49.89</v>
      </c>
      <c r="O319">
        <v>336</v>
      </c>
    </row>
    <row r="320" spans="1:15" x14ac:dyDescent="0.2">
      <c r="A320" s="6">
        <v>45849</v>
      </c>
      <c r="B320" t="s">
        <v>15</v>
      </c>
      <c r="C320" t="s">
        <v>16</v>
      </c>
      <c r="D320" s="1">
        <v>45855</v>
      </c>
      <c r="E320" t="s">
        <v>17</v>
      </c>
      <c r="F320">
        <v>3900</v>
      </c>
      <c r="J320">
        <v>1979.1</v>
      </c>
      <c r="K320">
        <v>1815.9</v>
      </c>
      <c r="L320">
        <v>0</v>
      </c>
      <c r="M320" t="s">
        <v>18</v>
      </c>
      <c r="N320">
        <v>0</v>
      </c>
      <c r="O320">
        <v>0</v>
      </c>
    </row>
    <row r="321" spans="1:15" x14ac:dyDescent="0.2">
      <c r="A321" s="6">
        <v>45849</v>
      </c>
      <c r="B321" t="s">
        <v>15</v>
      </c>
      <c r="C321" t="s">
        <v>16</v>
      </c>
      <c r="D321" s="1">
        <v>45855</v>
      </c>
      <c r="E321" t="s">
        <v>17</v>
      </c>
      <c r="F321">
        <v>6150</v>
      </c>
      <c r="G321">
        <v>17.7</v>
      </c>
      <c r="H321">
        <v>45.4</v>
      </c>
      <c r="I321">
        <v>17.7</v>
      </c>
      <c r="J321">
        <v>38</v>
      </c>
      <c r="K321">
        <v>18.3</v>
      </c>
      <c r="L321">
        <v>15588</v>
      </c>
      <c r="M321" t="s">
        <v>200</v>
      </c>
      <c r="N321">
        <v>96416.85</v>
      </c>
      <c r="O321">
        <v>732</v>
      </c>
    </row>
    <row r="322" spans="1:15" x14ac:dyDescent="0.2">
      <c r="A322" s="6">
        <v>45849</v>
      </c>
      <c r="B322" t="s">
        <v>15</v>
      </c>
      <c r="C322" t="s">
        <v>16</v>
      </c>
      <c r="D322" s="1">
        <v>45855</v>
      </c>
      <c r="E322" t="s">
        <v>17</v>
      </c>
      <c r="F322">
        <v>5650</v>
      </c>
      <c r="G322">
        <v>158.9</v>
      </c>
      <c r="H322">
        <v>271.5</v>
      </c>
      <c r="I322">
        <v>146.9</v>
      </c>
      <c r="J322">
        <v>263.5</v>
      </c>
      <c r="K322">
        <v>146.19999999999999</v>
      </c>
      <c r="L322">
        <v>36460</v>
      </c>
      <c r="M322" t="s">
        <v>201</v>
      </c>
      <c r="N322">
        <v>213023.4</v>
      </c>
      <c r="O322">
        <v>537</v>
      </c>
    </row>
    <row r="323" spans="1:15" x14ac:dyDescent="0.2">
      <c r="A323" s="6">
        <v>45849</v>
      </c>
      <c r="B323" t="s">
        <v>15</v>
      </c>
      <c r="C323" t="s">
        <v>16</v>
      </c>
      <c r="D323" s="1">
        <v>45855</v>
      </c>
      <c r="E323" t="s">
        <v>17</v>
      </c>
      <c r="F323">
        <v>4700</v>
      </c>
      <c r="J323">
        <v>1179.8</v>
      </c>
      <c r="K323">
        <v>1016.8</v>
      </c>
      <c r="L323">
        <v>0</v>
      </c>
      <c r="M323" t="s">
        <v>18</v>
      </c>
      <c r="N323">
        <v>0</v>
      </c>
      <c r="O323">
        <v>0</v>
      </c>
    </row>
    <row r="324" spans="1:15" x14ac:dyDescent="0.2">
      <c r="A324" s="6">
        <v>45849</v>
      </c>
      <c r="B324" t="s">
        <v>15</v>
      </c>
      <c r="C324" t="s">
        <v>16</v>
      </c>
      <c r="D324" s="1">
        <v>45855</v>
      </c>
      <c r="E324" t="s">
        <v>19</v>
      </c>
      <c r="F324">
        <v>4300</v>
      </c>
      <c r="J324">
        <v>0.1</v>
      </c>
      <c r="K324">
        <v>0.1</v>
      </c>
      <c r="L324">
        <v>0</v>
      </c>
      <c r="M324" t="s">
        <v>18</v>
      </c>
      <c r="N324">
        <v>0</v>
      </c>
      <c r="O324">
        <v>0</v>
      </c>
    </row>
    <row r="325" spans="1:15" x14ac:dyDescent="0.2">
      <c r="A325" s="6">
        <v>45849</v>
      </c>
      <c r="B325" t="s">
        <v>15</v>
      </c>
      <c r="C325" t="s">
        <v>16</v>
      </c>
      <c r="D325" s="1">
        <v>45855</v>
      </c>
      <c r="E325" t="s">
        <v>19</v>
      </c>
      <c r="F325">
        <v>6600</v>
      </c>
      <c r="G325">
        <v>882.4</v>
      </c>
      <c r="H325">
        <v>882.4</v>
      </c>
      <c r="I325">
        <v>856</v>
      </c>
      <c r="J325">
        <v>859.3</v>
      </c>
      <c r="K325">
        <v>776.2</v>
      </c>
      <c r="L325">
        <v>8</v>
      </c>
      <c r="M325" t="s">
        <v>71</v>
      </c>
      <c r="N325">
        <v>59.67</v>
      </c>
      <c r="O325">
        <v>153</v>
      </c>
    </row>
    <row r="326" spans="1:15" x14ac:dyDescent="0.2">
      <c r="A326" s="6">
        <v>45849</v>
      </c>
      <c r="B326" t="s">
        <v>15</v>
      </c>
      <c r="C326" t="s">
        <v>16</v>
      </c>
      <c r="D326" s="1">
        <v>45855</v>
      </c>
      <c r="E326" t="s">
        <v>19</v>
      </c>
      <c r="F326">
        <v>5950</v>
      </c>
      <c r="G326">
        <v>248.6</v>
      </c>
      <c r="H326">
        <v>269</v>
      </c>
      <c r="I326">
        <v>153.6</v>
      </c>
      <c r="J326">
        <v>158.69999999999999</v>
      </c>
      <c r="K326">
        <v>268.10000000000002</v>
      </c>
      <c r="L326">
        <v>11283</v>
      </c>
      <c r="M326" t="s">
        <v>202</v>
      </c>
      <c r="N326">
        <v>69231.25</v>
      </c>
      <c r="O326">
        <v>426</v>
      </c>
    </row>
    <row r="327" spans="1:15" x14ac:dyDescent="0.2">
      <c r="A327" s="6">
        <v>45849</v>
      </c>
      <c r="B327" t="s">
        <v>15</v>
      </c>
      <c r="C327" t="s">
        <v>16</v>
      </c>
      <c r="D327" s="1">
        <v>45855</v>
      </c>
      <c r="E327" t="s">
        <v>17</v>
      </c>
      <c r="F327">
        <v>6450</v>
      </c>
      <c r="G327">
        <v>11.8</v>
      </c>
      <c r="H327">
        <v>21.2</v>
      </c>
      <c r="I327">
        <v>11.8</v>
      </c>
      <c r="J327">
        <v>17.8</v>
      </c>
      <c r="K327">
        <v>12.9</v>
      </c>
      <c r="L327">
        <v>3184</v>
      </c>
      <c r="M327" t="s">
        <v>203</v>
      </c>
      <c r="N327">
        <v>20591.259999999998</v>
      </c>
      <c r="O327">
        <v>1408</v>
      </c>
    </row>
    <row r="328" spans="1:15" x14ac:dyDescent="0.2">
      <c r="A328" s="6">
        <v>45849</v>
      </c>
      <c r="B328" t="s">
        <v>15</v>
      </c>
      <c r="C328" t="s">
        <v>16</v>
      </c>
      <c r="D328" s="1">
        <v>45855</v>
      </c>
      <c r="E328" t="s">
        <v>19</v>
      </c>
      <c r="F328">
        <v>5000</v>
      </c>
      <c r="G328">
        <v>7.7</v>
      </c>
      <c r="H328">
        <v>7.8</v>
      </c>
      <c r="I328">
        <v>5.5</v>
      </c>
      <c r="J328">
        <v>6</v>
      </c>
      <c r="K328">
        <v>9.1</v>
      </c>
      <c r="L328">
        <v>2422</v>
      </c>
      <c r="M328" t="s">
        <v>204</v>
      </c>
      <c r="N328">
        <v>12126.2</v>
      </c>
      <c r="O328">
        <v>2554</v>
      </c>
    </row>
    <row r="329" spans="1:15" x14ac:dyDescent="0.2">
      <c r="A329" s="6">
        <v>45849</v>
      </c>
      <c r="B329" t="s">
        <v>15</v>
      </c>
      <c r="C329" t="s">
        <v>16</v>
      </c>
      <c r="D329" s="1">
        <v>45855</v>
      </c>
      <c r="E329" t="s">
        <v>19</v>
      </c>
      <c r="F329">
        <v>4750</v>
      </c>
      <c r="G329">
        <v>5.7</v>
      </c>
      <c r="H329">
        <v>5.7</v>
      </c>
      <c r="I329">
        <v>4.9000000000000004</v>
      </c>
      <c r="J329">
        <v>5.2</v>
      </c>
      <c r="K329">
        <v>5.6</v>
      </c>
      <c r="L329">
        <v>38</v>
      </c>
      <c r="M329" t="s">
        <v>205</v>
      </c>
      <c r="N329">
        <v>180.7</v>
      </c>
      <c r="O329">
        <v>5</v>
      </c>
    </row>
    <row r="330" spans="1:15" x14ac:dyDescent="0.2">
      <c r="A330" s="6">
        <v>45849</v>
      </c>
      <c r="B330" t="s">
        <v>15</v>
      </c>
      <c r="C330" t="s">
        <v>16</v>
      </c>
      <c r="D330" s="1">
        <v>45855</v>
      </c>
      <c r="E330" t="s">
        <v>17</v>
      </c>
      <c r="F330">
        <v>6000</v>
      </c>
      <c r="G330">
        <v>34</v>
      </c>
      <c r="H330">
        <v>77.599999999999994</v>
      </c>
      <c r="I330">
        <v>30.2</v>
      </c>
      <c r="J330">
        <v>69.599999999999994</v>
      </c>
      <c r="K330">
        <v>30.6</v>
      </c>
      <c r="L330">
        <v>167021</v>
      </c>
      <c r="M330" t="s">
        <v>206</v>
      </c>
      <c r="N330">
        <v>1011293.47</v>
      </c>
      <c r="O330">
        <v>7134</v>
      </c>
    </row>
    <row r="331" spans="1:15" x14ac:dyDescent="0.2">
      <c r="A331" s="6">
        <v>45849</v>
      </c>
      <c r="B331" t="s">
        <v>15</v>
      </c>
      <c r="C331" t="s">
        <v>16</v>
      </c>
      <c r="D331" s="1">
        <v>45855</v>
      </c>
      <c r="E331" t="s">
        <v>19</v>
      </c>
      <c r="F331">
        <v>4150</v>
      </c>
      <c r="J331">
        <v>0.1</v>
      </c>
      <c r="K331">
        <v>0.1</v>
      </c>
      <c r="L331">
        <v>0</v>
      </c>
      <c r="M331" t="s">
        <v>18</v>
      </c>
      <c r="N331">
        <v>0</v>
      </c>
      <c r="O331">
        <v>0</v>
      </c>
    </row>
    <row r="332" spans="1:15" x14ac:dyDescent="0.2">
      <c r="A332" s="6">
        <v>45849</v>
      </c>
      <c r="B332" t="s">
        <v>15</v>
      </c>
      <c r="C332" t="s">
        <v>16</v>
      </c>
      <c r="D332" s="1">
        <v>45855</v>
      </c>
      <c r="E332" t="s">
        <v>19</v>
      </c>
      <c r="F332">
        <v>4050</v>
      </c>
      <c r="J332">
        <v>0.1</v>
      </c>
      <c r="K332">
        <v>0.1</v>
      </c>
      <c r="L332">
        <v>0</v>
      </c>
      <c r="M332" t="s">
        <v>18</v>
      </c>
      <c r="N332">
        <v>0</v>
      </c>
      <c r="O332">
        <v>0</v>
      </c>
    </row>
    <row r="333" spans="1:15" x14ac:dyDescent="0.2">
      <c r="A333" s="6">
        <v>45849</v>
      </c>
      <c r="B333" t="s">
        <v>15</v>
      </c>
      <c r="C333" t="s">
        <v>16</v>
      </c>
      <c r="D333" s="1">
        <v>45855</v>
      </c>
      <c r="E333" t="s">
        <v>19</v>
      </c>
      <c r="F333">
        <v>6100</v>
      </c>
      <c r="G333">
        <v>384.1</v>
      </c>
      <c r="H333">
        <v>399</v>
      </c>
      <c r="I333">
        <v>262.5</v>
      </c>
      <c r="J333">
        <v>268.60000000000002</v>
      </c>
      <c r="K333">
        <v>401</v>
      </c>
      <c r="L333">
        <v>2580</v>
      </c>
      <c r="M333" t="s">
        <v>207</v>
      </c>
      <c r="N333">
        <v>16530.34</v>
      </c>
      <c r="O333">
        <v>482</v>
      </c>
    </row>
    <row r="334" spans="1:15" x14ac:dyDescent="0.2">
      <c r="A334" s="6">
        <v>45848</v>
      </c>
      <c r="B334" t="s">
        <v>15</v>
      </c>
      <c r="C334" t="s">
        <v>16</v>
      </c>
      <c r="D334" s="1">
        <v>45855</v>
      </c>
      <c r="E334" t="s">
        <v>17</v>
      </c>
      <c r="F334">
        <v>4650</v>
      </c>
      <c r="J334">
        <v>1066.8</v>
      </c>
      <c r="K334">
        <v>1227.4000000000001</v>
      </c>
      <c r="L334">
        <v>0</v>
      </c>
      <c r="M334" t="s">
        <v>18</v>
      </c>
      <c r="N334">
        <v>0</v>
      </c>
      <c r="O334">
        <v>0</v>
      </c>
    </row>
    <row r="335" spans="1:15" x14ac:dyDescent="0.2">
      <c r="A335" s="6">
        <v>45848</v>
      </c>
      <c r="B335" t="s">
        <v>15</v>
      </c>
      <c r="C335" t="s">
        <v>16</v>
      </c>
      <c r="D335" s="1">
        <v>45855</v>
      </c>
      <c r="E335" t="s">
        <v>19</v>
      </c>
      <c r="F335">
        <v>5100</v>
      </c>
      <c r="G335">
        <v>8.6999999999999993</v>
      </c>
      <c r="H335">
        <v>11.1</v>
      </c>
      <c r="I335">
        <v>6.8</v>
      </c>
      <c r="J335">
        <v>10.1</v>
      </c>
      <c r="K335">
        <v>9.6</v>
      </c>
      <c r="L335">
        <v>1169</v>
      </c>
      <c r="M335" t="s">
        <v>208</v>
      </c>
      <c r="N335">
        <v>5972.79</v>
      </c>
      <c r="O335">
        <v>1119</v>
      </c>
    </row>
    <row r="336" spans="1:15" x14ac:dyDescent="0.2">
      <c r="A336" s="6">
        <v>45848</v>
      </c>
      <c r="B336" t="s">
        <v>15</v>
      </c>
      <c r="C336" t="s">
        <v>16</v>
      </c>
      <c r="D336" s="1">
        <v>45855</v>
      </c>
      <c r="E336" t="s">
        <v>17</v>
      </c>
      <c r="F336">
        <v>7300</v>
      </c>
      <c r="G336">
        <v>7.8</v>
      </c>
      <c r="H336">
        <v>8</v>
      </c>
      <c r="I336">
        <v>3.6</v>
      </c>
      <c r="J336">
        <v>4.4000000000000004</v>
      </c>
      <c r="K336">
        <v>8.6999999999999993</v>
      </c>
      <c r="L336">
        <v>372</v>
      </c>
      <c r="M336" t="s">
        <v>209</v>
      </c>
      <c r="N336">
        <v>2717.77</v>
      </c>
      <c r="O336">
        <v>732</v>
      </c>
    </row>
    <row r="337" spans="1:15" x14ac:dyDescent="0.2">
      <c r="A337" s="6">
        <v>45848</v>
      </c>
      <c r="B337" t="s">
        <v>15</v>
      </c>
      <c r="C337" t="s">
        <v>16</v>
      </c>
      <c r="D337" s="1">
        <v>45855</v>
      </c>
      <c r="E337" t="s">
        <v>17</v>
      </c>
      <c r="F337">
        <v>5250</v>
      </c>
      <c r="G337">
        <v>619.29999999999995</v>
      </c>
      <c r="H337">
        <v>619.29999999999995</v>
      </c>
      <c r="I337">
        <v>534.4</v>
      </c>
      <c r="J337">
        <v>572.70000000000005</v>
      </c>
      <c r="K337">
        <v>617.70000000000005</v>
      </c>
      <c r="L337">
        <v>4</v>
      </c>
      <c r="M337" t="s">
        <v>78</v>
      </c>
      <c r="N337">
        <v>23.29</v>
      </c>
      <c r="O337">
        <v>19</v>
      </c>
    </row>
    <row r="338" spans="1:15" x14ac:dyDescent="0.2">
      <c r="A338" s="6">
        <v>45848</v>
      </c>
      <c r="B338" t="s">
        <v>15</v>
      </c>
      <c r="C338" t="s">
        <v>16</v>
      </c>
      <c r="D338" s="1">
        <v>45855</v>
      </c>
      <c r="E338" t="s">
        <v>17</v>
      </c>
      <c r="F338">
        <v>4200</v>
      </c>
      <c r="J338">
        <v>1516.3</v>
      </c>
      <c r="K338">
        <v>1676.8</v>
      </c>
      <c r="L338">
        <v>0</v>
      </c>
      <c r="M338" t="s">
        <v>18</v>
      </c>
      <c r="N338">
        <v>0</v>
      </c>
      <c r="O338">
        <v>0</v>
      </c>
    </row>
    <row r="339" spans="1:15" x14ac:dyDescent="0.2">
      <c r="A339" s="6">
        <v>45848</v>
      </c>
      <c r="B339" t="s">
        <v>15</v>
      </c>
      <c r="C339" t="s">
        <v>16</v>
      </c>
      <c r="D339" s="1">
        <v>45855</v>
      </c>
      <c r="E339" t="s">
        <v>19</v>
      </c>
      <c r="F339">
        <v>6650</v>
      </c>
      <c r="G339">
        <v>836.3</v>
      </c>
      <c r="H339">
        <v>841.6</v>
      </c>
      <c r="I339">
        <v>803</v>
      </c>
      <c r="J339">
        <v>823</v>
      </c>
      <c r="K339">
        <v>842.1</v>
      </c>
      <c r="L339">
        <v>7</v>
      </c>
      <c r="M339" t="s">
        <v>23</v>
      </c>
      <c r="N339">
        <v>52.31</v>
      </c>
      <c r="O339">
        <v>21</v>
      </c>
    </row>
    <row r="340" spans="1:15" x14ac:dyDescent="0.2">
      <c r="A340" s="6">
        <v>45848</v>
      </c>
      <c r="B340" t="s">
        <v>15</v>
      </c>
      <c r="C340" t="s">
        <v>16</v>
      </c>
      <c r="D340" s="1">
        <v>45855</v>
      </c>
      <c r="E340" t="s">
        <v>19</v>
      </c>
      <c r="F340">
        <v>6050</v>
      </c>
      <c r="G340">
        <v>239.3</v>
      </c>
      <c r="H340">
        <v>364.6</v>
      </c>
      <c r="I340">
        <v>224.2</v>
      </c>
      <c r="J340">
        <v>356.8</v>
      </c>
      <c r="K340">
        <v>227.8</v>
      </c>
      <c r="L340">
        <v>2342</v>
      </c>
      <c r="M340" t="s">
        <v>210</v>
      </c>
      <c r="N340">
        <v>14825.44</v>
      </c>
      <c r="O340">
        <v>97</v>
      </c>
    </row>
    <row r="341" spans="1:15" x14ac:dyDescent="0.2">
      <c r="A341" s="6">
        <v>45848</v>
      </c>
      <c r="B341" t="s">
        <v>15</v>
      </c>
      <c r="C341" t="s">
        <v>16</v>
      </c>
      <c r="D341" s="1">
        <v>45855</v>
      </c>
      <c r="E341" t="s">
        <v>19</v>
      </c>
      <c r="F341">
        <v>4900</v>
      </c>
      <c r="G341">
        <v>6.7</v>
      </c>
      <c r="H341">
        <v>7.8</v>
      </c>
      <c r="I341">
        <v>6.3</v>
      </c>
      <c r="J341">
        <v>7</v>
      </c>
      <c r="K341">
        <v>7.1</v>
      </c>
      <c r="L341">
        <v>1851</v>
      </c>
      <c r="M341" t="s">
        <v>211</v>
      </c>
      <c r="N341">
        <v>9082.9</v>
      </c>
      <c r="O341">
        <v>818</v>
      </c>
    </row>
    <row r="342" spans="1:15" x14ac:dyDescent="0.2">
      <c r="A342" s="6">
        <v>45848</v>
      </c>
      <c r="B342" t="s">
        <v>15</v>
      </c>
      <c r="C342" t="s">
        <v>16</v>
      </c>
      <c r="D342" s="1">
        <v>45855</v>
      </c>
      <c r="E342" t="s">
        <v>17</v>
      </c>
      <c r="F342">
        <v>5100</v>
      </c>
      <c r="G342">
        <v>722.8</v>
      </c>
      <c r="H342">
        <v>773.5</v>
      </c>
      <c r="I342">
        <v>686.2</v>
      </c>
      <c r="J342">
        <v>734.3</v>
      </c>
      <c r="K342">
        <v>778.7</v>
      </c>
      <c r="L342">
        <v>10</v>
      </c>
      <c r="M342" t="s">
        <v>69</v>
      </c>
      <c r="N342">
        <v>58.34</v>
      </c>
      <c r="O342">
        <v>7</v>
      </c>
    </row>
    <row r="343" spans="1:15" x14ac:dyDescent="0.2">
      <c r="A343" s="6">
        <v>45848</v>
      </c>
      <c r="B343" t="s">
        <v>15</v>
      </c>
      <c r="C343" t="s">
        <v>16</v>
      </c>
      <c r="D343" s="1">
        <v>45855</v>
      </c>
      <c r="E343" t="s">
        <v>19</v>
      </c>
      <c r="F343">
        <v>3600</v>
      </c>
      <c r="G343">
        <v>3.6</v>
      </c>
      <c r="H343">
        <v>3.7</v>
      </c>
      <c r="I343">
        <v>0.9</v>
      </c>
      <c r="J343">
        <v>1.9</v>
      </c>
      <c r="K343">
        <v>3.3</v>
      </c>
      <c r="L343">
        <v>451</v>
      </c>
      <c r="M343" t="s">
        <v>212</v>
      </c>
      <c r="N343">
        <v>1624.68</v>
      </c>
      <c r="O343">
        <v>264</v>
      </c>
    </row>
    <row r="344" spans="1:15" x14ac:dyDescent="0.2">
      <c r="A344" s="6">
        <v>45848</v>
      </c>
      <c r="B344" t="s">
        <v>15</v>
      </c>
      <c r="C344" t="s">
        <v>16</v>
      </c>
      <c r="D344" s="1">
        <v>45855</v>
      </c>
      <c r="E344" t="s">
        <v>19</v>
      </c>
      <c r="F344">
        <v>4200</v>
      </c>
      <c r="J344">
        <v>0.1</v>
      </c>
      <c r="K344">
        <v>0.1</v>
      </c>
      <c r="L344">
        <v>0</v>
      </c>
      <c r="M344" t="s">
        <v>18</v>
      </c>
      <c r="N344">
        <v>0</v>
      </c>
      <c r="O344">
        <v>0</v>
      </c>
    </row>
    <row r="345" spans="1:15" x14ac:dyDescent="0.2">
      <c r="A345" s="6">
        <v>45848</v>
      </c>
      <c r="B345" t="s">
        <v>15</v>
      </c>
      <c r="C345" t="s">
        <v>16</v>
      </c>
      <c r="D345" s="1">
        <v>45855</v>
      </c>
      <c r="E345" t="s">
        <v>17</v>
      </c>
      <c r="F345">
        <v>4800</v>
      </c>
      <c r="J345">
        <v>917</v>
      </c>
      <c r="K345">
        <v>1062.2</v>
      </c>
      <c r="L345">
        <v>0</v>
      </c>
      <c r="M345" t="s">
        <v>18</v>
      </c>
      <c r="N345">
        <v>0</v>
      </c>
      <c r="O345">
        <v>4</v>
      </c>
    </row>
    <row r="346" spans="1:15" x14ac:dyDescent="0.2">
      <c r="A346" s="6">
        <v>45848</v>
      </c>
      <c r="B346" t="s">
        <v>15</v>
      </c>
      <c r="C346" t="s">
        <v>16</v>
      </c>
      <c r="D346" s="1">
        <v>45855</v>
      </c>
      <c r="E346" t="s">
        <v>17</v>
      </c>
      <c r="F346">
        <v>5950</v>
      </c>
      <c r="G346">
        <v>79.099999999999994</v>
      </c>
      <c r="H346">
        <v>84.2</v>
      </c>
      <c r="I346">
        <v>34.4</v>
      </c>
      <c r="J346">
        <v>37.299999999999997</v>
      </c>
      <c r="K346">
        <v>91.1</v>
      </c>
      <c r="L346">
        <v>56989</v>
      </c>
      <c r="M346" t="s">
        <v>213</v>
      </c>
      <c r="N346">
        <v>342256.25</v>
      </c>
      <c r="O346">
        <v>3690</v>
      </c>
    </row>
    <row r="347" spans="1:15" x14ac:dyDescent="0.2">
      <c r="A347" s="6">
        <v>45848</v>
      </c>
      <c r="B347" t="s">
        <v>15</v>
      </c>
      <c r="C347" t="s">
        <v>16</v>
      </c>
      <c r="D347" s="1">
        <v>45855</v>
      </c>
      <c r="E347" t="s">
        <v>19</v>
      </c>
      <c r="F347">
        <v>3900</v>
      </c>
      <c r="J347">
        <v>0.1</v>
      </c>
      <c r="K347">
        <v>0.1</v>
      </c>
      <c r="L347">
        <v>0</v>
      </c>
      <c r="M347" t="s">
        <v>18</v>
      </c>
      <c r="N347">
        <v>0</v>
      </c>
      <c r="O347">
        <v>0</v>
      </c>
    </row>
    <row r="348" spans="1:15" x14ac:dyDescent="0.2">
      <c r="A348" s="6">
        <v>45848</v>
      </c>
      <c r="B348" t="s">
        <v>15</v>
      </c>
      <c r="C348" t="s">
        <v>16</v>
      </c>
      <c r="D348" s="1">
        <v>45855</v>
      </c>
      <c r="E348" t="s">
        <v>19</v>
      </c>
      <c r="F348">
        <v>6550</v>
      </c>
      <c r="G348">
        <v>742.5</v>
      </c>
      <c r="H348">
        <v>846.7</v>
      </c>
      <c r="I348">
        <v>724.6</v>
      </c>
      <c r="J348">
        <v>752.4</v>
      </c>
      <c r="K348">
        <v>674.2</v>
      </c>
      <c r="L348">
        <v>6</v>
      </c>
      <c r="M348" t="s">
        <v>132</v>
      </c>
      <c r="N348">
        <v>43.81</v>
      </c>
      <c r="O348">
        <v>55</v>
      </c>
    </row>
    <row r="349" spans="1:15" x14ac:dyDescent="0.2">
      <c r="A349" s="6">
        <v>45848</v>
      </c>
      <c r="B349" t="s">
        <v>15</v>
      </c>
      <c r="C349" t="s">
        <v>16</v>
      </c>
      <c r="D349" s="1">
        <v>45855</v>
      </c>
      <c r="E349" t="s">
        <v>17</v>
      </c>
      <c r="F349">
        <v>4900</v>
      </c>
      <c r="J349">
        <v>817.2</v>
      </c>
      <c r="K349">
        <v>977.8</v>
      </c>
      <c r="L349">
        <v>0</v>
      </c>
      <c r="M349" t="s">
        <v>18</v>
      </c>
      <c r="N349">
        <v>0</v>
      </c>
      <c r="O349">
        <v>0</v>
      </c>
    </row>
    <row r="350" spans="1:15" x14ac:dyDescent="0.2">
      <c r="A350" s="6">
        <v>45848</v>
      </c>
      <c r="B350" t="s">
        <v>15</v>
      </c>
      <c r="C350" t="s">
        <v>16</v>
      </c>
      <c r="D350" s="1">
        <v>45855</v>
      </c>
      <c r="E350" t="s">
        <v>17</v>
      </c>
      <c r="F350">
        <v>5700</v>
      </c>
      <c r="G350">
        <v>200.1</v>
      </c>
      <c r="H350">
        <v>224.3</v>
      </c>
      <c r="I350">
        <v>112</v>
      </c>
      <c r="J350">
        <v>116.7</v>
      </c>
      <c r="K350">
        <v>230.7</v>
      </c>
      <c r="L350">
        <v>121800</v>
      </c>
      <c r="M350" t="s">
        <v>214</v>
      </c>
      <c r="N350">
        <v>712181.75</v>
      </c>
      <c r="O350">
        <v>9176</v>
      </c>
    </row>
    <row r="351" spans="1:15" x14ac:dyDescent="0.2">
      <c r="A351" s="6">
        <v>45848</v>
      </c>
      <c r="B351" t="s">
        <v>15</v>
      </c>
      <c r="C351" t="s">
        <v>16</v>
      </c>
      <c r="D351" s="1">
        <v>45855</v>
      </c>
      <c r="E351" t="s">
        <v>17</v>
      </c>
      <c r="F351">
        <v>6200</v>
      </c>
      <c r="G351">
        <v>28.4</v>
      </c>
      <c r="H351">
        <v>31</v>
      </c>
      <c r="I351">
        <v>14.9</v>
      </c>
      <c r="J351">
        <v>15.9</v>
      </c>
      <c r="K351">
        <v>34</v>
      </c>
      <c r="L351">
        <v>31028</v>
      </c>
      <c r="M351" t="s">
        <v>215</v>
      </c>
      <c r="N351">
        <v>193032.39</v>
      </c>
      <c r="O351">
        <v>4860</v>
      </c>
    </row>
    <row r="352" spans="1:15" x14ac:dyDescent="0.2">
      <c r="A352" s="6">
        <v>45848</v>
      </c>
      <c r="B352" t="s">
        <v>15</v>
      </c>
      <c r="C352" t="s">
        <v>16</v>
      </c>
      <c r="D352" s="1">
        <v>45855</v>
      </c>
      <c r="E352" t="s">
        <v>17</v>
      </c>
      <c r="F352">
        <v>4950</v>
      </c>
      <c r="J352">
        <v>767.5</v>
      </c>
      <c r="K352">
        <v>927.9</v>
      </c>
      <c r="L352">
        <v>0</v>
      </c>
      <c r="M352" t="s">
        <v>18</v>
      </c>
      <c r="N352">
        <v>0</v>
      </c>
      <c r="O352">
        <v>0</v>
      </c>
    </row>
    <row r="353" spans="1:15" x14ac:dyDescent="0.2">
      <c r="A353" s="6">
        <v>45848</v>
      </c>
      <c r="B353" t="s">
        <v>15</v>
      </c>
      <c r="C353" t="s">
        <v>16</v>
      </c>
      <c r="D353" s="1">
        <v>45855</v>
      </c>
      <c r="E353" t="s">
        <v>19</v>
      </c>
      <c r="F353">
        <v>6150</v>
      </c>
      <c r="G353">
        <v>331</v>
      </c>
      <c r="H353">
        <v>490.3</v>
      </c>
      <c r="I353">
        <v>308.2</v>
      </c>
      <c r="J353">
        <v>430.2</v>
      </c>
      <c r="K353">
        <v>308.5</v>
      </c>
      <c r="L353">
        <v>67</v>
      </c>
      <c r="M353" t="s">
        <v>41</v>
      </c>
      <c r="N353">
        <v>437.53</v>
      </c>
      <c r="O353">
        <v>140</v>
      </c>
    </row>
    <row r="354" spans="1:15" x14ac:dyDescent="0.2">
      <c r="A354" s="6">
        <v>45848</v>
      </c>
      <c r="B354" t="s">
        <v>15</v>
      </c>
      <c r="C354" t="s">
        <v>16</v>
      </c>
      <c r="D354" s="1">
        <v>45855</v>
      </c>
      <c r="E354" t="s">
        <v>19</v>
      </c>
      <c r="F354">
        <v>7200</v>
      </c>
      <c r="J354">
        <v>1480.3</v>
      </c>
      <c r="K354">
        <v>1319.3</v>
      </c>
      <c r="L354">
        <v>0</v>
      </c>
      <c r="M354" t="s">
        <v>18</v>
      </c>
      <c r="N354">
        <v>0</v>
      </c>
      <c r="O354">
        <v>0</v>
      </c>
    </row>
    <row r="355" spans="1:15" x14ac:dyDescent="0.2">
      <c r="A355" s="6">
        <v>45848</v>
      </c>
      <c r="B355" t="s">
        <v>15</v>
      </c>
      <c r="C355" t="s">
        <v>16</v>
      </c>
      <c r="D355" s="1">
        <v>45855</v>
      </c>
      <c r="E355" t="s">
        <v>17</v>
      </c>
      <c r="F355">
        <v>5300</v>
      </c>
      <c r="G355">
        <v>557.5</v>
      </c>
      <c r="H355">
        <v>565.29999999999995</v>
      </c>
      <c r="I355">
        <v>423.4</v>
      </c>
      <c r="J355">
        <v>436</v>
      </c>
      <c r="K355">
        <v>568.29999999999995</v>
      </c>
      <c r="L355">
        <v>62</v>
      </c>
      <c r="M355" t="s">
        <v>216</v>
      </c>
      <c r="N355">
        <v>358.46</v>
      </c>
      <c r="O355">
        <v>59</v>
      </c>
    </row>
    <row r="356" spans="1:15" x14ac:dyDescent="0.2">
      <c r="A356" s="6">
        <v>45848</v>
      </c>
      <c r="B356" t="s">
        <v>15</v>
      </c>
      <c r="C356" t="s">
        <v>16</v>
      </c>
      <c r="D356" s="1">
        <v>45855</v>
      </c>
      <c r="E356" t="s">
        <v>17</v>
      </c>
      <c r="F356">
        <v>4450</v>
      </c>
      <c r="J356">
        <v>1266.5</v>
      </c>
      <c r="K356">
        <v>1427.1</v>
      </c>
      <c r="L356">
        <v>0</v>
      </c>
      <c r="M356" t="s">
        <v>18</v>
      </c>
      <c r="N356">
        <v>0</v>
      </c>
      <c r="O356">
        <v>0</v>
      </c>
    </row>
    <row r="357" spans="1:15" x14ac:dyDescent="0.2">
      <c r="A357" s="6">
        <v>45848</v>
      </c>
      <c r="B357" t="s">
        <v>15</v>
      </c>
      <c r="C357" t="s">
        <v>16</v>
      </c>
      <c r="D357" s="1">
        <v>45855</v>
      </c>
      <c r="E357" t="s">
        <v>17</v>
      </c>
      <c r="F357">
        <v>4100</v>
      </c>
      <c r="J357">
        <v>1616.1</v>
      </c>
      <c r="K357">
        <v>1776.7</v>
      </c>
      <c r="L357">
        <v>0</v>
      </c>
      <c r="M357" t="s">
        <v>18</v>
      </c>
      <c r="N357">
        <v>0</v>
      </c>
      <c r="O357">
        <v>0</v>
      </c>
    </row>
    <row r="358" spans="1:15" x14ac:dyDescent="0.2">
      <c r="A358" s="6">
        <v>45848</v>
      </c>
      <c r="B358" t="s">
        <v>15</v>
      </c>
      <c r="C358" t="s">
        <v>16</v>
      </c>
      <c r="D358" s="1">
        <v>45855</v>
      </c>
      <c r="E358" t="s">
        <v>17</v>
      </c>
      <c r="F358">
        <v>4400</v>
      </c>
      <c r="J358">
        <v>1316.5</v>
      </c>
      <c r="K358">
        <v>1477.1</v>
      </c>
      <c r="L358">
        <v>0</v>
      </c>
      <c r="M358" t="s">
        <v>18</v>
      </c>
      <c r="N358">
        <v>0</v>
      </c>
      <c r="O358">
        <v>0</v>
      </c>
    </row>
    <row r="359" spans="1:15" x14ac:dyDescent="0.2">
      <c r="A359" s="6">
        <v>45848</v>
      </c>
      <c r="B359" t="s">
        <v>15</v>
      </c>
      <c r="C359" t="s">
        <v>16</v>
      </c>
      <c r="D359" s="1">
        <v>45855</v>
      </c>
      <c r="E359" t="s">
        <v>17</v>
      </c>
      <c r="F359">
        <v>4750</v>
      </c>
      <c r="J359">
        <v>966.9</v>
      </c>
      <c r="K359">
        <v>1127.5</v>
      </c>
      <c r="L359">
        <v>0</v>
      </c>
      <c r="M359" t="s">
        <v>18</v>
      </c>
      <c r="N359">
        <v>0</v>
      </c>
      <c r="O359">
        <v>0</v>
      </c>
    </row>
    <row r="360" spans="1:15" x14ac:dyDescent="0.2">
      <c r="A360" s="6">
        <v>45848</v>
      </c>
      <c r="B360" t="s">
        <v>15</v>
      </c>
      <c r="C360" t="s">
        <v>16</v>
      </c>
      <c r="D360" s="1">
        <v>45855</v>
      </c>
      <c r="E360" t="s">
        <v>17</v>
      </c>
      <c r="F360">
        <v>5000</v>
      </c>
      <c r="G360">
        <v>854</v>
      </c>
      <c r="H360">
        <v>854</v>
      </c>
      <c r="I360">
        <v>750</v>
      </c>
      <c r="J360">
        <v>814.1</v>
      </c>
      <c r="K360">
        <v>868.8</v>
      </c>
      <c r="L360">
        <v>14</v>
      </c>
      <c r="M360" t="s">
        <v>217</v>
      </c>
      <c r="N360">
        <v>81.53</v>
      </c>
      <c r="O360">
        <v>16</v>
      </c>
    </row>
    <row r="361" spans="1:15" x14ac:dyDescent="0.2">
      <c r="A361" s="6">
        <v>45848</v>
      </c>
      <c r="B361" t="s">
        <v>15</v>
      </c>
      <c r="C361" t="s">
        <v>16</v>
      </c>
      <c r="D361" s="1">
        <v>45855</v>
      </c>
      <c r="E361" t="s">
        <v>17</v>
      </c>
      <c r="F361">
        <v>4350</v>
      </c>
      <c r="J361">
        <v>1366.4</v>
      </c>
      <c r="K361">
        <v>1527</v>
      </c>
      <c r="L361">
        <v>0</v>
      </c>
      <c r="M361" t="s">
        <v>18</v>
      </c>
      <c r="N361">
        <v>0</v>
      </c>
      <c r="O361">
        <v>0</v>
      </c>
    </row>
    <row r="362" spans="1:15" x14ac:dyDescent="0.2">
      <c r="A362" s="6">
        <v>45848</v>
      </c>
      <c r="B362" t="s">
        <v>15</v>
      </c>
      <c r="C362" t="s">
        <v>16</v>
      </c>
      <c r="D362" s="1">
        <v>45855</v>
      </c>
      <c r="E362" t="s">
        <v>19</v>
      </c>
      <c r="F362">
        <v>6950</v>
      </c>
      <c r="G362">
        <v>1114.0999999999999</v>
      </c>
      <c r="H362">
        <v>1114.0999999999999</v>
      </c>
      <c r="I362">
        <v>1101.2</v>
      </c>
      <c r="J362">
        <v>1107.7</v>
      </c>
      <c r="K362">
        <v>1103.5999999999999</v>
      </c>
      <c r="L362">
        <v>2</v>
      </c>
      <c r="M362" t="s">
        <v>28</v>
      </c>
      <c r="N362">
        <v>16.12</v>
      </c>
      <c r="O362">
        <v>14</v>
      </c>
    </row>
    <row r="363" spans="1:15" x14ac:dyDescent="0.2">
      <c r="A363" s="6">
        <v>45848</v>
      </c>
      <c r="B363" t="s">
        <v>15</v>
      </c>
      <c r="C363" t="s">
        <v>16</v>
      </c>
      <c r="D363" s="1">
        <v>45855</v>
      </c>
      <c r="E363" t="s">
        <v>17</v>
      </c>
      <c r="F363">
        <v>7450</v>
      </c>
      <c r="G363">
        <v>9.9</v>
      </c>
      <c r="H363">
        <v>9.9</v>
      </c>
      <c r="I363">
        <v>4.3</v>
      </c>
      <c r="J363">
        <v>6.6</v>
      </c>
      <c r="K363">
        <v>8.9</v>
      </c>
      <c r="L363">
        <v>18</v>
      </c>
      <c r="M363" t="s">
        <v>87</v>
      </c>
      <c r="N363">
        <v>134.22999999999999</v>
      </c>
      <c r="O363">
        <v>70</v>
      </c>
    </row>
    <row r="364" spans="1:15" x14ac:dyDescent="0.2">
      <c r="A364" s="6">
        <v>45848</v>
      </c>
      <c r="B364" t="s">
        <v>15</v>
      </c>
      <c r="C364" t="s">
        <v>16</v>
      </c>
      <c r="D364" s="1">
        <v>45855</v>
      </c>
      <c r="E364" t="s">
        <v>19</v>
      </c>
      <c r="F364">
        <v>5200</v>
      </c>
      <c r="G364">
        <v>11.9</v>
      </c>
      <c r="H364">
        <v>13</v>
      </c>
      <c r="I364">
        <v>8.5</v>
      </c>
      <c r="J364">
        <v>11.3</v>
      </c>
      <c r="K364">
        <v>11</v>
      </c>
      <c r="L364">
        <v>17698</v>
      </c>
      <c r="M364" t="s">
        <v>218</v>
      </c>
      <c r="N364">
        <v>92227.4</v>
      </c>
      <c r="O364">
        <v>2676</v>
      </c>
    </row>
    <row r="365" spans="1:15" x14ac:dyDescent="0.2">
      <c r="A365" s="6">
        <v>45848</v>
      </c>
      <c r="B365" t="s">
        <v>15</v>
      </c>
      <c r="C365" t="s">
        <v>16</v>
      </c>
      <c r="D365" s="1">
        <v>45855</v>
      </c>
      <c r="E365" t="s">
        <v>17</v>
      </c>
      <c r="F365">
        <v>3700</v>
      </c>
      <c r="J365">
        <v>2015.7</v>
      </c>
      <c r="K365">
        <v>2176.1999999999998</v>
      </c>
      <c r="L365">
        <v>0</v>
      </c>
      <c r="M365" t="s">
        <v>18</v>
      </c>
      <c r="N365">
        <v>0</v>
      </c>
      <c r="O365">
        <v>0</v>
      </c>
    </row>
    <row r="366" spans="1:15" x14ac:dyDescent="0.2">
      <c r="A366" s="6">
        <v>45848</v>
      </c>
      <c r="B366" t="s">
        <v>15</v>
      </c>
      <c r="C366" t="s">
        <v>16</v>
      </c>
      <c r="D366" s="1">
        <v>45855</v>
      </c>
      <c r="E366" t="s">
        <v>19</v>
      </c>
      <c r="F366">
        <v>5250</v>
      </c>
      <c r="G366">
        <v>10.6</v>
      </c>
      <c r="H366">
        <v>15.1</v>
      </c>
      <c r="I366">
        <v>9.5</v>
      </c>
      <c r="J366">
        <v>12.8</v>
      </c>
      <c r="K366">
        <v>11.6</v>
      </c>
      <c r="L366">
        <v>1703</v>
      </c>
      <c r="M366" t="s">
        <v>219</v>
      </c>
      <c r="N366">
        <v>8962.43</v>
      </c>
      <c r="O366">
        <v>459</v>
      </c>
    </row>
    <row r="367" spans="1:15" x14ac:dyDescent="0.2">
      <c r="A367" s="6">
        <v>45848</v>
      </c>
      <c r="B367" t="s">
        <v>15</v>
      </c>
      <c r="C367" t="s">
        <v>16</v>
      </c>
      <c r="D367" s="1">
        <v>45855</v>
      </c>
      <c r="E367" t="s">
        <v>17</v>
      </c>
      <c r="F367">
        <v>4850</v>
      </c>
      <c r="J367">
        <v>867.1</v>
      </c>
      <c r="K367">
        <v>1027.7</v>
      </c>
      <c r="L367">
        <v>0</v>
      </c>
      <c r="M367" t="s">
        <v>18</v>
      </c>
      <c r="N367">
        <v>0</v>
      </c>
      <c r="O367">
        <v>0</v>
      </c>
    </row>
    <row r="368" spans="1:15" x14ac:dyDescent="0.2">
      <c r="A368" s="6">
        <v>45848</v>
      </c>
      <c r="B368" t="s">
        <v>15</v>
      </c>
      <c r="C368" t="s">
        <v>16</v>
      </c>
      <c r="D368" s="1">
        <v>45855</v>
      </c>
      <c r="E368" t="s">
        <v>17</v>
      </c>
      <c r="F368">
        <v>5750</v>
      </c>
      <c r="G368">
        <v>173</v>
      </c>
      <c r="H368">
        <v>190</v>
      </c>
      <c r="I368">
        <v>90</v>
      </c>
      <c r="J368">
        <v>94.4</v>
      </c>
      <c r="K368">
        <v>196.3</v>
      </c>
      <c r="L368">
        <v>81673</v>
      </c>
      <c r="M368" t="s">
        <v>220</v>
      </c>
      <c r="N368">
        <v>479453.36</v>
      </c>
      <c r="O368">
        <v>4410</v>
      </c>
    </row>
    <row r="369" spans="1:15" x14ac:dyDescent="0.2">
      <c r="A369" s="6">
        <v>45848</v>
      </c>
      <c r="B369" t="s">
        <v>15</v>
      </c>
      <c r="C369" t="s">
        <v>16</v>
      </c>
      <c r="D369" s="1">
        <v>45855</v>
      </c>
      <c r="E369" t="s">
        <v>17</v>
      </c>
      <c r="F369">
        <v>7250</v>
      </c>
      <c r="G369">
        <v>7.6</v>
      </c>
      <c r="H369">
        <v>7.6</v>
      </c>
      <c r="I369">
        <v>6.2</v>
      </c>
      <c r="J369">
        <v>6.5</v>
      </c>
      <c r="K369">
        <v>9.1</v>
      </c>
      <c r="L369">
        <v>23</v>
      </c>
      <c r="M369" t="s">
        <v>221</v>
      </c>
      <c r="N369">
        <v>166.9</v>
      </c>
      <c r="O369">
        <v>102</v>
      </c>
    </row>
    <row r="370" spans="1:15" x14ac:dyDescent="0.2">
      <c r="A370" s="6">
        <v>45848</v>
      </c>
      <c r="B370" t="s">
        <v>15</v>
      </c>
      <c r="C370" t="s">
        <v>16</v>
      </c>
      <c r="D370" s="1">
        <v>45855</v>
      </c>
      <c r="E370" t="s">
        <v>19</v>
      </c>
      <c r="F370">
        <v>5900</v>
      </c>
      <c r="G370">
        <v>142.30000000000001</v>
      </c>
      <c r="H370">
        <v>233.3</v>
      </c>
      <c r="I370">
        <v>122.4</v>
      </c>
      <c r="J370">
        <v>227.4</v>
      </c>
      <c r="K370">
        <v>130.6</v>
      </c>
      <c r="L370">
        <v>104638</v>
      </c>
      <c r="M370" t="s">
        <v>222</v>
      </c>
      <c r="N370">
        <v>635766.5</v>
      </c>
      <c r="O370">
        <v>1003</v>
      </c>
    </row>
    <row r="371" spans="1:15" x14ac:dyDescent="0.2">
      <c r="A371" s="6">
        <v>45848</v>
      </c>
      <c r="B371" t="s">
        <v>15</v>
      </c>
      <c r="C371" t="s">
        <v>16</v>
      </c>
      <c r="D371" s="1">
        <v>45855</v>
      </c>
      <c r="E371" t="s">
        <v>17</v>
      </c>
      <c r="F371">
        <v>3800</v>
      </c>
      <c r="J371">
        <v>1915.8</v>
      </c>
      <c r="K371">
        <v>2076.3000000000002</v>
      </c>
      <c r="L371">
        <v>0</v>
      </c>
      <c r="M371" t="s">
        <v>18</v>
      </c>
      <c r="N371">
        <v>0</v>
      </c>
      <c r="O371">
        <v>0</v>
      </c>
    </row>
    <row r="372" spans="1:15" x14ac:dyDescent="0.2">
      <c r="A372" s="6">
        <v>45848</v>
      </c>
      <c r="B372" t="s">
        <v>15</v>
      </c>
      <c r="C372" t="s">
        <v>16</v>
      </c>
      <c r="D372" s="1">
        <v>45855</v>
      </c>
      <c r="E372" t="s">
        <v>19</v>
      </c>
      <c r="F372">
        <v>7600</v>
      </c>
      <c r="J372">
        <v>1879.8</v>
      </c>
      <c r="K372">
        <v>1718.7</v>
      </c>
      <c r="L372">
        <v>0</v>
      </c>
      <c r="M372" t="s">
        <v>18</v>
      </c>
      <c r="N372">
        <v>0</v>
      </c>
      <c r="O372">
        <v>0</v>
      </c>
    </row>
    <row r="373" spans="1:15" x14ac:dyDescent="0.2">
      <c r="A373" s="6">
        <v>45848</v>
      </c>
      <c r="B373" t="s">
        <v>15</v>
      </c>
      <c r="C373" t="s">
        <v>16</v>
      </c>
      <c r="D373" s="1">
        <v>45855</v>
      </c>
      <c r="E373" t="s">
        <v>17</v>
      </c>
      <c r="F373">
        <v>5550</v>
      </c>
      <c r="G373">
        <v>326.5</v>
      </c>
      <c r="H373">
        <v>350</v>
      </c>
      <c r="I373">
        <v>207</v>
      </c>
      <c r="J373">
        <v>211.6</v>
      </c>
      <c r="K373">
        <v>357.4</v>
      </c>
      <c r="L373">
        <v>3838</v>
      </c>
      <c r="M373" t="s">
        <v>223</v>
      </c>
      <c r="N373">
        <v>22235.51</v>
      </c>
      <c r="O373">
        <v>206</v>
      </c>
    </row>
    <row r="374" spans="1:15" x14ac:dyDescent="0.2">
      <c r="A374" s="6">
        <v>45848</v>
      </c>
      <c r="B374" t="s">
        <v>15</v>
      </c>
      <c r="C374" t="s">
        <v>16</v>
      </c>
      <c r="D374" s="1">
        <v>45855</v>
      </c>
      <c r="E374" t="s">
        <v>19</v>
      </c>
      <c r="F374">
        <v>4800</v>
      </c>
      <c r="G374">
        <v>6.2</v>
      </c>
      <c r="H374">
        <v>7.6</v>
      </c>
      <c r="I374">
        <v>5.8</v>
      </c>
      <c r="J374">
        <v>6.5</v>
      </c>
      <c r="K374">
        <v>6.8</v>
      </c>
      <c r="L374">
        <v>358</v>
      </c>
      <c r="M374" t="s">
        <v>224</v>
      </c>
      <c r="N374">
        <v>1720.77</v>
      </c>
      <c r="O374">
        <v>573</v>
      </c>
    </row>
    <row r="375" spans="1:15" x14ac:dyDescent="0.2">
      <c r="A375" s="6">
        <v>45848</v>
      </c>
      <c r="B375" t="s">
        <v>15</v>
      </c>
      <c r="C375" t="s">
        <v>16</v>
      </c>
      <c r="D375" s="1">
        <v>45855</v>
      </c>
      <c r="E375" t="s">
        <v>19</v>
      </c>
      <c r="F375">
        <v>4600</v>
      </c>
      <c r="G375">
        <v>5.6</v>
      </c>
      <c r="H375">
        <v>6.6</v>
      </c>
      <c r="I375">
        <v>4.5</v>
      </c>
      <c r="J375">
        <v>5.9</v>
      </c>
      <c r="K375">
        <v>6.9</v>
      </c>
      <c r="L375">
        <v>230</v>
      </c>
      <c r="M375" t="s">
        <v>225</v>
      </c>
      <c r="N375">
        <v>1059.3</v>
      </c>
      <c r="O375">
        <v>165</v>
      </c>
    </row>
    <row r="376" spans="1:15" x14ac:dyDescent="0.2">
      <c r="A376" s="6">
        <v>45848</v>
      </c>
      <c r="B376" t="s">
        <v>15</v>
      </c>
      <c r="C376" t="s">
        <v>16</v>
      </c>
      <c r="D376" s="1">
        <v>45855</v>
      </c>
      <c r="E376" t="s">
        <v>17</v>
      </c>
      <c r="F376">
        <v>5600</v>
      </c>
      <c r="G376">
        <v>283.8</v>
      </c>
      <c r="H376">
        <v>305.39999999999998</v>
      </c>
      <c r="I376">
        <v>165</v>
      </c>
      <c r="J376">
        <v>176.7</v>
      </c>
      <c r="K376">
        <v>311.7</v>
      </c>
      <c r="L376">
        <v>34929</v>
      </c>
      <c r="M376" t="s">
        <v>226</v>
      </c>
      <c r="N376">
        <v>203018.02</v>
      </c>
      <c r="O376">
        <v>3071</v>
      </c>
    </row>
    <row r="377" spans="1:15" x14ac:dyDescent="0.2">
      <c r="A377" s="6">
        <v>45848</v>
      </c>
      <c r="B377" t="s">
        <v>15</v>
      </c>
      <c r="C377" t="s">
        <v>16</v>
      </c>
      <c r="D377" s="1">
        <v>45855</v>
      </c>
      <c r="E377" t="s">
        <v>19</v>
      </c>
      <c r="F377">
        <v>6200</v>
      </c>
      <c r="G377">
        <v>379.7</v>
      </c>
      <c r="H377">
        <v>502.9</v>
      </c>
      <c r="I377">
        <v>350.6</v>
      </c>
      <c r="J377">
        <v>494.6</v>
      </c>
      <c r="K377">
        <v>352.7</v>
      </c>
      <c r="L377">
        <v>902</v>
      </c>
      <c r="M377" t="s">
        <v>227</v>
      </c>
      <c r="N377">
        <v>5964.06</v>
      </c>
      <c r="O377">
        <v>491</v>
      </c>
    </row>
    <row r="378" spans="1:15" x14ac:dyDescent="0.2">
      <c r="A378" s="6">
        <v>45848</v>
      </c>
      <c r="B378" t="s">
        <v>15</v>
      </c>
      <c r="C378" t="s">
        <v>16</v>
      </c>
      <c r="D378" s="1">
        <v>45855</v>
      </c>
      <c r="E378" t="s">
        <v>19</v>
      </c>
      <c r="F378">
        <v>3700</v>
      </c>
      <c r="G378">
        <v>0.6</v>
      </c>
      <c r="H378">
        <v>0.6</v>
      </c>
      <c r="I378">
        <v>0.6</v>
      </c>
      <c r="J378">
        <v>0.6</v>
      </c>
      <c r="K378">
        <v>3.3</v>
      </c>
      <c r="L378">
        <v>1</v>
      </c>
      <c r="M378" t="s">
        <v>155</v>
      </c>
      <c r="N378">
        <v>3.7</v>
      </c>
      <c r="O378">
        <v>8</v>
      </c>
    </row>
    <row r="379" spans="1:15" x14ac:dyDescent="0.2">
      <c r="A379" s="6">
        <v>45848</v>
      </c>
      <c r="B379" t="s">
        <v>15</v>
      </c>
      <c r="C379" t="s">
        <v>16</v>
      </c>
      <c r="D379" s="1">
        <v>45855</v>
      </c>
      <c r="E379" t="s">
        <v>19</v>
      </c>
      <c r="F379">
        <v>6800</v>
      </c>
      <c r="G379">
        <v>991.9</v>
      </c>
      <c r="H379">
        <v>991.9</v>
      </c>
      <c r="I379">
        <v>968.4</v>
      </c>
      <c r="J379">
        <v>976.3</v>
      </c>
      <c r="K379">
        <v>920.4</v>
      </c>
      <c r="L379">
        <v>3</v>
      </c>
      <c r="M379" t="s">
        <v>34</v>
      </c>
      <c r="N379">
        <v>23.33</v>
      </c>
      <c r="O379">
        <v>91</v>
      </c>
    </row>
    <row r="380" spans="1:15" x14ac:dyDescent="0.2">
      <c r="A380" s="6">
        <v>45848</v>
      </c>
      <c r="B380" t="s">
        <v>15</v>
      </c>
      <c r="C380" t="s">
        <v>16</v>
      </c>
      <c r="D380" s="1">
        <v>45855</v>
      </c>
      <c r="E380" t="s">
        <v>17</v>
      </c>
      <c r="F380">
        <v>6750</v>
      </c>
      <c r="G380">
        <v>10.9</v>
      </c>
      <c r="H380">
        <v>11.9</v>
      </c>
      <c r="I380">
        <v>8.6999999999999993</v>
      </c>
      <c r="J380">
        <v>9.5</v>
      </c>
      <c r="K380">
        <v>12.2</v>
      </c>
      <c r="L380">
        <v>569</v>
      </c>
      <c r="M380" t="s">
        <v>228</v>
      </c>
      <c r="N380">
        <v>3846.88</v>
      </c>
      <c r="O380">
        <v>96</v>
      </c>
    </row>
    <row r="381" spans="1:15" x14ac:dyDescent="0.2">
      <c r="A381" s="6">
        <v>45848</v>
      </c>
      <c r="B381" t="s">
        <v>15</v>
      </c>
      <c r="C381" t="s">
        <v>16</v>
      </c>
      <c r="D381" s="1">
        <v>45855</v>
      </c>
      <c r="E381" t="s">
        <v>19</v>
      </c>
      <c r="F381">
        <v>4950</v>
      </c>
      <c r="G381">
        <v>7.6</v>
      </c>
      <c r="H381">
        <v>10.199999999999999</v>
      </c>
      <c r="I381">
        <v>6.4</v>
      </c>
      <c r="J381">
        <v>8.3000000000000007</v>
      </c>
      <c r="K381">
        <v>9.4</v>
      </c>
      <c r="L381">
        <v>110</v>
      </c>
      <c r="M381" t="s">
        <v>229</v>
      </c>
      <c r="N381">
        <v>545.41</v>
      </c>
      <c r="O381">
        <v>120</v>
      </c>
    </row>
    <row r="382" spans="1:15" x14ac:dyDescent="0.2">
      <c r="A382" s="6">
        <v>45848</v>
      </c>
      <c r="B382" t="s">
        <v>15</v>
      </c>
      <c r="C382" t="s">
        <v>16</v>
      </c>
      <c r="D382" s="1">
        <v>45855</v>
      </c>
      <c r="E382" t="s">
        <v>19</v>
      </c>
      <c r="F382">
        <v>4450</v>
      </c>
      <c r="J382">
        <v>0.1</v>
      </c>
      <c r="K382">
        <v>0.1</v>
      </c>
      <c r="L382">
        <v>0</v>
      </c>
      <c r="M382" t="s">
        <v>18</v>
      </c>
      <c r="N382">
        <v>0</v>
      </c>
      <c r="O382">
        <v>1</v>
      </c>
    </row>
    <row r="383" spans="1:15" x14ac:dyDescent="0.2">
      <c r="A383" s="6">
        <v>45848</v>
      </c>
      <c r="B383" t="s">
        <v>15</v>
      </c>
      <c r="C383" t="s">
        <v>16</v>
      </c>
      <c r="D383" s="1">
        <v>45855</v>
      </c>
      <c r="E383" t="s">
        <v>17</v>
      </c>
      <c r="F383">
        <v>3850</v>
      </c>
      <c r="J383">
        <v>1865.9</v>
      </c>
      <c r="K383">
        <v>2026.3</v>
      </c>
      <c r="L383">
        <v>0</v>
      </c>
      <c r="M383" t="s">
        <v>18</v>
      </c>
      <c r="N383">
        <v>0</v>
      </c>
      <c r="O383">
        <v>0</v>
      </c>
    </row>
    <row r="384" spans="1:15" x14ac:dyDescent="0.2">
      <c r="A384" s="6">
        <v>45848</v>
      </c>
      <c r="B384" t="s">
        <v>15</v>
      </c>
      <c r="C384" t="s">
        <v>16</v>
      </c>
      <c r="D384" s="1">
        <v>45855</v>
      </c>
      <c r="E384" t="s">
        <v>19</v>
      </c>
      <c r="F384">
        <v>4250</v>
      </c>
      <c r="J384">
        <v>0.1</v>
      </c>
      <c r="K384">
        <v>0.1</v>
      </c>
      <c r="L384">
        <v>0</v>
      </c>
      <c r="M384" t="s">
        <v>18</v>
      </c>
      <c r="N384">
        <v>0</v>
      </c>
      <c r="O384">
        <v>5</v>
      </c>
    </row>
    <row r="385" spans="1:15" x14ac:dyDescent="0.2">
      <c r="A385" s="6">
        <v>45848</v>
      </c>
      <c r="B385" t="s">
        <v>15</v>
      </c>
      <c r="C385" t="s">
        <v>16</v>
      </c>
      <c r="D385" s="1">
        <v>45855</v>
      </c>
      <c r="E385" t="s">
        <v>17</v>
      </c>
      <c r="F385">
        <v>7650</v>
      </c>
      <c r="G385">
        <v>6.3</v>
      </c>
      <c r="H385">
        <v>6.8</v>
      </c>
      <c r="I385">
        <v>5.4</v>
      </c>
      <c r="J385">
        <v>5.5</v>
      </c>
      <c r="K385">
        <v>7.8</v>
      </c>
      <c r="L385">
        <v>47</v>
      </c>
      <c r="M385" t="s">
        <v>230</v>
      </c>
      <c r="N385">
        <v>359.84</v>
      </c>
      <c r="O385">
        <v>231</v>
      </c>
    </row>
    <row r="386" spans="1:15" x14ac:dyDescent="0.2">
      <c r="A386" s="6">
        <v>45848</v>
      </c>
      <c r="B386" t="s">
        <v>15</v>
      </c>
      <c r="C386" t="s">
        <v>16</v>
      </c>
      <c r="D386" s="1">
        <v>45855</v>
      </c>
      <c r="E386" t="s">
        <v>19</v>
      </c>
      <c r="F386">
        <v>5050</v>
      </c>
      <c r="G386">
        <v>8.1</v>
      </c>
      <c r="H386">
        <v>11</v>
      </c>
      <c r="I386">
        <v>7</v>
      </c>
      <c r="J386">
        <v>10.199999999999999</v>
      </c>
      <c r="K386">
        <v>8.6999999999999993</v>
      </c>
      <c r="L386">
        <v>562</v>
      </c>
      <c r="M386" t="s">
        <v>231</v>
      </c>
      <c r="N386">
        <v>2843.37</v>
      </c>
      <c r="O386">
        <v>287</v>
      </c>
    </row>
    <row r="387" spans="1:15" x14ac:dyDescent="0.2">
      <c r="A387" s="6">
        <v>45848</v>
      </c>
      <c r="B387" t="s">
        <v>15</v>
      </c>
      <c r="C387" t="s">
        <v>16</v>
      </c>
      <c r="D387" s="1">
        <v>45855</v>
      </c>
      <c r="E387" t="s">
        <v>19</v>
      </c>
      <c r="F387">
        <v>5300</v>
      </c>
      <c r="G387">
        <v>12.1</v>
      </c>
      <c r="H387">
        <v>17.600000000000001</v>
      </c>
      <c r="I387">
        <v>9.5</v>
      </c>
      <c r="J387">
        <v>13.5</v>
      </c>
      <c r="K387">
        <v>12.1</v>
      </c>
      <c r="L387">
        <v>15667</v>
      </c>
      <c r="M387" t="s">
        <v>232</v>
      </c>
      <c r="N387">
        <v>83244.2</v>
      </c>
      <c r="O387">
        <v>2115</v>
      </c>
    </row>
    <row r="388" spans="1:15" x14ac:dyDescent="0.2">
      <c r="A388" s="6">
        <v>45848</v>
      </c>
      <c r="B388" t="s">
        <v>15</v>
      </c>
      <c r="C388" t="s">
        <v>16</v>
      </c>
      <c r="D388" s="1">
        <v>45855</v>
      </c>
      <c r="E388" t="s">
        <v>19</v>
      </c>
      <c r="F388">
        <v>5700</v>
      </c>
      <c r="G388">
        <v>50.9</v>
      </c>
      <c r="H388">
        <v>107.7</v>
      </c>
      <c r="I388">
        <v>44.5</v>
      </c>
      <c r="J388">
        <v>98.3</v>
      </c>
      <c r="K388">
        <v>51.9</v>
      </c>
      <c r="L388">
        <v>243708</v>
      </c>
      <c r="M388" t="s">
        <v>233</v>
      </c>
      <c r="N388">
        <v>1409512.35</v>
      </c>
      <c r="O388">
        <v>7982</v>
      </c>
    </row>
    <row r="389" spans="1:15" x14ac:dyDescent="0.2">
      <c r="A389" s="6">
        <v>45848</v>
      </c>
      <c r="B389" t="s">
        <v>15</v>
      </c>
      <c r="C389" t="s">
        <v>16</v>
      </c>
      <c r="D389" s="1">
        <v>45855</v>
      </c>
      <c r="E389" t="s">
        <v>17</v>
      </c>
      <c r="F389">
        <v>6550</v>
      </c>
      <c r="G389">
        <v>14.5</v>
      </c>
      <c r="H389">
        <v>14.6</v>
      </c>
      <c r="I389">
        <v>11.2</v>
      </c>
      <c r="J389">
        <v>11.9</v>
      </c>
      <c r="K389">
        <v>16.2</v>
      </c>
      <c r="L389">
        <v>1105</v>
      </c>
      <c r="M389" t="s">
        <v>234</v>
      </c>
      <c r="N389">
        <v>7251.77</v>
      </c>
      <c r="O389">
        <v>1144</v>
      </c>
    </row>
    <row r="390" spans="1:15" x14ac:dyDescent="0.2">
      <c r="A390" s="6">
        <v>45848</v>
      </c>
      <c r="B390" t="s">
        <v>15</v>
      </c>
      <c r="C390" t="s">
        <v>16</v>
      </c>
      <c r="D390" s="1">
        <v>45855</v>
      </c>
      <c r="E390" t="s">
        <v>19</v>
      </c>
      <c r="F390">
        <v>5400</v>
      </c>
      <c r="G390">
        <v>17.899999999999999</v>
      </c>
      <c r="H390">
        <v>24.9</v>
      </c>
      <c r="I390">
        <v>11.3</v>
      </c>
      <c r="J390">
        <v>18.8</v>
      </c>
      <c r="K390">
        <v>14.4</v>
      </c>
      <c r="L390">
        <v>34578</v>
      </c>
      <c r="M390" t="s">
        <v>235</v>
      </c>
      <c r="N390">
        <v>187356.98</v>
      </c>
      <c r="O390">
        <v>4089</v>
      </c>
    </row>
    <row r="391" spans="1:15" x14ac:dyDescent="0.2">
      <c r="A391" s="6">
        <v>45848</v>
      </c>
      <c r="B391" t="s">
        <v>15</v>
      </c>
      <c r="C391" t="s">
        <v>16</v>
      </c>
      <c r="D391" s="1">
        <v>45855</v>
      </c>
      <c r="E391" t="s">
        <v>19</v>
      </c>
      <c r="F391">
        <v>7700</v>
      </c>
      <c r="G391">
        <v>1793.2</v>
      </c>
      <c r="H391">
        <v>1793.2</v>
      </c>
      <c r="I391">
        <v>1793.2</v>
      </c>
      <c r="J391">
        <v>1793.2</v>
      </c>
      <c r="K391">
        <v>1818.6</v>
      </c>
      <c r="L391">
        <v>1</v>
      </c>
      <c r="M391" t="s">
        <v>155</v>
      </c>
      <c r="N391">
        <v>9.49</v>
      </c>
      <c r="O391">
        <v>0</v>
      </c>
    </row>
    <row r="392" spans="1:15" x14ac:dyDescent="0.2">
      <c r="A392" s="6">
        <v>45848</v>
      </c>
      <c r="B392" t="s">
        <v>15</v>
      </c>
      <c r="C392" t="s">
        <v>16</v>
      </c>
      <c r="D392" s="1">
        <v>45855</v>
      </c>
      <c r="E392" t="s">
        <v>17</v>
      </c>
      <c r="F392">
        <v>7150</v>
      </c>
      <c r="G392">
        <v>9.4</v>
      </c>
      <c r="H392">
        <v>9.8000000000000007</v>
      </c>
      <c r="I392">
        <v>6.7</v>
      </c>
      <c r="J392">
        <v>7.9</v>
      </c>
      <c r="K392">
        <v>10.9</v>
      </c>
      <c r="L392">
        <v>11</v>
      </c>
      <c r="M392" t="s">
        <v>236</v>
      </c>
      <c r="N392">
        <v>78.739999999999995</v>
      </c>
      <c r="O392">
        <v>110</v>
      </c>
    </row>
    <row r="393" spans="1:15" x14ac:dyDescent="0.2">
      <c r="A393" s="6">
        <v>45848</v>
      </c>
      <c r="B393" t="s">
        <v>15</v>
      </c>
      <c r="C393" t="s">
        <v>16</v>
      </c>
      <c r="D393" s="1">
        <v>45855</v>
      </c>
      <c r="E393" t="s">
        <v>19</v>
      </c>
      <c r="F393">
        <v>6750</v>
      </c>
      <c r="G393">
        <v>942.4</v>
      </c>
      <c r="H393">
        <v>942.4</v>
      </c>
      <c r="I393">
        <v>922.5</v>
      </c>
      <c r="J393">
        <v>929.5</v>
      </c>
      <c r="K393">
        <v>870.8</v>
      </c>
      <c r="L393">
        <v>6</v>
      </c>
      <c r="M393" t="s">
        <v>132</v>
      </c>
      <c r="N393">
        <v>46.08</v>
      </c>
      <c r="O393">
        <v>19</v>
      </c>
    </row>
    <row r="394" spans="1:15" x14ac:dyDescent="0.2">
      <c r="A394" s="6">
        <v>45848</v>
      </c>
      <c r="B394" t="s">
        <v>15</v>
      </c>
      <c r="C394" t="s">
        <v>16</v>
      </c>
      <c r="D394" s="1">
        <v>45855</v>
      </c>
      <c r="E394" t="s">
        <v>17</v>
      </c>
      <c r="F394">
        <v>6050</v>
      </c>
      <c r="G394">
        <v>51.6</v>
      </c>
      <c r="H394">
        <v>54.5</v>
      </c>
      <c r="I394">
        <v>22.8</v>
      </c>
      <c r="J394">
        <v>24.4</v>
      </c>
      <c r="K394">
        <v>59.2</v>
      </c>
      <c r="L394">
        <v>24715</v>
      </c>
      <c r="M394" t="s">
        <v>237</v>
      </c>
      <c r="N394">
        <v>150404.37</v>
      </c>
      <c r="O394">
        <v>2543</v>
      </c>
    </row>
    <row r="395" spans="1:15" x14ac:dyDescent="0.2">
      <c r="A395" s="6">
        <v>45848</v>
      </c>
      <c r="B395" t="s">
        <v>15</v>
      </c>
      <c r="C395" t="s">
        <v>16</v>
      </c>
      <c r="D395" s="1">
        <v>45855</v>
      </c>
      <c r="E395" t="s">
        <v>19</v>
      </c>
      <c r="F395">
        <v>4700</v>
      </c>
      <c r="G395">
        <v>5.3</v>
      </c>
      <c r="H395">
        <v>6.9</v>
      </c>
      <c r="I395">
        <v>4.9000000000000004</v>
      </c>
      <c r="J395">
        <v>6</v>
      </c>
      <c r="K395">
        <v>6.6</v>
      </c>
      <c r="L395">
        <v>261</v>
      </c>
      <c r="M395" t="s">
        <v>238</v>
      </c>
      <c r="N395">
        <v>1228.22</v>
      </c>
      <c r="O395">
        <v>160</v>
      </c>
    </row>
    <row r="396" spans="1:15" x14ac:dyDescent="0.2">
      <c r="A396" s="6">
        <v>45848</v>
      </c>
      <c r="B396" t="s">
        <v>15</v>
      </c>
      <c r="C396" t="s">
        <v>16</v>
      </c>
      <c r="D396" s="1">
        <v>45855</v>
      </c>
      <c r="E396" t="s">
        <v>17</v>
      </c>
      <c r="F396">
        <v>3750</v>
      </c>
      <c r="J396">
        <v>1965.7</v>
      </c>
      <c r="K396">
        <v>2126.1999999999998</v>
      </c>
      <c r="L396">
        <v>0</v>
      </c>
      <c r="M396" t="s">
        <v>18</v>
      </c>
      <c r="N396">
        <v>0</v>
      </c>
      <c r="O396">
        <v>0</v>
      </c>
    </row>
    <row r="397" spans="1:15" x14ac:dyDescent="0.2">
      <c r="A397" s="6">
        <v>45848</v>
      </c>
      <c r="B397" t="s">
        <v>15</v>
      </c>
      <c r="C397" t="s">
        <v>16</v>
      </c>
      <c r="D397" s="1">
        <v>45855</v>
      </c>
      <c r="E397" t="s">
        <v>17</v>
      </c>
      <c r="F397">
        <v>6850</v>
      </c>
      <c r="G397">
        <v>10.5</v>
      </c>
      <c r="H397">
        <v>10.9</v>
      </c>
      <c r="I397">
        <v>5.2</v>
      </c>
      <c r="J397">
        <v>7.2</v>
      </c>
      <c r="K397">
        <v>12.5</v>
      </c>
      <c r="L397">
        <v>180</v>
      </c>
      <c r="M397" t="s">
        <v>239</v>
      </c>
      <c r="N397">
        <v>1234.6500000000001</v>
      </c>
      <c r="O397">
        <v>287</v>
      </c>
    </row>
    <row r="398" spans="1:15" x14ac:dyDescent="0.2">
      <c r="A398" s="6">
        <v>45848</v>
      </c>
      <c r="B398" t="s">
        <v>15</v>
      </c>
      <c r="C398" t="s">
        <v>16</v>
      </c>
      <c r="D398" s="1">
        <v>45855</v>
      </c>
      <c r="E398" t="s">
        <v>17</v>
      </c>
      <c r="F398">
        <v>6650</v>
      </c>
      <c r="G398">
        <v>14.3</v>
      </c>
      <c r="H398">
        <v>14.7</v>
      </c>
      <c r="I398">
        <v>10.4</v>
      </c>
      <c r="J398">
        <v>11</v>
      </c>
      <c r="K398">
        <v>14.5</v>
      </c>
      <c r="L398">
        <v>770</v>
      </c>
      <c r="M398" t="s">
        <v>240</v>
      </c>
      <c r="N398">
        <v>5129.32</v>
      </c>
      <c r="O398">
        <v>391</v>
      </c>
    </row>
    <row r="399" spans="1:15" x14ac:dyDescent="0.2">
      <c r="A399" s="6">
        <v>45848</v>
      </c>
      <c r="B399" t="s">
        <v>15</v>
      </c>
      <c r="C399" t="s">
        <v>16</v>
      </c>
      <c r="D399" s="1">
        <v>45855</v>
      </c>
      <c r="E399" t="s">
        <v>19</v>
      </c>
      <c r="F399">
        <v>3750</v>
      </c>
      <c r="J399">
        <v>0.1</v>
      </c>
      <c r="K399">
        <v>0.1</v>
      </c>
      <c r="L399">
        <v>0</v>
      </c>
      <c r="M399" t="s">
        <v>18</v>
      </c>
      <c r="N399">
        <v>0</v>
      </c>
      <c r="O399">
        <v>0</v>
      </c>
    </row>
    <row r="400" spans="1:15" x14ac:dyDescent="0.2">
      <c r="A400" s="6">
        <v>45848</v>
      </c>
      <c r="B400" t="s">
        <v>15</v>
      </c>
      <c r="C400" t="s">
        <v>16</v>
      </c>
      <c r="D400" s="1">
        <v>45855</v>
      </c>
      <c r="E400" t="s">
        <v>17</v>
      </c>
      <c r="F400">
        <v>7350</v>
      </c>
      <c r="G400">
        <v>7.5</v>
      </c>
      <c r="H400">
        <v>7.5</v>
      </c>
      <c r="I400">
        <v>4.8</v>
      </c>
      <c r="J400">
        <v>5.5</v>
      </c>
      <c r="K400">
        <v>7.3</v>
      </c>
      <c r="L400">
        <v>61</v>
      </c>
      <c r="M400" t="s">
        <v>241</v>
      </c>
      <c r="N400">
        <v>448.76</v>
      </c>
      <c r="O400">
        <v>201</v>
      </c>
    </row>
    <row r="401" spans="1:15" x14ac:dyDescent="0.2">
      <c r="A401" s="6">
        <v>45848</v>
      </c>
      <c r="B401" t="s">
        <v>15</v>
      </c>
      <c r="C401" t="s">
        <v>16</v>
      </c>
      <c r="D401" s="1">
        <v>45855</v>
      </c>
      <c r="E401" t="s">
        <v>19</v>
      </c>
      <c r="F401">
        <v>6400</v>
      </c>
      <c r="G401">
        <v>563</v>
      </c>
      <c r="H401">
        <v>706</v>
      </c>
      <c r="I401">
        <v>554.4</v>
      </c>
      <c r="J401">
        <v>688.8</v>
      </c>
      <c r="K401">
        <v>575.1</v>
      </c>
      <c r="L401">
        <v>32</v>
      </c>
      <c r="M401" t="s">
        <v>242</v>
      </c>
      <c r="N401">
        <v>224.86</v>
      </c>
      <c r="O401">
        <v>771</v>
      </c>
    </row>
    <row r="402" spans="1:15" x14ac:dyDescent="0.2">
      <c r="A402" s="6">
        <v>45848</v>
      </c>
      <c r="B402" t="s">
        <v>15</v>
      </c>
      <c r="C402" t="s">
        <v>16</v>
      </c>
      <c r="D402" s="1">
        <v>45855</v>
      </c>
      <c r="E402" t="s">
        <v>17</v>
      </c>
      <c r="F402">
        <v>6900</v>
      </c>
      <c r="G402">
        <v>10.199999999999999</v>
      </c>
      <c r="H402">
        <v>11.2</v>
      </c>
      <c r="I402">
        <v>7.3</v>
      </c>
      <c r="J402">
        <v>7.7</v>
      </c>
      <c r="K402">
        <v>11.4</v>
      </c>
      <c r="L402">
        <v>983</v>
      </c>
      <c r="M402" t="s">
        <v>243</v>
      </c>
      <c r="N402">
        <v>6791.03</v>
      </c>
      <c r="O402">
        <v>767</v>
      </c>
    </row>
    <row r="403" spans="1:15" x14ac:dyDescent="0.2">
      <c r="A403" s="6">
        <v>45848</v>
      </c>
      <c r="B403" t="s">
        <v>15</v>
      </c>
      <c r="C403" t="s">
        <v>16</v>
      </c>
      <c r="D403" s="1">
        <v>45855</v>
      </c>
      <c r="E403" t="s">
        <v>17</v>
      </c>
      <c r="F403">
        <v>6800</v>
      </c>
      <c r="G403">
        <v>11.7</v>
      </c>
      <c r="H403">
        <v>11.8</v>
      </c>
      <c r="I403">
        <v>7.6</v>
      </c>
      <c r="J403">
        <v>8.3000000000000007</v>
      </c>
      <c r="K403">
        <v>11.7</v>
      </c>
      <c r="L403">
        <v>1222</v>
      </c>
      <c r="M403" t="s">
        <v>244</v>
      </c>
      <c r="N403">
        <v>8320.83</v>
      </c>
      <c r="O403">
        <v>1158</v>
      </c>
    </row>
    <row r="404" spans="1:15" x14ac:dyDescent="0.2">
      <c r="A404" s="6">
        <v>45848</v>
      </c>
      <c r="B404" t="s">
        <v>15</v>
      </c>
      <c r="C404" t="s">
        <v>16</v>
      </c>
      <c r="D404" s="1">
        <v>45855</v>
      </c>
      <c r="E404" t="s">
        <v>17</v>
      </c>
      <c r="F404">
        <v>3650</v>
      </c>
      <c r="J404">
        <v>2065.6</v>
      </c>
      <c r="K404">
        <v>2226.1</v>
      </c>
      <c r="L404">
        <v>0</v>
      </c>
      <c r="M404" t="s">
        <v>18</v>
      </c>
      <c r="N404">
        <v>0</v>
      </c>
      <c r="O404">
        <v>0</v>
      </c>
    </row>
    <row r="405" spans="1:15" x14ac:dyDescent="0.2">
      <c r="A405" s="6">
        <v>45848</v>
      </c>
      <c r="B405" t="s">
        <v>15</v>
      </c>
      <c r="C405" t="s">
        <v>16</v>
      </c>
      <c r="D405" s="1">
        <v>45855</v>
      </c>
      <c r="E405" t="s">
        <v>19</v>
      </c>
      <c r="F405">
        <v>5450</v>
      </c>
      <c r="G405">
        <v>16.5</v>
      </c>
      <c r="H405">
        <v>32.700000000000003</v>
      </c>
      <c r="I405">
        <v>14.7</v>
      </c>
      <c r="J405">
        <v>26.3</v>
      </c>
      <c r="K405">
        <v>18.399999999999999</v>
      </c>
      <c r="L405">
        <v>16584</v>
      </c>
      <c r="M405" t="s">
        <v>245</v>
      </c>
      <c r="N405">
        <v>90806.84</v>
      </c>
      <c r="O405">
        <v>1044</v>
      </c>
    </row>
    <row r="406" spans="1:15" x14ac:dyDescent="0.2">
      <c r="A406" s="6">
        <v>45848</v>
      </c>
      <c r="B406" t="s">
        <v>15</v>
      </c>
      <c r="C406" t="s">
        <v>16</v>
      </c>
      <c r="D406" s="1">
        <v>45855</v>
      </c>
      <c r="E406" t="s">
        <v>19</v>
      </c>
      <c r="F406">
        <v>5800</v>
      </c>
      <c r="G406">
        <v>91</v>
      </c>
      <c r="H406">
        <v>163</v>
      </c>
      <c r="I406">
        <v>74.2</v>
      </c>
      <c r="J406">
        <v>156.1</v>
      </c>
      <c r="K406">
        <v>83.1</v>
      </c>
      <c r="L406">
        <v>250010</v>
      </c>
      <c r="M406" t="s">
        <v>246</v>
      </c>
      <c r="N406">
        <v>1480784.32</v>
      </c>
      <c r="O406">
        <v>6374</v>
      </c>
    </row>
    <row r="407" spans="1:15" x14ac:dyDescent="0.2">
      <c r="A407" s="6">
        <v>45848</v>
      </c>
      <c r="B407" t="s">
        <v>15</v>
      </c>
      <c r="C407" t="s">
        <v>16</v>
      </c>
      <c r="D407" s="1">
        <v>45855</v>
      </c>
      <c r="E407" t="s">
        <v>17</v>
      </c>
      <c r="F407">
        <v>6700</v>
      </c>
      <c r="G407">
        <v>12.7</v>
      </c>
      <c r="H407">
        <v>12.9</v>
      </c>
      <c r="I407">
        <v>9.3000000000000007</v>
      </c>
      <c r="J407">
        <v>9.6999999999999993</v>
      </c>
      <c r="K407">
        <v>13.5</v>
      </c>
      <c r="L407">
        <v>1351</v>
      </c>
      <c r="M407" t="s">
        <v>247</v>
      </c>
      <c r="N407">
        <v>9065.9599999999991</v>
      </c>
      <c r="O407">
        <v>1423</v>
      </c>
    </row>
    <row r="408" spans="1:15" x14ac:dyDescent="0.2">
      <c r="A408" s="6">
        <v>45848</v>
      </c>
      <c r="B408" t="s">
        <v>15</v>
      </c>
      <c r="C408" t="s">
        <v>16</v>
      </c>
      <c r="D408" s="1">
        <v>45855</v>
      </c>
      <c r="E408" t="s">
        <v>19</v>
      </c>
      <c r="F408">
        <v>7150</v>
      </c>
      <c r="J408">
        <v>1430.4</v>
      </c>
      <c r="K408">
        <v>1269.4000000000001</v>
      </c>
      <c r="L408">
        <v>0</v>
      </c>
      <c r="M408" t="s">
        <v>18</v>
      </c>
      <c r="N408">
        <v>0</v>
      </c>
      <c r="O408">
        <v>0</v>
      </c>
    </row>
    <row r="409" spans="1:15" x14ac:dyDescent="0.2">
      <c r="A409" s="6">
        <v>45848</v>
      </c>
      <c r="B409" t="s">
        <v>15</v>
      </c>
      <c r="C409" t="s">
        <v>16</v>
      </c>
      <c r="D409" s="1">
        <v>45855</v>
      </c>
      <c r="E409" t="s">
        <v>17</v>
      </c>
      <c r="F409">
        <v>3600</v>
      </c>
      <c r="J409">
        <v>2115.6</v>
      </c>
      <c r="K409">
        <v>2276</v>
      </c>
      <c r="L409">
        <v>0</v>
      </c>
      <c r="M409" t="s">
        <v>18</v>
      </c>
      <c r="N409">
        <v>0</v>
      </c>
      <c r="O409">
        <v>0</v>
      </c>
    </row>
    <row r="410" spans="1:15" x14ac:dyDescent="0.2">
      <c r="A410" s="6">
        <v>45848</v>
      </c>
      <c r="B410" t="s">
        <v>15</v>
      </c>
      <c r="C410" t="s">
        <v>16</v>
      </c>
      <c r="D410" s="1">
        <v>45855</v>
      </c>
      <c r="E410" t="s">
        <v>19</v>
      </c>
      <c r="F410">
        <v>4550</v>
      </c>
      <c r="J410">
        <v>0.1</v>
      </c>
      <c r="K410">
        <v>5.5</v>
      </c>
      <c r="L410">
        <v>0</v>
      </c>
      <c r="M410" t="s">
        <v>18</v>
      </c>
      <c r="N410">
        <v>0</v>
      </c>
      <c r="O410">
        <v>2</v>
      </c>
    </row>
    <row r="411" spans="1:15" x14ac:dyDescent="0.2">
      <c r="A411" s="6">
        <v>45848</v>
      </c>
      <c r="B411" t="s">
        <v>15</v>
      </c>
      <c r="C411" t="s">
        <v>16</v>
      </c>
      <c r="D411" s="1">
        <v>45855</v>
      </c>
      <c r="E411" t="s">
        <v>17</v>
      </c>
      <c r="F411">
        <v>7500</v>
      </c>
      <c r="G411">
        <v>7.2</v>
      </c>
      <c r="H411">
        <v>8.4</v>
      </c>
      <c r="I411">
        <v>5.6</v>
      </c>
      <c r="J411">
        <v>5.8</v>
      </c>
      <c r="K411">
        <v>8</v>
      </c>
      <c r="L411">
        <v>1485</v>
      </c>
      <c r="M411" t="s">
        <v>248</v>
      </c>
      <c r="N411">
        <v>11147.85</v>
      </c>
      <c r="O411">
        <v>3114</v>
      </c>
    </row>
    <row r="412" spans="1:15" x14ac:dyDescent="0.2">
      <c r="A412" s="6">
        <v>45848</v>
      </c>
      <c r="B412" t="s">
        <v>15</v>
      </c>
      <c r="C412" t="s">
        <v>16</v>
      </c>
      <c r="D412" s="1">
        <v>45855</v>
      </c>
      <c r="E412" t="s">
        <v>17</v>
      </c>
      <c r="F412">
        <v>4250</v>
      </c>
      <c r="J412">
        <v>1466.3</v>
      </c>
      <c r="K412">
        <v>1626.9</v>
      </c>
      <c r="L412">
        <v>0</v>
      </c>
      <c r="M412" t="s">
        <v>18</v>
      </c>
      <c r="N412">
        <v>0</v>
      </c>
      <c r="O412">
        <v>0</v>
      </c>
    </row>
    <row r="413" spans="1:15" x14ac:dyDescent="0.2">
      <c r="A413" s="6">
        <v>45848</v>
      </c>
      <c r="B413" t="s">
        <v>15</v>
      </c>
      <c r="C413" t="s">
        <v>16</v>
      </c>
      <c r="D413" s="1">
        <v>45855</v>
      </c>
      <c r="E413" t="s">
        <v>17</v>
      </c>
      <c r="F413">
        <v>6950</v>
      </c>
      <c r="G413">
        <v>8.8000000000000007</v>
      </c>
      <c r="H413">
        <v>10.5</v>
      </c>
      <c r="I413">
        <v>7.3</v>
      </c>
      <c r="J413">
        <v>7.8</v>
      </c>
      <c r="K413">
        <v>11.5</v>
      </c>
      <c r="L413">
        <v>303</v>
      </c>
      <c r="M413" t="s">
        <v>249</v>
      </c>
      <c r="N413">
        <v>2108.46</v>
      </c>
      <c r="O413">
        <v>374</v>
      </c>
    </row>
    <row r="414" spans="1:15" x14ac:dyDescent="0.2">
      <c r="A414" s="6">
        <v>45848</v>
      </c>
      <c r="B414" t="s">
        <v>15</v>
      </c>
      <c r="C414" t="s">
        <v>16</v>
      </c>
      <c r="D414" s="1">
        <v>45855</v>
      </c>
      <c r="E414" t="s">
        <v>17</v>
      </c>
      <c r="F414">
        <v>4150</v>
      </c>
      <c r="J414">
        <v>1566.2</v>
      </c>
      <c r="K414">
        <v>1726.7</v>
      </c>
      <c r="L414">
        <v>0</v>
      </c>
      <c r="M414" t="s">
        <v>18</v>
      </c>
      <c r="N414">
        <v>0</v>
      </c>
      <c r="O414">
        <v>0</v>
      </c>
    </row>
    <row r="415" spans="1:15" x14ac:dyDescent="0.2">
      <c r="A415" s="6">
        <v>45848</v>
      </c>
      <c r="B415" t="s">
        <v>15</v>
      </c>
      <c r="C415" t="s">
        <v>16</v>
      </c>
      <c r="D415" s="1">
        <v>45855</v>
      </c>
      <c r="E415" t="s">
        <v>17</v>
      </c>
      <c r="F415">
        <v>5200</v>
      </c>
      <c r="G415">
        <v>670</v>
      </c>
      <c r="H415">
        <v>670</v>
      </c>
      <c r="I415">
        <v>517.9</v>
      </c>
      <c r="J415">
        <v>539.1</v>
      </c>
      <c r="K415">
        <v>682.4</v>
      </c>
      <c r="L415">
        <v>43</v>
      </c>
      <c r="M415" t="s">
        <v>250</v>
      </c>
      <c r="N415">
        <v>248.82</v>
      </c>
      <c r="O415">
        <v>83</v>
      </c>
    </row>
    <row r="416" spans="1:15" x14ac:dyDescent="0.2">
      <c r="A416" s="6">
        <v>45848</v>
      </c>
      <c r="B416" t="s">
        <v>15</v>
      </c>
      <c r="C416" t="s">
        <v>16</v>
      </c>
      <c r="D416" s="1">
        <v>45855</v>
      </c>
      <c r="E416" t="s">
        <v>17</v>
      </c>
      <c r="F416">
        <v>5900</v>
      </c>
      <c r="G416">
        <v>100.3</v>
      </c>
      <c r="H416">
        <v>105</v>
      </c>
      <c r="I416">
        <v>45.1</v>
      </c>
      <c r="J416">
        <v>47.5</v>
      </c>
      <c r="K416">
        <v>112.2</v>
      </c>
      <c r="L416">
        <v>197609</v>
      </c>
      <c r="M416" t="s">
        <v>251</v>
      </c>
      <c r="N416">
        <v>1179783.6599999999</v>
      </c>
      <c r="O416">
        <v>11620</v>
      </c>
    </row>
    <row r="417" spans="1:15" x14ac:dyDescent="0.2">
      <c r="A417" s="6">
        <v>45848</v>
      </c>
      <c r="B417" t="s">
        <v>15</v>
      </c>
      <c r="C417" t="s">
        <v>16</v>
      </c>
      <c r="D417" s="1">
        <v>45855</v>
      </c>
      <c r="E417" t="s">
        <v>17</v>
      </c>
      <c r="F417">
        <v>5050</v>
      </c>
      <c r="G417">
        <v>814.8</v>
      </c>
      <c r="H417">
        <v>814.8</v>
      </c>
      <c r="I417">
        <v>814.8</v>
      </c>
      <c r="J417">
        <v>814.8</v>
      </c>
      <c r="K417">
        <v>828.3</v>
      </c>
      <c r="L417">
        <v>1</v>
      </c>
      <c r="M417" t="s">
        <v>155</v>
      </c>
      <c r="N417">
        <v>5.86</v>
      </c>
      <c r="O417">
        <v>1</v>
      </c>
    </row>
    <row r="418" spans="1:15" x14ac:dyDescent="0.2">
      <c r="A418" s="6">
        <v>45848</v>
      </c>
      <c r="B418" t="s">
        <v>15</v>
      </c>
      <c r="C418" t="s">
        <v>16</v>
      </c>
      <c r="D418" s="1">
        <v>45855</v>
      </c>
      <c r="E418" t="s">
        <v>17</v>
      </c>
      <c r="F418">
        <v>4500</v>
      </c>
      <c r="J418">
        <v>1216.5999999999999</v>
      </c>
      <c r="K418">
        <v>1377.2</v>
      </c>
      <c r="L418">
        <v>0</v>
      </c>
      <c r="M418" t="s">
        <v>18</v>
      </c>
      <c r="N418">
        <v>0</v>
      </c>
      <c r="O418">
        <v>0</v>
      </c>
    </row>
    <row r="419" spans="1:15" x14ac:dyDescent="0.2">
      <c r="A419" s="6">
        <v>45848</v>
      </c>
      <c r="B419" t="s">
        <v>15</v>
      </c>
      <c r="C419" t="s">
        <v>16</v>
      </c>
      <c r="D419" s="1">
        <v>45855</v>
      </c>
      <c r="E419" t="s">
        <v>17</v>
      </c>
      <c r="F419">
        <v>5500</v>
      </c>
      <c r="G419">
        <v>368.3</v>
      </c>
      <c r="H419">
        <v>395</v>
      </c>
      <c r="I419">
        <v>245</v>
      </c>
      <c r="J419">
        <v>250.4</v>
      </c>
      <c r="K419">
        <v>397.8</v>
      </c>
      <c r="L419">
        <v>8243</v>
      </c>
      <c r="M419" t="s">
        <v>252</v>
      </c>
      <c r="N419">
        <v>47748.84</v>
      </c>
      <c r="O419">
        <v>1252</v>
      </c>
    </row>
    <row r="420" spans="1:15" x14ac:dyDescent="0.2">
      <c r="A420" s="6">
        <v>45848</v>
      </c>
      <c r="B420" t="s">
        <v>15</v>
      </c>
      <c r="C420" t="s">
        <v>16</v>
      </c>
      <c r="D420" s="1">
        <v>45855</v>
      </c>
      <c r="E420" t="s">
        <v>19</v>
      </c>
      <c r="F420">
        <v>6250</v>
      </c>
      <c r="G420">
        <v>450.6</v>
      </c>
      <c r="H420">
        <v>452.5</v>
      </c>
      <c r="I420">
        <v>429.9</v>
      </c>
      <c r="J420">
        <v>444.3</v>
      </c>
      <c r="K420">
        <v>415.3</v>
      </c>
      <c r="L420">
        <v>3</v>
      </c>
      <c r="M420" t="s">
        <v>34</v>
      </c>
      <c r="N420">
        <v>20.079999999999998</v>
      </c>
      <c r="O420">
        <v>66</v>
      </c>
    </row>
    <row r="421" spans="1:15" x14ac:dyDescent="0.2">
      <c r="A421" s="6">
        <v>45848</v>
      </c>
      <c r="B421" t="s">
        <v>15</v>
      </c>
      <c r="C421" t="s">
        <v>16</v>
      </c>
      <c r="D421" s="1">
        <v>45855</v>
      </c>
      <c r="E421" t="s">
        <v>19</v>
      </c>
      <c r="F421">
        <v>7500</v>
      </c>
      <c r="J421">
        <v>1780</v>
      </c>
      <c r="K421">
        <v>1618.9</v>
      </c>
      <c r="L421">
        <v>0</v>
      </c>
      <c r="M421" t="s">
        <v>18</v>
      </c>
      <c r="N421">
        <v>0</v>
      </c>
      <c r="O421">
        <v>0</v>
      </c>
    </row>
    <row r="422" spans="1:15" x14ac:dyDescent="0.2">
      <c r="A422" s="6">
        <v>45848</v>
      </c>
      <c r="B422" t="s">
        <v>15</v>
      </c>
      <c r="C422" t="s">
        <v>16</v>
      </c>
      <c r="D422" s="1">
        <v>45855</v>
      </c>
      <c r="E422" t="s">
        <v>19</v>
      </c>
      <c r="F422">
        <v>5150</v>
      </c>
      <c r="G422">
        <v>10.9</v>
      </c>
      <c r="H422">
        <v>12</v>
      </c>
      <c r="I422">
        <v>7.2</v>
      </c>
      <c r="J422">
        <v>10.8</v>
      </c>
      <c r="K422">
        <v>10.5</v>
      </c>
      <c r="L422">
        <v>1119</v>
      </c>
      <c r="M422" t="s">
        <v>253</v>
      </c>
      <c r="N422">
        <v>5774.77</v>
      </c>
      <c r="O422">
        <v>324</v>
      </c>
    </row>
    <row r="423" spans="1:15" x14ac:dyDescent="0.2">
      <c r="A423" s="6">
        <v>45848</v>
      </c>
      <c r="B423" t="s">
        <v>15</v>
      </c>
      <c r="C423" t="s">
        <v>16</v>
      </c>
      <c r="D423" s="1">
        <v>45855</v>
      </c>
      <c r="E423" t="s">
        <v>19</v>
      </c>
      <c r="F423">
        <v>7250</v>
      </c>
      <c r="J423">
        <v>1530.2</v>
      </c>
      <c r="K423">
        <v>1369.2</v>
      </c>
      <c r="L423">
        <v>0</v>
      </c>
      <c r="M423" t="s">
        <v>18</v>
      </c>
      <c r="N423">
        <v>0</v>
      </c>
      <c r="O423">
        <v>0</v>
      </c>
    </row>
    <row r="424" spans="1:15" x14ac:dyDescent="0.2">
      <c r="A424" s="6">
        <v>45848</v>
      </c>
      <c r="B424" t="s">
        <v>15</v>
      </c>
      <c r="C424" t="s">
        <v>16</v>
      </c>
      <c r="D424" s="1">
        <v>45855</v>
      </c>
      <c r="E424" t="s">
        <v>17</v>
      </c>
      <c r="F424">
        <v>6250</v>
      </c>
      <c r="G424">
        <v>25.4</v>
      </c>
      <c r="H424">
        <v>26.7</v>
      </c>
      <c r="I424">
        <v>15</v>
      </c>
      <c r="J424">
        <v>16.100000000000001</v>
      </c>
      <c r="K424">
        <v>29.1</v>
      </c>
      <c r="L424">
        <v>4836</v>
      </c>
      <c r="M424" t="s">
        <v>254</v>
      </c>
      <c r="N424">
        <v>30317.81</v>
      </c>
      <c r="O424">
        <v>2579</v>
      </c>
    </row>
    <row r="425" spans="1:15" x14ac:dyDescent="0.2">
      <c r="A425" s="6">
        <v>45848</v>
      </c>
      <c r="B425" t="s">
        <v>15</v>
      </c>
      <c r="C425" t="s">
        <v>16</v>
      </c>
      <c r="D425" s="1">
        <v>45855</v>
      </c>
      <c r="E425" t="s">
        <v>17</v>
      </c>
      <c r="F425">
        <v>5150</v>
      </c>
      <c r="G425">
        <v>719.1</v>
      </c>
      <c r="H425">
        <v>719.1</v>
      </c>
      <c r="I425">
        <v>707</v>
      </c>
      <c r="J425">
        <v>713.1</v>
      </c>
      <c r="K425">
        <v>729.2</v>
      </c>
      <c r="L425">
        <v>2</v>
      </c>
      <c r="M425" t="s">
        <v>28</v>
      </c>
      <c r="N425">
        <v>11.73</v>
      </c>
      <c r="O425">
        <v>3</v>
      </c>
    </row>
    <row r="426" spans="1:15" x14ac:dyDescent="0.2">
      <c r="A426" s="6">
        <v>45848</v>
      </c>
      <c r="B426" t="s">
        <v>15</v>
      </c>
      <c r="C426" t="s">
        <v>16</v>
      </c>
      <c r="D426" s="1">
        <v>45855</v>
      </c>
      <c r="E426" t="s">
        <v>17</v>
      </c>
      <c r="F426">
        <v>5800</v>
      </c>
      <c r="G426">
        <v>140.1</v>
      </c>
      <c r="H426">
        <v>156.6</v>
      </c>
      <c r="I426">
        <v>71.5</v>
      </c>
      <c r="J426">
        <v>75.3</v>
      </c>
      <c r="K426">
        <v>164.1</v>
      </c>
      <c r="L426">
        <v>261192</v>
      </c>
      <c r="M426" t="s">
        <v>255</v>
      </c>
      <c r="N426">
        <v>1542181.32</v>
      </c>
      <c r="O426">
        <v>15448</v>
      </c>
    </row>
    <row r="427" spans="1:15" x14ac:dyDescent="0.2">
      <c r="A427" s="6">
        <v>45848</v>
      </c>
      <c r="B427" t="s">
        <v>15</v>
      </c>
      <c r="C427" t="s">
        <v>16</v>
      </c>
      <c r="D427" s="1">
        <v>45855</v>
      </c>
      <c r="E427" t="s">
        <v>17</v>
      </c>
      <c r="F427">
        <v>4550</v>
      </c>
      <c r="J427">
        <v>1166.7</v>
      </c>
      <c r="K427">
        <v>1327.3</v>
      </c>
      <c r="L427">
        <v>0</v>
      </c>
      <c r="M427" t="s">
        <v>18</v>
      </c>
      <c r="N427">
        <v>0</v>
      </c>
      <c r="O427">
        <v>0</v>
      </c>
    </row>
    <row r="428" spans="1:15" x14ac:dyDescent="0.2">
      <c r="A428" s="6">
        <v>45848</v>
      </c>
      <c r="B428" t="s">
        <v>15</v>
      </c>
      <c r="C428" t="s">
        <v>16</v>
      </c>
      <c r="D428" s="1">
        <v>45855</v>
      </c>
      <c r="E428" t="s">
        <v>17</v>
      </c>
      <c r="F428">
        <v>5450</v>
      </c>
      <c r="G428">
        <v>406.8</v>
      </c>
      <c r="H428">
        <v>415.7</v>
      </c>
      <c r="I428">
        <v>285.7</v>
      </c>
      <c r="J428">
        <v>294.39999999999998</v>
      </c>
      <c r="K428">
        <v>431.9</v>
      </c>
      <c r="L428">
        <v>206</v>
      </c>
      <c r="M428" t="s">
        <v>256</v>
      </c>
      <c r="N428">
        <v>1191.4100000000001</v>
      </c>
      <c r="O428">
        <v>43</v>
      </c>
    </row>
    <row r="429" spans="1:15" x14ac:dyDescent="0.2">
      <c r="A429" s="6">
        <v>45848</v>
      </c>
      <c r="B429" t="s">
        <v>15</v>
      </c>
      <c r="C429" t="s">
        <v>16</v>
      </c>
      <c r="D429" s="1">
        <v>45855</v>
      </c>
      <c r="E429" t="s">
        <v>17</v>
      </c>
      <c r="F429">
        <v>4000</v>
      </c>
      <c r="J429">
        <v>1716</v>
      </c>
      <c r="K429">
        <v>1876.5</v>
      </c>
      <c r="L429">
        <v>0</v>
      </c>
      <c r="M429" t="s">
        <v>18</v>
      </c>
      <c r="N429">
        <v>0</v>
      </c>
      <c r="O429">
        <v>0</v>
      </c>
    </row>
    <row r="430" spans="1:15" x14ac:dyDescent="0.2">
      <c r="A430" s="6">
        <v>45848</v>
      </c>
      <c r="B430" t="s">
        <v>15</v>
      </c>
      <c r="C430" t="s">
        <v>16</v>
      </c>
      <c r="D430" s="1">
        <v>45855</v>
      </c>
      <c r="E430" t="s">
        <v>17</v>
      </c>
      <c r="F430">
        <v>4050</v>
      </c>
      <c r="J430">
        <v>1666.1</v>
      </c>
      <c r="K430">
        <v>1826.6</v>
      </c>
      <c r="L430">
        <v>0</v>
      </c>
      <c r="M430" t="s">
        <v>18</v>
      </c>
      <c r="N430">
        <v>0</v>
      </c>
      <c r="O430">
        <v>0</v>
      </c>
    </row>
    <row r="431" spans="1:15" x14ac:dyDescent="0.2">
      <c r="A431" s="6">
        <v>45848</v>
      </c>
      <c r="B431" t="s">
        <v>15</v>
      </c>
      <c r="C431" t="s">
        <v>16</v>
      </c>
      <c r="D431" s="1">
        <v>45855</v>
      </c>
      <c r="E431" t="s">
        <v>19</v>
      </c>
      <c r="F431">
        <v>4400</v>
      </c>
      <c r="J431">
        <v>0.1</v>
      </c>
      <c r="K431">
        <v>5.2</v>
      </c>
      <c r="L431">
        <v>0</v>
      </c>
      <c r="M431" t="s">
        <v>18</v>
      </c>
      <c r="N431">
        <v>0</v>
      </c>
      <c r="O431">
        <v>1</v>
      </c>
    </row>
    <row r="432" spans="1:15" x14ac:dyDescent="0.2">
      <c r="A432" s="6">
        <v>45848</v>
      </c>
      <c r="B432" t="s">
        <v>15</v>
      </c>
      <c r="C432" t="s">
        <v>16</v>
      </c>
      <c r="D432" s="1">
        <v>45855</v>
      </c>
      <c r="E432" t="s">
        <v>17</v>
      </c>
      <c r="F432">
        <v>6350</v>
      </c>
      <c r="G432">
        <v>19.8</v>
      </c>
      <c r="H432">
        <v>20.100000000000001</v>
      </c>
      <c r="I432">
        <v>12.9</v>
      </c>
      <c r="J432">
        <v>13.7</v>
      </c>
      <c r="K432">
        <v>21.6</v>
      </c>
      <c r="L432">
        <v>1966</v>
      </c>
      <c r="M432" t="s">
        <v>257</v>
      </c>
      <c r="N432">
        <v>12516.11</v>
      </c>
      <c r="O432">
        <v>1545</v>
      </c>
    </row>
    <row r="433" spans="1:15" x14ac:dyDescent="0.2">
      <c r="A433" s="6">
        <v>45848</v>
      </c>
      <c r="B433" t="s">
        <v>15</v>
      </c>
      <c r="C433" t="s">
        <v>16</v>
      </c>
      <c r="D433" s="1">
        <v>45855</v>
      </c>
      <c r="E433" t="s">
        <v>17</v>
      </c>
      <c r="F433">
        <v>7050</v>
      </c>
      <c r="G433">
        <v>10.6</v>
      </c>
      <c r="H433">
        <v>10.6</v>
      </c>
      <c r="I433">
        <v>6.3</v>
      </c>
      <c r="J433">
        <v>8.6</v>
      </c>
      <c r="K433">
        <v>13.1</v>
      </c>
      <c r="L433">
        <v>20</v>
      </c>
      <c r="M433" t="s">
        <v>258</v>
      </c>
      <c r="N433">
        <v>141.18</v>
      </c>
      <c r="O433">
        <v>166</v>
      </c>
    </row>
    <row r="434" spans="1:15" x14ac:dyDescent="0.2">
      <c r="A434" s="6">
        <v>45848</v>
      </c>
      <c r="B434" t="s">
        <v>15</v>
      </c>
      <c r="C434" t="s">
        <v>16</v>
      </c>
      <c r="D434" s="1">
        <v>45855</v>
      </c>
      <c r="E434" t="s">
        <v>19</v>
      </c>
      <c r="F434">
        <v>4650</v>
      </c>
      <c r="G434">
        <v>4.2</v>
      </c>
      <c r="H434">
        <v>4.2</v>
      </c>
      <c r="I434">
        <v>4.2</v>
      </c>
      <c r="J434">
        <v>4.2</v>
      </c>
      <c r="K434">
        <v>4.4000000000000004</v>
      </c>
      <c r="L434">
        <v>1</v>
      </c>
      <c r="M434" t="s">
        <v>155</v>
      </c>
      <c r="N434">
        <v>4.6500000000000004</v>
      </c>
      <c r="O434">
        <v>1</v>
      </c>
    </row>
    <row r="435" spans="1:15" x14ac:dyDescent="0.2">
      <c r="A435" s="6">
        <v>45848</v>
      </c>
      <c r="B435" t="s">
        <v>15</v>
      </c>
      <c r="C435" t="s">
        <v>16</v>
      </c>
      <c r="D435" s="1">
        <v>45855</v>
      </c>
      <c r="E435" t="s">
        <v>19</v>
      </c>
      <c r="F435">
        <v>6850</v>
      </c>
      <c r="G435">
        <v>1043.8</v>
      </c>
      <c r="H435">
        <v>1142</v>
      </c>
      <c r="I435">
        <v>1015.4</v>
      </c>
      <c r="J435">
        <v>1132.7</v>
      </c>
      <c r="K435">
        <v>970.2</v>
      </c>
      <c r="L435">
        <v>16</v>
      </c>
      <c r="M435" t="s">
        <v>259</v>
      </c>
      <c r="N435">
        <v>127.52</v>
      </c>
      <c r="O435">
        <v>4</v>
      </c>
    </row>
    <row r="436" spans="1:15" x14ac:dyDescent="0.2">
      <c r="A436" s="6">
        <v>45848</v>
      </c>
      <c r="B436" t="s">
        <v>15</v>
      </c>
      <c r="C436" t="s">
        <v>16</v>
      </c>
      <c r="D436" s="1">
        <v>45855</v>
      </c>
      <c r="E436" t="s">
        <v>17</v>
      </c>
      <c r="F436">
        <v>7000</v>
      </c>
      <c r="G436">
        <v>10.9</v>
      </c>
      <c r="H436">
        <v>10.9</v>
      </c>
      <c r="I436">
        <v>6.7</v>
      </c>
      <c r="J436">
        <v>8.1</v>
      </c>
      <c r="K436">
        <v>11.2</v>
      </c>
      <c r="L436">
        <v>2643</v>
      </c>
      <c r="M436" t="s">
        <v>260</v>
      </c>
      <c r="N436">
        <v>18523.080000000002</v>
      </c>
      <c r="O436">
        <v>4038</v>
      </c>
    </row>
    <row r="437" spans="1:15" x14ac:dyDescent="0.2">
      <c r="A437" s="6">
        <v>45848</v>
      </c>
      <c r="B437" t="s">
        <v>15</v>
      </c>
      <c r="C437" t="s">
        <v>16</v>
      </c>
      <c r="D437" s="1">
        <v>45855</v>
      </c>
      <c r="E437" t="s">
        <v>19</v>
      </c>
      <c r="F437">
        <v>7350</v>
      </c>
      <c r="J437">
        <v>1630.1</v>
      </c>
      <c r="K437">
        <v>1469.1</v>
      </c>
      <c r="L437">
        <v>0</v>
      </c>
      <c r="M437" t="s">
        <v>18</v>
      </c>
      <c r="N437">
        <v>0</v>
      </c>
      <c r="O437">
        <v>0</v>
      </c>
    </row>
    <row r="438" spans="1:15" x14ac:dyDescent="0.2">
      <c r="A438" s="6">
        <v>45848</v>
      </c>
      <c r="B438" t="s">
        <v>15</v>
      </c>
      <c r="C438" t="s">
        <v>16</v>
      </c>
      <c r="D438" s="1">
        <v>45855</v>
      </c>
      <c r="E438" t="s">
        <v>19</v>
      </c>
      <c r="F438">
        <v>5350</v>
      </c>
      <c r="G438">
        <v>10.4</v>
      </c>
      <c r="H438">
        <v>21.1</v>
      </c>
      <c r="I438">
        <v>10.4</v>
      </c>
      <c r="J438">
        <v>17.100000000000001</v>
      </c>
      <c r="K438">
        <v>14.1</v>
      </c>
      <c r="L438">
        <v>4241</v>
      </c>
      <c r="M438" t="s">
        <v>261</v>
      </c>
      <c r="N438">
        <v>22760.83</v>
      </c>
      <c r="O438">
        <v>706</v>
      </c>
    </row>
    <row r="439" spans="1:15" x14ac:dyDescent="0.2">
      <c r="A439" s="6">
        <v>45848</v>
      </c>
      <c r="B439" t="s">
        <v>15</v>
      </c>
      <c r="C439" t="s">
        <v>16</v>
      </c>
      <c r="D439" s="1">
        <v>45855</v>
      </c>
      <c r="E439" t="s">
        <v>19</v>
      </c>
      <c r="F439">
        <v>4500</v>
      </c>
      <c r="G439">
        <v>5.0999999999999996</v>
      </c>
      <c r="H439">
        <v>5.6</v>
      </c>
      <c r="I439">
        <v>4.8</v>
      </c>
      <c r="J439">
        <v>5.2</v>
      </c>
      <c r="K439">
        <v>6</v>
      </c>
      <c r="L439">
        <v>861</v>
      </c>
      <c r="M439" t="s">
        <v>262</v>
      </c>
      <c r="N439">
        <v>3878.95</v>
      </c>
      <c r="O439">
        <v>630</v>
      </c>
    </row>
    <row r="440" spans="1:15" x14ac:dyDescent="0.2">
      <c r="A440" s="6">
        <v>45848</v>
      </c>
      <c r="B440" t="s">
        <v>15</v>
      </c>
      <c r="C440" t="s">
        <v>16</v>
      </c>
      <c r="D440" s="1">
        <v>45855</v>
      </c>
      <c r="E440" t="s">
        <v>17</v>
      </c>
      <c r="F440">
        <v>6300</v>
      </c>
      <c r="G440">
        <v>22.9</v>
      </c>
      <c r="H440">
        <v>22.9</v>
      </c>
      <c r="I440">
        <v>13.3</v>
      </c>
      <c r="J440">
        <v>14.6</v>
      </c>
      <c r="K440">
        <v>24.4</v>
      </c>
      <c r="L440">
        <v>13509</v>
      </c>
      <c r="M440" t="s">
        <v>263</v>
      </c>
      <c r="N440">
        <v>85335.94</v>
      </c>
      <c r="O440">
        <v>4591</v>
      </c>
    </row>
    <row r="441" spans="1:15" x14ac:dyDescent="0.2">
      <c r="A441" s="6">
        <v>45848</v>
      </c>
      <c r="B441" t="s">
        <v>15</v>
      </c>
      <c r="C441" t="s">
        <v>16</v>
      </c>
      <c r="D441" s="1">
        <v>45855</v>
      </c>
      <c r="E441" t="s">
        <v>19</v>
      </c>
      <c r="F441">
        <v>4100</v>
      </c>
      <c r="J441">
        <v>0.1</v>
      </c>
      <c r="K441">
        <v>0.1</v>
      </c>
      <c r="L441">
        <v>0</v>
      </c>
      <c r="M441" t="s">
        <v>18</v>
      </c>
      <c r="N441">
        <v>0</v>
      </c>
      <c r="O441">
        <v>0</v>
      </c>
    </row>
    <row r="442" spans="1:15" x14ac:dyDescent="0.2">
      <c r="A442" s="6">
        <v>45848</v>
      </c>
      <c r="B442" t="s">
        <v>15</v>
      </c>
      <c r="C442" t="s">
        <v>16</v>
      </c>
      <c r="D442" s="1">
        <v>45855</v>
      </c>
      <c r="E442" t="s">
        <v>19</v>
      </c>
      <c r="F442">
        <v>4350</v>
      </c>
      <c r="G442">
        <v>4</v>
      </c>
      <c r="H442">
        <v>4</v>
      </c>
      <c r="I442">
        <v>4</v>
      </c>
      <c r="J442">
        <v>4</v>
      </c>
      <c r="K442">
        <v>4</v>
      </c>
      <c r="L442">
        <v>1</v>
      </c>
      <c r="M442" t="s">
        <v>155</v>
      </c>
      <c r="N442">
        <v>4.3499999999999996</v>
      </c>
      <c r="O442">
        <v>5</v>
      </c>
    </row>
    <row r="443" spans="1:15" x14ac:dyDescent="0.2">
      <c r="A443" s="6">
        <v>45848</v>
      </c>
      <c r="B443" t="s">
        <v>15</v>
      </c>
      <c r="C443" t="s">
        <v>16</v>
      </c>
      <c r="D443" s="1">
        <v>45855</v>
      </c>
      <c r="E443" t="s">
        <v>17</v>
      </c>
      <c r="F443">
        <v>6500</v>
      </c>
      <c r="G443">
        <v>16.3</v>
      </c>
      <c r="H443">
        <v>16.3</v>
      </c>
      <c r="I443">
        <v>11.2</v>
      </c>
      <c r="J443">
        <v>11.9</v>
      </c>
      <c r="K443">
        <v>16.5</v>
      </c>
      <c r="L443">
        <v>20681</v>
      </c>
      <c r="M443" t="s">
        <v>264</v>
      </c>
      <c r="N443">
        <v>134700.32</v>
      </c>
      <c r="O443">
        <v>10688</v>
      </c>
    </row>
    <row r="444" spans="1:15" x14ac:dyDescent="0.2">
      <c r="A444" s="6">
        <v>45848</v>
      </c>
      <c r="B444" t="s">
        <v>15</v>
      </c>
      <c r="C444" t="s">
        <v>16</v>
      </c>
      <c r="D444" s="1">
        <v>45855</v>
      </c>
      <c r="E444" t="s">
        <v>17</v>
      </c>
      <c r="F444">
        <v>7100</v>
      </c>
      <c r="G444">
        <v>8.9</v>
      </c>
      <c r="H444">
        <v>9.1</v>
      </c>
      <c r="I444">
        <v>6</v>
      </c>
      <c r="J444">
        <v>6.5</v>
      </c>
      <c r="K444">
        <v>10.4</v>
      </c>
      <c r="L444">
        <v>296</v>
      </c>
      <c r="M444" t="s">
        <v>265</v>
      </c>
      <c r="N444">
        <v>2103.86</v>
      </c>
      <c r="O444">
        <v>361</v>
      </c>
    </row>
    <row r="445" spans="1:15" x14ac:dyDescent="0.2">
      <c r="A445" s="6">
        <v>45848</v>
      </c>
      <c r="B445" t="s">
        <v>15</v>
      </c>
      <c r="C445" t="s">
        <v>16</v>
      </c>
      <c r="D445" s="1">
        <v>45855</v>
      </c>
      <c r="E445" t="s">
        <v>19</v>
      </c>
      <c r="F445">
        <v>6700</v>
      </c>
      <c r="G445">
        <v>894.1</v>
      </c>
      <c r="H445">
        <v>894.2</v>
      </c>
      <c r="I445">
        <v>877.5</v>
      </c>
      <c r="J445">
        <v>888.6</v>
      </c>
      <c r="K445">
        <v>821.3</v>
      </c>
      <c r="L445">
        <v>3</v>
      </c>
      <c r="M445" t="s">
        <v>34</v>
      </c>
      <c r="N445">
        <v>22.77</v>
      </c>
      <c r="O445">
        <v>182</v>
      </c>
    </row>
    <row r="446" spans="1:15" x14ac:dyDescent="0.2">
      <c r="A446" s="6">
        <v>45848</v>
      </c>
      <c r="B446" t="s">
        <v>15</v>
      </c>
      <c r="C446" t="s">
        <v>16</v>
      </c>
      <c r="D446" s="1">
        <v>45855</v>
      </c>
      <c r="E446" t="s">
        <v>19</v>
      </c>
      <c r="F446">
        <v>6900</v>
      </c>
      <c r="G446">
        <v>1089.3</v>
      </c>
      <c r="H446">
        <v>1089.3</v>
      </c>
      <c r="I446">
        <v>1063.9000000000001</v>
      </c>
      <c r="J446">
        <v>1075.3</v>
      </c>
      <c r="K446">
        <v>1058.8</v>
      </c>
      <c r="L446">
        <v>3</v>
      </c>
      <c r="M446" t="s">
        <v>34</v>
      </c>
      <c r="N446">
        <v>23.93</v>
      </c>
      <c r="O446">
        <v>37</v>
      </c>
    </row>
    <row r="447" spans="1:15" x14ac:dyDescent="0.2">
      <c r="A447" s="6">
        <v>45848</v>
      </c>
      <c r="B447" t="s">
        <v>15</v>
      </c>
      <c r="C447" t="s">
        <v>16</v>
      </c>
      <c r="D447" s="1">
        <v>45855</v>
      </c>
      <c r="E447" t="s">
        <v>19</v>
      </c>
      <c r="F447">
        <v>7400</v>
      </c>
      <c r="J447">
        <v>1680.1</v>
      </c>
      <c r="K447">
        <v>1519</v>
      </c>
      <c r="L447">
        <v>0</v>
      </c>
      <c r="M447" t="s">
        <v>18</v>
      </c>
      <c r="N447">
        <v>0</v>
      </c>
      <c r="O447">
        <v>0</v>
      </c>
    </row>
    <row r="448" spans="1:15" x14ac:dyDescent="0.2">
      <c r="A448" s="6">
        <v>45848</v>
      </c>
      <c r="B448" t="s">
        <v>15</v>
      </c>
      <c r="C448" t="s">
        <v>16</v>
      </c>
      <c r="D448" s="1">
        <v>45855</v>
      </c>
      <c r="E448" t="s">
        <v>19</v>
      </c>
      <c r="F448">
        <v>3650</v>
      </c>
      <c r="J448">
        <v>0.1</v>
      </c>
      <c r="K448">
        <v>0.1</v>
      </c>
      <c r="L448">
        <v>0</v>
      </c>
      <c r="M448" t="s">
        <v>18</v>
      </c>
      <c r="N448">
        <v>0</v>
      </c>
      <c r="O448">
        <v>0</v>
      </c>
    </row>
    <row r="449" spans="1:15" x14ac:dyDescent="0.2">
      <c r="A449" s="6">
        <v>45848</v>
      </c>
      <c r="B449" t="s">
        <v>15</v>
      </c>
      <c r="C449" t="s">
        <v>16</v>
      </c>
      <c r="D449" s="1">
        <v>45855</v>
      </c>
      <c r="E449" t="s">
        <v>17</v>
      </c>
      <c r="F449">
        <v>7200</v>
      </c>
      <c r="G449">
        <v>7.2</v>
      </c>
      <c r="H449">
        <v>9</v>
      </c>
      <c r="I449">
        <v>5.8</v>
      </c>
      <c r="J449">
        <v>6.1</v>
      </c>
      <c r="K449">
        <v>9.9</v>
      </c>
      <c r="L449">
        <v>442</v>
      </c>
      <c r="M449" t="s">
        <v>266</v>
      </c>
      <c r="N449">
        <v>3185.58</v>
      </c>
      <c r="O449">
        <v>871</v>
      </c>
    </row>
    <row r="450" spans="1:15" x14ac:dyDescent="0.2">
      <c r="A450" s="6">
        <v>45848</v>
      </c>
      <c r="B450" t="s">
        <v>15</v>
      </c>
      <c r="C450" t="s">
        <v>16</v>
      </c>
      <c r="D450" s="1">
        <v>45855</v>
      </c>
      <c r="E450" t="s">
        <v>19</v>
      </c>
      <c r="F450">
        <v>7100</v>
      </c>
      <c r="J450">
        <v>1380.4</v>
      </c>
      <c r="K450">
        <v>1219.5</v>
      </c>
      <c r="L450">
        <v>0</v>
      </c>
      <c r="M450" t="s">
        <v>18</v>
      </c>
      <c r="N450">
        <v>0</v>
      </c>
      <c r="O450">
        <v>0</v>
      </c>
    </row>
    <row r="451" spans="1:15" x14ac:dyDescent="0.2">
      <c r="A451" s="6">
        <v>45848</v>
      </c>
      <c r="B451" t="s">
        <v>15</v>
      </c>
      <c r="C451" t="s">
        <v>16</v>
      </c>
      <c r="D451" s="1">
        <v>45855</v>
      </c>
      <c r="E451" t="s">
        <v>17</v>
      </c>
      <c r="F451">
        <v>4600</v>
      </c>
      <c r="J451">
        <v>1116.7</v>
      </c>
      <c r="K451">
        <v>1277.3</v>
      </c>
      <c r="L451">
        <v>0</v>
      </c>
      <c r="M451" t="s">
        <v>18</v>
      </c>
      <c r="N451">
        <v>0</v>
      </c>
      <c r="O451">
        <v>0</v>
      </c>
    </row>
    <row r="452" spans="1:15" x14ac:dyDescent="0.2">
      <c r="A452" s="6">
        <v>45848</v>
      </c>
      <c r="B452" t="s">
        <v>15</v>
      </c>
      <c r="C452" t="s">
        <v>16</v>
      </c>
      <c r="D452" s="1">
        <v>45855</v>
      </c>
      <c r="E452" t="s">
        <v>17</v>
      </c>
      <c r="F452">
        <v>5350</v>
      </c>
      <c r="G452">
        <v>404</v>
      </c>
      <c r="H452">
        <v>412.8</v>
      </c>
      <c r="I452">
        <v>404</v>
      </c>
      <c r="J452">
        <v>407.2</v>
      </c>
      <c r="K452">
        <v>535</v>
      </c>
      <c r="L452">
        <v>18</v>
      </c>
      <c r="M452" t="s">
        <v>87</v>
      </c>
      <c r="N452">
        <v>103.63</v>
      </c>
      <c r="O452">
        <v>13</v>
      </c>
    </row>
    <row r="453" spans="1:15" x14ac:dyDescent="0.2">
      <c r="A453" s="6">
        <v>45848</v>
      </c>
      <c r="B453" t="s">
        <v>15</v>
      </c>
      <c r="C453" t="s">
        <v>16</v>
      </c>
      <c r="D453" s="1">
        <v>45855</v>
      </c>
      <c r="E453" t="s">
        <v>19</v>
      </c>
      <c r="F453">
        <v>4850</v>
      </c>
      <c r="G453">
        <v>6.6</v>
      </c>
      <c r="H453">
        <v>9.1</v>
      </c>
      <c r="I453">
        <v>5.4</v>
      </c>
      <c r="J453">
        <v>7.4</v>
      </c>
      <c r="K453">
        <v>7.8</v>
      </c>
      <c r="L453">
        <v>247</v>
      </c>
      <c r="M453" t="s">
        <v>267</v>
      </c>
      <c r="N453">
        <v>1199.78</v>
      </c>
      <c r="O453">
        <v>127</v>
      </c>
    </row>
    <row r="454" spans="1:15" x14ac:dyDescent="0.2">
      <c r="A454" s="6">
        <v>45848</v>
      </c>
      <c r="B454" t="s">
        <v>15</v>
      </c>
      <c r="C454" t="s">
        <v>16</v>
      </c>
      <c r="D454" s="1">
        <v>45855</v>
      </c>
      <c r="E454" t="s">
        <v>17</v>
      </c>
      <c r="F454">
        <v>6100</v>
      </c>
      <c r="G454">
        <v>29.6</v>
      </c>
      <c r="H454">
        <v>45</v>
      </c>
      <c r="I454">
        <v>19</v>
      </c>
      <c r="J454">
        <v>20.100000000000001</v>
      </c>
      <c r="K454">
        <v>48.9</v>
      </c>
      <c r="L454">
        <v>49525</v>
      </c>
      <c r="M454" t="s">
        <v>268</v>
      </c>
      <c r="N454">
        <v>303550.03000000003</v>
      </c>
      <c r="O454">
        <v>5085</v>
      </c>
    </row>
    <row r="455" spans="1:15" x14ac:dyDescent="0.2">
      <c r="A455" s="6">
        <v>45848</v>
      </c>
      <c r="B455" t="s">
        <v>15</v>
      </c>
      <c r="C455" t="s">
        <v>16</v>
      </c>
      <c r="D455" s="1">
        <v>45855</v>
      </c>
      <c r="E455" t="s">
        <v>19</v>
      </c>
      <c r="F455">
        <v>5600</v>
      </c>
      <c r="G455">
        <v>30.5</v>
      </c>
      <c r="H455">
        <v>67.400000000000006</v>
      </c>
      <c r="I455">
        <v>27</v>
      </c>
      <c r="J455">
        <v>58.8</v>
      </c>
      <c r="K455">
        <v>32.1</v>
      </c>
      <c r="L455">
        <v>137026</v>
      </c>
      <c r="M455" t="s">
        <v>269</v>
      </c>
      <c r="N455">
        <v>774282.59</v>
      </c>
      <c r="O455">
        <v>7141</v>
      </c>
    </row>
    <row r="456" spans="1:15" x14ac:dyDescent="0.2">
      <c r="A456" s="6">
        <v>45848</v>
      </c>
      <c r="B456" t="s">
        <v>15</v>
      </c>
      <c r="C456" t="s">
        <v>16</v>
      </c>
      <c r="D456" s="1">
        <v>45855</v>
      </c>
      <c r="E456" t="s">
        <v>19</v>
      </c>
      <c r="F456">
        <v>4000</v>
      </c>
      <c r="G456">
        <v>5.6</v>
      </c>
      <c r="H456">
        <v>5.6</v>
      </c>
      <c r="I456">
        <v>3.5</v>
      </c>
      <c r="J456">
        <v>4.3</v>
      </c>
      <c r="K456">
        <v>4.7</v>
      </c>
      <c r="L456">
        <v>898</v>
      </c>
      <c r="M456" t="s">
        <v>270</v>
      </c>
      <c r="N456">
        <v>3595.77</v>
      </c>
      <c r="O456">
        <v>765</v>
      </c>
    </row>
    <row r="457" spans="1:15" x14ac:dyDescent="0.2">
      <c r="A457" s="6">
        <v>45848</v>
      </c>
      <c r="B457" t="s">
        <v>15</v>
      </c>
      <c r="C457" t="s">
        <v>16</v>
      </c>
      <c r="D457" s="1">
        <v>45855</v>
      </c>
      <c r="E457" t="s">
        <v>19</v>
      </c>
      <c r="F457">
        <v>6350</v>
      </c>
      <c r="G457">
        <v>521.6</v>
      </c>
      <c r="H457">
        <v>647.4</v>
      </c>
      <c r="I457">
        <v>508.8</v>
      </c>
      <c r="J457">
        <v>594</v>
      </c>
      <c r="K457">
        <v>505.9</v>
      </c>
      <c r="L457">
        <v>20</v>
      </c>
      <c r="M457" t="s">
        <v>258</v>
      </c>
      <c r="N457">
        <v>138.46</v>
      </c>
      <c r="O457">
        <v>77</v>
      </c>
    </row>
    <row r="458" spans="1:15" x14ac:dyDescent="0.2">
      <c r="A458" s="6">
        <v>45848</v>
      </c>
      <c r="B458" t="s">
        <v>15</v>
      </c>
      <c r="C458" t="s">
        <v>16</v>
      </c>
      <c r="D458" s="1">
        <v>45855</v>
      </c>
      <c r="E458" t="s">
        <v>19</v>
      </c>
      <c r="F458">
        <v>5650</v>
      </c>
      <c r="G458">
        <v>48.4</v>
      </c>
      <c r="H458">
        <v>86.3</v>
      </c>
      <c r="I458">
        <v>35.799999999999997</v>
      </c>
      <c r="J458">
        <v>77.2</v>
      </c>
      <c r="K458">
        <v>42.1</v>
      </c>
      <c r="L458">
        <v>66094</v>
      </c>
      <c r="M458" t="s">
        <v>271</v>
      </c>
      <c r="N458">
        <v>377865.04</v>
      </c>
      <c r="O458">
        <v>2406</v>
      </c>
    </row>
    <row r="459" spans="1:15" x14ac:dyDescent="0.2">
      <c r="A459" s="6">
        <v>45848</v>
      </c>
      <c r="B459" t="s">
        <v>15</v>
      </c>
      <c r="C459" t="s">
        <v>16</v>
      </c>
      <c r="D459" s="1">
        <v>45855</v>
      </c>
      <c r="E459" t="s">
        <v>17</v>
      </c>
      <c r="F459">
        <v>3950</v>
      </c>
      <c r="J459">
        <v>1766</v>
      </c>
      <c r="K459">
        <v>1926.5</v>
      </c>
      <c r="L459">
        <v>0</v>
      </c>
      <c r="M459" t="s">
        <v>18</v>
      </c>
      <c r="N459">
        <v>0</v>
      </c>
      <c r="O459">
        <v>0</v>
      </c>
    </row>
    <row r="460" spans="1:15" x14ac:dyDescent="0.2">
      <c r="A460" s="6">
        <v>45848</v>
      </c>
      <c r="B460" t="s">
        <v>15</v>
      </c>
      <c r="C460" t="s">
        <v>16</v>
      </c>
      <c r="D460" s="1">
        <v>45855</v>
      </c>
      <c r="E460" t="s">
        <v>17</v>
      </c>
      <c r="F460">
        <v>7550</v>
      </c>
      <c r="G460">
        <v>6.8</v>
      </c>
      <c r="H460">
        <v>7.8</v>
      </c>
      <c r="I460">
        <v>5.2</v>
      </c>
      <c r="J460">
        <v>6.4</v>
      </c>
      <c r="K460">
        <v>8.5</v>
      </c>
      <c r="L460">
        <v>41</v>
      </c>
      <c r="M460" t="s">
        <v>272</v>
      </c>
      <c r="N460">
        <v>309.82</v>
      </c>
      <c r="O460">
        <v>151</v>
      </c>
    </row>
    <row r="461" spans="1:15" x14ac:dyDescent="0.2">
      <c r="A461" s="6">
        <v>45848</v>
      </c>
      <c r="B461" t="s">
        <v>15</v>
      </c>
      <c r="C461" t="s">
        <v>16</v>
      </c>
      <c r="D461" s="1">
        <v>45855</v>
      </c>
      <c r="E461" t="s">
        <v>19</v>
      </c>
      <c r="F461">
        <v>7450</v>
      </c>
      <c r="J461">
        <v>1730</v>
      </c>
      <c r="K461">
        <v>1568.9</v>
      </c>
      <c r="L461">
        <v>0</v>
      </c>
      <c r="M461" t="s">
        <v>18</v>
      </c>
      <c r="N461">
        <v>0</v>
      </c>
      <c r="O461">
        <v>0</v>
      </c>
    </row>
    <row r="462" spans="1:15" x14ac:dyDescent="0.2">
      <c r="A462" s="6">
        <v>45848</v>
      </c>
      <c r="B462" t="s">
        <v>15</v>
      </c>
      <c r="C462" t="s">
        <v>16</v>
      </c>
      <c r="D462" s="1">
        <v>45855</v>
      </c>
      <c r="E462" t="s">
        <v>19</v>
      </c>
      <c r="F462">
        <v>5750</v>
      </c>
      <c r="G462">
        <v>68.7</v>
      </c>
      <c r="H462">
        <v>133</v>
      </c>
      <c r="I462">
        <v>58.2</v>
      </c>
      <c r="J462">
        <v>124.2</v>
      </c>
      <c r="K462">
        <v>65.2</v>
      </c>
      <c r="L462">
        <v>105119</v>
      </c>
      <c r="M462" t="s">
        <v>273</v>
      </c>
      <c r="N462">
        <v>615307.37</v>
      </c>
      <c r="O462">
        <v>3603</v>
      </c>
    </row>
    <row r="463" spans="1:15" x14ac:dyDescent="0.2">
      <c r="A463" s="6">
        <v>45848</v>
      </c>
      <c r="B463" t="s">
        <v>15</v>
      </c>
      <c r="C463" t="s">
        <v>16</v>
      </c>
      <c r="D463" s="1">
        <v>45855</v>
      </c>
      <c r="E463" t="s">
        <v>19</v>
      </c>
      <c r="F463">
        <v>4050</v>
      </c>
      <c r="J463">
        <v>0.1</v>
      </c>
      <c r="K463">
        <v>0.1</v>
      </c>
      <c r="L463">
        <v>0</v>
      </c>
      <c r="M463" t="s">
        <v>18</v>
      </c>
      <c r="N463">
        <v>0</v>
      </c>
      <c r="O463">
        <v>0</v>
      </c>
    </row>
    <row r="464" spans="1:15" x14ac:dyDescent="0.2">
      <c r="A464" s="6">
        <v>45848</v>
      </c>
      <c r="B464" t="s">
        <v>15</v>
      </c>
      <c r="C464" t="s">
        <v>16</v>
      </c>
      <c r="D464" s="1">
        <v>45855</v>
      </c>
      <c r="E464" t="s">
        <v>19</v>
      </c>
      <c r="F464">
        <v>5500</v>
      </c>
      <c r="G464">
        <v>18.899999999999999</v>
      </c>
      <c r="H464">
        <v>40.799999999999997</v>
      </c>
      <c r="I464">
        <v>16.7</v>
      </c>
      <c r="J464">
        <v>33.299999999999997</v>
      </c>
      <c r="K464">
        <v>21</v>
      </c>
      <c r="L464">
        <v>79845</v>
      </c>
      <c r="M464" t="s">
        <v>274</v>
      </c>
      <c r="N464">
        <v>441540.64</v>
      </c>
      <c r="O464">
        <v>7914</v>
      </c>
    </row>
    <row r="465" spans="1:15" x14ac:dyDescent="0.2">
      <c r="A465" s="6">
        <v>45848</v>
      </c>
      <c r="B465" t="s">
        <v>15</v>
      </c>
      <c r="C465" t="s">
        <v>16</v>
      </c>
      <c r="D465" s="1">
        <v>45855</v>
      </c>
      <c r="E465" t="s">
        <v>19</v>
      </c>
      <c r="F465">
        <v>6100</v>
      </c>
      <c r="G465">
        <v>279</v>
      </c>
      <c r="H465">
        <v>409.5</v>
      </c>
      <c r="I465">
        <v>263.10000000000002</v>
      </c>
      <c r="J465">
        <v>401</v>
      </c>
      <c r="K465">
        <v>266.7</v>
      </c>
      <c r="L465">
        <v>3409</v>
      </c>
      <c r="M465" t="s">
        <v>275</v>
      </c>
      <c r="N465">
        <v>21891.13</v>
      </c>
      <c r="O465">
        <v>502</v>
      </c>
    </row>
    <row r="466" spans="1:15" x14ac:dyDescent="0.2">
      <c r="A466" s="6">
        <v>45848</v>
      </c>
      <c r="B466" t="s">
        <v>15</v>
      </c>
      <c r="C466" t="s">
        <v>16</v>
      </c>
      <c r="D466" s="1">
        <v>45855</v>
      </c>
      <c r="E466" t="s">
        <v>17</v>
      </c>
      <c r="F466">
        <v>6000</v>
      </c>
      <c r="G466">
        <v>68.8</v>
      </c>
      <c r="H466">
        <v>68.8</v>
      </c>
      <c r="I466">
        <v>28.7</v>
      </c>
      <c r="J466">
        <v>30.6</v>
      </c>
      <c r="K466">
        <v>73.900000000000006</v>
      </c>
      <c r="L466">
        <v>114863</v>
      </c>
      <c r="M466" t="s">
        <v>276</v>
      </c>
      <c r="N466">
        <v>694373.54</v>
      </c>
      <c r="O466">
        <v>12272</v>
      </c>
    </row>
    <row r="467" spans="1:15" x14ac:dyDescent="0.2">
      <c r="A467" s="6">
        <v>45848</v>
      </c>
      <c r="B467" t="s">
        <v>15</v>
      </c>
      <c r="C467" t="s">
        <v>16</v>
      </c>
      <c r="D467" s="1">
        <v>45855</v>
      </c>
      <c r="E467" t="s">
        <v>19</v>
      </c>
      <c r="F467">
        <v>3800</v>
      </c>
      <c r="J467">
        <v>0.1</v>
      </c>
      <c r="K467">
        <v>0.1</v>
      </c>
      <c r="L467">
        <v>0</v>
      </c>
      <c r="M467" t="s">
        <v>18</v>
      </c>
      <c r="N467">
        <v>0</v>
      </c>
      <c r="O467">
        <v>0</v>
      </c>
    </row>
    <row r="468" spans="1:15" x14ac:dyDescent="0.2">
      <c r="A468" s="6">
        <v>45848</v>
      </c>
      <c r="B468" t="s">
        <v>15</v>
      </c>
      <c r="C468" t="s">
        <v>16</v>
      </c>
      <c r="D468" s="1">
        <v>45855</v>
      </c>
      <c r="E468" t="s">
        <v>19</v>
      </c>
      <c r="F468">
        <v>5000</v>
      </c>
      <c r="G468">
        <v>8.6999999999999993</v>
      </c>
      <c r="H468">
        <v>9.9</v>
      </c>
      <c r="I468">
        <v>6.9</v>
      </c>
      <c r="J468">
        <v>9.1</v>
      </c>
      <c r="K468">
        <v>8.6</v>
      </c>
      <c r="L468">
        <v>2529</v>
      </c>
      <c r="M468" t="s">
        <v>277</v>
      </c>
      <c r="N468">
        <v>12666.01</v>
      </c>
      <c r="O468">
        <v>2292</v>
      </c>
    </row>
    <row r="469" spans="1:15" x14ac:dyDescent="0.2">
      <c r="A469" s="6">
        <v>45848</v>
      </c>
      <c r="B469" t="s">
        <v>15</v>
      </c>
      <c r="C469" t="s">
        <v>16</v>
      </c>
      <c r="D469" s="1">
        <v>45855</v>
      </c>
      <c r="E469" t="s">
        <v>19</v>
      </c>
      <c r="F469">
        <v>4750</v>
      </c>
      <c r="G469">
        <v>6</v>
      </c>
      <c r="H469">
        <v>6</v>
      </c>
      <c r="I469">
        <v>5.5</v>
      </c>
      <c r="J469">
        <v>5.6</v>
      </c>
      <c r="K469">
        <v>5.8</v>
      </c>
      <c r="L469">
        <v>15</v>
      </c>
      <c r="M469" t="s">
        <v>278</v>
      </c>
      <c r="N469">
        <v>71.34</v>
      </c>
      <c r="O469">
        <v>6</v>
      </c>
    </row>
    <row r="470" spans="1:15" x14ac:dyDescent="0.2">
      <c r="A470" s="6">
        <v>45848</v>
      </c>
      <c r="B470" t="s">
        <v>15</v>
      </c>
      <c r="C470" t="s">
        <v>16</v>
      </c>
      <c r="D470" s="1">
        <v>45855</v>
      </c>
      <c r="E470" t="s">
        <v>19</v>
      </c>
      <c r="F470">
        <v>4150</v>
      </c>
      <c r="J470">
        <v>0.1</v>
      </c>
      <c r="K470">
        <v>0.1</v>
      </c>
      <c r="L470">
        <v>0</v>
      </c>
      <c r="M470" t="s">
        <v>18</v>
      </c>
      <c r="N470">
        <v>0</v>
      </c>
      <c r="O470">
        <v>0</v>
      </c>
    </row>
    <row r="471" spans="1:15" x14ac:dyDescent="0.2">
      <c r="A471" s="6">
        <v>45848</v>
      </c>
      <c r="B471" t="s">
        <v>15</v>
      </c>
      <c r="C471" t="s">
        <v>16</v>
      </c>
      <c r="D471" s="1">
        <v>45855</v>
      </c>
      <c r="E471" t="s">
        <v>17</v>
      </c>
      <c r="F471">
        <v>6450</v>
      </c>
      <c r="G471">
        <v>17</v>
      </c>
      <c r="H471">
        <v>17.3</v>
      </c>
      <c r="I471">
        <v>12</v>
      </c>
      <c r="J471">
        <v>12.9</v>
      </c>
      <c r="K471">
        <v>18.100000000000001</v>
      </c>
      <c r="L471">
        <v>1486</v>
      </c>
      <c r="M471" t="s">
        <v>279</v>
      </c>
      <c r="N471">
        <v>9606.68</v>
      </c>
      <c r="O471">
        <v>1906</v>
      </c>
    </row>
    <row r="472" spans="1:15" x14ac:dyDescent="0.2">
      <c r="A472" s="6">
        <v>45848</v>
      </c>
      <c r="B472" t="s">
        <v>15</v>
      </c>
      <c r="C472" t="s">
        <v>16</v>
      </c>
      <c r="D472" s="1">
        <v>45855</v>
      </c>
      <c r="E472" t="s">
        <v>19</v>
      </c>
      <c r="F472">
        <v>6600</v>
      </c>
      <c r="G472">
        <v>793.9</v>
      </c>
      <c r="H472">
        <v>793.9</v>
      </c>
      <c r="I472">
        <v>754.5</v>
      </c>
      <c r="J472">
        <v>776.2</v>
      </c>
      <c r="K472">
        <v>722.9</v>
      </c>
      <c r="L472">
        <v>3</v>
      </c>
      <c r="M472" t="s">
        <v>34</v>
      </c>
      <c r="N472">
        <v>22.13</v>
      </c>
      <c r="O472">
        <v>161</v>
      </c>
    </row>
    <row r="473" spans="1:15" x14ac:dyDescent="0.2">
      <c r="A473" s="6">
        <v>45848</v>
      </c>
      <c r="B473" t="s">
        <v>15</v>
      </c>
      <c r="C473" t="s">
        <v>16</v>
      </c>
      <c r="D473" s="1">
        <v>45855</v>
      </c>
      <c r="E473" t="s">
        <v>19</v>
      </c>
      <c r="F473">
        <v>5950</v>
      </c>
      <c r="G473">
        <v>174</v>
      </c>
      <c r="H473">
        <v>275.8</v>
      </c>
      <c r="I473">
        <v>154.4</v>
      </c>
      <c r="J473">
        <v>268.10000000000002</v>
      </c>
      <c r="K473">
        <v>159.6</v>
      </c>
      <c r="L473">
        <v>18783</v>
      </c>
      <c r="M473" t="s">
        <v>280</v>
      </c>
      <c r="N473">
        <v>115617.71</v>
      </c>
      <c r="O473">
        <v>101</v>
      </c>
    </row>
    <row r="474" spans="1:15" x14ac:dyDescent="0.2">
      <c r="A474" s="6">
        <v>45848</v>
      </c>
      <c r="B474" t="s">
        <v>15</v>
      </c>
      <c r="C474" t="s">
        <v>16</v>
      </c>
      <c r="D474" s="1">
        <v>45855</v>
      </c>
      <c r="E474" t="s">
        <v>17</v>
      </c>
      <c r="F474">
        <v>4700</v>
      </c>
      <c r="J474">
        <v>1016.8</v>
      </c>
      <c r="K474">
        <v>1177.5</v>
      </c>
      <c r="L474">
        <v>0</v>
      </c>
      <c r="M474" t="s">
        <v>18</v>
      </c>
      <c r="N474">
        <v>0</v>
      </c>
      <c r="O474">
        <v>0</v>
      </c>
    </row>
    <row r="475" spans="1:15" x14ac:dyDescent="0.2">
      <c r="A475" s="6">
        <v>45848</v>
      </c>
      <c r="B475" t="s">
        <v>15</v>
      </c>
      <c r="C475" t="s">
        <v>16</v>
      </c>
      <c r="D475" s="1">
        <v>45855</v>
      </c>
      <c r="E475" t="s">
        <v>17</v>
      </c>
      <c r="F475">
        <v>5650</v>
      </c>
      <c r="G475">
        <v>248</v>
      </c>
      <c r="H475">
        <v>262.89999999999998</v>
      </c>
      <c r="I475">
        <v>140</v>
      </c>
      <c r="J475">
        <v>146.19999999999999</v>
      </c>
      <c r="K475">
        <v>270.60000000000002</v>
      </c>
      <c r="L475">
        <v>19504</v>
      </c>
      <c r="M475" t="s">
        <v>281</v>
      </c>
      <c r="N475">
        <v>113684.56</v>
      </c>
      <c r="O475">
        <v>913</v>
      </c>
    </row>
    <row r="476" spans="1:15" x14ac:dyDescent="0.2">
      <c r="A476" s="6">
        <v>45848</v>
      </c>
      <c r="B476" t="s">
        <v>15</v>
      </c>
      <c r="C476" t="s">
        <v>16</v>
      </c>
      <c r="D476" s="1">
        <v>45855</v>
      </c>
      <c r="E476" t="s">
        <v>19</v>
      </c>
      <c r="F476">
        <v>6450</v>
      </c>
      <c r="G476">
        <v>608.4</v>
      </c>
      <c r="H476">
        <v>737.9</v>
      </c>
      <c r="I476">
        <v>593.29999999999995</v>
      </c>
      <c r="J476">
        <v>717.8</v>
      </c>
      <c r="K476">
        <v>604</v>
      </c>
      <c r="L476">
        <v>646</v>
      </c>
      <c r="M476" t="s">
        <v>282</v>
      </c>
      <c r="N476">
        <v>4565.96</v>
      </c>
      <c r="O476">
        <v>336</v>
      </c>
    </row>
    <row r="477" spans="1:15" x14ac:dyDescent="0.2">
      <c r="A477" s="6">
        <v>45848</v>
      </c>
      <c r="B477" t="s">
        <v>15</v>
      </c>
      <c r="C477" t="s">
        <v>16</v>
      </c>
      <c r="D477" s="1">
        <v>45855</v>
      </c>
      <c r="E477" t="s">
        <v>17</v>
      </c>
      <c r="F477">
        <v>4300</v>
      </c>
      <c r="J477">
        <v>1416.4</v>
      </c>
      <c r="K477">
        <v>1576.9</v>
      </c>
      <c r="L477">
        <v>0</v>
      </c>
      <c r="M477" t="s">
        <v>18</v>
      </c>
      <c r="N477">
        <v>0</v>
      </c>
      <c r="O477">
        <v>0</v>
      </c>
    </row>
    <row r="478" spans="1:15" x14ac:dyDescent="0.2">
      <c r="A478" s="6">
        <v>45848</v>
      </c>
      <c r="B478" t="s">
        <v>15</v>
      </c>
      <c r="C478" t="s">
        <v>16</v>
      </c>
      <c r="D478" s="1">
        <v>45855</v>
      </c>
      <c r="E478" t="s">
        <v>17</v>
      </c>
      <c r="F478">
        <v>5400</v>
      </c>
      <c r="G478">
        <v>462.2</v>
      </c>
      <c r="H478">
        <v>484.7</v>
      </c>
      <c r="I478">
        <v>330</v>
      </c>
      <c r="J478">
        <v>336.4</v>
      </c>
      <c r="K478">
        <v>490.2</v>
      </c>
      <c r="L478">
        <v>772</v>
      </c>
      <c r="M478" t="s">
        <v>283</v>
      </c>
      <c r="N478">
        <v>4452.78</v>
      </c>
      <c r="O478">
        <v>549</v>
      </c>
    </row>
    <row r="479" spans="1:15" x14ac:dyDescent="0.2">
      <c r="A479" s="6">
        <v>45848</v>
      </c>
      <c r="B479" t="s">
        <v>15</v>
      </c>
      <c r="C479" t="s">
        <v>16</v>
      </c>
      <c r="D479" s="1">
        <v>45855</v>
      </c>
      <c r="E479" t="s">
        <v>19</v>
      </c>
      <c r="F479">
        <v>4300</v>
      </c>
      <c r="J479">
        <v>0.1</v>
      </c>
      <c r="K479">
        <v>0.1</v>
      </c>
      <c r="L479">
        <v>0</v>
      </c>
      <c r="M479" t="s">
        <v>18</v>
      </c>
      <c r="N479">
        <v>0</v>
      </c>
      <c r="O479">
        <v>0</v>
      </c>
    </row>
    <row r="480" spans="1:15" x14ac:dyDescent="0.2">
      <c r="A480" s="6">
        <v>45848</v>
      </c>
      <c r="B480" t="s">
        <v>15</v>
      </c>
      <c r="C480" t="s">
        <v>16</v>
      </c>
      <c r="D480" s="1">
        <v>45855</v>
      </c>
      <c r="E480" t="s">
        <v>19</v>
      </c>
      <c r="F480">
        <v>7300</v>
      </c>
      <c r="J480">
        <v>1580.2</v>
      </c>
      <c r="K480">
        <v>1419.1</v>
      </c>
      <c r="L480">
        <v>0</v>
      </c>
      <c r="M480" t="s">
        <v>18</v>
      </c>
      <c r="N480">
        <v>0</v>
      </c>
      <c r="O480">
        <v>0</v>
      </c>
    </row>
    <row r="481" spans="1:15" x14ac:dyDescent="0.2">
      <c r="A481" s="6">
        <v>45848</v>
      </c>
      <c r="B481" t="s">
        <v>15</v>
      </c>
      <c r="C481" t="s">
        <v>16</v>
      </c>
      <c r="D481" s="1">
        <v>45855</v>
      </c>
      <c r="E481" t="s">
        <v>17</v>
      </c>
      <c r="F481">
        <v>7700</v>
      </c>
      <c r="G481">
        <v>6</v>
      </c>
      <c r="H481">
        <v>7.7</v>
      </c>
      <c r="I481">
        <v>4.3</v>
      </c>
      <c r="J481">
        <v>4.9000000000000004</v>
      </c>
      <c r="K481">
        <v>7.4</v>
      </c>
      <c r="L481">
        <v>1137</v>
      </c>
      <c r="M481" t="s">
        <v>284</v>
      </c>
      <c r="N481">
        <v>8761.2099999999991</v>
      </c>
      <c r="O481">
        <v>2241</v>
      </c>
    </row>
    <row r="482" spans="1:15" x14ac:dyDescent="0.2">
      <c r="A482" s="6">
        <v>45848</v>
      </c>
      <c r="B482" t="s">
        <v>15</v>
      </c>
      <c r="C482" t="s">
        <v>16</v>
      </c>
      <c r="D482" s="1">
        <v>45855</v>
      </c>
      <c r="E482" t="s">
        <v>17</v>
      </c>
      <c r="F482">
        <v>6150</v>
      </c>
      <c r="G482">
        <v>35</v>
      </c>
      <c r="H482">
        <v>37.1</v>
      </c>
      <c r="I482">
        <v>17.100000000000001</v>
      </c>
      <c r="J482">
        <v>18.3</v>
      </c>
      <c r="K482">
        <v>40.5</v>
      </c>
      <c r="L482">
        <v>9708</v>
      </c>
      <c r="M482" t="s">
        <v>285</v>
      </c>
      <c r="N482">
        <v>59958.55</v>
      </c>
      <c r="O482">
        <v>1042</v>
      </c>
    </row>
    <row r="483" spans="1:15" x14ac:dyDescent="0.2">
      <c r="A483" s="6">
        <v>45848</v>
      </c>
      <c r="B483" t="s">
        <v>15</v>
      </c>
      <c r="C483" t="s">
        <v>16</v>
      </c>
      <c r="D483" s="1">
        <v>45855</v>
      </c>
      <c r="E483" t="s">
        <v>19</v>
      </c>
      <c r="F483">
        <v>7000</v>
      </c>
      <c r="G483">
        <v>1163.9000000000001</v>
      </c>
      <c r="H483">
        <v>1163.9000000000001</v>
      </c>
      <c r="I483">
        <v>1163.8</v>
      </c>
      <c r="J483">
        <v>1163.9000000000001</v>
      </c>
      <c r="K483">
        <v>1129.2</v>
      </c>
      <c r="L483">
        <v>2</v>
      </c>
      <c r="M483" t="s">
        <v>28</v>
      </c>
      <c r="N483">
        <v>16.329999999999998</v>
      </c>
      <c r="O483">
        <v>12</v>
      </c>
    </row>
    <row r="484" spans="1:15" x14ac:dyDescent="0.2">
      <c r="A484" s="6">
        <v>45848</v>
      </c>
      <c r="B484" t="s">
        <v>15</v>
      </c>
      <c r="C484" t="s">
        <v>16</v>
      </c>
      <c r="D484" s="1">
        <v>45855</v>
      </c>
      <c r="E484" t="s">
        <v>17</v>
      </c>
      <c r="F484">
        <v>7400</v>
      </c>
      <c r="G484">
        <v>6</v>
      </c>
      <c r="H484">
        <v>7</v>
      </c>
      <c r="I484">
        <v>5.0999999999999996</v>
      </c>
      <c r="J484">
        <v>5.5</v>
      </c>
      <c r="K484">
        <v>8</v>
      </c>
      <c r="L484">
        <v>514</v>
      </c>
      <c r="M484" t="s">
        <v>286</v>
      </c>
      <c r="N484">
        <v>3806.74</v>
      </c>
      <c r="O484">
        <v>1536</v>
      </c>
    </row>
    <row r="485" spans="1:15" x14ac:dyDescent="0.2">
      <c r="A485" s="6">
        <v>45848</v>
      </c>
      <c r="B485" t="s">
        <v>15</v>
      </c>
      <c r="C485" t="s">
        <v>16</v>
      </c>
      <c r="D485" s="1">
        <v>45855</v>
      </c>
      <c r="E485" t="s">
        <v>19</v>
      </c>
      <c r="F485">
        <v>7650</v>
      </c>
      <c r="J485">
        <v>1929.8</v>
      </c>
      <c r="K485">
        <v>1768.7</v>
      </c>
      <c r="L485">
        <v>0</v>
      </c>
      <c r="M485" t="s">
        <v>18</v>
      </c>
      <c r="N485">
        <v>0</v>
      </c>
      <c r="O485">
        <v>0</v>
      </c>
    </row>
    <row r="486" spans="1:15" x14ac:dyDescent="0.2">
      <c r="A486" s="6">
        <v>45848</v>
      </c>
      <c r="B486" t="s">
        <v>15</v>
      </c>
      <c r="C486" t="s">
        <v>16</v>
      </c>
      <c r="D486" s="1">
        <v>45855</v>
      </c>
      <c r="E486" t="s">
        <v>17</v>
      </c>
      <c r="F486">
        <v>5850</v>
      </c>
      <c r="G486">
        <v>117.1</v>
      </c>
      <c r="H486">
        <v>129.1</v>
      </c>
      <c r="I486">
        <v>57.1</v>
      </c>
      <c r="J486">
        <v>60.5</v>
      </c>
      <c r="K486">
        <v>135.69999999999999</v>
      </c>
      <c r="L486">
        <v>124840</v>
      </c>
      <c r="M486" t="s">
        <v>287</v>
      </c>
      <c r="N486">
        <v>741208.72</v>
      </c>
      <c r="O486">
        <v>5842</v>
      </c>
    </row>
    <row r="487" spans="1:15" x14ac:dyDescent="0.2">
      <c r="A487" s="6">
        <v>45848</v>
      </c>
      <c r="B487" t="s">
        <v>15</v>
      </c>
      <c r="C487" t="s">
        <v>16</v>
      </c>
      <c r="D487" s="1">
        <v>45855</v>
      </c>
      <c r="E487" t="s">
        <v>19</v>
      </c>
      <c r="F487">
        <v>6500</v>
      </c>
      <c r="G487">
        <v>683.9</v>
      </c>
      <c r="H487">
        <v>795</v>
      </c>
      <c r="I487">
        <v>649.6</v>
      </c>
      <c r="J487">
        <v>694.1</v>
      </c>
      <c r="K487">
        <v>629.6</v>
      </c>
      <c r="L487">
        <v>15</v>
      </c>
      <c r="M487" t="s">
        <v>278</v>
      </c>
      <c r="N487">
        <v>107.88</v>
      </c>
      <c r="O487">
        <v>727</v>
      </c>
    </row>
    <row r="488" spans="1:15" x14ac:dyDescent="0.2">
      <c r="A488" s="6">
        <v>45848</v>
      </c>
      <c r="B488" t="s">
        <v>15</v>
      </c>
      <c r="C488" t="s">
        <v>16</v>
      </c>
      <c r="D488" s="1">
        <v>45855</v>
      </c>
      <c r="E488" t="s">
        <v>17</v>
      </c>
      <c r="F488">
        <v>3900</v>
      </c>
      <c r="J488">
        <v>1815.9</v>
      </c>
      <c r="K488">
        <v>1976.4</v>
      </c>
      <c r="L488">
        <v>0</v>
      </c>
      <c r="M488" t="s">
        <v>18</v>
      </c>
      <c r="N488">
        <v>0</v>
      </c>
      <c r="O488">
        <v>0</v>
      </c>
    </row>
    <row r="489" spans="1:15" x14ac:dyDescent="0.2">
      <c r="A489" s="6">
        <v>45848</v>
      </c>
      <c r="B489" t="s">
        <v>15</v>
      </c>
      <c r="C489" t="s">
        <v>16</v>
      </c>
      <c r="D489" s="1">
        <v>45855</v>
      </c>
      <c r="E489" t="s">
        <v>19</v>
      </c>
      <c r="F489">
        <v>6300</v>
      </c>
      <c r="G489">
        <v>471.2</v>
      </c>
      <c r="H489">
        <v>600</v>
      </c>
      <c r="I489">
        <v>443</v>
      </c>
      <c r="J489">
        <v>579.6</v>
      </c>
      <c r="K489">
        <v>447.9</v>
      </c>
      <c r="L489">
        <v>145</v>
      </c>
      <c r="M489" t="s">
        <v>288</v>
      </c>
      <c r="N489">
        <v>987.1</v>
      </c>
      <c r="O489">
        <v>419</v>
      </c>
    </row>
    <row r="490" spans="1:15" x14ac:dyDescent="0.2">
      <c r="A490" s="6">
        <v>45848</v>
      </c>
      <c r="B490" t="s">
        <v>15</v>
      </c>
      <c r="C490" t="s">
        <v>16</v>
      </c>
      <c r="D490" s="1">
        <v>45855</v>
      </c>
      <c r="E490" t="s">
        <v>19</v>
      </c>
      <c r="F490">
        <v>6000</v>
      </c>
      <c r="G490">
        <v>211.6</v>
      </c>
      <c r="H490">
        <v>316.5</v>
      </c>
      <c r="I490">
        <v>184.7</v>
      </c>
      <c r="J490">
        <v>310.10000000000002</v>
      </c>
      <c r="K490">
        <v>192.3</v>
      </c>
      <c r="L490">
        <v>26540</v>
      </c>
      <c r="M490" t="s">
        <v>289</v>
      </c>
      <c r="N490">
        <v>165694.76</v>
      </c>
      <c r="O490">
        <v>1891</v>
      </c>
    </row>
    <row r="491" spans="1:15" x14ac:dyDescent="0.2">
      <c r="A491" s="6">
        <v>45848</v>
      </c>
      <c r="B491" t="s">
        <v>15</v>
      </c>
      <c r="C491" t="s">
        <v>16</v>
      </c>
      <c r="D491" s="1">
        <v>45855</v>
      </c>
      <c r="E491" t="s">
        <v>19</v>
      </c>
      <c r="F491">
        <v>5850</v>
      </c>
      <c r="G491">
        <v>115</v>
      </c>
      <c r="H491">
        <v>196.3</v>
      </c>
      <c r="I491">
        <v>95.8</v>
      </c>
      <c r="J491">
        <v>190.7</v>
      </c>
      <c r="K491">
        <v>104.4</v>
      </c>
      <c r="L491">
        <v>86474</v>
      </c>
      <c r="M491" t="s">
        <v>290</v>
      </c>
      <c r="N491">
        <v>518563.1</v>
      </c>
      <c r="O491">
        <v>585</v>
      </c>
    </row>
    <row r="492" spans="1:15" x14ac:dyDescent="0.2">
      <c r="A492" s="6">
        <v>45848</v>
      </c>
      <c r="B492" t="s">
        <v>15</v>
      </c>
      <c r="C492" t="s">
        <v>16</v>
      </c>
      <c r="D492" s="1">
        <v>45855</v>
      </c>
      <c r="E492" t="s">
        <v>17</v>
      </c>
      <c r="F492">
        <v>6600</v>
      </c>
      <c r="G492">
        <v>13.9</v>
      </c>
      <c r="H492">
        <v>13.9</v>
      </c>
      <c r="I492">
        <v>9.8000000000000007</v>
      </c>
      <c r="J492">
        <v>10.6</v>
      </c>
      <c r="K492">
        <v>13.8</v>
      </c>
      <c r="L492">
        <v>4794</v>
      </c>
      <c r="M492" t="s">
        <v>291</v>
      </c>
      <c r="N492">
        <v>31694.959999999999</v>
      </c>
      <c r="O492">
        <v>3110</v>
      </c>
    </row>
    <row r="493" spans="1:15" x14ac:dyDescent="0.2">
      <c r="A493" s="6">
        <v>45848</v>
      </c>
      <c r="B493" t="s">
        <v>15</v>
      </c>
      <c r="C493" t="s">
        <v>16</v>
      </c>
      <c r="D493" s="1">
        <v>45855</v>
      </c>
      <c r="E493" t="s">
        <v>19</v>
      </c>
      <c r="F493">
        <v>5550</v>
      </c>
      <c r="G493">
        <v>26.5</v>
      </c>
      <c r="H493">
        <v>53.6</v>
      </c>
      <c r="I493">
        <v>21.9</v>
      </c>
      <c r="J493">
        <v>44.8</v>
      </c>
      <c r="K493">
        <v>27</v>
      </c>
      <c r="L493">
        <v>37223</v>
      </c>
      <c r="M493" t="s">
        <v>292</v>
      </c>
      <c r="N493">
        <v>208077.1</v>
      </c>
      <c r="O493">
        <v>2163</v>
      </c>
    </row>
    <row r="494" spans="1:15" x14ac:dyDescent="0.2">
      <c r="A494" s="6">
        <v>45848</v>
      </c>
      <c r="B494" t="s">
        <v>15</v>
      </c>
      <c r="C494" t="s">
        <v>16</v>
      </c>
      <c r="D494" s="1">
        <v>45855</v>
      </c>
      <c r="E494" t="s">
        <v>19</v>
      </c>
      <c r="F494">
        <v>7550</v>
      </c>
      <c r="J494">
        <v>1829.9</v>
      </c>
      <c r="K494">
        <v>1668.8</v>
      </c>
      <c r="L494">
        <v>0</v>
      </c>
      <c r="M494" t="s">
        <v>18</v>
      </c>
      <c r="N494">
        <v>0</v>
      </c>
      <c r="O494">
        <v>0</v>
      </c>
    </row>
    <row r="495" spans="1:15" x14ac:dyDescent="0.2">
      <c r="A495" s="6">
        <v>45848</v>
      </c>
      <c r="B495" t="s">
        <v>15</v>
      </c>
      <c r="C495" t="s">
        <v>16</v>
      </c>
      <c r="D495" s="1">
        <v>45855</v>
      </c>
      <c r="E495" t="s">
        <v>19</v>
      </c>
      <c r="F495">
        <v>3850</v>
      </c>
      <c r="J495">
        <v>0.1</v>
      </c>
      <c r="K495">
        <v>0.1</v>
      </c>
      <c r="L495">
        <v>0</v>
      </c>
      <c r="M495" t="s">
        <v>18</v>
      </c>
      <c r="N495">
        <v>0</v>
      </c>
      <c r="O495">
        <v>0</v>
      </c>
    </row>
    <row r="496" spans="1:15" x14ac:dyDescent="0.2">
      <c r="A496" s="6">
        <v>45848</v>
      </c>
      <c r="B496" t="s">
        <v>15</v>
      </c>
      <c r="C496" t="s">
        <v>16</v>
      </c>
      <c r="D496" s="1">
        <v>45855</v>
      </c>
      <c r="E496" t="s">
        <v>19</v>
      </c>
      <c r="F496">
        <v>7050</v>
      </c>
      <c r="J496">
        <v>1330.5</v>
      </c>
      <c r="K496">
        <v>1169.5</v>
      </c>
      <c r="L496">
        <v>0</v>
      </c>
      <c r="M496" t="s">
        <v>18</v>
      </c>
      <c r="N496">
        <v>0</v>
      </c>
      <c r="O496">
        <v>0</v>
      </c>
    </row>
    <row r="497" spans="1:15" x14ac:dyDescent="0.2">
      <c r="A497" s="6">
        <v>45848</v>
      </c>
      <c r="B497" t="s">
        <v>15</v>
      </c>
      <c r="C497" t="s">
        <v>16</v>
      </c>
      <c r="D497" s="1">
        <v>45855</v>
      </c>
      <c r="E497" t="s">
        <v>17</v>
      </c>
      <c r="F497">
        <v>7600</v>
      </c>
      <c r="G497">
        <v>6.7</v>
      </c>
      <c r="H497">
        <v>8</v>
      </c>
      <c r="I497">
        <v>5.4</v>
      </c>
      <c r="J497">
        <v>5.5</v>
      </c>
      <c r="K497">
        <v>6.9</v>
      </c>
      <c r="L497">
        <v>684</v>
      </c>
      <c r="M497" t="s">
        <v>293</v>
      </c>
      <c r="N497">
        <v>5202.66</v>
      </c>
      <c r="O497">
        <v>1151</v>
      </c>
    </row>
    <row r="498" spans="1:15" x14ac:dyDescent="0.2">
      <c r="A498" s="6">
        <v>45848</v>
      </c>
      <c r="B498" t="s">
        <v>15</v>
      </c>
      <c r="C498" t="s">
        <v>16</v>
      </c>
      <c r="D498" s="1">
        <v>45855</v>
      </c>
      <c r="E498" t="s">
        <v>17</v>
      </c>
      <c r="F498">
        <v>6400</v>
      </c>
      <c r="G498">
        <v>17.3</v>
      </c>
      <c r="H498">
        <v>19</v>
      </c>
      <c r="I498">
        <v>11.7</v>
      </c>
      <c r="J498">
        <v>12.6</v>
      </c>
      <c r="K498">
        <v>19.3</v>
      </c>
      <c r="L498">
        <v>9638</v>
      </c>
      <c r="M498" t="s">
        <v>294</v>
      </c>
      <c r="N498">
        <v>61823.54</v>
      </c>
      <c r="O498">
        <v>5449</v>
      </c>
    </row>
    <row r="499" spans="1:15" x14ac:dyDescent="0.2">
      <c r="A499" s="6">
        <v>45848</v>
      </c>
      <c r="B499" t="s">
        <v>15</v>
      </c>
      <c r="C499" t="s">
        <v>16</v>
      </c>
      <c r="D499" s="1">
        <v>45855</v>
      </c>
      <c r="E499" t="s">
        <v>19</v>
      </c>
      <c r="F499">
        <v>3950</v>
      </c>
      <c r="J499">
        <v>0.1</v>
      </c>
      <c r="K499">
        <v>0.1</v>
      </c>
      <c r="L499">
        <v>0</v>
      </c>
      <c r="M499" t="s">
        <v>18</v>
      </c>
      <c r="N499">
        <v>0</v>
      </c>
      <c r="O499">
        <v>0</v>
      </c>
    </row>
    <row r="500" spans="1:15" x14ac:dyDescent="0.2">
      <c r="A500" s="6">
        <v>45847</v>
      </c>
      <c r="B500" t="s">
        <v>15</v>
      </c>
      <c r="C500" t="s">
        <v>16</v>
      </c>
      <c r="D500" s="1">
        <v>45855</v>
      </c>
      <c r="E500" t="s">
        <v>17</v>
      </c>
      <c r="F500">
        <v>4850</v>
      </c>
      <c r="J500">
        <v>1027.7</v>
      </c>
      <c r="K500">
        <v>1034.5999999999999</v>
      </c>
      <c r="L500">
        <v>0</v>
      </c>
      <c r="M500" t="s">
        <v>18</v>
      </c>
      <c r="N500">
        <v>0</v>
      </c>
      <c r="O500">
        <v>0</v>
      </c>
    </row>
    <row r="501" spans="1:15" x14ac:dyDescent="0.2">
      <c r="A501" s="6">
        <v>45847</v>
      </c>
      <c r="B501" t="s">
        <v>15</v>
      </c>
      <c r="C501" t="s">
        <v>16</v>
      </c>
      <c r="D501" s="1">
        <v>45855</v>
      </c>
      <c r="E501" t="s">
        <v>19</v>
      </c>
      <c r="F501">
        <v>5250</v>
      </c>
      <c r="G501">
        <v>12.7</v>
      </c>
      <c r="H501">
        <v>12.9</v>
      </c>
      <c r="I501">
        <v>10.8</v>
      </c>
      <c r="J501">
        <v>11.6</v>
      </c>
      <c r="K501">
        <v>12.7</v>
      </c>
      <c r="L501">
        <v>634</v>
      </c>
      <c r="M501" t="s">
        <v>295</v>
      </c>
      <c r="N501">
        <v>3336.03</v>
      </c>
      <c r="O501">
        <v>526</v>
      </c>
    </row>
    <row r="502" spans="1:15" x14ac:dyDescent="0.2">
      <c r="A502" s="6">
        <v>45847</v>
      </c>
      <c r="B502" t="s">
        <v>15</v>
      </c>
      <c r="C502" t="s">
        <v>16</v>
      </c>
      <c r="D502" s="1">
        <v>45855</v>
      </c>
      <c r="E502" t="s">
        <v>17</v>
      </c>
      <c r="F502">
        <v>3700</v>
      </c>
      <c r="J502">
        <v>2176.1999999999998</v>
      </c>
      <c r="K502">
        <v>2182.8000000000002</v>
      </c>
      <c r="L502">
        <v>0</v>
      </c>
      <c r="M502" t="s">
        <v>18</v>
      </c>
      <c r="N502">
        <v>0</v>
      </c>
      <c r="O502">
        <v>0</v>
      </c>
    </row>
    <row r="503" spans="1:15" x14ac:dyDescent="0.2">
      <c r="A503" s="6">
        <v>45847</v>
      </c>
      <c r="B503" t="s">
        <v>15</v>
      </c>
      <c r="C503" t="s">
        <v>16</v>
      </c>
      <c r="D503" s="1">
        <v>45855</v>
      </c>
      <c r="E503" t="s">
        <v>19</v>
      </c>
      <c r="F503">
        <v>5200</v>
      </c>
      <c r="G503">
        <v>12.2</v>
      </c>
      <c r="H503">
        <v>12.2</v>
      </c>
      <c r="I503">
        <v>9.9</v>
      </c>
      <c r="J503">
        <v>11</v>
      </c>
      <c r="K503">
        <v>11.9</v>
      </c>
      <c r="L503">
        <v>4541</v>
      </c>
      <c r="M503" t="s">
        <v>296</v>
      </c>
      <c r="N503">
        <v>23662.85</v>
      </c>
      <c r="O503">
        <v>2725</v>
      </c>
    </row>
    <row r="504" spans="1:15" x14ac:dyDescent="0.2">
      <c r="A504" s="6">
        <v>45847</v>
      </c>
      <c r="B504" t="s">
        <v>15</v>
      </c>
      <c r="C504" t="s">
        <v>16</v>
      </c>
      <c r="D504" s="1">
        <v>45855</v>
      </c>
      <c r="E504" t="s">
        <v>17</v>
      </c>
      <c r="F504">
        <v>7450</v>
      </c>
      <c r="G504">
        <v>7.5</v>
      </c>
      <c r="H504">
        <v>11</v>
      </c>
      <c r="I504">
        <v>6.5</v>
      </c>
      <c r="J504">
        <v>8.9</v>
      </c>
      <c r="K504">
        <v>11.5</v>
      </c>
      <c r="L504">
        <v>29</v>
      </c>
      <c r="M504" t="s">
        <v>297</v>
      </c>
      <c r="N504">
        <v>216.3</v>
      </c>
      <c r="O504">
        <v>75</v>
      </c>
    </row>
    <row r="505" spans="1:15" x14ac:dyDescent="0.2">
      <c r="A505" s="6">
        <v>45847</v>
      </c>
      <c r="B505" t="s">
        <v>15</v>
      </c>
      <c r="C505" t="s">
        <v>16</v>
      </c>
      <c r="D505" s="1">
        <v>45855</v>
      </c>
      <c r="E505" t="s">
        <v>19</v>
      </c>
      <c r="F505">
        <v>6950</v>
      </c>
      <c r="G505">
        <v>1103.5999999999999</v>
      </c>
      <c r="H505">
        <v>1103.5999999999999</v>
      </c>
      <c r="I505">
        <v>1103.5999999999999</v>
      </c>
      <c r="J505">
        <v>1103.5999999999999</v>
      </c>
      <c r="K505">
        <v>1062.9000000000001</v>
      </c>
      <c r="L505">
        <v>1</v>
      </c>
      <c r="M505" t="s">
        <v>155</v>
      </c>
      <c r="N505">
        <v>8.0500000000000007</v>
      </c>
      <c r="O505">
        <v>14</v>
      </c>
    </row>
    <row r="506" spans="1:15" x14ac:dyDescent="0.2">
      <c r="A506" s="6">
        <v>45847</v>
      </c>
      <c r="B506" t="s">
        <v>15</v>
      </c>
      <c r="C506" t="s">
        <v>16</v>
      </c>
      <c r="D506" s="1">
        <v>45855</v>
      </c>
      <c r="E506" t="s">
        <v>17</v>
      </c>
      <c r="F506">
        <v>4350</v>
      </c>
      <c r="J506">
        <v>1527</v>
      </c>
      <c r="K506">
        <v>1533.7</v>
      </c>
      <c r="L506">
        <v>0</v>
      </c>
      <c r="M506" t="s">
        <v>18</v>
      </c>
      <c r="N506">
        <v>0</v>
      </c>
      <c r="O506">
        <v>0</v>
      </c>
    </row>
    <row r="507" spans="1:15" x14ac:dyDescent="0.2">
      <c r="A507" s="6">
        <v>45847</v>
      </c>
      <c r="B507" t="s">
        <v>15</v>
      </c>
      <c r="C507" t="s">
        <v>16</v>
      </c>
      <c r="D507" s="1">
        <v>45855</v>
      </c>
      <c r="E507" t="s">
        <v>17</v>
      </c>
      <c r="F507">
        <v>5000</v>
      </c>
      <c r="G507">
        <v>855</v>
      </c>
      <c r="H507">
        <v>889</v>
      </c>
      <c r="I507">
        <v>855</v>
      </c>
      <c r="J507">
        <v>868.8</v>
      </c>
      <c r="K507">
        <v>831</v>
      </c>
      <c r="L507">
        <v>8</v>
      </c>
      <c r="M507" t="s">
        <v>71</v>
      </c>
      <c r="N507">
        <v>46.95</v>
      </c>
      <c r="O507">
        <v>18</v>
      </c>
    </row>
    <row r="508" spans="1:15" x14ac:dyDescent="0.2">
      <c r="A508" s="6">
        <v>45847</v>
      </c>
      <c r="B508" t="s">
        <v>15</v>
      </c>
      <c r="C508" t="s">
        <v>16</v>
      </c>
      <c r="D508" s="1">
        <v>45855</v>
      </c>
      <c r="E508" t="s">
        <v>17</v>
      </c>
      <c r="F508">
        <v>4750</v>
      </c>
      <c r="J508">
        <v>1127.5</v>
      </c>
      <c r="K508">
        <v>1134.4000000000001</v>
      </c>
      <c r="L508">
        <v>0</v>
      </c>
      <c r="M508" t="s">
        <v>18</v>
      </c>
      <c r="N508">
        <v>0</v>
      </c>
      <c r="O508">
        <v>0</v>
      </c>
    </row>
    <row r="509" spans="1:15" x14ac:dyDescent="0.2">
      <c r="A509" s="6">
        <v>45847</v>
      </c>
      <c r="B509" t="s">
        <v>15</v>
      </c>
      <c r="C509" t="s">
        <v>16</v>
      </c>
      <c r="D509" s="1">
        <v>45855</v>
      </c>
      <c r="E509" t="s">
        <v>17</v>
      </c>
      <c r="F509">
        <v>4400</v>
      </c>
      <c r="J509">
        <v>1477.1</v>
      </c>
      <c r="K509">
        <v>1483.8</v>
      </c>
      <c r="L509">
        <v>0</v>
      </c>
      <c r="M509" t="s">
        <v>18</v>
      </c>
      <c r="N509">
        <v>0</v>
      </c>
      <c r="O509">
        <v>0</v>
      </c>
    </row>
    <row r="510" spans="1:15" x14ac:dyDescent="0.2">
      <c r="A510" s="6">
        <v>45847</v>
      </c>
      <c r="B510" t="s">
        <v>15</v>
      </c>
      <c r="C510" t="s">
        <v>16</v>
      </c>
      <c r="D510" s="1">
        <v>45855</v>
      </c>
      <c r="E510" t="s">
        <v>17</v>
      </c>
      <c r="F510">
        <v>4100</v>
      </c>
      <c r="J510">
        <v>1776.7</v>
      </c>
      <c r="K510">
        <v>1783.4</v>
      </c>
      <c r="L510">
        <v>0</v>
      </c>
      <c r="M510" t="s">
        <v>18</v>
      </c>
      <c r="N510">
        <v>0</v>
      </c>
      <c r="O510">
        <v>0</v>
      </c>
    </row>
    <row r="511" spans="1:15" x14ac:dyDescent="0.2">
      <c r="A511" s="6">
        <v>45847</v>
      </c>
      <c r="B511" t="s">
        <v>15</v>
      </c>
      <c r="C511" t="s">
        <v>16</v>
      </c>
      <c r="D511" s="1">
        <v>45855</v>
      </c>
      <c r="E511" t="s">
        <v>17</v>
      </c>
      <c r="F511">
        <v>4450</v>
      </c>
      <c r="J511">
        <v>1427.1</v>
      </c>
      <c r="K511">
        <v>1433.9</v>
      </c>
      <c r="L511">
        <v>0</v>
      </c>
      <c r="M511" t="s">
        <v>18</v>
      </c>
      <c r="N511">
        <v>0</v>
      </c>
      <c r="O511">
        <v>0</v>
      </c>
    </row>
    <row r="512" spans="1:15" x14ac:dyDescent="0.2">
      <c r="A512" s="6">
        <v>45847</v>
      </c>
      <c r="B512" t="s">
        <v>15</v>
      </c>
      <c r="C512" t="s">
        <v>16</v>
      </c>
      <c r="D512" s="1">
        <v>45855</v>
      </c>
      <c r="E512" t="s">
        <v>19</v>
      </c>
      <c r="F512">
        <v>7200</v>
      </c>
      <c r="J512">
        <v>1319.3</v>
      </c>
      <c r="K512">
        <v>1312.1</v>
      </c>
      <c r="L512">
        <v>0</v>
      </c>
      <c r="M512" t="s">
        <v>18</v>
      </c>
      <c r="N512">
        <v>0</v>
      </c>
      <c r="O512">
        <v>0</v>
      </c>
    </row>
    <row r="513" spans="1:15" x14ac:dyDescent="0.2">
      <c r="A513" s="6">
        <v>45847</v>
      </c>
      <c r="B513" t="s">
        <v>15</v>
      </c>
      <c r="C513" t="s">
        <v>16</v>
      </c>
      <c r="D513" s="1">
        <v>45855</v>
      </c>
      <c r="E513" t="s">
        <v>17</v>
      </c>
      <c r="F513">
        <v>5300</v>
      </c>
      <c r="G513">
        <v>565</v>
      </c>
      <c r="H513">
        <v>684</v>
      </c>
      <c r="I513">
        <v>531.70000000000005</v>
      </c>
      <c r="J513">
        <v>568.29999999999995</v>
      </c>
      <c r="K513">
        <v>594.70000000000005</v>
      </c>
      <c r="L513">
        <v>18</v>
      </c>
      <c r="M513" t="s">
        <v>87</v>
      </c>
      <c r="N513">
        <v>105.63</v>
      </c>
      <c r="O513">
        <v>60</v>
      </c>
    </row>
    <row r="514" spans="1:15" x14ac:dyDescent="0.2">
      <c r="A514" s="6">
        <v>45847</v>
      </c>
      <c r="B514" t="s">
        <v>15</v>
      </c>
      <c r="C514" t="s">
        <v>16</v>
      </c>
      <c r="D514" s="1">
        <v>45855</v>
      </c>
      <c r="E514" t="s">
        <v>19</v>
      </c>
      <c r="F514">
        <v>6150</v>
      </c>
      <c r="G514">
        <v>334.4</v>
      </c>
      <c r="H514">
        <v>370.7</v>
      </c>
      <c r="I514">
        <v>295.39999999999998</v>
      </c>
      <c r="J514">
        <v>308.5</v>
      </c>
      <c r="K514">
        <v>315.5</v>
      </c>
      <c r="L514">
        <v>322</v>
      </c>
      <c r="M514" t="s">
        <v>298</v>
      </c>
      <c r="N514">
        <v>2084.1799999999998</v>
      </c>
      <c r="O514">
        <v>145</v>
      </c>
    </row>
    <row r="515" spans="1:15" x14ac:dyDescent="0.2">
      <c r="A515" s="6">
        <v>45847</v>
      </c>
      <c r="B515" t="s">
        <v>15</v>
      </c>
      <c r="C515" t="s">
        <v>16</v>
      </c>
      <c r="D515" s="1">
        <v>45855</v>
      </c>
      <c r="E515" t="s">
        <v>17</v>
      </c>
      <c r="F515">
        <v>6200</v>
      </c>
      <c r="G515">
        <v>39</v>
      </c>
      <c r="H515">
        <v>45.7</v>
      </c>
      <c r="I515">
        <v>28.1</v>
      </c>
      <c r="J515">
        <v>34</v>
      </c>
      <c r="K515">
        <v>42.5</v>
      </c>
      <c r="L515">
        <v>44515</v>
      </c>
      <c r="M515" t="s">
        <v>299</v>
      </c>
      <c r="N515">
        <v>277587.63</v>
      </c>
      <c r="O515">
        <v>3382</v>
      </c>
    </row>
    <row r="516" spans="1:15" x14ac:dyDescent="0.2">
      <c r="A516" s="6">
        <v>45847</v>
      </c>
      <c r="B516" t="s">
        <v>15</v>
      </c>
      <c r="C516" t="s">
        <v>16</v>
      </c>
      <c r="D516" s="1">
        <v>45855</v>
      </c>
      <c r="E516" t="s">
        <v>17</v>
      </c>
      <c r="F516">
        <v>5700</v>
      </c>
      <c r="G516">
        <v>218.3</v>
      </c>
      <c r="H516">
        <v>260</v>
      </c>
      <c r="I516">
        <v>184</v>
      </c>
      <c r="J516">
        <v>230.7</v>
      </c>
      <c r="K516">
        <v>240.8</v>
      </c>
      <c r="L516">
        <v>43736</v>
      </c>
      <c r="M516" t="s">
        <v>300</v>
      </c>
      <c r="N516">
        <v>258836.9</v>
      </c>
      <c r="O516">
        <v>7993</v>
      </c>
    </row>
    <row r="517" spans="1:15" x14ac:dyDescent="0.2">
      <c r="A517" s="6">
        <v>45847</v>
      </c>
      <c r="B517" t="s">
        <v>15</v>
      </c>
      <c r="C517" t="s">
        <v>16</v>
      </c>
      <c r="D517" s="1">
        <v>45855</v>
      </c>
      <c r="E517" t="s">
        <v>17</v>
      </c>
      <c r="F517">
        <v>4950</v>
      </c>
      <c r="J517">
        <v>927.9</v>
      </c>
      <c r="K517">
        <v>934.9</v>
      </c>
      <c r="L517">
        <v>0</v>
      </c>
      <c r="M517" t="s">
        <v>18</v>
      </c>
      <c r="N517">
        <v>0</v>
      </c>
      <c r="O517">
        <v>0</v>
      </c>
    </row>
    <row r="518" spans="1:15" x14ac:dyDescent="0.2">
      <c r="A518" s="6">
        <v>45847</v>
      </c>
      <c r="B518" t="s">
        <v>15</v>
      </c>
      <c r="C518" t="s">
        <v>16</v>
      </c>
      <c r="D518" s="1">
        <v>45855</v>
      </c>
      <c r="E518" t="s">
        <v>17</v>
      </c>
      <c r="F518">
        <v>4900</v>
      </c>
      <c r="J518">
        <v>977.8</v>
      </c>
      <c r="K518">
        <v>984.7</v>
      </c>
      <c r="L518">
        <v>0</v>
      </c>
      <c r="M518" t="s">
        <v>18</v>
      </c>
      <c r="N518">
        <v>0</v>
      </c>
      <c r="O518">
        <v>0</v>
      </c>
    </row>
    <row r="519" spans="1:15" x14ac:dyDescent="0.2">
      <c r="A519" s="6">
        <v>45847</v>
      </c>
      <c r="B519" t="s">
        <v>15</v>
      </c>
      <c r="C519" t="s">
        <v>16</v>
      </c>
      <c r="D519" s="1">
        <v>45855</v>
      </c>
      <c r="E519" t="s">
        <v>19</v>
      </c>
      <c r="F519">
        <v>6550</v>
      </c>
      <c r="J519">
        <v>674.2</v>
      </c>
      <c r="K519">
        <v>771.3</v>
      </c>
      <c r="L519">
        <v>0</v>
      </c>
      <c r="M519" t="s">
        <v>18</v>
      </c>
      <c r="N519">
        <v>0</v>
      </c>
      <c r="O519">
        <v>55</v>
      </c>
    </row>
    <row r="520" spans="1:15" x14ac:dyDescent="0.2">
      <c r="A520" s="6">
        <v>45847</v>
      </c>
      <c r="B520" t="s">
        <v>15</v>
      </c>
      <c r="C520" t="s">
        <v>16</v>
      </c>
      <c r="D520" s="1">
        <v>45855</v>
      </c>
      <c r="E520" t="s">
        <v>19</v>
      </c>
      <c r="F520">
        <v>3900</v>
      </c>
      <c r="J520">
        <v>0.1</v>
      </c>
      <c r="K520">
        <v>0.1</v>
      </c>
      <c r="L520">
        <v>0</v>
      </c>
      <c r="M520" t="s">
        <v>18</v>
      </c>
      <c r="N520">
        <v>0</v>
      </c>
      <c r="O520">
        <v>0</v>
      </c>
    </row>
    <row r="521" spans="1:15" x14ac:dyDescent="0.2">
      <c r="A521" s="6">
        <v>45847</v>
      </c>
      <c r="B521" t="s">
        <v>15</v>
      </c>
      <c r="C521" t="s">
        <v>16</v>
      </c>
      <c r="D521" s="1">
        <v>45855</v>
      </c>
      <c r="E521" t="s">
        <v>17</v>
      </c>
      <c r="F521">
        <v>5950</v>
      </c>
      <c r="G521">
        <v>84.1</v>
      </c>
      <c r="H521">
        <v>113</v>
      </c>
      <c r="I521">
        <v>69.2</v>
      </c>
      <c r="J521">
        <v>91.1</v>
      </c>
      <c r="K521">
        <v>102.4</v>
      </c>
      <c r="L521">
        <v>78869</v>
      </c>
      <c r="M521" t="s">
        <v>301</v>
      </c>
      <c r="N521">
        <v>476412.54</v>
      </c>
      <c r="O521">
        <v>1663</v>
      </c>
    </row>
    <row r="522" spans="1:15" x14ac:dyDescent="0.2">
      <c r="A522" s="6">
        <v>45847</v>
      </c>
      <c r="B522" t="s">
        <v>15</v>
      </c>
      <c r="C522" t="s">
        <v>16</v>
      </c>
      <c r="D522" s="1">
        <v>45855</v>
      </c>
      <c r="E522" t="s">
        <v>17</v>
      </c>
      <c r="F522">
        <v>4800</v>
      </c>
      <c r="G522">
        <v>1062.2</v>
      </c>
      <c r="H522">
        <v>1062.2</v>
      </c>
      <c r="I522">
        <v>1062.0999999999999</v>
      </c>
      <c r="J522">
        <v>1062.2</v>
      </c>
      <c r="K522">
        <v>1084.5</v>
      </c>
      <c r="L522">
        <v>4</v>
      </c>
      <c r="M522" t="s">
        <v>78</v>
      </c>
      <c r="N522">
        <v>23.45</v>
      </c>
      <c r="O522">
        <v>4</v>
      </c>
    </row>
    <row r="523" spans="1:15" x14ac:dyDescent="0.2">
      <c r="A523" s="6">
        <v>45847</v>
      </c>
      <c r="B523" t="s">
        <v>15</v>
      </c>
      <c r="C523" t="s">
        <v>16</v>
      </c>
      <c r="D523" s="1">
        <v>45855</v>
      </c>
      <c r="E523" t="s">
        <v>19</v>
      </c>
      <c r="F523">
        <v>4200</v>
      </c>
      <c r="J523">
        <v>0.1</v>
      </c>
      <c r="K523">
        <v>0.1</v>
      </c>
      <c r="L523">
        <v>0</v>
      </c>
      <c r="M523" t="s">
        <v>18</v>
      </c>
      <c r="N523">
        <v>0</v>
      </c>
      <c r="O523">
        <v>0</v>
      </c>
    </row>
    <row r="524" spans="1:15" x14ac:dyDescent="0.2">
      <c r="A524" s="6">
        <v>45847</v>
      </c>
      <c r="B524" t="s">
        <v>15</v>
      </c>
      <c r="C524" t="s">
        <v>16</v>
      </c>
      <c r="D524" s="1">
        <v>45855</v>
      </c>
      <c r="E524" t="s">
        <v>19</v>
      </c>
      <c r="F524">
        <v>3600</v>
      </c>
      <c r="G524">
        <v>3</v>
      </c>
      <c r="H524">
        <v>3.7</v>
      </c>
      <c r="I524">
        <v>2.6</v>
      </c>
      <c r="J524">
        <v>3.3</v>
      </c>
      <c r="K524">
        <v>3</v>
      </c>
      <c r="L524">
        <v>473</v>
      </c>
      <c r="M524" t="s">
        <v>302</v>
      </c>
      <c r="N524">
        <v>1704.32</v>
      </c>
      <c r="O524">
        <v>230</v>
      </c>
    </row>
    <row r="525" spans="1:15" x14ac:dyDescent="0.2">
      <c r="A525" s="6">
        <v>45847</v>
      </c>
      <c r="B525" t="s">
        <v>15</v>
      </c>
      <c r="C525" t="s">
        <v>16</v>
      </c>
      <c r="D525" s="1">
        <v>45855</v>
      </c>
      <c r="E525" t="s">
        <v>17</v>
      </c>
      <c r="F525">
        <v>5100</v>
      </c>
      <c r="J525">
        <v>778.7</v>
      </c>
      <c r="K525">
        <v>698</v>
      </c>
      <c r="L525">
        <v>0</v>
      </c>
      <c r="M525" t="s">
        <v>18</v>
      </c>
      <c r="N525">
        <v>0</v>
      </c>
      <c r="O525">
        <v>6</v>
      </c>
    </row>
    <row r="526" spans="1:15" x14ac:dyDescent="0.2">
      <c r="A526" s="6">
        <v>45847</v>
      </c>
      <c r="B526" t="s">
        <v>15</v>
      </c>
      <c r="C526" t="s">
        <v>16</v>
      </c>
      <c r="D526" s="1">
        <v>45855</v>
      </c>
      <c r="E526" t="s">
        <v>17</v>
      </c>
      <c r="F526">
        <v>7300</v>
      </c>
      <c r="G526">
        <v>10.7</v>
      </c>
      <c r="H526">
        <v>10.9</v>
      </c>
      <c r="I526">
        <v>8.1999999999999993</v>
      </c>
      <c r="J526">
        <v>8.6999999999999993</v>
      </c>
      <c r="K526">
        <v>12</v>
      </c>
      <c r="L526">
        <v>419</v>
      </c>
      <c r="M526" t="s">
        <v>79</v>
      </c>
      <c r="N526">
        <v>3062.65</v>
      </c>
      <c r="O526">
        <v>769</v>
      </c>
    </row>
    <row r="527" spans="1:15" x14ac:dyDescent="0.2">
      <c r="A527" s="6">
        <v>45847</v>
      </c>
      <c r="B527" t="s">
        <v>15</v>
      </c>
      <c r="C527" t="s">
        <v>16</v>
      </c>
      <c r="D527" s="1">
        <v>45855</v>
      </c>
      <c r="E527" t="s">
        <v>19</v>
      </c>
      <c r="F527">
        <v>4900</v>
      </c>
      <c r="G527">
        <v>9</v>
      </c>
      <c r="H527">
        <v>9</v>
      </c>
      <c r="I527">
        <v>6.3</v>
      </c>
      <c r="J527">
        <v>7.1</v>
      </c>
      <c r="K527">
        <v>7.5</v>
      </c>
      <c r="L527">
        <v>1404</v>
      </c>
      <c r="M527" t="s">
        <v>303</v>
      </c>
      <c r="N527">
        <v>6890.13</v>
      </c>
      <c r="O527">
        <v>716</v>
      </c>
    </row>
    <row r="528" spans="1:15" x14ac:dyDescent="0.2">
      <c r="A528" s="6">
        <v>45847</v>
      </c>
      <c r="B528" t="s">
        <v>15</v>
      </c>
      <c r="C528" t="s">
        <v>16</v>
      </c>
      <c r="D528" s="1">
        <v>45855</v>
      </c>
      <c r="E528" t="s">
        <v>19</v>
      </c>
      <c r="F528">
        <v>6050</v>
      </c>
      <c r="G528">
        <v>248.5</v>
      </c>
      <c r="H528">
        <v>286.2</v>
      </c>
      <c r="I528">
        <v>216.6</v>
      </c>
      <c r="J528">
        <v>227.8</v>
      </c>
      <c r="K528">
        <v>235.6</v>
      </c>
      <c r="L528">
        <v>4001</v>
      </c>
      <c r="M528" t="s">
        <v>304</v>
      </c>
      <c r="N528">
        <v>25181.32</v>
      </c>
      <c r="O528">
        <v>211</v>
      </c>
    </row>
    <row r="529" spans="1:15" x14ac:dyDescent="0.2">
      <c r="A529" s="6">
        <v>45847</v>
      </c>
      <c r="B529" t="s">
        <v>15</v>
      </c>
      <c r="C529" t="s">
        <v>16</v>
      </c>
      <c r="D529" s="1">
        <v>45855</v>
      </c>
      <c r="E529" t="s">
        <v>19</v>
      </c>
      <c r="F529">
        <v>6650</v>
      </c>
      <c r="G529">
        <v>829.8</v>
      </c>
      <c r="H529">
        <v>849.7</v>
      </c>
      <c r="I529">
        <v>829.8</v>
      </c>
      <c r="J529">
        <v>842.1</v>
      </c>
      <c r="K529">
        <v>769.3</v>
      </c>
      <c r="L529">
        <v>3</v>
      </c>
      <c r="M529" t="s">
        <v>34</v>
      </c>
      <c r="N529">
        <v>22.48</v>
      </c>
      <c r="O529">
        <v>21</v>
      </c>
    </row>
    <row r="530" spans="1:15" x14ac:dyDescent="0.2">
      <c r="A530" s="6">
        <v>45847</v>
      </c>
      <c r="B530" t="s">
        <v>15</v>
      </c>
      <c r="C530" t="s">
        <v>16</v>
      </c>
      <c r="D530" s="1">
        <v>45855</v>
      </c>
      <c r="E530" t="s">
        <v>17</v>
      </c>
      <c r="F530">
        <v>4200</v>
      </c>
      <c r="J530">
        <v>1676.8</v>
      </c>
      <c r="K530">
        <v>1683.5</v>
      </c>
      <c r="L530">
        <v>0</v>
      </c>
      <c r="M530" t="s">
        <v>18</v>
      </c>
      <c r="N530">
        <v>0</v>
      </c>
      <c r="O530">
        <v>0</v>
      </c>
    </row>
    <row r="531" spans="1:15" x14ac:dyDescent="0.2">
      <c r="A531" s="6">
        <v>45847</v>
      </c>
      <c r="B531" t="s">
        <v>15</v>
      </c>
      <c r="C531" t="s">
        <v>16</v>
      </c>
      <c r="D531" s="1">
        <v>45855</v>
      </c>
      <c r="E531" t="s">
        <v>17</v>
      </c>
      <c r="F531">
        <v>5250</v>
      </c>
      <c r="G531">
        <v>617.70000000000005</v>
      </c>
      <c r="H531">
        <v>617.70000000000005</v>
      </c>
      <c r="I531">
        <v>617.70000000000005</v>
      </c>
      <c r="J531">
        <v>617.70000000000005</v>
      </c>
      <c r="K531">
        <v>639.70000000000005</v>
      </c>
      <c r="L531">
        <v>3</v>
      </c>
      <c r="M531" t="s">
        <v>34</v>
      </c>
      <c r="N531">
        <v>17.600000000000001</v>
      </c>
      <c r="O531">
        <v>19</v>
      </c>
    </row>
    <row r="532" spans="1:15" x14ac:dyDescent="0.2">
      <c r="A532" s="6">
        <v>45847</v>
      </c>
      <c r="B532" t="s">
        <v>15</v>
      </c>
      <c r="C532" t="s">
        <v>16</v>
      </c>
      <c r="D532" s="1">
        <v>45855</v>
      </c>
      <c r="E532" t="s">
        <v>19</v>
      </c>
      <c r="F532">
        <v>5100</v>
      </c>
      <c r="G532">
        <v>9.6999999999999993</v>
      </c>
      <c r="H532">
        <v>10.6</v>
      </c>
      <c r="I532">
        <v>9.1</v>
      </c>
      <c r="J532">
        <v>9.6</v>
      </c>
      <c r="K532">
        <v>10.7</v>
      </c>
      <c r="L532">
        <v>1357</v>
      </c>
      <c r="M532" t="s">
        <v>305</v>
      </c>
      <c r="N532">
        <v>6934.06</v>
      </c>
      <c r="O532">
        <v>1107</v>
      </c>
    </row>
    <row r="533" spans="1:15" x14ac:dyDescent="0.2">
      <c r="A533" s="6">
        <v>45847</v>
      </c>
      <c r="B533" t="s">
        <v>15</v>
      </c>
      <c r="C533" t="s">
        <v>16</v>
      </c>
      <c r="D533" s="1">
        <v>45855</v>
      </c>
      <c r="E533" t="s">
        <v>17</v>
      </c>
      <c r="F533">
        <v>4650</v>
      </c>
      <c r="J533">
        <v>1227.4000000000001</v>
      </c>
      <c r="K533">
        <v>1234.2</v>
      </c>
      <c r="L533">
        <v>0</v>
      </c>
      <c r="M533" t="s">
        <v>18</v>
      </c>
      <c r="N533">
        <v>0</v>
      </c>
      <c r="O533">
        <v>0</v>
      </c>
    </row>
    <row r="534" spans="1:15" x14ac:dyDescent="0.2">
      <c r="A534" s="6">
        <v>45847</v>
      </c>
      <c r="B534" t="s">
        <v>15</v>
      </c>
      <c r="C534" t="s">
        <v>16</v>
      </c>
      <c r="D534" s="1">
        <v>45855</v>
      </c>
      <c r="E534" t="s">
        <v>17</v>
      </c>
      <c r="F534">
        <v>7500</v>
      </c>
      <c r="G534">
        <v>9.9</v>
      </c>
      <c r="H534">
        <v>9.9</v>
      </c>
      <c r="I534">
        <v>7.3</v>
      </c>
      <c r="J534">
        <v>8</v>
      </c>
      <c r="K534">
        <v>10</v>
      </c>
      <c r="L534">
        <v>2310</v>
      </c>
      <c r="M534" t="s">
        <v>306</v>
      </c>
      <c r="N534">
        <v>17344.259999999998</v>
      </c>
      <c r="O534">
        <v>2876</v>
      </c>
    </row>
    <row r="535" spans="1:15" x14ac:dyDescent="0.2">
      <c r="A535" s="6">
        <v>45847</v>
      </c>
      <c r="B535" t="s">
        <v>15</v>
      </c>
      <c r="C535" t="s">
        <v>16</v>
      </c>
      <c r="D535" s="1">
        <v>45855</v>
      </c>
      <c r="E535" t="s">
        <v>17</v>
      </c>
      <c r="F535">
        <v>3600</v>
      </c>
      <c r="J535">
        <v>2276</v>
      </c>
      <c r="K535">
        <v>2196.1999999999998</v>
      </c>
      <c r="L535">
        <v>0</v>
      </c>
      <c r="M535" t="s">
        <v>18</v>
      </c>
      <c r="N535">
        <v>0</v>
      </c>
      <c r="O535">
        <v>0</v>
      </c>
    </row>
    <row r="536" spans="1:15" x14ac:dyDescent="0.2">
      <c r="A536" s="6">
        <v>45847</v>
      </c>
      <c r="B536" t="s">
        <v>15</v>
      </c>
      <c r="C536" t="s">
        <v>16</v>
      </c>
      <c r="D536" s="1">
        <v>45855</v>
      </c>
      <c r="E536" t="s">
        <v>19</v>
      </c>
      <c r="F536">
        <v>5800</v>
      </c>
      <c r="G536">
        <v>100.2</v>
      </c>
      <c r="H536">
        <v>118.8</v>
      </c>
      <c r="I536">
        <v>76.5</v>
      </c>
      <c r="J536">
        <v>83.1</v>
      </c>
      <c r="K536">
        <v>90.8</v>
      </c>
      <c r="L536">
        <v>230160</v>
      </c>
      <c r="M536" t="s">
        <v>307</v>
      </c>
      <c r="N536">
        <v>1357055.78</v>
      </c>
      <c r="O536">
        <v>13426</v>
      </c>
    </row>
    <row r="537" spans="1:15" x14ac:dyDescent="0.2">
      <c r="A537" s="6">
        <v>45847</v>
      </c>
      <c r="B537" t="s">
        <v>15</v>
      </c>
      <c r="C537" t="s">
        <v>16</v>
      </c>
      <c r="D537" s="1">
        <v>45855</v>
      </c>
      <c r="E537" t="s">
        <v>19</v>
      </c>
      <c r="F537">
        <v>7150</v>
      </c>
      <c r="J537">
        <v>1269.4000000000001</v>
      </c>
      <c r="K537">
        <v>1262.2</v>
      </c>
      <c r="L537">
        <v>0</v>
      </c>
      <c r="M537" t="s">
        <v>18</v>
      </c>
      <c r="N537">
        <v>0</v>
      </c>
      <c r="O537">
        <v>0</v>
      </c>
    </row>
    <row r="538" spans="1:15" x14ac:dyDescent="0.2">
      <c r="A538" s="6">
        <v>45847</v>
      </c>
      <c r="B538" t="s">
        <v>15</v>
      </c>
      <c r="C538" t="s">
        <v>16</v>
      </c>
      <c r="D538" s="1">
        <v>45855</v>
      </c>
      <c r="E538" t="s">
        <v>19</v>
      </c>
      <c r="F538">
        <v>4550</v>
      </c>
      <c r="G538">
        <v>5.5</v>
      </c>
      <c r="H538">
        <v>5.5</v>
      </c>
      <c r="I538">
        <v>5.5</v>
      </c>
      <c r="J538">
        <v>5.5</v>
      </c>
      <c r="K538">
        <v>5.5</v>
      </c>
      <c r="L538">
        <v>1</v>
      </c>
      <c r="M538" t="s">
        <v>155</v>
      </c>
      <c r="N538">
        <v>4.5599999999999996</v>
      </c>
      <c r="O538">
        <v>2</v>
      </c>
    </row>
    <row r="539" spans="1:15" x14ac:dyDescent="0.2">
      <c r="A539" s="6">
        <v>45847</v>
      </c>
      <c r="B539" t="s">
        <v>15</v>
      </c>
      <c r="C539" t="s">
        <v>16</v>
      </c>
      <c r="D539" s="1">
        <v>45855</v>
      </c>
      <c r="E539" t="s">
        <v>17</v>
      </c>
      <c r="F539">
        <v>6700</v>
      </c>
      <c r="G539">
        <v>15.7</v>
      </c>
      <c r="H539">
        <v>17.600000000000001</v>
      </c>
      <c r="I539">
        <v>13.1</v>
      </c>
      <c r="J539">
        <v>13.5</v>
      </c>
      <c r="K539">
        <v>17.5</v>
      </c>
      <c r="L539">
        <v>2338</v>
      </c>
      <c r="M539" t="s">
        <v>308</v>
      </c>
      <c r="N539">
        <v>15699.29</v>
      </c>
      <c r="O539">
        <v>1543</v>
      </c>
    </row>
    <row r="540" spans="1:15" x14ac:dyDescent="0.2">
      <c r="A540" s="6">
        <v>45847</v>
      </c>
      <c r="B540" t="s">
        <v>15</v>
      </c>
      <c r="C540" t="s">
        <v>16</v>
      </c>
      <c r="D540" s="1">
        <v>45855</v>
      </c>
      <c r="E540" t="s">
        <v>19</v>
      </c>
      <c r="F540">
        <v>5450</v>
      </c>
      <c r="G540">
        <v>19.3</v>
      </c>
      <c r="H540">
        <v>24.4</v>
      </c>
      <c r="I540">
        <v>17</v>
      </c>
      <c r="J540">
        <v>18.399999999999999</v>
      </c>
      <c r="K540">
        <v>19</v>
      </c>
      <c r="L540">
        <v>5970</v>
      </c>
      <c r="M540" t="s">
        <v>309</v>
      </c>
      <c r="N540">
        <v>32656.46</v>
      </c>
      <c r="O540">
        <v>1024</v>
      </c>
    </row>
    <row r="541" spans="1:15" x14ac:dyDescent="0.2">
      <c r="A541" s="6">
        <v>45847</v>
      </c>
      <c r="B541" t="s">
        <v>15</v>
      </c>
      <c r="C541" t="s">
        <v>16</v>
      </c>
      <c r="D541" s="1">
        <v>45855</v>
      </c>
      <c r="E541" t="s">
        <v>17</v>
      </c>
      <c r="F541">
        <v>6800</v>
      </c>
      <c r="G541">
        <v>15.5</v>
      </c>
      <c r="H541">
        <v>15.5</v>
      </c>
      <c r="I541">
        <v>11.4</v>
      </c>
      <c r="J541">
        <v>11.7</v>
      </c>
      <c r="K541">
        <v>15.7</v>
      </c>
      <c r="L541">
        <v>1285</v>
      </c>
      <c r="M541" t="s">
        <v>310</v>
      </c>
      <c r="N541">
        <v>8754.85</v>
      </c>
      <c r="O541">
        <v>1072</v>
      </c>
    </row>
    <row r="542" spans="1:15" x14ac:dyDescent="0.2">
      <c r="A542" s="6">
        <v>45847</v>
      </c>
      <c r="B542" t="s">
        <v>15</v>
      </c>
      <c r="C542" t="s">
        <v>16</v>
      </c>
      <c r="D542" s="1">
        <v>45855</v>
      </c>
      <c r="E542" t="s">
        <v>17</v>
      </c>
      <c r="F542">
        <v>6900</v>
      </c>
      <c r="G542">
        <v>13.1</v>
      </c>
      <c r="H542">
        <v>14.1</v>
      </c>
      <c r="I542">
        <v>11</v>
      </c>
      <c r="J542">
        <v>11.4</v>
      </c>
      <c r="K542">
        <v>14.5</v>
      </c>
      <c r="L542">
        <v>844</v>
      </c>
      <c r="M542" t="s">
        <v>311</v>
      </c>
      <c r="N542">
        <v>5834.21</v>
      </c>
      <c r="O542">
        <v>836</v>
      </c>
    </row>
    <row r="543" spans="1:15" x14ac:dyDescent="0.2">
      <c r="A543" s="6">
        <v>45847</v>
      </c>
      <c r="B543" t="s">
        <v>15</v>
      </c>
      <c r="C543" t="s">
        <v>16</v>
      </c>
      <c r="D543" s="1">
        <v>45855</v>
      </c>
      <c r="E543" t="s">
        <v>19</v>
      </c>
      <c r="F543">
        <v>6400</v>
      </c>
      <c r="G543">
        <v>563.6</v>
      </c>
      <c r="H543">
        <v>604.79999999999995</v>
      </c>
      <c r="I543">
        <v>532.29999999999995</v>
      </c>
      <c r="J543">
        <v>575.1</v>
      </c>
      <c r="K543">
        <v>577.20000000000005</v>
      </c>
      <c r="L543">
        <v>24</v>
      </c>
      <c r="M543" t="s">
        <v>181</v>
      </c>
      <c r="N543">
        <v>167.36</v>
      </c>
      <c r="O543">
        <v>782</v>
      </c>
    </row>
    <row r="544" spans="1:15" x14ac:dyDescent="0.2">
      <c r="A544" s="6">
        <v>45847</v>
      </c>
      <c r="B544" t="s">
        <v>15</v>
      </c>
      <c r="C544" t="s">
        <v>16</v>
      </c>
      <c r="D544" s="1">
        <v>45855</v>
      </c>
      <c r="E544" t="s">
        <v>17</v>
      </c>
      <c r="F544">
        <v>7350</v>
      </c>
      <c r="G544">
        <v>7.8</v>
      </c>
      <c r="H544">
        <v>12</v>
      </c>
      <c r="I544">
        <v>6.7</v>
      </c>
      <c r="J544">
        <v>7.3</v>
      </c>
      <c r="K544">
        <v>12.4</v>
      </c>
      <c r="L544">
        <v>140</v>
      </c>
      <c r="M544" t="s">
        <v>312</v>
      </c>
      <c r="N544">
        <v>1030.21</v>
      </c>
      <c r="O544">
        <v>212</v>
      </c>
    </row>
    <row r="545" spans="1:15" x14ac:dyDescent="0.2">
      <c r="A545" s="6">
        <v>45847</v>
      </c>
      <c r="B545" t="s">
        <v>15</v>
      </c>
      <c r="C545" t="s">
        <v>16</v>
      </c>
      <c r="D545" s="1">
        <v>45855</v>
      </c>
      <c r="E545" t="s">
        <v>19</v>
      </c>
      <c r="F545">
        <v>4700</v>
      </c>
      <c r="G545">
        <v>4.8</v>
      </c>
      <c r="H545">
        <v>7.9</v>
      </c>
      <c r="I545">
        <v>4.8</v>
      </c>
      <c r="J545">
        <v>6.6</v>
      </c>
      <c r="K545">
        <v>5.4</v>
      </c>
      <c r="L545">
        <v>262</v>
      </c>
      <c r="M545" t="s">
        <v>313</v>
      </c>
      <c r="N545">
        <v>1233.1300000000001</v>
      </c>
      <c r="O545">
        <v>164</v>
      </c>
    </row>
    <row r="546" spans="1:15" x14ac:dyDescent="0.2">
      <c r="A546" s="6">
        <v>45847</v>
      </c>
      <c r="B546" t="s">
        <v>15</v>
      </c>
      <c r="C546" t="s">
        <v>16</v>
      </c>
      <c r="D546" s="1">
        <v>45855</v>
      </c>
      <c r="E546" t="s">
        <v>19</v>
      </c>
      <c r="F546">
        <v>3750</v>
      </c>
      <c r="J546">
        <v>0.1</v>
      </c>
      <c r="K546">
        <v>0.1</v>
      </c>
      <c r="L546">
        <v>0</v>
      </c>
      <c r="M546" t="s">
        <v>18</v>
      </c>
      <c r="N546">
        <v>0</v>
      </c>
      <c r="O546">
        <v>0</v>
      </c>
    </row>
    <row r="547" spans="1:15" x14ac:dyDescent="0.2">
      <c r="A547" s="6">
        <v>45847</v>
      </c>
      <c r="B547" t="s">
        <v>15</v>
      </c>
      <c r="C547" t="s">
        <v>16</v>
      </c>
      <c r="D547" s="1">
        <v>45855</v>
      </c>
      <c r="E547" t="s">
        <v>17</v>
      </c>
      <c r="F547">
        <v>6650</v>
      </c>
      <c r="G547">
        <v>17.100000000000001</v>
      </c>
      <c r="H547">
        <v>18</v>
      </c>
      <c r="I547">
        <v>14</v>
      </c>
      <c r="J547">
        <v>14.5</v>
      </c>
      <c r="K547">
        <v>18.7</v>
      </c>
      <c r="L547">
        <v>586</v>
      </c>
      <c r="M547" t="s">
        <v>314</v>
      </c>
      <c r="N547">
        <v>3906.15</v>
      </c>
      <c r="O547">
        <v>367</v>
      </c>
    </row>
    <row r="548" spans="1:15" x14ac:dyDescent="0.2">
      <c r="A548" s="6">
        <v>45847</v>
      </c>
      <c r="B548" t="s">
        <v>15</v>
      </c>
      <c r="C548" t="s">
        <v>16</v>
      </c>
      <c r="D548" s="1">
        <v>45855</v>
      </c>
      <c r="E548" t="s">
        <v>17</v>
      </c>
      <c r="F548">
        <v>6850</v>
      </c>
      <c r="G548">
        <v>14.7</v>
      </c>
      <c r="H548">
        <v>14.8</v>
      </c>
      <c r="I548">
        <v>11.9</v>
      </c>
      <c r="J548">
        <v>12.5</v>
      </c>
      <c r="K548">
        <v>14.7</v>
      </c>
      <c r="L548">
        <v>185</v>
      </c>
      <c r="M548" t="s">
        <v>315</v>
      </c>
      <c r="N548">
        <v>1269.67</v>
      </c>
      <c r="O548">
        <v>302</v>
      </c>
    </row>
    <row r="549" spans="1:15" x14ac:dyDescent="0.2">
      <c r="A549" s="6">
        <v>45847</v>
      </c>
      <c r="B549" t="s">
        <v>15</v>
      </c>
      <c r="C549" t="s">
        <v>16</v>
      </c>
      <c r="D549" s="1">
        <v>45855</v>
      </c>
      <c r="E549" t="s">
        <v>17</v>
      </c>
      <c r="F549">
        <v>3750</v>
      </c>
      <c r="J549">
        <v>2126.1999999999998</v>
      </c>
      <c r="K549">
        <v>2132.9</v>
      </c>
      <c r="L549">
        <v>0</v>
      </c>
      <c r="M549" t="s">
        <v>18</v>
      </c>
      <c r="N549">
        <v>0</v>
      </c>
      <c r="O549">
        <v>0</v>
      </c>
    </row>
    <row r="550" spans="1:15" x14ac:dyDescent="0.2">
      <c r="A550" s="6">
        <v>45847</v>
      </c>
      <c r="B550" t="s">
        <v>15</v>
      </c>
      <c r="C550" t="s">
        <v>16</v>
      </c>
      <c r="D550" s="1">
        <v>45855</v>
      </c>
      <c r="E550" t="s">
        <v>17</v>
      </c>
      <c r="F550">
        <v>7150</v>
      </c>
      <c r="G550">
        <v>13</v>
      </c>
      <c r="H550">
        <v>13</v>
      </c>
      <c r="I550">
        <v>9</v>
      </c>
      <c r="J550">
        <v>10.9</v>
      </c>
      <c r="K550">
        <v>13.1</v>
      </c>
      <c r="L550">
        <v>23</v>
      </c>
      <c r="M550" t="s">
        <v>221</v>
      </c>
      <c r="N550">
        <v>164.71</v>
      </c>
      <c r="O550">
        <v>107</v>
      </c>
    </row>
    <row r="551" spans="1:15" x14ac:dyDescent="0.2">
      <c r="A551" s="6">
        <v>45847</v>
      </c>
      <c r="B551" t="s">
        <v>15</v>
      </c>
      <c r="C551" t="s">
        <v>16</v>
      </c>
      <c r="D551" s="1">
        <v>45855</v>
      </c>
      <c r="E551" t="s">
        <v>19</v>
      </c>
      <c r="F551">
        <v>7700</v>
      </c>
      <c r="J551">
        <v>1818.6</v>
      </c>
      <c r="K551">
        <v>1811.3</v>
      </c>
      <c r="L551">
        <v>0</v>
      </c>
      <c r="M551" t="s">
        <v>18</v>
      </c>
      <c r="N551">
        <v>0</v>
      </c>
      <c r="O551">
        <v>1</v>
      </c>
    </row>
    <row r="552" spans="1:15" x14ac:dyDescent="0.2">
      <c r="A552" s="6">
        <v>45847</v>
      </c>
      <c r="B552" t="s">
        <v>15</v>
      </c>
      <c r="C552" t="s">
        <v>16</v>
      </c>
      <c r="D552" s="1">
        <v>45855</v>
      </c>
      <c r="E552" t="s">
        <v>19</v>
      </c>
      <c r="F552">
        <v>6750</v>
      </c>
      <c r="J552">
        <v>870.8</v>
      </c>
      <c r="K552">
        <v>864.7</v>
      </c>
      <c r="L552">
        <v>0</v>
      </c>
      <c r="M552" t="s">
        <v>18</v>
      </c>
      <c r="N552">
        <v>0</v>
      </c>
      <c r="O552">
        <v>19</v>
      </c>
    </row>
    <row r="553" spans="1:15" x14ac:dyDescent="0.2">
      <c r="A553" s="6">
        <v>45847</v>
      </c>
      <c r="B553" t="s">
        <v>15</v>
      </c>
      <c r="C553" t="s">
        <v>16</v>
      </c>
      <c r="D553" s="1">
        <v>45855</v>
      </c>
      <c r="E553" t="s">
        <v>17</v>
      </c>
      <c r="F553">
        <v>6050</v>
      </c>
      <c r="G553">
        <v>62.3</v>
      </c>
      <c r="H553">
        <v>77.099999999999994</v>
      </c>
      <c r="I553">
        <v>46.3</v>
      </c>
      <c r="J553">
        <v>59.2</v>
      </c>
      <c r="K553">
        <v>70</v>
      </c>
      <c r="L553">
        <v>38164</v>
      </c>
      <c r="M553" t="s">
        <v>316</v>
      </c>
      <c r="N553">
        <v>233207.15</v>
      </c>
      <c r="O553">
        <v>2953</v>
      </c>
    </row>
    <row r="554" spans="1:15" x14ac:dyDescent="0.2">
      <c r="A554" s="6">
        <v>45847</v>
      </c>
      <c r="B554" t="s">
        <v>15</v>
      </c>
      <c r="C554" t="s">
        <v>16</v>
      </c>
      <c r="D554" s="1">
        <v>45855</v>
      </c>
      <c r="E554" t="s">
        <v>19</v>
      </c>
      <c r="F554">
        <v>5400</v>
      </c>
      <c r="G554">
        <v>16.7</v>
      </c>
      <c r="H554">
        <v>18.7</v>
      </c>
      <c r="I554">
        <v>13.6</v>
      </c>
      <c r="J554">
        <v>14.4</v>
      </c>
      <c r="K554">
        <v>15.8</v>
      </c>
      <c r="L554">
        <v>18457</v>
      </c>
      <c r="M554" t="s">
        <v>317</v>
      </c>
      <c r="N554">
        <v>99958.5</v>
      </c>
      <c r="O554">
        <v>4337</v>
      </c>
    </row>
    <row r="555" spans="1:15" x14ac:dyDescent="0.2">
      <c r="A555" s="6">
        <v>45847</v>
      </c>
      <c r="B555" t="s">
        <v>15</v>
      </c>
      <c r="C555" t="s">
        <v>16</v>
      </c>
      <c r="D555" s="1">
        <v>45855</v>
      </c>
      <c r="E555" t="s">
        <v>17</v>
      </c>
      <c r="F555">
        <v>6550</v>
      </c>
      <c r="G555">
        <v>20.8</v>
      </c>
      <c r="H555">
        <v>22.1</v>
      </c>
      <c r="I555">
        <v>15.4</v>
      </c>
      <c r="J555">
        <v>16.2</v>
      </c>
      <c r="K555">
        <v>20.8</v>
      </c>
      <c r="L555">
        <v>1072</v>
      </c>
      <c r="M555" t="s">
        <v>318</v>
      </c>
      <c r="N555">
        <v>7040.01</v>
      </c>
      <c r="O555">
        <v>1065</v>
      </c>
    </row>
    <row r="556" spans="1:15" x14ac:dyDescent="0.2">
      <c r="A556" s="6">
        <v>45847</v>
      </c>
      <c r="B556" t="s">
        <v>15</v>
      </c>
      <c r="C556" t="s">
        <v>16</v>
      </c>
      <c r="D556" s="1">
        <v>45855</v>
      </c>
      <c r="E556" t="s">
        <v>19</v>
      </c>
      <c r="F556">
        <v>5700</v>
      </c>
      <c r="G556">
        <v>61.3</v>
      </c>
      <c r="H556">
        <v>75.900000000000006</v>
      </c>
      <c r="I556">
        <v>49.4</v>
      </c>
      <c r="J556">
        <v>51.9</v>
      </c>
      <c r="K556">
        <v>58.4</v>
      </c>
      <c r="L556">
        <v>159583</v>
      </c>
      <c r="M556" t="s">
        <v>319</v>
      </c>
      <c r="N556">
        <v>919488.98</v>
      </c>
      <c r="O556">
        <v>14192</v>
      </c>
    </row>
    <row r="557" spans="1:15" x14ac:dyDescent="0.2">
      <c r="A557" s="6">
        <v>45847</v>
      </c>
      <c r="B557" t="s">
        <v>15</v>
      </c>
      <c r="C557" t="s">
        <v>16</v>
      </c>
      <c r="D557" s="1">
        <v>45855</v>
      </c>
      <c r="E557" t="s">
        <v>19</v>
      </c>
      <c r="F557">
        <v>5300</v>
      </c>
      <c r="G557">
        <v>12.3</v>
      </c>
      <c r="H557">
        <v>13.6</v>
      </c>
      <c r="I557">
        <v>11.3</v>
      </c>
      <c r="J557">
        <v>12.1</v>
      </c>
      <c r="K557">
        <v>12.9</v>
      </c>
      <c r="L557">
        <v>6142</v>
      </c>
      <c r="M557" t="s">
        <v>320</v>
      </c>
      <c r="N557">
        <v>32627.97</v>
      </c>
      <c r="O557">
        <v>2452</v>
      </c>
    </row>
    <row r="558" spans="1:15" x14ac:dyDescent="0.2">
      <c r="A558" s="6">
        <v>45847</v>
      </c>
      <c r="B558" t="s">
        <v>15</v>
      </c>
      <c r="C558" t="s">
        <v>16</v>
      </c>
      <c r="D558" s="1">
        <v>45855</v>
      </c>
      <c r="E558" t="s">
        <v>19</v>
      </c>
      <c r="F558">
        <v>3700</v>
      </c>
      <c r="G558">
        <v>2</v>
      </c>
      <c r="H558">
        <v>3.8</v>
      </c>
      <c r="I558">
        <v>2</v>
      </c>
      <c r="J558">
        <v>3.3</v>
      </c>
      <c r="K558">
        <v>2.5</v>
      </c>
      <c r="L558">
        <v>15</v>
      </c>
      <c r="M558" t="s">
        <v>278</v>
      </c>
      <c r="N558">
        <v>55.55</v>
      </c>
      <c r="O558">
        <v>8</v>
      </c>
    </row>
    <row r="559" spans="1:15" x14ac:dyDescent="0.2">
      <c r="A559" s="6">
        <v>45847</v>
      </c>
      <c r="B559" t="s">
        <v>15</v>
      </c>
      <c r="C559" t="s">
        <v>16</v>
      </c>
      <c r="D559" s="1">
        <v>45855</v>
      </c>
      <c r="E559" t="s">
        <v>19</v>
      </c>
      <c r="F559">
        <v>5050</v>
      </c>
      <c r="G559">
        <v>10.5</v>
      </c>
      <c r="H559">
        <v>10.5</v>
      </c>
      <c r="I559">
        <v>8.1999999999999993</v>
      </c>
      <c r="J559">
        <v>8.6999999999999993</v>
      </c>
      <c r="K559">
        <v>11</v>
      </c>
      <c r="L559">
        <v>657</v>
      </c>
      <c r="M559" t="s">
        <v>321</v>
      </c>
      <c r="N559">
        <v>3324.09</v>
      </c>
      <c r="O559">
        <v>339</v>
      </c>
    </row>
    <row r="560" spans="1:15" x14ac:dyDescent="0.2">
      <c r="A560" s="6">
        <v>45847</v>
      </c>
      <c r="B560" t="s">
        <v>15</v>
      </c>
      <c r="C560" t="s">
        <v>16</v>
      </c>
      <c r="D560" s="1">
        <v>45855</v>
      </c>
      <c r="E560" t="s">
        <v>17</v>
      </c>
      <c r="F560">
        <v>7650</v>
      </c>
      <c r="G560">
        <v>4.7</v>
      </c>
      <c r="H560">
        <v>8.8000000000000007</v>
      </c>
      <c r="I560">
        <v>4.7</v>
      </c>
      <c r="J560">
        <v>7.8</v>
      </c>
      <c r="K560">
        <v>8.8000000000000007</v>
      </c>
      <c r="L560">
        <v>148</v>
      </c>
      <c r="M560" t="s">
        <v>322</v>
      </c>
      <c r="N560">
        <v>1133.3599999999999</v>
      </c>
      <c r="O560">
        <v>218</v>
      </c>
    </row>
    <row r="561" spans="1:15" x14ac:dyDescent="0.2">
      <c r="A561" s="6">
        <v>45847</v>
      </c>
      <c r="B561" t="s">
        <v>15</v>
      </c>
      <c r="C561" t="s">
        <v>16</v>
      </c>
      <c r="D561" s="1">
        <v>45855</v>
      </c>
      <c r="E561" t="s">
        <v>19</v>
      </c>
      <c r="F561">
        <v>4250</v>
      </c>
      <c r="J561">
        <v>0.1</v>
      </c>
      <c r="K561">
        <v>5.8</v>
      </c>
      <c r="L561">
        <v>0</v>
      </c>
      <c r="M561" t="s">
        <v>18</v>
      </c>
      <c r="N561">
        <v>0</v>
      </c>
      <c r="O561">
        <v>5</v>
      </c>
    </row>
    <row r="562" spans="1:15" x14ac:dyDescent="0.2">
      <c r="A562" s="6">
        <v>45847</v>
      </c>
      <c r="B562" t="s">
        <v>15</v>
      </c>
      <c r="C562" t="s">
        <v>16</v>
      </c>
      <c r="D562" s="1">
        <v>45855</v>
      </c>
      <c r="E562" t="s">
        <v>17</v>
      </c>
      <c r="F562">
        <v>3850</v>
      </c>
      <c r="J562">
        <v>2026.3</v>
      </c>
      <c r="K562">
        <v>2033</v>
      </c>
      <c r="L562">
        <v>0</v>
      </c>
      <c r="M562" t="s">
        <v>18</v>
      </c>
      <c r="N562">
        <v>0</v>
      </c>
      <c r="O562">
        <v>0</v>
      </c>
    </row>
    <row r="563" spans="1:15" x14ac:dyDescent="0.2">
      <c r="A563" s="6">
        <v>45847</v>
      </c>
      <c r="B563" t="s">
        <v>15</v>
      </c>
      <c r="C563" t="s">
        <v>16</v>
      </c>
      <c r="D563" s="1">
        <v>45855</v>
      </c>
      <c r="E563" t="s">
        <v>19</v>
      </c>
      <c r="F563">
        <v>4450</v>
      </c>
      <c r="J563">
        <v>0.1</v>
      </c>
      <c r="K563">
        <v>0.1</v>
      </c>
      <c r="L563">
        <v>0</v>
      </c>
      <c r="M563" t="s">
        <v>18</v>
      </c>
      <c r="N563">
        <v>0</v>
      </c>
      <c r="O563">
        <v>1</v>
      </c>
    </row>
    <row r="564" spans="1:15" x14ac:dyDescent="0.2">
      <c r="A564" s="6">
        <v>45847</v>
      </c>
      <c r="B564" t="s">
        <v>15</v>
      </c>
      <c r="C564" t="s">
        <v>16</v>
      </c>
      <c r="D564" s="1">
        <v>45855</v>
      </c>
      <c r="E564" t="s">
        <v>19</v>
      </c>
      <c r="F564">
        <v>4950</v>
      </c>
      <c r="G564">
        <v>9.8000000000000007</v>
      </c>
      <c r="H564">
        <v>10.5</v>
      </c>
      <c r="I564">
        <v>7.5</v>
      </c>
      <c r="J564">
        <v>9.4</v>
      </c>
      <c r="K564">
        <v>9.8000000000000007</v>
      </c>
      <c r="L564">
        <v>189</v>
      </c>
      <c r="M564" t="s">
        <v>323</v>
      </c>
      <c r="N564">
        <v>937.2</v>
      </c>
      <c r="O564">
        <v>103</v>
      </c>
    </row>
    <row r="565" spans="1:15" x14ac:dyDescent="0.2">
      <c r="A565" s="6">
        <v>45847</v>
      </c>
      <c r="B565" t="s">
        <v>15</v>
      </c>
      <c r="C565" t="s">
        <v>16</v>
      </c>
      <c r="D565" s="1">
        <v>45855</v>
      </c>
      <c r="E565" t="s">
        <v>17</v>
      </c>
      <c r="F565">
        <v>6750</v>
      </c>
      <c r="G565">
        <v>14.6</v>
      </c>
      <c r="H565">
        <v>15.6</v>
      </c>
      <c r="I565">
        <v>12</v>
      </c>
      <c r="J565">
        <v>12.2</v>
      </c>
      <c r="K565">
        <v>16.2</v>
      </c>
      <c r="L565">
        <v>346</v>
      </c>
      <c r="M565" t="s">
        <v>324</v>
      </c>
      <c r="N565">
        <v>2340.29</v>
      </c>
      <c r="O565">
        <v>193</v>
      </c>
    </row>
    <row r="566" spans="1:15" x14ac:dyDescent="0.2">
      <c r="A566" s="6">
        <v>45847</v>
      </c>
      <c r="B566" t="s">
        <v>15</v>
      </c>
      <c r="C566" t="s">
        <v>16</v>
      </c>
      <c r="D566" s="1">
        <v>45855</v>
      </c>
      <c r="E566" t="s">
        <v>17</v>
      </c>
      <c r="F566">
        <v>5600</v>
      </c>
      <c r="G566">
        <v>292.39999999999998</v>
      </c>
      <c r="H566">
        <v>340.6</v>
      </c>
      <c r="I566">
        <v>255</v>
      </c>
      <c r="J566">
        <v>311.7</v>
      </c>
      <c r="K566">
        <v>318.5</v>
      </c>
      <c r="L566">
        <v>11381</v>
      </c>
      <c r="M566" t="s">
        <v>325</v>
      </c>
      <c r="N566">
        <v>67090.22</v>
      </c>
      <c r="O566">
        <v>2955</v>
      </c>
    </row>
    <row r="567" spans="1:15" x14ac:dyDescent="0.2">
      <c r="A567" s="6">
        <v>45847</v>
      </c>
      <c r="B567" t="s">
        <v>15</v>
      </c>
      <c r="C567" t="s">
        <v>16</v>
      </c>
      <c r="D567" s="1">
        <v>45855</v>
      </c>
      <c r="E567" t="s">
        <v>19</v>
      </c>
      <c r="F567">
        <v>6200</v>
      </c>
      <c r="G567">
        <v>374.3</v>
      </c>
      <c r="H567">
        <v>415.8</v>
      </c>
      <c r="I567">
        <v>336.7</v>
      </c>
      <c r="J567">
        <v>352.7</v>
      </c>
      <c r="K567">
        <v>355.5</v>
      </c>
      <c r="L567">
        <v>1006</v>
      </c>
      <c r="M567" t="s">
        <v>326</v>
      </c>
      <c r="N567">
        <v>6605.08</v>
      </c>
      <c r="O567">
        <v>601</v>
      </c>
    </row>
    <row r="568" spans="1:15" x14ac:dyDescent="0.2">
      <c r="A568" s="6">
        <v>45847</v>
      </c>
      <c r="B568" t="s">
        <v>15</v>
      </c>
      <c r="C568" t="s">
        <v>16</v>
      </c>
      <c r="D568" s="1">
        <v>45855</v>
      </c>
      <c r="E568" t="s">
        <v>19</v>
      </c>
      <c r="F568">
        <v>4600</v>
      </c>
      <c r="G568">
        <v>6.5</v>
      </c>
      <c r="H568">
        <v>8.1</v>
      </c>
      <c r="I568">
        <v>5.7</v>
      </c>
      <c r="J568">
        <v>6.9</v>
      </c>
      <c r="K568">
        <v>6.3</v>
      </c>
      <c r="L568">
        <v>280</v>
      </c>
      <c r="M568" t="s">
        <v>327</v>
      </c>
      <c r="N568">
        <v>1289.98</v>
      </c>
      <c r="O568">
        <v>154</v>
      </c>
    </row>
    <row r="569" spans="1:15" x14ac:dyDescent="0.2">
      <c r="A569" s="6">
        <v>45847</v>
      </c>
      <c r="B569" t="s">
        <v>15</v>
      </c>
      <c r="C569" t="s">
        <v>16</v>
      </c>
      <c r="D569" s="1">
        <v>45855</v>
      </c>
      <c r="E569" t="s">
        <v>17</v>
      </c>
      <c r="F569">
        <v>5550</v>
      </c>
      <c r="G569">
        <v>340.1</v>
      </c>
      <c r="H569">
        <v>383.5</v>
      </c>
      <c r="I569">
        <v>298.8</v>
      </c>
      <c r="J569">
        <v>357.4</v>
      </c>
      <c r="K569">
        <v>361.8</v>
      </c>
      <c r="L569">
        <v>1174</v>
      </c>
      <c r="M569" t="s">
        <v>328</v>
      </c>
      <c r="N569">
        <v>6905.67</v>
      </c>
      <c r="O569">
        <v>124</v>
      </c>
    </row>
    <row r="570" spans="1:15" x14ac:dyDescent="0.2">
      <c r="A570" s="6">
        <v>45847</v>
      </c>
      <c r="B570" t="s">
        <v>15</v>
      </c>
      <c r="C570" t="s">
        <v>16</v>
      </c>
      <c r="D570" s="1">
        <v>45855</v>
      </c>
      <c r="E570" t="s">
        <v>19</v>
      </c>
      <c r="F570">
        <v>7600</v>
      </c>
      <c r="J570">
        <v>1718.7</v>
      </c>
      <c r="K570">
        <v>1711.5</v>
      </c>
      <c r="L570">
        <v>0</v>
      </c>
      <c r="M570" t="s">
        <v>18</v>
      </c>
      <c r="N570">
        <v>0</v>
      </c>
      <c r="O570">
        <v>0</v>
      </c>
    </row>
    <row r="571" spans="1:15" x14ac:dyDescent="0.2">
      <c r="A571" s="6">
        <v>45847</v>
      </c>
      <c r="B571" t="s">
        <v>15</v>
      </c>
      <c r="C571" t="s">
        <v>16</v>
      </c>
      <c r="D571" s="1">
        <v>45855</v>
      </c>
      <c r="E571" t="s">
        <v>19</v>
      </c>
      <c r="F571">
        <v>4800</v>
      </c>
      <c r="G571">
        <v>6.7</v>
      </c>
      <c r="H571">
        <v>7.8</v>
      </c>
      <c r="I571">
        <v>6.3</v>
      </c>
      <c r="J571">
        <v>6.8</v>
      </c>
      <c r="K571">
        <v>7.2</v>
      </c>
      <c r="L571">
        <v>284</v>
      </c>
      <c r="M571" t="s">
        <v>329</v>
      </c>
      <c r="N571">
        <v>1365.16</v>
      </c>
      <c r="O571">
        <v>626</v>
      </c>
    </row>
    <row r="572" spans="1:15" x14ac:dyDescent="0.2">
      <c r="A572" s="6">
        <v>45847</v>
      </c>
      <c r="B572" t="s">
        <v>15</v>
      </c>
      <c r="C572" t="s">
        <v>16</v>
      </c>
      <c r="D572" s="1">
        <v>45855</v>
      </c>
      <c r="E572" t="s">
        <v>17</v>
      </c>
      <c r="F572">
        <v>3800</v>
      </c>
      <c r="J572">
        <v>2076.3000000000002</v>
      </c>
      <c r="K572">
        <v>2082.9</v>
      </c>
      <c r="L572">
        <v>0</v>
      </c>
      <c r="M572" t="s">
        <v>18</v>
      </c>
      <c r="N572">
        <v>0</v>
      </c>
      <c r="O572">
        <v>0</v>
      </c>
    </row>
    <row r="573" spans="1:15" x14ac:dyDescent="0.2">
      <c r="A573" s="6">
        <v>45847</v>
      </c>
      <c r="B573" t="s">
        <v>15</v>
      </c>
      <c r="C573" t="s">
        <v>16</v>
      </c>
      <c r="D573" s="1">
        <v>45855</v>
      </c>
      <c r="E573" t="s">
        <v>19</v>
      </c>
      <c r="F573">
        <v>5900</v>
      </c>
      <c r="G573">
        <v>148.4</v>
      </c>
      <c r="H573">
        <v>176.5</v>
      </c>
      <c r="I573">
        <v>120.6</v>
      </c>
      <c r="J573">
        <v>130.6</v>
      </c>
      <c r="K573">
        <v>138.80000000000001</v>
      </c>
      <c r="L573">
        <v>187531</v>
      </c>
      <c r="M573" t="s">
        <v>330</v>
      </c>
      <c r="N573">
        <v>1133503.97</v>
      </c>
      <c r="O573">
        <v>5053</v>
      </c>
    </row>
    <row r="574" spans="1:15" x14ac:dyDescent="0.2">
      <c r="A574" s="6">
        <v>45847</v>
      </c>
      <c r="B574" t="s">
        <v>15</v>
      </c>
      <c r="C574" t="s">
        <v>16</v>
      </c>
      <c r="D574" s="1">
        <v>45855</v>
      </c>
      <c r="E574" t="s">
        <v>17</v>
      </c>
      <c r="F574">
        <v>7250</v>
      </c>
      <c r="G574">
        <v>12</v>
      </c>
      <c r="H574">
        <v>12</v>
      </c>
      <c r="I574">
        <v>7.1</v>
      </c>
      <c r="J574">
        <v>9.1</v>
      </c>
      <c r="K574">
        <v>12.5</v>
      </c>
      <c r="L574">
        <v>86</v>
      </c>
      <c r="M574" t="s">
        <v>153</v>
      </c>
      <c r="N574">
        <v>624.35</v>
      </c>
      <c r="O574">
        <v>113</v>
      </c>
    </row>
    <row r="575" spans="1:15" x14ac:dyDescent="0.2">
      <c r="A575" s="6">
        <v>45847</v>
      </c>
      <c r="B575" t="s">
        <v>15</v>
      </c>
      <c r="C575" t="s">
        <v>16</v>
      </c>
      <c r="D575" s="1">
        <v>45855</v>
      </c>
      <c r="E575" t="s">
        <v>19</v>
      </c>
      <c r="F575">
        <v>6800</v>
      </c>
      <c r="J575">
        <v>920.4</v>
      </c>
      <c r="K575">
        <v>914.1</v>
      </c>
      <c r="L575">
        <v>0</v>
      </c>
      <c r="M575" t="s">
        <v>18</v>
      </c>
      <c r="N575">
        <v>0</v>
      </c>
      <c r="O575">
        <v>91</v>
      </c>
    </row>
    <row r="576" spans="1:15" x14ac:dyDescent="0.2">
      <c r="A576" s="6">
        <v>45847</v>
      </c>
      <c r="B576" t="s">
        <v>15</v>
      </c>
      <c r="C576" t="s">
        <v>16</v>
      </c>
      <c r="D576" s="1">
        <v>45855</v>
      </c>
      <c r="E576" t="s">
        <v>17</v>
      </c>
      <c r="F576">
        <v>5750</v>
      </c>
      <c r="G576">
        <v>186.8</v>
      </c>
      <c r="H576">
        <v>224.5</v>
      </c>
      <c r="I576">
        <v>155.5</v>
      </c>
      <c r="J576">
        <v>196.3</v>
      </c>
      <c r="K576">
        <v>207.3</v>
      </c>
      <c r="L576">
        <v>34200</v>
      </c>
      <c r="M576" t="s">
        <v>331</v>
      </c>
      <c r="N576">
        <v>203051.67</v>
      </c>
      <c r="O576">
        <v>565</v>
      </c>
    </row>
    <row r="577" spans="1:15" x14ac:dyDescent="0.2">
      <c r="A577" s="6">
        <v>45847</v>
      </c>
      <c r="B577" t="s">
        <v>15</v>
      </c>
      <c r="C577" t="s">
        <v>16</v>
      </c>
      <c r="D577" s="1">
        <v>45855</v>
      </c>
      <c r="E577" t="s">
        <v>17</v>
      </c>
      <c r="F577">
        <v>7100</v>
      </c>
      <c r="G577">
        <v>12</v>
      </c>
      <c r="H577">
        <v>12.7</v>
      </c>
      <c r="I577">
        <v>9.8000000000000007</v>
      </c>
      <c r="J577">
        <v>10.4</v>
      </c>
      <c r="K577">
        <v>13.4</v>
      </c>
      <c r="L577">
        <v>526</v>
      </c>
      <c r="M577" t="s">
        <v>332</v>
      </c>
      <c r="N577">
        <v>3740.51</v>
      </c>
      <c r="O577">
        <v>312</v>
      </c>
    </row>
    <row r="578" spans="1:15" x14ac:dyDescent="0.2">
      <c r="A578" s="6">
        <v>45847</v>
      </c>
      <c r="B578" t="s">
        <v>15</v>
      </c>
      <c r="C578" t="s">
        <v>16</v>
      </c>
      <c r="D578" s="1">
        <v>45855</v>
      </c>
      <c r="E578" t="s">
        <v>17</v>
      </c>
      <c r="F578">
        <v>6500</v>
      </c>
      <c r="G578">
        <v>22</v>
      </c>
      <c r="H578">
        <v>22.1</v>
      </c>
      <c r="I578">
        <v>15.7</v>
      </c>
      <c r="J578">
        <v>16.5</v>
      </c>
      <c r="K578">
        <v>22.1</v>
      </c>
      <c r="L578">
        <v>21527</v>
      </c>
      <c r="M578" t="s">
        <v>333</v>
      </c>
      <c r="N578">
        <v>140309.32999999999</v>
      </c>
      <c r="O578">
        <v>11413</v>
      </c>
    </row>
    <row r="579" spans="1:15" x14ac:dyDescent="0.2">
      <c r="A579" s="6">
        <v>45847</v>
      </c>
      <c r="B579" t="s">
        <v>15</v>
      </c>
      <c r="C579" t="s">
        <v>16</v>
      </c>
      <c r="D579" s="1">
        <v>45855</v>
      </c>
      <c r="E579" t="s">
        <v>19</v>
      </c>
      <c r="F579">
        <v>4100</v>
      </c>
      <c r="J579">
        <v>0.1</v>
      </c>
      <c r="K579">
        <v>0.1</v>
      </c>
      <c r="L579">
        <v>0</v>
      </c>
      <c r="M579" t="s">
        <v>18</v>
      </c>
      <c r="N579">
        <v>0</v>
      </c>
      <c r="O579">
        <v>0</v>
      </c>
    </row>
    <row r="580" spans="1:15" x14ac:dyDescent="0.2">
      <c r="A580" s="6">
        <v>45847</v>
      </c>
      <c r="B580" t="s">
        <v>15</v>
      </c>
      <c r="C580" t="s">
        <v>16</v>
      </c>
      <c r="D580" s="1">
        <v>45855</v>
      </c>
      <c r="E580" t="s">
        <v>17</v>
      </c>
      <c r="F580">
        <v>6300</v>
      </c>
      <c r="G580">
        <v>28.6</v>
      </c>
      <c r="H580">
        <v>33</v>
      </c>
      <c r="I580">
        <v>21.5</v>
      </c>
      <c r="J580">
        <v>24.4</v>
      </c>
      <c r="K580">
        <v>31.5</v>
      </c>
      <c r="L580">
        <v>22719</v>
      </c>
      <c r="M580" t="s">
        <v>334</v>
      </c>
      <c r="N580">
        <v>143724.9</v>
      </c>
      <c r="O580">
        <v>4025</v>
      </c>
    </row>
    <row r="581" spans="1:15" x14ac:dyDescent="0.2">
      <c r="A581" s="6">
        <v>45847</v>
      </c>
      <c r="B581" t="s">
        <v>15</v>
      </c>
      <c r="C581" t="s">
        <v>16</v>
      </c>
      <c r="D581" s="1">
        <v>45855</v>
      </c>
      <c r="E581" t="s">
        <v>19</v>
      </c>
      <c r="F581">
        <v>5350</v>
      </c>
      <c r="G581">
        <v>14.5</v>
      </c>
      <c r="H581">
        <v>16.399999999999999</v>
      </c>
      <c r="I581">
        <v>12.7</v>
      </c>
      <c r="J581">
        <v>14.1</v>
      </c>
      <c r="K581">
        <v>14.4</v>
      </c>
      <c r="L581">
        <v>1838</v>
      </c>
      <c r="M581" t="s">
        <v>335</v>
      </c>
      <c r="N581">
        <v>9859.7199999999993</v>
      </c>
      <c r="O581">
        <v>674</v>
      </c>
    </row>
    <row r="582" spans="1:15" x14ac:dyDescent="0.2">
      <c r="A582" s="6">
        <v>45847</v>
      </c>
      <c r="B582" t="s">
        <v>15</v>
      </c>
      <c r="C582" t="s">
        <v>16</v>
      </c>
      <c r="D582" s="1">
        <v>45855</v>
      </c>
      <c r="E582" t="s">
        <v>19</v>
      </c>
      <c r="F582">
        <v>4500</v>
      </c>
      <c r="G582">
        <v>4.8</v>
      </c>
      <c r="H582">
        <v>6.5</v>
      </c>
      <c r="I582">
        <v>4.5999999999999996</v>
      </c>
      <c r="J582">
        <v>6</v>
      </c>
      <c r="K582">
        <v>4.5999999999999996</v>
      </c>
      <c r="L582">
        <v>1185</v>
      </c>
      <c r="M582" t="s">
        <v>336</v>
      </c>
      <c r="N582">
        <v>5339.23</v>
      </c>
      <c r="O582">
        <v>637</v>
      </c>
    </row>
    <row r="583" spans="1:15" x14ac:dyDescent="0.2">
      <c r="A583" s="6">
        <v>45847</v>
      </c>
      <c r="B583" t="s">
        <v>15</v>
      </c>
      <c r="C583" t="s">
        <v>16</v>
      </c>
      <c r="D583" s="1">
        <v>45855</v>
      </c>
      <c r="E583" t="s">
        <v>19</v>
      </c>
      <c r="F583">
        <v>6850</v>
      </c>
      <c r="J583">
        <v>970.2</v>
      </c>
      <c r="K583">
        <v>963.6</v>
      </c>
      <c r="L583">
        <v>0</v>
      </c>
      <c r="M583" t="s">
        <v>18</v>
      </c>
      <c r="N583">
        <v>0</v>
      </c>
      <c r="O583">
        <v>18</v>
      </c>
    </row>
    <row r="584" spans="1:15" x14ac:dyDescent="0.2">
      <c r="A584" s="6">
        <v>45847</v>
      </c>
      <c r="B584" t="s">
        <v>15</v>
      </c>
      <c r="C584" t="s">
        <v>16</v>
      </c>
      <c r="D584" s="1">
        <v>45855</v>
      </c>
      <c r="E584" t="s">
        <v>19</v>
      </c>
      <c r="F584">
        <v>7350</v>
      </c>
      <c r="J584">
        <v>1469.1</v>
      </c>
      <c r="K584">
        <v>1461.9</v>
      </c>
      <c r="L584">
        <v>0</v>
      </c>
      <c r="M584" t="s">
        <v>18</v>
      </c>
      <c r="N584">
        <v>0</v>
      </c>
      <c r="O584">
        <v>0</v>
      </c>
    </row>
    <row r="585" spans="1:15" x14ac:dyDescent="0.2">
      <c r="A585" s="6">
        <v>45847</v>
      </c>
      <c r="B585" t="s">
        <v>15</v>
      </c>
      <c r="C585" t="s">
        <v>16</v>
      </c>
      <c r="D585" s="1">
        <v>45855</v>
      </c>
      <c r="E585" t="s">
        <v>17</v>
      </c>
      <c r="F585">
        <v>7000</v>
      </c>
      <c r="G585">
        <v>13.7</v>
      </c>
      <c r="H585">
        <v>13.8</v>
      </c>
      <c r="I585">
        <v>10.199999999999999</v>
      </c>
      <c r="J585">
        <v>11.2</v>
      </c>
      <c r="K585">
        <v>13.3</v>
      </c>
      <c r="L585">
        <v>2785</v>
      </c>
      <c r="M585" t="s">
        <v>337</v>
      </c>
      <c r="N585">
        <v>19527.02</v>
      </c>
      <c r="O585">
        <v>4353</v>
      </c>
    </row>
    <row r="586" spans="1:15" x14ac:dyDescent="0.2">
      <c r="A586" s="6">
        <v>45847</v>
      </c>
      <c r="B586" t="s">
        <v>15</v>
      </c>
      <c r="C586" t="s">
        <v>16</v>
      </c>
      <c r="D586" s="1">
        <v>45855</v>
      </c>
      <c r="E586" t="s">
        <v>17</v>
      </c>
      <c r="F586">
        <v>7050</v>
      </c>
      <c r="G586">
        <v>12.6</v>
      </c>
      <c r="H586">
        <v>15</v>
      </c>
      <c r="I586">
        <v>10.8</v>
      </c>
      <c r="J586">
        <v>13.1</v>
      </c>
      <c r="K586">
        <v>13.9</v>
      </c>
      <c r="L586">
        <v>46</v>
      </c>
      <c r="M586" t="s">
        <v>338</v>
      </c>
      <c r="N586">
        <v>324.85000000000002</v>
      </c>
      <c r="O586">
        <v>168</v>
      </c>
    </row>
    <row r="587" spans="1:15" x14ac:dyDescent="0.2">
      <c r="A587" s="6">
        <v>45847</v>
      </c>
      <c r="B587" t="s">
        <v>15</v>
      </c>
      <c r="C587" t="s">
        <v>16</v>
      </c>
      <c r="D587" s="1">
        <v>45855</v>
      </c>
      <c r="E587" t="s">
        <v>19</v>
      </c>
      <c r="F587">
        <v>4650</v>
      </c>
      <c r="G587">
        <v>3.2</v>
      </c>
      <c r="H587">
        <v>5.5</v>
      </c>
      <c r="I587">
        <v>3.2</v>
      </c>
      <c r="J587">
        <v>4.4000000000000004</v>
      </c>
      <c r="K587">
        <v>6.1</v>
      </c>
      <c r="L587">
        <v>2</v>
      </c>
      <c r="M587" t="s">
        <v>28</v>
      </c>
      <c r="N587">
        <v>9.31</v>
      </c>
      <c r="O587">
        <v>2</v>
      </c>
    </row>
    <row r="588" spans="1:15" x14ac:dyDescent="0.2">
      <c r="A588" s="6">
        <v>45847</v>
      </c>
      <c r="B588" t="s">
        <v>15</v>
      </c>
      <c r="C588" t="s">
        <v>16</v>
      </c>
      <c r="D588" s="1">
        <v>45855</v>
      </c>
      <c r="E588" t="s">
        <v>17</v>
      </c>
      <c r="F588">
        <v>6350</v>
      </c>
      <c r="G588">
        <v>26.4</v>
      </c>
      <c r="H588">
        <v>28.7</v>
      </c>
      <c r="I588">
        <v>19.7</v>
      </c>
      <c r="J588">
        <v>21.6</v>
      </c>
      <c r="K588">
        <v>27.8</v>
      </c>
      <c r="L588">
        <v>5788</v>
      </c>
      <c r="M588" t="s">
        <v>339</v>
      </c>
      <c r="N588">
        <v>36892.89</v>
      </c>
      <c r="O588">
        <v>1734</v>
      </c>
    </row>
    <row r="589" spans="1:15" x14ac:dyDescent="0.2">
      <c r="A589" s="6">
        <v>45847</v>
      </c>
      <c r="B589" t="s">
        <v>15</v>
      </c>
      <c r="C589" t="s">
        <v>16</v>
      </c>
      <c r="D589" s="1">
        <v>45855</v>
      </c>
      <c r="E589" t="s">
        <v>19</v>
      </c>
      <c r="F589">
        <v>4400</v>
      </c>
      <c r="G589">
        <v>5.3</v>
      </c>
      <c r="H589">
        <v>5.3</v>
      </c>
      <c r="I589">
        <v>5</v>
      </c>
      <c r="J589">
        <v>5.2</v>
      </c>
      <c r="K589">
        <v>0.1</v>
      </c>
      <c r="L589">
        <v>2</v>
      </c>
      <c r="M589" t="s">
        <v>28</v>
      </c>
      <c r="N589">
        <v>8.81</v>
      </c>
      <c r="O589">
        <v>1</v>
      </c>
    </row>
    <row r="590" spans="1:15" x14ac:dyDescent="0.2">
      <c r="A590" s="6">
        <v>45847</v>
      </c>
      <c r="B590" t="s">
        <v>15</v>
      </c>
      <c r="C590" t="s">
        <v>16</v>
      </c>
      <c r="D590" s="1">
        <v>45855</v>
      </c>
      <c r="E590" t="s">
        <v>17</v>
      </c>
      <c r="F590">
        <v>4050</v>
      </c>
      <c r="J590">
        <v>1826.6</v>
      </c>
      <c r="K590">
        <v>1833.3</v>
      </c>
      <c r="L590">
        <v>0</v>
      </c>
      <c r="M590" t="s">
        <v>18</v>
      </c>
      <c r="N590">
        <v>0</v>
      </c>
      <c r="O590">
        <v>0</v>
      </c>
    </row>
    <row r="591" spans="1:15" x14ac:dyDescent="0.2">
      <c r="A591" s="6">
        <v>45847</v>
      </c>
      <c r="B591" t="s">
        <v>15</v>
      </c>
      <c r="C591" t="s">
        <v>16</v>
      </c>
      <c r="D591" s="1">
        <v>45855</v>
      </c>
      <c r="E591" t="s">
        <v>17</v>
      </c>
      <c r="F591">
        <v>4000</v>
      </c>
      <c r="J591">
        <v>1876.5</v>
      </c>
      <c r="K591">
        <v>1883.2</v>
      </c>
      <c r="L591">
        <v>0</v>
      </c>
      <c r="M591" t="s">
        <v>18</v>
      </c>
      <c r="N591">
        <v>0</v>
      </c>
      <c r="O591">
        <v>0</v>
      </c>
    </row>
    <row r="592" spans="1:15" x14ac:dyDescent="0.2">
      <c r="A592" s="6">
        <v>45847</v>
      </c>
      <c r="B592" t="s">
        <v>15</v>
      </c>
      <c r="C592" t="s">
        <v>16</v>
      </c>
      <c r="D592" s="1">
        <v>45855</v>
      </c>
      <c r="E592" t="s">
        <v>17</v>
      </c>
      <c r="F592">
        <v>5800</v>
      </c>
      <c r="G592">
        <v>156.6</v>
      </c>
      <c r="H592">
        <v>191.7</v>
      </c>
      <c r="I592">
        <v>126.4</v>
      </c>
      <c r="J592">
        <v>164.1</v>
      </c>
      <c r="K592">
        <v>176.6</v>
      </c>
      <c r="L592">
        <v>174200</v>
      </c>
      <c r="M592" t="s">
        <v>340</v>
      </c>
      <c r="N592">
        <v>1037915</v>
      </c>
      <c r="O592">
        <v>8488</v>
      </c>
    </row>
    <row r="593" spans="1:15" x14ac:dyDescent="0.2">
      <c r="A593" s="6">
        <v>45847</v>
      </c>
      <c r="B593" t="s">
        <v>15</v>
      </c>
      <c r="C593" t="s">
        <v>16</v>
      </c>
      <c r="D593" s="1">
        <v>45855</v>
      </c>
      <c r="E593" t="s">
        <v>17</v>
      </c>
      <c r="F593">
        <v>4550</v>
      </c>
      <c r="J593">
        <v>1327.3</v>
      </c>
      <c r="K593">
        <v>1334</v>
      </c>
      <c r="L593">
        <v>0</v>
      </c>
      <c r="M593" t="s">
        <v>18</v>
      </c>
      <c r="N593">
        <v>0</v>
      </c>
      <c r="O593">
        <v>0</v>
      </c>
    </row>
    <row r="594" spans="1:15" x14ac:dyDescent="0.2">
      <c r="A594" s="6">
        <v>45847</v>
      </c>
      <c r="B594" t="s">
        <v>15</v>
      </c>
      <c r="C594" t="s">
        <v>16</v>
      </c>
      <c r="D594" s="1">
        <v>45855</v>
      </c>
      <c r="E594" t="s">
        <v>17</v>
      </c>
      <c r="F594">
        <v>5450</v>
      </c>
      <c r="G594">
        <v>420</v>
      </c>
      <c r="H594">
        <v>444.1</v>
      </c>
      <c r="I594">
        <v>398.8</v>
      </c>
      <c r="J594">
        <v>431.9</v>
      </c>
      <c r="K594">
        <v>453.9</v>
      </c>
      <c r="L594">
        <v>17</v>
      </c>
      <c r="M594" t="s">
        <v>140</v>
      </c>
      <c r="N594">
        <v>99.98</v>
      </c>
      <c r="O594">
        <v>58</v>
      </c>
    </row>
    <row r="595" spans="1:15" x14ac:dyDescent="0.2">
      <c r="A595" s="6">
        <v>45847</v>
      </c>
      <c r="B595" t="s">
        <v>15</v>
      </c>
      <c r="C595" t="s">
        <v>16</v>
      </c>
      <c r="D595" s="1">
        <v>45855</v>
      </c>
      <c r="E595" t="s">
        <v>17</v>
      </c>
      <c r="F595">
        <v>6250</v>
      </c>
      <c r="G595">
        <v>31.4</v>
      </c>
      <c r="H595">
        <v>39</v>
      </c>
      <c r="I595">
        <v>24.7</v>
      </c>
      <c r="J595">
        <v>29.1</v>
      </c>
      <c r="K595">
        <v>36.6</v>
      </c>
      <c r="L595">
        <v>7871</v>
      </c>
      <c r="M595" t="s">
        <v>341</v>
      </c>
      <c r="N595">
        <v>49442.47</v>
      </c>
      <c r="O595">
        <v>1555</v>
      </c>
    </row>
    <row r="596" spans="1:15" x14ac:dyDescent="0.2">
      <c r="A596" s="6">
        <v>45847</v>
      </c>
      <c r="B596" t="s">
        <v>15</v>
      </c>
      <c r="C596" t="s">
        <v>16</v>
      </c>
      <c r="D596" s="1">
        <v>45855</v>
      </c>
      <c r="E596" t="s">
        <v>19</v>
      </c>
      <c r="F596">
        <v>7250</v>
      </c>
      <c r="J596">
        <v>1369.2</v>
      </c>
      <c r="K596">
        <v>1362</v>
      </c>
      <c r="L596">
        <v>0</v>
      </c>
      <c r="M596" t="s">
        <v>18</v>
      </c>
      <c r="N596">
        <v>0</v>
      </c>
      <c r="O596">
        <v>0</v>
      </c>
    </row>
    <row r="597" spans="1:15" x14ac:dyDescent="0.2">
      <c r="A597" s="6">
        <v>45847</v>
      </c>
      <c r="B597" t="s">
        <v>15</v>
      </c>
      <c r="C597" t="s">
        <v>16</v>
      </c>
      <c r="D597" s="1">
        <v>45855</v>
      </c>
      <c r="E597" t="s">
        <v>17</v>
      </c>
      <c r="F597">
        <v>5150</v>
      </c>
      <c r="J597">
        <v>729.2</v>
      </c>
      <c r="K597">
        <v>654.6</v>
      </c>
      <c r="L597">
        <v>0</v>
      </c>
      <c r="M597" t="s">
        <v>18</v>
      </c>
      <c r="N597">
        <v>0</v>
      </c>
      <c r="O597">
        <v>3</v>
      </c>
    </row>
    <row r="598" spans="1:15" x14ac:dyDescent="0.2">
      <c r="A598" s="6">
        <v>45847</v>
      </c>
      <c r="B598" t="s">
        <v>15</v>
      </c>
      <c r="C598" t="s">
        <v>16</v>
      </c>
      <c r="D598" s="1">
        <v>45855</v>
      </c>
      <c r="E598" t="s">
        <v>19</v>
      </c>
      <c r="F598">
        <v>5150</v>
      </c>
      <c r="G598">
        <v>9.3000000000000007</v>
      </c>
      <c r="H598">
        <v>11.3</v>
      </c>
      <c r="I598">
        <v>9.3000000000000007</v>
      </c>
      <c r="J598">
        <v>10.5</v>
      </c>
      <c r="K598">
        <v>11.5</v>
      </c>
      <c r="L598">
        <v>244</v>
      </c>
      <c r="M598" t="s">
        <v>342</v>
      </c>
      <c r="N598">
        <v>1259.1400000000001</v>
      </c>
      <c r="O598">
        <v>285</v>
      </c>
    </row>
    <row r="599" spans="1:15" x14ac:dyDescent="0.2">
      <c r="A599" s="6">
        <v>45847</v>
      </c>
      <c r="B599" t="s">
        <v>15</v>
      </c>
      <c r="C599" t="s">
        <v>16</v>
      </c>
      <c r="D599" s="1">
        <v>45855</v>
      </c>
      <c r="E599" t="s">
        <v>19</v>
      </c>
      <c r="F599">
        <v>7500</v>
      </c>
      <c r="J599">
        <v>1618.9</v>
      </c>
      <c r="K599">
        <v>1611.6</v>
      </c>
      <c r="L599">
        <v>0</v>
      </c>
      <c r="M599" t="s">
        <v>18</v>
      </c>
      <c r="N599">
        <v>0</v>
      </c>
      <c r="O599">
        <v>0</v>
      </c>
    </row>
    <row r="600" spans="1:15" x14ac:dyDescent="0.2">
      <c r="A600" s="6">
        <v>45847</v>
      </c>
      <c r="B600" t="s">
        <v>15</v>
      </c>
      <c r="C600" t="s">
        <v>16</v>
      </c>
      <c r="D600" s="1">
        <v>45855</v>
      </c>
      <c r="E600" t="s">
        <v>19</v>
      </c>
      <c r="F600">
        <v>6250</v>
      </c>
      <c r="G600">
        <v>436.2</v>
      </c>
      <c r="H600">
        <v>436.2</v>
      </c>
      <c r="I600">
        <v>401</v>
      </c>
      <c r="J600">
        <v>415.3</v>
      </c>
      <c r="K600">
        <v>399.9</v>
      </c>
      <c r="L600">
        <v>9</v>
      </c>
      <c r="M600" t="s">
        <v>343</v>
      </c>
      <c r="N600">
        <v>59.99</v>
      </c>
      <c r="O600">
        <v>66</v>
      </c>
    </row>
    <row r="601" spans="1:15" x14ac:dyDescent="0.2">
      <c r="A601" s="6">
        <v>45847</v>
      </c>
      <c r="B601" t="s">
        <v>15</v>
      </c>
      <c r="C601" t="s">
        <v>16</v>
      </c>
      <c r="D601" s="1">
        <v>45855</v>
      </c>
      <c r="E601" t="s">
        <v>17</v>
      </c>
      <c r="F601">
        <v>5050</v>
      </c>
      <c r="J601">
        <v>828.3</v>
      </c>
      <c r="K601">
        <v>835.6</v>
      </c>
      <c r="L601">
        <v>0</v>
      </c>
      <c r="M601" t="s">
        <v>18</v>
      </c>
      <c r="N601">
        <v>0</v>
      </c>
      <c r="O601">
        <v>0</v>
      </c>
    </row>
    <row r="602" spans="1:15" x14ac:dyDescent="0.2">
      <c r="A602" s="6">
        <v>45847</v>
      </c>
      <c r="B602" t="s">
        <v>15</v>
      </c>
      <c r="C602" t="s">
        <v>16</v>
      </c>
      <c r="D602" s="1">
        <v>45855</v>
      </c>
      <c r="E602" t="s">
        <v>17</v>
      </c>
      <c r="F602">
        <v>5500</v>
      </c>
      <c r="G602">
        <v>384.6</v>
      </c>
      <c r="H602">
        <v>427.1</v>
      </c>
      <c r="I602">
        <v>337.2</v>
      </c>
      <c r="J602">
        <v>397.8</v>
      </c>
      <c r="K602">
        <v>403.2</v>
      </c>
      <c r="L602">
        <v>2304</v>
      </c>
      <c r="M602" t="s">
        <v>344</v>
      </c>
      <c r="N602">
        <v>13538.67</v>
      </c>
      <c r="O602">
        <v>1338</v>
      </c>
    </row>
    <row r="603" spans="1:15" x14ac:dyDescent="0.2">
      <c r="A603" s="6">
        <v>45847</v>
      </c>
      <c r="B603" t="s">
        <v>15</v>
      </c>
      <c r="C603" t="s">
        <v>16</v>
      </c>
      <c r="D603" s="1">
        <v>45855</v>
      </c>
      <c r="E603" t="s">
        <v>17</v>
      </c>
      <c r="F603">
        <v>4500</v>
      </c>
      <c r="J603">
        <v>1377.2</v>
      </c>
      <c r="K603">
        <v>1384</v>
      </c>
      <c r="L603">
        <v>0</v>
      </c>
      <c r="M603" t="s">
        <v>18</v>
      </c>
      <c r="N603">
        <v>0</v>
      </c>
      <c r="O603">
        <v>0</v>
      </c>
    </row>
    <row r="604" spans="1:15" x14ac:dyDescent="0.2">
      <c r="A604" s="6">
        <v>45847</v>
      </c>
      <c r="B604" t="s">
        <v>15</v>
      </c>
      <c r="C604" t="s">
        <v>16</v>
      </c>
      <c r="D604" s="1">
        <v>45855</v>
      </c>
      <c r="E604" t="s">
        <v>17</v>
      </c>
      <c r="F604">
        <v>5900</v>
      </c>
      <c r="G604">
        <v>104.6</v>
      </c>
      <c r="H604">
        <v>136.4</v>
      </c>
      <c r="I604">
        <v>83.6</v>
      </c>
      <c r="J604">
        <v>112.2</v>
      </c>
      <c r="K604">
        <v>124.2</v>
      </c>
      <c r="L604">
        <v>235106</v>
      </c>
      <c r="M604" t="s">
        <v>345</v>
      </c>
      <c r="N604">
        <v>1413042.61</v>
      </c>
      <c r="O604">
        <v>6055</v>
      </c>
    </row>
    <row r="605" spans="1:15" x14ac:dyDescent="0.2">
      <c r="A605" s="6">
        <v>45847</v>
      </c>
      <c r="B605" t="s">
        <v>15</v>
      </c>
      <c r="C605" t="s">
        <v>16</v>
      </c>
      <c r="D605" s="1">
        <v>45855</v>
      </c>
      <c r="E605" t="s">
        <v>17</v>
      </c>
      <c r="F605">
        <v>5200</v>
      </c>
      <c r="G605">
        <v>670</v>
      </c>
      <c r="H605">
        <v>712</v>
      </c>
      <c r="I605">
        <v>628</v>
      </c>
      <c r="J605">
        <v>682.4</v>
      </c>
      <c r="K605">
        <v>642.29999999999995</v>
      </c>
      <c r="L605">
        <v>18</v>
      </c>
      <c r="M605" t="s">
        <v>87</v>
      </c>
      <c r="N605">
        <v>105.88</v>
      </c>
      <c r="O605">
        <v>85</v>
      </c>
    </row>
    <row r="606" spans="1:15" x14ac:dyDescent="0.2">
      <c r="A606" s="6">
        <v>45847</v>
      </c>
      <c r="B606" t="s">
        <v>15</v>
      </c>
      <c r="C606" t="s">
        <v>16</v>
      </c>
      <c r="D606" s="1">
        <v>45855</v>
      </c>
      <c r="E606" t="s">
        <v>17</v>
      </c>
      <c r="F606">
        <v>4150</v>
      </c>
      <c r="J606">
        <v>1726.7</v>
      </c>
      <c r="K606">
        <v>1733.4</v>
      </c>
      <c r="L606">
        <v>0</v>
      </c>
      <c r="M606" t="s">
        <v>18</v>
      </c>
      <c r="N606">
        <v>0</v>
      </c>
      <c r="O606">
        <v>0</v>
      </c>
    </row>
    <row r="607" spans="1:15" x14ac:dyDescent="0.2">
      <c r="A607" s="6">
        <v>45847</v>
      </c>
      <c r="B607" t="s">
        <v>15</v>
      </c>
      <c r="C607" t="s">
        <v>16</v>
      </c>
      <c r="D607" s="1">
        <v>45855</v>
      </c>
      <c r="E607" t="s">
        <v>17</v>
      </c>
      <c r="F607">
        <v>6950</v>
      </c>
      <c r="G607">
        <v>11.6</v>
      </c>
      <c r="H607">
        <v>13.5</v>
      </c>
      <c r="I607">
        <v>10.199999999999999</v>
      </c>
      <c r="J607">
        <v>11.5</v>
      </c>
      <c r="K607">
        <v>14.5</v>
      </c>
      <c r="L607">
        <v>175</v>
      </c>
      <c r="M607" t="s">
        <v>346</v>
      </c>
      <c r="N607">
        <v>1218.33</v>
      </c>
      <c r="O607">
        <v>320</v>
      </c>
    </row>
    <row r="608" spans="1:15" x14ac:dyDescent="0.2">
      <c r="A608" s="6">
        <v>45847</v>
      </c>
      <c r="B608" t="s">
        <v>15</v>
      </c>
      <c r="C608" t="s">
        <v>16</v>
      </c>
      <c r="D608" s="1">
        <v>45855</v>
      </c>
      <c r="E608" t="s">
        <v>17</v>
      </c>
      <c r="F608">
        <v>4250</v>
      </c>
      <c r="J608">
        <v>1626.9</v>
      </c>
      <c r="K608">
        <v>1633.6</v>
      </c>
      <c r="L608">
        <v>0</v>
      </c>
      <c r="M608" t="s">
        <v>18</v>
      </c>
      <c r="N608">
        <v>0</v>
      </c>
      <c r="O608">
        <v>0</v>
      </c>
    </row>
    <row r="609" spans="1:15" x14ac:dyDescent="0.2">
      <c r="A609" s="6">
        <v>45847</v>
      </c>
      <c r="B609" t="s">
        <v>15</v>
      </c>
      <c r="C609" t="s">
        <v>16</v>
      </c>
      <c r="D609" s="1">
        <v>45855</v>
      </c>
      <c r="E609" t="s">
        <v>19</v>
      </c>
      <c r="F609">
        <v>7450</v>
      </c>
      <c r="J609">
        <v>1568.9</v>
      </c>
      <c r="K609">
        <v>1561.7</v>
      </c>
      <c r="L609">
        <v>0</v>
      </c>
      <c r="M609" t="s">
        <v>18</v>
      </c>
      <c r="N609">
        <v>0</v>
      </c>
      <c r="O609">
        <v>0</v>
      </c>
    </row>
    <row r="610" spans="1:15" x14ac:dyDescent="0.2">
      <c r="A610" s="6">
        <v>45847</v>
      </c>
      <c r="B610" t="s">
        <v>15</v>
      </c>
      <c r="C610" t="s">
        <v>16</v>
      </c>
      <c r="D610" s="1">
        <v>45855</v>
      </c>
      <c r="E610" t="s">
        <v>17</v>
      </c>
      <c r="F610">
        <v>7550</v>
      </c>
      <c r="G610">
        <v>7.6</v>
      </c>
      <c r="H610">
        <v>10.6</v>
      </c>
      <c r="I610">
        <v>6.5</v>
      </c>
      <c r="J610">
        <v>8.5</v>
      </c>
      <c r="K610">
        <v>7.9</v>
      </c>
      <c r="L610">
        <v>237</v>
      </c>
      <c r="M610" t="s">
        <v>347</v>
      </c>
      <c r="N610">
        <v>1791.41</v>
      </c>
      <c r="O610">
        <v>146</v>
      </c>
    </row>
    <row r="611" spans="1:15" x14ac:dyDescent="0.2">
      <c r="A611" s="6">
        <v>45847</v>
      </c>
      <c r="B611" t="s">
        <v>15</v>
      </c>
      <c r="C611" t="s">
        <v>16</v>
      </c>
      <c r="D611" s="1">
        <v>45855</v>
      </c>
      <c r="E611" t="s">
        <v>17</v>
      </c>
      <c r="F611">
        <v>3950</v>
      </c>
      <c r="J611">
        <v>1926.5</v>
      </c>
      <c r="K611">
        <v>1933.1</v>
      </c>
      <c r="L611">
        <v>0</v>
      </c>
      <c r="M611" t="s">
        <v>18</v>
      </c>
      <c r="N611">
        <v>0</v>
      </c>
      <c r="O611">
        <v>0</v>
      </c>
    </row>
    <row r="612" spans="1:15" x14ac:dyDescent="0.2">
      <c r="A612" s="6">
        <v>45847</v>
      </c>
      <c r="B612" t="s">
        <v>15</v>
      </c>
      <c r="C612" t="s">
        <v>16</v>
      </c>
      <c r="D612" s="1">
        <v>45855</v>
      </c>
      <c r="E612" t="s">
        <v>19</v>
      </c>
      <c r="F612">
        <v>5650</v>
      </c>
      <c r="G612">
        <v>48.6</v>
      </c>
      <c r="H612">
        <v>61</v>
      </c>
      <c r="I612">
        <v>40.299999999999997</v>
      </c>
      <c r="J612">
        <v>42.1</v>
      </c>
      <c r="K612">
        <v>47.2</v>
      </c>
      <c r="L612">
        <v>27244</v>
      </c>
      <c r="M612" t="s">
        <v>348</v>
      </c>
      <c r="N612">
        <v>155285.76000000001</v>
      </c>
      <c r="O612">
        <v>4097</v>
      </c>
    </row>
    <row r="613" spans="1:15" x14ac:dyDescent="0.2">
      <c r="A613" s="6">
        <v>45847</v>
      </c>
      <c r="B613" t="s">
        <v>15</v>
      </c>
      <c r="C613" t="s">
        <v>16</v>
      </c>
      <c r="D613" s="1">
        <v>45855</v>
      </c>
      <c r="E613" t="s">
        <v>19</v>
      </c>
      <c r="F613">
        <v>6350</v>
      </c>
      <c r="G613">
        <v>483</v>
      </c>
      <c r="H613">
        <v>555</v>
      </c>
      <c r="I613">
        <v>475.8</v>
      </c>
      <c r="J613">
        <v>505.9</v>
      </c>
      <c r="K613">
        <v>504.7</v>
      </c>
      <c r="L613">
        <v>8</v>
      </c>
      <c r="M613" t="s">
        <v>71</v>
      </c>
      <c r="N613">
        <v>54.85</v>
      </c>
      <c r="O613">
        <v>78</v>
      </c>
    </row>
    <row r="614" spans="1:15" x14ac:dyDescent="0.2">
      <c r="A614" s="6">
        <v>45847</v>
      </c>
      <c r="B614" t="s">
        <v>15</v>
      </c>
      <c r="C614" t="s">
        <v>16</v>
      </c>
      <c r="D614" s="1">
        <v>45855</v>
      </c>
      <c r="E614" t="s">
        <v>19</v>
      </c>
      <c r="F614">
        <v>4000</v>
      </c>
      <c r="G614">
        <v>2.9</v>
      </c>
      <c r="H614">
        <v>5.9</v>
      </c>
      <c r="I614">
        <v>2.7</v>
      </c>
      <c r="J614">
        <v>4.7</v>
      </c>
      <c r="K614">
        <v>3.2</v>
      </c>
      <c r="L614">
        <v>3338</v>
      </c>
      <c r="M614" t="s">
        <v>349</v>
      </c>
      <c r="N614">
        <v>13367.07</v>
      </c>
      <c r="O614">
        <v>827</v>
      </c>
    </row>
    <row r="615" spans="1:15" x14ac:dyDescent="0.2">
      <c r="A615" s="6">
        <v>45847</v>
      </c>
      <c r="B615" t="s">
        <v>15</v>
      </c>
      <c r="C615" t="s">
        <v>16</v>
      </c>
      <c r="D615" s="1">
        <v>45855</v>
      </c>
      <c r="E615" t="s">
        <v>19</v>
      </c>
      <c r="F615">
        <v>5600</v>
      </c>
      <c r="G615">
        <v>32.299999999999997</v>
      </c>
      <c r="H615">
        <v>47.3</v>
      </c>
      <c r="I615">
        <v>31</v>
      </c>
      <c r="J615">
        <v>32.1</v>
      </c>
      <c r="K615">
        <v>36.200000000000003</v>
      </c>
      <c r="L615">
        <v>66001</v>
      </c>
      <c r="M615" t="s">
        <v>350</v>
      </c>
      <c r="N615">
        <v>372135.49</v>
      </c>
      <c r="O615">
        <v>10087</v>
      </c>
    </row>
    <row r="616" spans="1:15" x14ac:dyDescent="0.2">
      <c r="A616" s="6">
        <v>45847</v>
      </c>
      <c r="B616" t="s">
        <v>15</v>
      </c>
      <c r="C616" t="s">
        <v>16</v>
      </c>
      <c r="D616" s="1">
        <v>45855</v>
      </c>
      <c r="E616" t="s">
        <v>17</v>
      </c>
      <c r="F616">
        <v>6100</v>
      </c>
      <c r="G616">
        <v>57.5</v>
      </c>
      <c r="H616">
        <v>64.099999999999994</v>
      </c>
      <c r="I616">
        <v>38.6</v>
      </c>
      <c r="J616">
        <v>48.9</v>
      </c>
      <c r="K616">
        <v>58.8</v>
      </c>
      <c r="L616">
        <v>64858</v>
      </c>
      <c r="M616" t="s">
        <v>351</v>
      </c>
      <c r="N616">
        <v>398862.11</v>
      </c>
      <c r="O616">
        <v>3711</v>
      </c>
    </row>
    <row r="617" spans="1:15" x14ac:dyDescent="0.2">
      <c r="A617" s="6">
        <v>45847</v>
      </c>
      <c r="B617" t="s">
        <v>15</v>
      </c>
      <c r="C617" t="s">
        <v>16</v>
      </c>
      <c r="D617" s="1">
        <v>45855</v>
      </c>
      <c r="E617" t="s">
        <v>19</v>
      </c>
      <c r="F617">
        <v>4850</v>
      </c>
      <c r="G617">
        <v>6.8</v>
      </c>
      <c r="H617">
        <v>9.6</v>
      </c>
      <c r="I617">
        <v>5.2</v>
      </c>
      <c r="J617">
        <v>7.8</v>
      </c>
      <c r="K617">
        <v>6.5</v>
      </c>
      <c r="L617">
        <v>113</v>
      </c>
      <c r="M617" t="s">
        <v>352</v>
      </c>
      <c r="N617">
        <v>549</v>
      </c>
      <c r="O617">
        <v>114</v>
      </c>
    </row>
    <row r="618" spans="1:15" x14ac:dyDescent="0.2">
      <c r="A618" s="6">
        <v>45847</v>
      </c>
      <c r="B618" t="s">
        <v>15</v>
      </c>
      <c r="C618" t="s">
        <v>16</v>
      </c>
      <c r="D618" s="1">
        <v>45855</v>
      </c>
      <c r="E618" t="s">
        <v>17</v>
      </c>
      <c r="F618">
        <v>5350</v>
      </c>
      <c r="J618">
        <v>535</v>
      </c>
      <c r="K618">
        <v>545</v>
      </c>
      <c r="L618">
        <v>0</v>
      </c>
      <c r="M618" t="s">
        <v>18</v>
      </c>
      <c r="N618">
        <v>0</v>
      </c>
      <c r="O618">
        <v>13</v>
      </c>
    </row>
    <row r="619" spans="1:15" x14ac:dyDescent="0.2">
      <c r="A619" s="6">
        <v>45847</v>
      </c>
      <c r="B619" t="s">
        <v>15</v>
      </c>
      <c r="C619" t="s">
        <v>16</v>
      </c>
      <c r="D619" s="1">
        <v>45855</v>
      </c>
      <c r="E619" t="s">
        <v>17</v>
      </c>
      <c r="F619">
        <v>4600</v>
      </c>
      <c r="J619">
        <v>1277.3</v>
      </c>
      <c r="K619">
        <v>1284.0999999999999</v>
      </c>
      <c r="L619">
        <v>0</v>
      </c>
      <c r="M619" t="s">
        <v>18</v>
      </c>
      <c r="N619">
        <v>0</v>
      </c>
      <c r="O619">
        <v>0</v>
      </c>
    </row>
    <row r="620" spans="1:15" x14ac:dyDescent="0.2">
      <c r="A620" s="6">
        <v>45847</v>
      </c>
      <c r="B620" t="s">
        <v>15</v>
      </c>
      <c r="C620" t="s">
        <v>16</v>
      </c>
      <c r="D620" s="1">
        <v>45855</v>
      </c>
      <c r="E620" t="s">
        <v>19</v>
      </c>
      <c r="F620">
        <v>7100</v>
      </c>
      <c r="J620">
        <v>1219.5</v>
      </c>
      <c r="K620">
        <v>1212.4000000000001</v>
      </c>
      <c r="L620">
        <v>0</v>
      </c>
      <c r="M620" t="s">
        <v>18</v>
      </c>
      <c r="N620">
        <v>0</v>
      </c>
      <c r="O620">
        <v>0</v>
      </c>
    </row>
    <row r="621" spans="1:15" x14ac:dyDescent="0.2">
      <c r="A621" s="6">
        <v>45847</v>
      </c>
      <c r="B621" t="s">
        <v>15</v>
      </c>
      <c r="C621" t="s">
        <v>16</v>
      </c>
      <c r="D621" s="1">
        <v>45855</v>
      </c>
      <c r="E621" t="s">
        <v>17</v>
      </c>
      <c r="F621">
        <v>7200</v>
      </c>
      <c r="G621">
        <v>12.8</v>
      </c>
      <c r="H621">
        <v>12.8</v>
      </c>
      <c r="I621">
        <v>8.8000000000000007</v>
      </c>
      <c r="J621">
        <v>9.9</v>
      </c>
      <c r="K621">
        <v>12.7</v>
      </c>
      <c r="L621">
        <v>598</v>
      </c>
      <c r="M621" t="s">
        <v>353</v>
      </c>
      <c r="N621">
        <v>4311.6099999999997</v>
      </c>
      <c r="O621">
        <v>858</v>
      </c>
    </row>
    <row r="622" spans="1:15" x14ac:dyDescent="0.2">
      <c r="A622" s="6">
        <v>45847</v>
      </c>
      <c r="B622" t="s">
        <v>15</v>
      </c>
      <c r="C622" t="s">
        <v>16</v>
      </c>
      <c r="D622" s="1">
        <v>45855</v>
      </c>
      <c r="E622" t="s">
        <v>19</v>
      </c>
      <c r="F622">
        <v>3650</v>
      </c>
      <c r="J622">
        <v>0.1</v>
      </c>
      <c r="K622">
        <v>0.1</v>
      </c>
      <c r="L622">
        <v>0</v>
      </c>
      <c r="M622" t="s">
        <v>18</v>
      </c>
      <c r="N622">
        <v>0</v>
      </c>
      <c r="O622">
        <v>0</v>
      </c>
    </row>
    <row r="623" spans="1:15" x14ac:dyDescent="0.2">
      <c r="A623" s="6">
        <v>45847</v>
      </c>
      <c r="B623" t="s">
        <v>15</v>
      </c>
      <c r="C623" t="s">
        <v>16</v>
      </c>
      <c r="D623" s="1">
        <v>45855</v>
      </c>
      <c r="E623" t="s">
        <v>19</v>
      </c>
      <c r="F623">
        <v>7400</v>
      </c>
      <c r="J623">
        <v>1519</v>
      </c>
      <c r="K623">
        <v>1511.8</v>
      </c>
      <c r="L623">
        <v>0</v>
      </c>
      <c r="M623" t="s">
        <v>18</v>
      </c>
      <c r="N623">
        <v>0</v>
      </c>
      <c r="O623">
        <v>0</v>
      </c>
    </row>
    <row r="624" spans="1:15" x14ac:dyDescent="0.2">
      <c r="A624" s="6">
        <v>45847</v>
      </c>
      <c r="B624" t="s">
        <v>15</v>
      </c>
      <c r="C624" t="s">
        <v>16</v>
      </c>
      <c r="D624" s="1">
        <v>45855</v>
      </c>
      <c r="E624" t="s">
        <v>19</v>
      </c>
      <c r="F624">
        <v>6900</v>
      </c>
      <c r="G624">
        <v>1054.0999999999999</v>
      </c>
      <c r="H624">
        <v>1077.3</v>
      </c>
      <c r="I624">
        <v>1054.0999999999999</v>
      </c>
      <c r="J624">
        <v>1058.8</v>
      </c>
      <c r="K624">
        <v>1013.2</v>
      </c>
      <c r="L624">
        <v>5</v>
      </c>
      <c r="M624" t="s">
        <v>26</v>
      </c>
      <c r="N624">
        <v>39.79</v>
      </c>
      <c r="O624">
        <v>37</v>
      </c>
    </row>
    <row r="625" spans="1:15" x14ac:dyDescent="0.2">
      <c r="A625" s="6">
        <v>45847</v>
      </c>
      <c r="B625" t="s">
        <v>15</v>
      </c>
      <c r="C625" t="s">
        <v>16</v>
      </c>
      <c r="D625" s="1">
        <v>45855</v>
      </c>
      <c r="E625" t="s">
        <v>19</v>
      </c>
      <c r="F625">
        <v>6700</v>
      </c>
      <c r="J625">
        <v>821.3</v>
      </c>
      <c r="K625">
        <v>849.4</v>
      </c>
      <c r="L625">
        <v>0</v>
      </c>
      <c r="M625" t="s">
        <v>18</v>
      </c>
      <c r="N625">
        <v>0</v>
      </c>
      <c r="O625">
        <v>181</v>
      </c>
    </row>
    <row r="626" spans="1:15" x14ac:dyDescent="0.2">
      <c r="A626" s="6">
        <v>45847</v>
      </c>
      <c r="B626" t="s">
        <v>15</v>
      </c>
      <c r="C626" t="s">
        <v>16</v>
      </c>
      <c r="D626" s="1">
        <v>45855</v>
      </c>
      <c r="E626" t="s">
        <v>17</v>
      </c>
      <c r="F626">
        <v>3650</v>
      </c>
      <c r="J626">
        <v>2226.1</v>
      </c>
      <c r="K626">
        <v>2232.6999999999998</v>
      </c>
      <c r="L626">
        <v>0</v>
      </c>
      <c r="M626" t="s">
        <v>18</v>
      </c>
      <c r="N626">
        <v>0</v>
      </c>
      <c r="O626">
        <v>0</v>
      </c>
    </row>
    <row r="627" spans="1:15" x14ac:dyDescent="0.2">
      <c r="A627" s="6">
        <v>45847</v>
      </c>
      <c r="B627" t="s">
        <v>15</v>
      </c>
      <c r="C627" t="s">
        <v>16</v>
      </c>
      <c r="D627" s="1">
        <v>45855</v>
      </c>
      <c r="E627" t="s">
        <v>19</v>
      </c>
      <c r="F627">
        <v>3950</v>
      </c>
      <c r="J627">
        <v>0.1</v>
      </c>
      <c r="K627">
        <v>0.1</v>
      </c>
      <c r="L627">
        <v>0</v>
      </c>
      <c r="M627" t="s">
        <v>18</v>
      </c>
      <c r="N627">
        <v>0</v>
      </c>
      <c r="O627">
        <v>0</v>
      </c>
    </row>
    <row r="628" spans="1:15" x14ac:dyDescent="0.2">
      <c r="A628" s="6">
        <v>45847</v>
      </c>
      <c r="B628" t="s">
        <v>15</v>
      </c>
      <c r="C628" t="s">
        <v>16</v>
      </c>
      <c r="D628" s="1">
        <v>45855</v>
      </c>
      <c r="E628" t="s">
        <v>17</v>
      </c>
      <c r="F628">
        <v>6400</v>
      </c>
      <c r="G628">
        <v>23.7</v>
      </c>
      <c r="H628">
        <v>25.8</v>
      </c>
      <c r="I628">
        <v>17.8</v>
      </c>
      <c r="J628">
        <v>19.3</v>
      </c>
      <c r="K628">
        <v>25.8</v>
      </c>
      <c r="L628">
        <v>14722</v>
      </c>
      <c r="M628" t="s">
        <v>354</v>
      </c>
      <c r="N628">
        <v>94532.13</v>
      </c>
      <c r="O628">
        <v>5521</v>
      </c>
    </row>
    <row r="629" spans="1:15" x14ac:dyDescent="0.2">
      <c r="A629" s="6">
        <v>45847</v>
      </c>
      <c r="B629" t="s">
        <v>15</v>
      </c>
      <c r="C629" t="s">
        <v>16</v>
      </c>
      <c r="D629" s="1">
        <v>45855</v>
      </c>
      <c r="E629" t="s">
        <v>17</v>
      </c>
      <c r="F629">
        <v>7600</v>
      </c>
      <c r="G629">
        <v>8</v>
      </c>
      <c r="H629">
        <v>8.1</v>
      </c>
      <c r="I629">
        <v>6</v>
      </c>
      <c r="J629">
        <v>6.9</v>
      </c>
      <c r="K629">
        <v>8.1999999999999993</v>
      </c>
      <c r="L629">
        <v>394</v>
      </c>
      <c r="M629" t="s">
        <v>355</v>
      </c>
      <c r="N629">
        <v>2997.27</v>
      </c>
      <c r="O629">
        <v>1088</v>
      </c>
    </row>
    <row r="630" spans="1:15" x14ac:dyDescent="0.2">
      <c r="A630" s="6">
        <v>45847</v>
      </c>
      <c r="B630" t="s">
        <v>15</v>
      </c>
      <c r="C630" t="s">
        <v>16</v>
      </c>
      <c r="D630" s="1">
        <v>45855</v>
      </c>
      <c r="E630" t="s">
        <v>19</v>
      </c>
      <c r="F630">
        <v>7050</v>
      </c>
      <c r="J630">
        <v>1169.5</v>
      </c>
      <c r="K630">
        <v>1162.5</v>
      </c>
      <c r="L630">
        <v>0</v>
      </c>
      <c r="M630" t="s">
        <v>18</v>
      </c>
      <c r="N630">
        <v>0</v>
      </c>
      <c r="O630">
        <v>0</v>
      </c>
    </row>
    <row r="631" spans="1:15" x14ac:dyDescent="0.2">
      <c r="A631" s="6">
        <v>45847</v>
      </c>
      <c r="B631" t="s">
        <v>15</v>
      </c>
      <c r="C631" t="s">
        <v>16</v>
      </c>
      <c r="D631" s="1">
        <v>45855</v>
      </c>
      <c r="E631" t="s">
        <v>19</v>
      </c>
      <c r="F631">
        <v>7550</v>
      </c>
      <c r="J631">
        <v>1668.8</v>
      </c>
      <c r="K631">
        <v>1661.6</v>
      </c>
      <c r="L631">
        <v>0</v>
      </c>
      <c r="M631" t="s">
        <v>18</v>
      </c>
      <c r="N631">
        <v>0</v>
      </c>
      <c r="O631">
        <v>0</v>
      </c>
    </row>
    <row r="632" spans="1:15" x14ac:dyDescent="0.2">
      <c r="A632" s="6">
        <v>45847</v>
      </c>
      <c r="B632" t="s">
        <v>15</v>
      </c>
      <c r="C632" t="s">
        <v>16</v>
      </c>
      <c r="D632" s="1">
        <v>45855</v>
      </c>
      <c r="E632" t="s">
        <v>19</v>
      </c>
      <c r="F632">
        <v>5550</v>
      </c>
      <c r="G632">
        <v>30.2</v>
      </c>
      <c r="H632">
        <v>38.200000000000003</v>
      </c>
      <c r="I632">
        <v>26</v>
      </c>
      <c r="J632">
        <v>27</v>
      </c>
      <c r="K632">
        <v>29.4</v>
      </c>
      <c r="L632">
        <v>16645</v>
      </c>
      <c r="M632" t="s">
        <v>356</v>
      </c>
      <c r="N632">
        <v>92903.8</v>
      </c>
      <c r="O632">
        <v>2489</v>
      </c>
    </row>
    <row r="633" spans="1:15" x14ac:dyDescent="0.2">
      <c r="A633" s="6">
        <v>45847</v>
      </c>
      <c r="B633" t="s">
        <v>15</v>
      </c>
      <c r="C633" t="s">
        <v>16</v>
      </c>
      <c r="D633" s="1">
        <v>45855</v>
      </c>
      <c r="E633" t="s">
        <v>17</v>
      </c>
      <c r="F633">
        <v>6600</v>
      </c>
      <c r="G633">
        <v>12</v>
      </c>
      <c r="H633">
        <v>17.899999999999999</v>
      </c>
      <c r="I633">
        <v>12</v>
      </c>
      <c r="J633">
        <v>13.8</v>
      </c>
      <c r="K633">
        <v>18.2</v>
      </c>
      <c r="L633">
        <v>5438</v>
      </c>
      <c r="M633" t="s">
        <v>357</v>
      </c>
      <c r="N633">
        <v>35974.11</v>
      </c>
      <c r="O633">
        <v>3927</v>
      </c>
    </row>
    <row r="634" spans="1:15" x14ac:dyDescent="0.2">
      <c r="A634" s="6">
        <v>45847</v>
      </c>
      <c r="B634" t="s">
        <v>15</v>
      </c>
      <c r="C634" t="s">
        <v>16</v>
      </c>
      <c r="D634" s="1">
        <v>45855</v>
      </c>
      <c r="E634" t="s">
        <v>19</v>
      </c>
      <c r="F634">
        <v>5850</v>
      </c>
      <c r="G634">
        <v>119.4</v>
      </c>
      <c r="H634">
        <v>145.69999999999999</v>
      </c>
      <c r="I634">
        <v>96.9</v>
      </c>
      <c r="J634">
        <v>104.4</v>
      </c>
      <c r="K634">
        <v>113.1</v>
      </c>
      <c r="L634">
        <v>115308</v>
      </c>
      <c r="M634" t="s">
        <v>358</v>
      </c>
      <c r="N634">
        <v>688274.58</v>
      </c>
      <c r="O634">
        <v>3756</v>
      </c>
    </row>
    <row r="635" spans="1:15" x14ac:dyDescent="0.2">
      <c r="A635" s="6">
        <v>45847</v>
      </c>
      <c r="B635" t="s">
        <v>15</v>
      </c>
      <c r="C635" t="s">
        <v>16</v>
      </c>
      <c r="D635" s="1">
        <v>45855</v>
      </c>
      <c r="E635" t="s">
        <v>19</v>
      </c>
      <c r="F635">
        <v>6000</v>
      </c>
      <c r="G635">
        <v>208.3</v>
      </c>
      <c r="H635">
        <v>246.9</v>
      </c>
      <c r="I635">
        <v>179.6</v>
      </c>
      <c r="J635">
        <v>192.3</v>
      </c>
      <c r="K635">
        <v>199.5</v>
      </c>
      <c r="L635">
        <v>46051</v>
      </c>
      <c r="M635" t="s">
        <v>359</v>
      </c>
      <c r="N635">
        <v>285811.20000000001</v>
      </c>
      <c r="O635">
        <v>2914</v>
      </c>
    </row>
    <row r="636" spans="1:15" x14ac:dyDescent="0.2">
      <c r="A636" s="6">
        <v>45847</v>
      </c>
      <c r="B636" t="s">
        <v>15</v>
      </c>
      <c r="C636" t="s">
        <v>16</v>
      </c>
      <c r="D636" s="1">
        <v>45855</v>
      </c>
      <c r="E636" t="s">
        <v>19</v>
      </c>
      <c r="F636">
        <v>6300</v>
      </c>
      <c r="G636">
        <v>470.3</v>
      </c>
      <c r="H636">
        <v>509.5</v>
      </c>
      <c r="I636">
        <v>424.8</v>
      </c>
      <c r="J636">
        <v>447.9</v>
      </c>
      <c r="K636">
        <v>437.1</v>
      </c>
      <c r="L636">
        <v>424</v>
      </c>
      <c r="M636" t="s">
        <v>360</v>
      </c>
      <c r="N636">
        <v>2871.95</v>
      </c>
      <c r="O636">
        <v>447</v>
      </c>
    </row>
    <row r="637" spans="1:15" x14ac:dyDescent="0.2">
      <c r="A637" s="6">
        <v>45847</v>
      </c>
      <c r="B637" t="s">
        <v>15</v>
      </c>
      <c r="C637" t="s">
        <v>16</v>
      </c>
      <c r="D637" s="1">
        <v>45855</v>
      </c>
      <c r="E637" t="s">
        <v>17</v>
      </c>
      <c r="F637">
        <v>3900</v>
      </c>
      <c r="J637">
        <v>1976.4</v>
      </c>
      <c r="K637">
        <v>1983.1</v>
      </c>
      <c r="L637">
        <v>0</v>
      </c>
      <c r="M637" t="s">
        <v>18</v>
      </c>
      <c r="N637">
        <v>0</v>
      </c>
      <c r="O637">
        <v>0</v>
      </c>
    </row>
    <row r="638" spans="1:15" x14ac:dyDescent="0.2">
      <c r="A638" s="6">
        <v>45847</v>
      </c>
      <c r="B638" t="s">
        <v>15</v>
      </c>
      <c r="C638" t="s">
        <v>16</v>
      </c>
      <c r="D638" s="1">
        <v>45855</v>
      </c>
      <c r="E638" t="s">
        <v>19</v>
      </c>
      <c r="F638">
        <v>3850</v>
      </c>
      <c r="J638">
        <v>0.1</v>
      </c>
      <c r="K638">
        <v>0.1</v>
      </c>
      <c r="L638">
        <v>0</v>
      </c>
      <c r="M638" t="s">
        <v>18</v>
      </c>
      <c r="N638">
        <v>0</v>
      </c>
      <c r="O638">
        <v>0</v>
      </c>
    </row>
    <row r="639" spans="1:15" x14ac:dyDescent="0.2">
      <c r="A639" s="6">
        <v>45847</v>
      </c>
      <c r="B639" t="s">
        <v>15</v>
      </c>
      <c r="C639" t="s">
        <v>16</v>
      </c>
      <c r="D639" s="1">
        <v>45855</v>
      </c>
      <c r="E639" t="s">
        <v>19</v>
      </c>
      <c r="F639">
        <v>6500</v>
      </c>
      <c r="G639">
        <v>655</v>
      </c>
      <c r="H639">
        <v>702</v>
      </c>
      <c r="I639">
        <v>629.1</v>
      </c>
      <c r="J639">
        <v>629.6</v>
      </c>
      <c r="K639">
        <v>651.20000000000005</v>
      </c>
      <c r="L639">
        <v>62</v>
      </c>
      <c r="M639" t="s">
        <v>216</v>
      </c>
      <c r="N639">
        <v>443.77</v>
      </c>
      <c r="O639">
        <v>726</v>
      </c>
    </row>
    <row r="640" spans="1:15" x14ac:dyDescent="0.2">
      <c r="A640" s="6">
        <v>45847</v>
      </c>
      <c r="B640" t="s">
        <v>15</v>
      </c>
      <c r="C640" t="s">
        <v>16</v>
      </c>
      <c r="D640" s="1">
        <v>45855</v>
      </c>
      <c r="E640" t="s">
        <v>17</v>
      </c>
      <c r="F640">
        <v>5850</v>
      </c>
      <c r="G640">
        <v>130.5</v>
      </c>
      <c r="H640">
        <v>162.1</v>
      </c>
      <c r="I640">
        <v>105.3</v>
      </c>
      <c r="J640">
        <v>135.69999999999999</v>
      </c>
      <c r="K640">
        <v>147.5</v>
      </c>
      <c r="L640">
        <v>123159</v>
      </c>
      <c r="M640" t="s">
        <v>361</v>
      </c>
      <c r="N640">
        <v>736834.93</v>
      </c>
      <c r="O640">
        <v>2280</v>
      </c>
    </row>
    <row r="641" spans="1:15" x14ac:dyDescent="0.2">
      <c r="A641" s="6">
        <v>45847</v>
      </c>
      <c r="B641" t="s">
        <v>15</v>
      </c>
      <c r="C641" t="s">
        <v>16</v>
      </c>
      <c r="D641" s="1">
        <v>45855</v>
      </c>
      <c r="E641" t="s">
        <v>19</v>
      </c>
      <c r="F641">
        <v>7650</v>
      </c>
      <c r="J641">
        <v>1768.7</v>
      </c>
      <c r="K641">
        <v>1761.4</v>
      </c>
      <c r="L641">
        <v>0</v>
      </c>
      <c r="M641" t="s">
        <v>18</v>
      </c>
      <c r="N641">
        <v>0</v>
      </c>
      <c r="O641">
        <v>0</v>
      </c>
    </row>
    <row r="642" spans="1:15" x14ac:dyDescent="0.2">
      <c r="A642" s="6">
        <v>45847</v>
      </c>
      <c r="B642" t="s">
        <v>15</v>
      </c>
      <c r="C642" t="s">
        <v>16</v>
      </c>
      <c r="D642" s="1">
        <v>45855</v>
      </c>
      <c r="E642" t="s">
        <v>19</v>
      </c>
      <c r="F642">
        <v>4750</v>
      </c>
      <c r="G642">
        <v>5.8</v>
      </c>
      <c r="H642">
        <v>5.8</v>
      </c>
      <c r="I642">
        <v>5.8</v>
      </c>
      <c r="J642">
        <v>5.8</v>
      </c>
      <c r="K642">
        <v>7.4</v>
      </c>
      <c r="L642">
        <v>4</v>
      </c>
      <c r="M642" t="s">
        <v>78</v>
      </c>
      <c r="N642">
        <v>19.02</v>
      </c>
      <c r="O642">
        <v>4</v>
      </c>
    </row>
    <row r="643" spans="1:15" x14ac:dyDescent="0.2">
      <c r="A643" s="6">
        <v>45847</v>
      </c>
      <c r="B643" t="s">
        <v>15</v>
      </c>
      <c r="C643" t="s">
        <v>16</v>
      </c>
      <c r="D643" s="1">
        <v>45855</v>
      </c>
      <c r="E643" t="s">
        <v>19</v>
      </c>
      <c r="F643">
        <v>4350</v>
      </c>
      <c r="G643">
        <v>4</v>
      </c>
      <c r="H643">
        <v>4</v>
      </c>
      <c r="I643">
        <v>4</v>
      </c>
      <c r="J643">
        <v>4</v>
      </c>
      <c r="K643">
        <v>5.5</v>
      </c>
      <c r="L643">
        <v>4</v>
      </c>
      <c r="M643" t="s">
        <v>78</v>
      </c>
      <c r="N643">
        <v>17.420000000000002</v>
      </c>
      <c r="O643">
        <v>5</v>
      </c>
    </row>
    <row r="644" spans="1:15" x14ac:dyDescent="0.2">
      <c r="A644" s="6">
        <v>45847</v>
      </c>
      <c r="B644" t="s">
        <v>15</v>
      </c>
      <c r="C644" t="s">
        <v>16</v>
      </c>
      <c r="D644" s="1">
        <v>45855</v>
      </c>
      <c r="E644" t="s">
        <v>17</v>
      </c>
      <c r="F644">
        <v>7400</v>
      </c>
      <c r="G644">
        <v>7.5</v>
      </c>
      <c r="H644">
        <v>8.8000000000000007</v>
      </c>
      <c r="I644">
        <v>7.1</v>
      </c>
      <c r="J644">
        <v>8</v>
      </c>
      <c r="K644">
        <v>9.3000000000000007</v>
      </c>
      <c r="L644">
        <v>427</v>
      </c>
      <c r="M644" t="s">
        <v>362</v>
      </c>
      <c r="N644">
        <v>3163.14</v>
      </c>
      <c r="O644">
        <v>1545</v>
      </c>
    </row>
    <row r="645" spans="1:15" x14ac:dyDescent="0.2">
      <c r="A645" s="6">
        <v>45847</v>
      </c>
      <c r="B645" t="s">
        <v>15</v>
      </c>
      <c r="C645" t="s">
        <v>16</v>
      </c>
      <c r="D645" s="1">
        <v>45855</v>
      </c>
      <c r="E645" t="s">
        <v>17</v>
      </c>
      <c r="F645">
        <v>6150</v>
      </c>
      <c r="G645">
        <v>43.7</v>
      </c>
      <c r="H645">
        <v>54.2</v>
      </c>
      <c r="I645">
        <v>32.799999999999997</v>
      </c>
      <c r="J645">
        <v>40.5</v>
      </c>
      <c r="K645">
        <v>50.2</v>
      </c>
      <c r="L645">
        <v>18731</v>
      </c>
      <c r="M645" t="s">
        <v>363</v>
      </c>
      <c r="N645">
        <v>115992.4</v>
      </c>
      <c r="O645">
        <v>847</v>
      </c>
    </row>
    <row r="646" spans="1:15" x14ac:dyDescent="0.2">
      <c r="A646" s="6">
        <v>45847</v>
      </c>
      <c r="B646" t="s">
        <v>15</v>
      </c>
      <c r="C646" t="s">
        <v>16</v>
      </c>
      <c r="D646" s="1">
        <v>45855</v>
      </c>
      <c r="E646" t="s">
        <v>17</v>
      </c>
      <c r="F646">
        <v>5400</v>
      </c>
      <c r="G646">
        <v>475.5</v>
      </c>
      <c r="H646">
        <v>521.70000000000005</v>
      </c>
      <c r="I646">
        <v>427.4</v>
      </c>
      <c r="J646">
        <v>490.2</v>
      </c>
      <c r="K646">
        <v>493.4</v>
      </c>
      <c r="L646">
        <v>418</v>
      </c>
      <c r="M646" t="s">
        <v>364</v>
      </c>
      <c r="N646">
        <v>2455.6799999999998</v>
      </c>
      <c r="O646">
        <v>567</v>
      </c>
    </row>
    <row r="647" spans="1:15" x14ac:dyDescent="0.2">
      <c r="A647" s="6">
        <v>45847</v>
      </c>
      <c r="B647" t="s">
        <v>15</v>
      </c>
      <c r="C647" t="s">
        <v>16</v>
      </c>
      <c r="D647" s="1">
        <v>45855</v>
      </c>
      <c r="E647" t="s">
        <v>17</v>
      </c>
      <c r="F647">
        <v>7700</v>
      </c>
      <c r="G647">
        <v>8.9</v>
      </c>
      <c r="H647">
        <v>8.9</v>
      </c>
      <c r="I647">
        <v>6.1</v>
      </c>
      <c r="J647">
        <v>7.4</v>
      </c>
      <c r="K647">
        <v>7.9</v>
      </c>
      <c r="L647">
        <v>1434</v>
      </c>
      <c r="M647" t="s">
        <v>365</v>
      </c>
      <c r="N647">
        <v>11052.22</v>
      </c>
      <c r="O647">
        <v>2403</v>
      </c>
    </row>
    <row r="648" spans="1:15" x14ac:dyDescent="0.2">
      <c r="A648" s="6">
        <v>45847</v>
      </c>
      <c r="B648" t="s">
        <v>15</v>
      </c>
      <c r="C648" t="s">
        <v>16</v>
      </c>
      <c r="D648" s="1">
        <v>45855</v>
      </c>
      <c r="E648" t="s">
        <v>19</v>
      </c>
      <c r="F648">
        <v>7000</v>
      </c>
      <c r="G648">
        <v>1120</v>
      </c>
      <c r="H648">
        <v>1133.8</v>
      </c>
      <c r="I648">
        <v>1120</v>
      </c>
      <c r="J648">
        <v>1129.2</v>
      </c>
      <c r="K648">
        <v>1210</v>
      </c>
      <c r="L648">
        <v>3</v>
      </c>
      <c r="M648" t="s">
        <v>34</v>
      </c>
      <c r="N648">
        <v>24.39</v>
      </c>
      <c r="O648">
        <v>12</v>
      </c>
    </row>
    <row r="649" spans="1:15" x14ac:dyDescent="0.2">
      <c r="A649" s="6">
        <v>45847</v>
      </c>
      <c r="B649" t="s">
        <v>15</v>
      </c>
      <c r="C649" t="s">
        <v>16</v>
      </c>
      <c r="D649" s="1">
        <v>45855</v>
      </c>
      <c r="E649" t="s">
        <v>19</v>
      </c>
      <c r="F649">
        <v>4300</v>
      </c>
      <c r="J649">
        <v>0.1</v>
      </c>
      <c r="K649">
        <v>0.1</v>
      </c>
      <c r="L649">
        <v>0</v>
      </c>
      <c r="M649" t="s">
        <v>18</v>
      </c>
      <c r="N649">
        <v>0</v>
      </c>
      <c r="O649">
        <v>0</v>
      </c>
    </row>
    <row r="650" spans="1:15" x14ac:dyDescent="0.2">
      <c r="A650" s="6">
        <v>45847</v>
      </c>
      <c r="B650" t="s">
        <v>15</v>
      </c>
      <c r="C650" t="s">
        <v>16</v>
      </c>
      <c r="D650" s="1">
        <v>45855</v>
      </c>
      <c r="E650" t="s">
        <v>17</v>
      </c>
      <c r="F650">
        <v>4300</v>
      </c>
      <c r="J650">
        <v>1576.9</v>
      </c>
      <c r="K650">
        <v>1583.7</v>
      </c>
      <c r="L650">
        <v>0</v>
      </c>
      <c r="M650" t="s">
        <v>18</v>
      </c>
      <c r="N650">
        <v>0</v>
      </c>
      <c r="O650">
        <v>0</v>
      </c>
    </row>
    <row r="651" spans="1:15" x14ac:dyDescent="0.2">
      <c r="A651" s="6">
        <v>45847</v>
      </c>
      <c r="B651" t="s">
        <v>15</v>
      </c>
      <c r="C651" t="s">
        <v>16</v>
      </c>
      <c r="D651" s="1">
        <v>45855</v>
      </c>
      <c r="E651" t="s">
        <v>17</v>
      </c>
      <c r="F651">
        <v>5650</v>
      </c>
      <c r="G651">
        <v>253.7</v>
      </c>
      <c r="H651">
        <v>300.8</v>
      </c>
      <c r="I651">
        <v>219.2</v>
      </c>
      <c r="J651">
        <v>270.60000000000002</v>
      </c>
      <c r="K651">
        <v>281.3</v>
      </c>
      <c r="L651">
        <v>4626</v>
      </c>
      <c r="M651" t="s">
        <v>366</v>
      </c>
      <c r="N651">
        <v>27307.05</v>
      </c>
      <c r="O651">
        <v>536</v>
      </c>
    </row>
    <row r="652" spans="1:15" x14ac:dyDescent="0.2">
      <c r="A652" s="6">
        <v>45847</v>
      </c>
      <c r="B652" t="s">
        <v>15</v>
      </c>
      <c r="C652" t="s">
        <v>16</v>
      </c>
      <c r="D652" s="1">
        <v>45855</v>
      </c>
      <c r="E652" t="s">
        <v>19</v>
      </c>
      <c r="F652">
        <v>6450</v>
      </c>
      <c r="G652">
        <v>631</v>
      </c>
      <c r="H652">
        <v>631</v>
      </c>
      <c r="I652">
        <v>577</v>
      </c>
      <c r="J652">
        <v>604</v>
      </c>
      <c r="K652">
        <v>690.7</v>
      </c>
      <c r="L652">
        <v>2</v>
      </c>
      <c r="M652" t="s">
        <v>28</v>
      </c>
      <c r="N652">
        <v>14.11</v>
      </c>
      <c r="O652">
        <v>836</v>
      </c>
    </row>
    <row r="653" spans="1:15" x14ac:dyDescent="0.2">
      <c r="A653" s="6">
        <v>45847</v>
      </c>
      <c r="B653" t="s">
        <v>15</v>
      </c>
      <c r="C653" t="s">
        <v>16</v>
      </c>
      <c r="D653" s="1">
        <v>45855</v>
      </c>
      <c r="E653" t="s">
        <v>17</v>
      </c>
      <c r="F653">
        <v>4700</v>
      </c>
      <c r="J653">
        <v>1177.5</v>
      </c>
      <c r="K653">
        <v>1184.3</v>
      </c>
      <c r="L653">
        <v>0</v>
      </c>
      <c r="M653" t="s">
        <v>18</v>
      </c>
      <c r="N653">
        <v>0</v>
      </c>
      <c r="O653">
        <v>0</v>
      </c>
    </row>
    <row r="654" spans="1:15" x14ac:dyDescent="0.2">
      <c r="A654" s="6">
        <v>45847</v>
      </c>
      <c r="B654" t="s">
        <v>15</v>
      </c>
      <c r="C654" t="s">
        <v>16</v>
      </c>
      <c r="D654" s="1">
        <v>45855</v>
      </c>
      <c r="E654" t="s">
        <v>19</v>
      </c>
      <c r="F654">
        <v>6600</v>
      </c>
      <c r="J654">
        <v>722.9</v>
      </c>
      <c r="K654">
        <v>819.1</v>
      </c>
      <c r="L654">
        <v>0</v>
      </c>
      <c r="M654" t="s">
        <v>18</v>
      </c>
      <c r="N654">
        <v>0</v>
      </c>
      <c r="O654">
        <v>161</v>
      </c>
    </row>
    <row r="655" spans="1:15" x14ac:dyDescent="0.2">
      <c r="A655" s="6">
        <v>45847</v>
      </c>
      <c r="B655" t="s">
        <v>15</v>
      </c>
      <c r="C655" t="s">
        <v>16</v>
      </c>
      <c r="D655" s="1">
        <v>45855</v>
      </c>
      <c r="E655" t="s">
        <v>17</v>
      </c>
      <c r="F655">
        <v>6450</v>
      </c>
      <c r="G655">
        <v>19.3</v>
      </c>
      <c r="H655">
        <v>23.1</v>
      </c>
      <c r="I655">
        <v>17.100000000000001</v>
      </c>
      <c r="J655">
        <v>18.100000000000001</v>
      </c>
      <c r="K655">
        <v>23.2</v>
      </c>
      <c r="L655">
        <v>1526</v>
      </c>
      <c r="M655" t="s">
        <v>367</v>
      </c>
      <c r="N655">
        <v>9872.7900000000009</v>
      </c>
      <c r="O655">
        <v>1951</v>
      </c>
    </row>
    <row r="656" spans="1:15" x14ac:dyDescent="0.2">
      <c r="A656" s="6">
        <v>45847</v>
      </c>
      <c r="B656" t="s">
        <v>15</v>
      </c>
      <c r="C656" t="s">
        <v>16</v>
      </c>
      <c r="D656" s="1">
        <v>45855</v>
      </c>
      <c r="E656" t="s">
        <v>19</v>
      </c>
      <c r="F656">
        <v>7300</v>
      </c>
      <c r="J656">
        <v>1419.1</v>
      </c>
      <c r="K656">
        <v>1411.9</v>
      </c>
      <c r="L656">
        <v>0</v>
      </c>
      <c r="M656" t="s">
        <v>18</v>
      </c>
      <c r="N656">
        <v>0</v>
      </c>
      <c r="O656">
        <v>0</v>
      </c>
    </row>
    <row r="657" spans="1:15" x14ac:dyDescent="0.2">
      <c r="A657" s="6">
        <v>45847</v>
      </c>
      <c r="B657" t="s">
        <v>15</v>
      </c>
      <c r="C657" t="s">
        <v>16</v>
      </c>
      <c r="D657" s="1">
        <v>45855</v>
      </c>
      <c r="E657" t="s">
        <v>19</v>
      </c>
      <c r="F657">
        <v>5950</v>
      </c>
      <c r="G657">
        <v>173.9</v>
      </c>
      <c r="H657">
        <v>210.1</v>
      </c>
      <c r="I657">
        <v>148.30000000000001</v>
      </c>
      <c r="J657">
        <v>159.6</v>
      </c>
      <c r="K657">
        <v>167.8</v>
      </c>
      <c r="L657">
        <v>28869</v>
      </c>
      <c r="M657" t="s">
        <v>368</v>
      </c>
      <c r="N657">
        <v>176849.46</v>
      </c>
      <c r="O657">
        <v>626</v>
      </c>
    </row>
    <row r="658" spans="1:15" x14ac:dyDescent="0.2">
      <c r="A658" s="6">
        <v>45847</v>
      </c>
      <c r="B658" t="s">
        <v>15</v>
      </c>
      <c r="C658" t="s">
        <v>16</v>
      </c>
      <c r="D658" s="1">
        <v>45855</v>
      </c>
      <c r="E658" t="s">
        <v>19</v>
      </c>
      <c r="F658">
        <v>4150</v>
      </c>
      <c r="J658">
        <v>0.1</v>
      </c>
      <c r="K658">
        <v>0.1</v>
      </c>
      <c r="L658">
        <v>0</v>
      </c>
      <c r="M658" t="s">
        <v>18</v>
      </c>
      <c r="N658">
        <v>0</v>
      </c>
      <c r="O658">
        <v>0</v>
      </c>
    </row>
    <row r="659" spans="1:15" x14ac:dyDescent="0.2">
      <c r="A659" s="6">
        <v>45847</v>
      </c>
      <c r="B659" t="s">
        <v>15</v>
      </c>
      <c r="C659" t="s">
        <v>16</v>
      </c>
      <c r="D659" s="1">
        <v>45855</v>
      </c>
      <c r="E659" t="s">
        <v>19</v>
      </c>
      <c r="F659">
        <v>5000</v>
      </c>
      <c r="G659">
        <v>9.1</v>
      </c>
      <c r="H659">
        <v>9.6</v>
      </c>
      <c r="I659">
        <v>8.1999999999999993</v>
      </c>
      <c r="J659">
        <v>8.6</v>
      </c>
      <c r="K659">
        <v>9.8000000000000007</v>
      </c>
      <c r="L659">
        <v>2502</v>
      </c>
      <c r="M659" t="s">
        <v>369</v>
      </c>
      <c r="N659">
        <v>12532.24</v>
      </c>
      <c r="O659">
        <v>2402</v>
      </c>
    </row>
    <row r="660" spans="1:15" x14ac:dyDescent="0.2">
      <c r="A660" s="6">
        <v>45847</v>
      </c>
      <c r="B660" t="s">
        <v>15</v>
      </c>
      <c r="C660" t="s">
        <v>16</v>
      </c>
      <c r="D660" s="1">
        <v>45855</v>
      </c>
      <c r="E660" t="s">
        <v>19</v>
      </c>
      <c r="F660">
        <v>3800</v>
      </c>
      <c r="J660">
        <v>0.1</v>
      </c>
      <c r="K660">
        <v>0.1</v>
      </c>
      <c r="L660">
        <v>0</v>
      </c>
      <c r="M660" t="s">
        <v>18</v>
      </c>
      <c r="N660">
        <v>0</v>
      </c>
      <c r="O660">
        <v>0</v>
      </c>
    </row>
    <row r="661" spans="1:15" x14ac:dyDescent="0.2">
      <c r="A661" s="6">
        <v>45847</v>
      </c>
      <c r="B661" t="s">
        <v>15</v>
      </c>
      <c r="C661" t="s">
        <v>16</v>
      </c>
      <c r="D661" s="1">
        <v>45855</v>
      </c>
      <c r="E661" t="s">
        <v>17</v>
      </c>
      <c r="F661">
        <v>6000</v>
      </c>
      <c r="G661">
        <v>66.400000000000006</v>
      </c>
      <c r="H661">
        <v>93.6</v>
      </c>
      <c r="I661">
        <v>57</v>
      </c>
      <c r="J661">
        <v>73.900000000000006</v>
      </c>
      <c r="K661">
        <v>85.3</v>
      </c>
      <c r="L661">
        <v>159906</v>
      </c>
      <c r="M661" t="s">
        <v>370</v>
      </c>
      <c r="N661">
        <v>971263.58</v>
      </c>
      <c r="O661">
        <v>7969</v>
      </c>
    </row>
    <row r="662" spans="1:15" x14ac:dyDescent="0.2">
      <c r="A662" s="6">
        <v>45847</v>
      </c>
      <c r="B662" t="s">
        <v>15</v>
      </c>
      <c r="C662" t="s">
        <v>16</v>
      </c>
      <c r="D662" s="1">
        <v>45855</v>
      </c>
      <c r="E662" t="s">
        <v>19</v>
      </c>
      <c r="F662">
        <v>6100</v>
      </c>
      <c r="G662">
        <v>295</v>
      </c>
      <c r="H662">
        <v>327</v>
      </c>
      <c r="I662">
        <v>251.3</v>
      </c>
      <c r="J662">
        <v>266.7</v>
      </c>
      <c r="K662">
        <v>274.10000000000002</v>
      </c>
      <c r="L662">
        <v>5753</v>
      </c>
      <c r="M662" t="s">
        <v>371</v>
      </c>
      <c r="N662">
        <v>36722.720000000001</v>
      </c>
      <c r="O662">
        <v>680</v>
      </c>
    </row>
    <row r="663" spans="1:15" x14ac:dyDescent="0.2">
      <c r="A663" s="6">
        <v>45847</v>
      </c>
      <c r="B663" t="s">
        <v>15</v>
      </c>
      <c r="C663" t="s">
        <v>16</v>
      </c>
      <c r="D663" s="1">
        <v>45855</v>
      </c>
      <c r="E663" t="s">
        <v>19</v>
      </c>
      <c r="F663">
        <v>5500</v>
      </c>
      <c r="G663">
        <v>22.6</v>
      </c>
      <c r="H663">
        <v>29.3</v>
      </c>
      <c r="I663">
        <v>19.8</v>
      </c>
      <c r="J663">
        <v>21</v>
      </c>
      <c r="K663">
        <v>22.1</v>
      </c>
      <c r="L663">
        <v>52193</v>
      </c>
      <c r="M663" t="s">
        <v>372</v>
      </c>
      <c r="N663">
        <v>288315.53999999998</v>
      </c>
      <c r="O663">
        <v>9586</v>
      </c>
    </row>
    <row r="664" spans="1:15" x14ac:dyDescent="0.2">
      <c r="A664" s="6">
        <v>45847</v>
      </c>
      <c r="B664" t="s">
        <v>15</v>
      </c>
      <c r="C664" t="s">
        <v>16</v>
      </c>
      <c r="D664" s="1">
        <v>45855</v>
      </c>
      <c r="E664" t="s">
        <v>19</v>
      </c>
      <c r="F664">
        <v>5750</v>
      </c>
      <c r="G664">
        <v>77.3</v>
      </c>
      <c r="H664">
        <v>95</v>
      </c>
      <c r="I664">
        <v>60.6</v>
      </c>
      <c r="J664">
        <v>65.2</v>
      </c>
      <c r="K664">
        <v>72.599999999999994</v>
      </c>
      <c r="L664">
        <v>65061</v>
      </c>
      <c r="M664" t="s">
        <v>373</v>
      </c>
      <c r="N664">
        <v>379144.15</v>
      </c>
      <c r="O664">
        <v>5838</v>
      </c>
    </row>
    <row r="665" spans="1:15" x14ac:dyDescent="0.2">
      <c r="A665" s="6">
        <v>45847</v>
      </c>
      <c r="B665" t="s">
        <v>15</v>
      </c>
      <c r="C665" t="s">
        <v>16</v>
      </c>
      <c r="D665" s="1">
        <v>45855</v>
      </c>
      <c r="E665" t="s">
        <v>19</v>
      </c>
      <c r="F665">
        <v>4050</v>
      </c>
      <c r="J665">
        <v>0.1</v>
      </c>
      <c r="K665">
        <v>0.1</v>
      </c>
      <c r="L665">
        <v>0</v>
      </c>
      <c r="M665" t="s">
        <v>18</v>
      </c>
      <c r="N665">
        <v>0</v>
      </c>
      <c r="O665">
        <v>0</v>
      </c>
    </row>
    <row r="666" spans="1:15" x14ac:dyDescent="0.2">
      <c r="A666" s="6">
        <v>45846</v>
      </c>
      <c r="B666" t="s">
        <v>15</v>
      </c>
      <c r="C666" t="s">
        <v>16</v>
      </c>
      <c r="D666" s="1">
        <v>45855</v>
      </c>
      <c r="E666" t="s">
        <v>17</v>
      </c>
      <c r="F666">
        <v>4650</v>
      </c>
      <c r="J666">
        <v>1234.2</v>
      </c>
      <c r="K666">
        <v>1144.2</v>
      </c>
      <c r="L666">
        <v>0</v>
      </c>
      <c r="M666" t="s">
        <v>18</v>
      </c>
      <c r="N666">
        <v>0</v>
      </c>
      <c r="O666">
        <v>0</v>
      </c>
    </row>
    <row r="667" spans="1:15" x14ac:dyDescent="0.2">
      <c r="A667" s="6">
        <v>45846</v>
      </c>
      <c r="B667" t="s">
        <v>15</v>
      </c>
      <c r="C667" t="s">
        <v>16</v>
      </c>
      <c r="D667" s="1">
        <v>45855</v>
      </c>
      <c r="E667" t="s">
        <v>19</v>
      </c>
      <c r="F667">
        <v>5100</v>
      </c>
      <c r="G667">
        <v>11.1</v>
      </c>
      <c r="H667">
        <v>12</v>
      </c>
      <c r="I667">
        <v>10.3</v>
      </c>
      <c r="J667">
        <v>10.7</v>
      </c>
      <c r="K667">
        <v>12.6</v>
      </c>
      <c r="L667">
        <v>4077</v>
      </c>
      <c r="M667" t="s">
        <v>374</v>
      </c>
      <c r="N667">
        <v>20837.150000000001</v>
      </c>
      <c r="O667">
        <v>1249</v>
      </c>
    </row>
    <row r="668" spans="1:15" x14ac:dyDescent="0.2">
      <c r="A668" s="6">
        <v>45846</v>
      </c>
      <c r="B668" t="s">
        <v>15</v>
      </c>
      <c r="C668" t="s">
        <v>16</v>
      </c>
      <c r="D668" s="1">
        <v>45855</v>
      </c>
      <c r="E668" t="s">
        <v>17</v>
      </c>
      <c r="F668">
        <v>5250</v>
      </c>
      <c r="J668">
        <v>639.70000000000005</v>
      </c>
      <c r="K668">
        <v>556.79999999999995</v>
      </c>
      <c r="L668">
        <v>0</v>
      </c>
      <c r="M668" t="s">
        <v>18</v>
      </c>
      <c r="N668">
        <v>0</v>
      </c>
      <c r="O668">
        <v>20</v>
      </c>
    </row>
    <row r="669" spans="1:15" x14ac:dyDescent="0.2">
      <c r="A669" s="6">
        <v>45846</v>
      </c>
      <c r="B669" t="s">
        <v>15</v>
      </c>
      <c r="C669" t="s">
        <v>16</v>
      </c>
      <c r="D669" s="1">
        <v>45855</v>
      </c>
      <c r="E669" t="s">
        <v>17</v>
      </c>
      <c r="F669">
        <v>4200</v>
      </c>
      <c r="J669">
        <v>1683.5</v>
      </c>
      <c r="K669">
        <v>1593.4</v>
      </c>
      <c r="L669">
        <v>0</v>
      </c>
      <c r="M669" t="s">
        <v>18</v>
      </c>
      <c r="N669">
        <v>0</v>
      </c>
      <c r="O669">
        <v>0</v>
      </c>
    </row>
    <row r="670" spans="1:15" x14ac:dyDescent="0.2">
      <c r="A670" s="6">
        <v>45846</v>
      </c>
      <c r="B670" t="s">
        <v>15</v>
      </c>
      <c r="C670" t="s">
        <v>16</v>
      </c>
      <c r="D670" s="1">
        <v>45855</v>
      </c>
      <c r="E670" t="s">
        <v>19</v>
      </c>
      <c r="F670">
        <v>6650</v>
      </c>
      <c r="G670">
        <v>772.3</v>
      </c>
      <c r="H670">
        <v>772.3</v>
      </c>
      <c r="I670">
        <v>766</v>
      </c>
      <c r="J670">
        <v>769.3</v>
      </c>
      <c r="K670">
        <v>855.8</v>
      </c>
      <c r="L670">
        <v>4</v>
      </c>
      <c r="M670" t="s">
        <v>78</v>
      </c>
      <c r="N670">
        <v>29.68</v>
      </c>
      <c r="O670">
        <v>21</v>
      </c>
    </row>
    <row r="671" spans="1:15" x14ac:dyDescent="0.2">
      <c r="A671" s="6">
        <v>45846</v>
      </c>
      <c r="B671" t="s">
        <v>15</v>
      </c>
      <c r="C671" t="s">
        <v>16</v>
      </c>
      <c r="D671" s="1">
        <v>45855</v>
      </c>
      <c r="E671" t="s">
        <v>19</v>
      </c>
      <c r="F671">
        <v>6050</v>
      </c>
      <c r="G671">
        <v>303.7</v>
      </c>
      <c r="H671">
        <v>322.8</v>
      </c>
      <c r="I671">
        <v>221.7</v>
      </c>
      <c r="J671">
        <v>235.6</v>
      </c>
      <c r="K671">
        <v>309</v>
      </c>
      <c r="L671">
        <v>2270</v>
      </c>
      <c r="M671" t="s">
        <v>375</v>
      </c>
      <c r="N671">
        <v>14336.38</v>
      </c>
      <c r="O671">
        <v>212</v>
      </c>
    </row>
    <row r="672" spans="1:15" x14ac:dyDescent="0.2">
      <c r="A672" s="6">
        <v>45846</v>
      </c>
      <c r="B672" t="s">
        <v>15</v>
      </c>
      <c r="C672" t="s">
        <v>16</v>
      </c>
      <c r="D672" s="1">
        <v>45855</v>
      </c>
      <c r="E672" t="s">
        <v>19</v>
      </c>
      <c r="F672">
        <v>4900</v>
      </c>
      <c r="G672">
        <v>8.8000000000000007</v>
      </c>
      <c r="H672">
        <v>9.3000000000000007</v>
      </c>
      <c r="I672">
        <v>7</v>
      </c>
      <c r="J672">
        <v>7.5</v>
      </c>
      <c r="K672">
        <v>9.1999999999999993</v>
      </c>
      <c r="L672">
        <v>1289</v>
      </c>
      <c r="M672" t="s">
        <v>376</v>
      </c>
      <c r="N672">
        <v>6326.92</v>
      </c>
      <c r="O672">
        <v>827</v>
      </c>
    </row>
    <row r="673" spans="1:15" x14ac:dyDescent="0.2">
      <c r="A673" s="6">
        <v>45846</v>
      </c>
      <c r="B673" t="s">
        <v>15</v>
      </c>
      <c r="C673" t="s">
        <v>16</v>
      </c>
      <c r="D673" s="1">
        <v>45855</v>
      </c>
      <c r="E673" t="s">
        <v>17</v>
      </c>
      <c r="F673">
        <v>5100</v>
      </c>
      <c r="G673">
        <v>698</v>
      </c>
      <c r="H673">
        <v>698</v>
      </c>
      <c r="I673">
        <v>698</v>
      </c>
      <c r="J673">
        <v>698</v>
      </c>
      <c r="K673">
        <v>705</v>
      </c>
      <c r="L673">
        <v>1</v>
      </c>
      <c r="M673" t="s">
        <v>155</v>
      </c>
      <c r="N673">
        <v>5.8</v>
      </c>
      <c r="O673">
        <v>6</v>
      </c>
    </row>
    <row r="674" spans="1:15" x14ac:dyDescent="0.2">
      <c r="A674" s="6">
        <v>45846</v>
      </c>
      <c r="B674" t="s">
        <v>15</v>
      </c>
      <c r="C674" t="s">
        <v>16</v>
      </c>
      <c r="D674" s="1">
        <v>45855</v>
      </c>
      <c r="E674" t="s">
        <v>19</v>
      </c>
      <c r="F674">
        <v>3600</v>
      </c>
      <c r="G674">
        <v>0.2</v>
      </c>
      <c r="H674">
        <v>5.0999999999999996</v>
      </c>
      <c r="I674">
        <v>0.2</v>
      </c>
      <c r="J674">
        <v>3</v>
      </c>
      <c r="K674">
        <v>0.1</v>
      </c>
      <c r="L674">
        <v>812</v>
      </c>
      <c r="M674" t="s">
        <v>377</v>
      </c>
      <c r="N674">
        <v>2926.09</v>
      </c>
      <c r="O674">
        <v>192</v>
      </c>
    </row>
    <row r="675" spans="1:15" x14ac:dyDescent="0.2">
      <c r="A675" s="6">
        <v>45846</v>
      </c>
      <c r="B675" t="s">
        <v>15</v>
      </c>
      <c r="C675" t="s">
        <v>16</v>
      </c>
      <c r="D675" s="1">
        <v>45855</v>
      </c>
      <c r="E675" t="s">
        <v>17</v>
      </c>
      <c r="F675">
        <v>7300</v>
      </c>
      <c r="G675">
        <v>10.6</v>
      </c>
      <c r="H675">
        <v>12.8</v>
      </c>
      <c r="I675">
        <v>10.6</v>
      </c>
      <c r="J675">
        <v>12</v>
      </c>
      <c r="K675">
        <v>10.8</v>
      </c>
      <c r="L675">
        <v>652</v>
      </c>
      <c r="M675" t="s">
        <v>22</v>
      </c>
      <c r="N675">
        <v>4767.2299999999996</v>
      </c>
      <c r="O675">
        <v>786</v>
      </c>
    </row>
    <row r="676" spans="1:15" x14ac:dyDescent="0.2">
      <c r="A676" s="6">
        <v>45846</v>
      </c>
      <c r="B676" t="s">
        <v>15</v>
      </c>
      <c r="C676" t="s">
        <v>16</v>
      </c>
      <c r="D676" s="1">
        <v>45855</v>
      </c>
      <c r="E676" t="s">
        <v>19</v>
      </c>
      <c r="F676">
        <v>7200</v>
      </c>
      <c r="J676">
        <v>1312.1</v>
      </c>
      <c r="K676">
        <v>1401.8</v>
      </c>
      <c r="L676">
        <v>0</v>
      </c>
      <c r="M676" t="s">
        <v>18</v>
      </c>
      <c r="N676">
        <v>0</v>
      </c>
      <c r="O676">
        <v>0</v>
      </c>
    </row>
    <row r="677" spans="1:15" x14ac:dyDescent="0.2">
      <c r="A677" s="6">
        <v>45846</v>
      </c>
      <c r="B677" t="s">
        <v>15</v>
      </c>
      <c r="C677" t="s">
        <v>16</v>
      </c>
      <c r="D677" s="1">
        <v>45855</v>
      </c>
      <c r="E677" t="s">
        <v>19</v>
      </c>
      <c r="F677">
        <v>4200</v>
      </c>
      <c r="J677">
        <v>0.1</v>
      </c>
      <c r="K677">
        <v>0.1</v>
      </c>
      <c r="L677">
        <v>0</v>
      </c>
      <c r="M677" t="s">
        <v>18</v>
      </c>
      <c r="N677">
        <v>0</v>
      </c>
      <c r="O677">
        <v>0</v>
      </c>
    </row>
    <row r="678" spans="1:15" x14ac:dyDescent="0.2">
      <c r="A678" s="6">
        <v>45846</v>
      </c>
      <c r="B678" t="s">
        <v>15</v>
      </c>
      <c r="C678" t="s">
        <v>16</v>
      </c>
      <c r="D678" s="1">
        <v>45855</v>
      </c>
      <c r="E678" t="s">
        <v>17</v>
      </c>
      <c r="F678">
        <v>4800</v>
      </c>
      <c r="J678">
        <v>1084.5</v>
      </c>
      <c r="K678">
        <v>994.6</v>
      </c>
      <c r="L678">
        <v>0</v>
      </c>
      <c r="M678" t="s">
        <v>18</v>
      </c>
      <c r="N678">
        <v>0</v>
      </c>
      <c r="O678">
        <v>0</v>
      </c>
    </row>
    <row r="679" spans="1:15" x14ac:dyDescent="0.2">
      <c r="A679" s="6">
        <v>45846</v>
      </c>
      <c r="B679" t="s">
        <v>15</v>
      </c>
      <c r="C679" t="s">
        <v>16</v>
      </c>
      <c r="D679" s="1">
        <v>45855</v>
      </c>
      <c r="E679" t="s">
        <v>17</v>
      </c>
      <c r="F679">
        <v>5950</v>
      </c>
      <c r="G679">
        <v>78.099999999999994</v>
      </c>
      <c r="H679">
        <v>118.2</v>
      </c>
      <c r="I679">
        <v>72</v>
      </c>
      <c r="J679">
        <v>102.4</v>
      </c>
      <c r="K679">
        <v>80.5</v>
      </c>
      <c r="L679">
        <v>45595</v>
      </c>
      <c r="M679" t="s">
        <v>378</v>
      </c>
      <c r="N679">
        <v>275390.05</v>
      </c>
      <c r="O679">
        <v>1220</v>
      </c>
    </row>
    <row r="680" spans="1:15" x14ac:dyDescent="0.2">
      <c r="A680" s="6">
        <v>45846</v>
      </c>
      <c r="B680" t="s">
        <v>15</v>
      </c>
      <c r="C680" t="s">
        <v>16</v>
      </c>
      <c r="D680" s="1">
        <v>45855</v>
      </c>
      <c r="E680" t="s">
        <v>19</v>
      </c>
      <c r="F680">
        <v>3900</v>
      </c>
      <c r="J680">
        <v>0.1</v>
      </c>
      <c r="K680">
        <v>0.1</v>
      </c>
      <c r="L680">
        <v>0</v>
      </c>
      <c r="M680" t="s">
        <v>18</v>
      </c>
      <c r="N680">
        <v>0</v>
      </c>
      <c r="O680">
        <v>0</v>
      </c>
    </row>
    <row r="681" spans="1:15" x14ac:dyDescent="0.2">
      <c r="A681" s="6">
        <v>45846</v>
      </c>
      <c r="B681" t="s">
        <v>15</v>
      </c>
      <c r="C681" t="s">
        <v>16</v>
      </c>
      <c r="D681" s="1">
        <v>45855</v>
      </c>
      <c r="E681" t="s">
        <v>19</v>
      </c>
      <c r="F681">
        <v>6550</v>
      </c>
      <c r="G681">
        <v>770.1</v>
      </c>
      <c r="H681">
        <v>784.9</v>
      </c>
      <c r="I681">
        <v>758.8</v>
      </c>
      <c r="J681">
        <v>771.3</v>
      </c>
      <c r="K681">
        <v>758.5</v>
      </c>
      <c r="L681">
        <v>3</v>
      </c>
      <c r="M681" t="s">
        <v>34</v>
      </c>
      <c r="N681">
        <v>21.96</v>
      </c>
      <c r="O681">
        <v>55</v>
      </c>
    </row>
    <row r="682" spans="1:15" x14ac:dyDescent="0.2">
      <c r="A682" s="6">
        <v>45846</v>
      </c>
      <c r="B682" t="s">
        <v>15</v>
      </c>
      <c r="C682" t="s">
        <v>16</v>
      </c>
      <c r="D682" s="1">
        <v>45855</v>
      </c>
      <c r="E682" t="s">
        <v>17</v>
      </c>
      <c r="F682">
        <v>4900</v>
      </c>
      <c r="J682">
        <v>984.7</v>
      </c>
      <c r="K682">
        <v>895.3</v>
      </c>
      <c r="L682">
        <v>0</v>
      </c>
      <c r="M682" t="s">
        <v>18</v>
      </c>
      <c r="N682">
        <v>0</v>
      </c>
      <c r="O682">
        <v>0</v>
      </c>
    </row>
    <row r="683" spans="1:15" x14ac:dyDescent="0.2">
      <c r="A683" s="6">
        <v>45846</v>
      </c>
      <c r="B683" t="s">
        <v>15</v>
      </c>
      <c r="C683" t="s">
        <v>16</v>
      </c>
      <c r="D683" s="1">
        <v>45855</v>
      </c>
      <c r="E683" t="s">
        <v>17</v>
      </c>
      <c r="F683">
        <v>5700</v>
      </c>
      <c r="G683">
        <v>192.9</v>
      </c>
      <c r="H683">
        <v>264</v>
      </c>
      <c r="I683">
        <v>175.8</v>
      </c>
      <c r="J683">
        <v>240.8</v>
      </c>
      <c r="K683">
        <v>192.2</v>
      </c>
      <c r="L683">
        <v>74653</v>
      </c>
      <c r="M683" t="s">
        <v>379</v>
      </c>
      <c r="N683">
        <v>440750.7</v>
      </c>
      <c r="O683">
        <v>8295</v>
      </c>
    </row>
    <row r="684" spans="1:15" x14ac:dyDescent="0.2">
      <c r="A684" s="6">
        <v>45846</v>
      </c>
      <c r="B684" t="s">
        <v>15</v>
      </c>
      <c r="C684" t="s">
        <v>16</v>
      </c>
      <c r="D684" s="1">
        <v>45855</v>
      </c>
      <c r="E684" t="s">
        <v>17</v>
      </c>
      <c r="F684">
        <v>4950</v>
      </c>
      <c r="J684">
        <v>934.9</v>
      </c>
      <c r="K684">
        <v>845.8</v>
      </c>
      <c r="L684">
        <v>0</v>
      </c>
      <c r="M684" t="s">
        <v>18</v>
      </c>
      <c r="N684">
        <v>0</v>
      </c>
      <c r="O684">
        <v>0</v>
      </c>
    </row>
    <row r="685" spans="1:15" x14ac:dyDescent="0.2">
      <c r="A685" s="6">
        <v>45846</v>
      </c>
      <c r="B685" t="s">
        <v>15</v>
      </c>
      <c r="C685" t="s">
        <v>16</v>
      </c>
      <c r="D685" s="1">
        <v>45855</v>
      </c>
      <c r="E685" t="s">
        <v>17</v>
      </c>
      <c r="F685">
        <v>6200</v>
      </c>
      <c r="G685">
        <v>32.1</v>
      </c>
      <c r="H685">
        <v>50</v>
      </c>
      <c r="I685">
        <v>32</v>
      </c>
      <c r="J685">
        <v>42.5</v>
      </c>
      <c r="K685">
        <v>36.700000000000003</v>
      </c>
      <c r="L685">
        <v>31496</v>
      </c>
      <c r="M685" t="s">
        <v>380</v>
      </c>
      <c r="N685">
        <v>196509.59</v>
      </c>
      <c r="O685">
        <v>3081</v>
      </c>
    </row>
    <row r="686" spans="1:15" x14ac:dyDescent="0.2">
      <c r="A686" s="6">
        <v>45846</v>
      </c>
      <c r="B686" t="s">
        <v>15</v>
      </c>
      <c r="C686" t="s">
        <v>16</v>
      </c>
      <c r="D686" s="1">
        <v>45855</v>
      </c>
      <c r="E686" t="s">
        <v>19</v>
      </c>
      <c r="F686">
        <v>6150</v>
      </c>
      <c r="G686">
        <v>386.5</v>
      </c>
      <c r="H686">
        <v>408.7</v>
      </c>
      <c r="I686">
        <v>300.60000000000002</v>
      </c>
      <c r="J686">
        <v>315.5</v>
      </c>
      <c r="K686">
        <v>400</v>
      </c>
      <c r="L686">
        <v>228</v>
      </c>
      <c r="M686" t="s">
        <v>381</v>
      </c>
      <c r="N686">
        <v>1484.61</v>
      </c>
      <c r="O686">
        <v>186</v>
      </c>
    </row>
    <row r="687" spans="1:15" x14ac:dyDescent="0.2">
      <c r="A687" s="6">
        <v>45846</v>
      </c>
      <c r="B687" t="s">
        <v>15</v>
      </c>
      <c r="C687" t="s">
        <v>16</v>
      </c>
      <c r="D687" s="1">
        <v>45855</v>
      </c>
      <c r="E687" t="s">
        <v>17</v>
      </c>
      <c r="F687">
        <v>5300</v>
      </c>
      <c r="G687">
        <v>512.5</v>
      </c>
      <c r="H687">
        <v>624.9</v>
      </c>
      <c r="I687">
        <v>503.6</v>
      </c>
      <c r="J687">
        <v>594.70000000000005</v>
      </c>
      <c r="K687">
        <v>515.4</v>
      </c>
      <c r="L687">
        <v>51</v>
      </c>
      <c r="M687" t="s">
        <v>173</v>
      </c>
      <c r="N687">
        <v>298.45999999999998</v>
      </c>
      <c r="O687">
        <v>57</v>
      </c>
    </row>
    <row r="688" spans="1:15" x14ac:dyDescent="0.2">
      <c r="A688" s="6">
        <v>45846</v>
      </c>
      <c r="B688" t="s">
        <v>15</v>
      </c>
      <c r="C688" t="s">
        <v>16</v>
      </c>
      <c r="D688" s="1">
        <v>45855</v>
      </c>
      <c r="E688" t="s">
        <v>19</v>
      </c>
      <c r="F688">
        <v>6950</v>
      </c>
      <c r="J688">
        <v>1062.9000000000001</v>
      </c>
      <c r="K688">
        <v>1152.5999999999999</v>
      </c>
      <c r="L688">
        <v>0</v>
      </c>
      <c r="M688" t="s">
        <v>18</v>
      </c>
      <c r="N688">
        <v>0</v>
      </c>
      <c r="O688">
        <v>15</v>
      </c>
    </row>
    <row r="689" spans="1:15" x14ac:dyDescent="0.2">
      <c r="A689" s="6">
        <v>45846</v>
      </c>
      <c r="B689" t="s">
        <v>15</v>
      </c>
      <c r="C689" t="s">
        <v>16</v>
      </c>
      <c r="D689" s="1">
        <v>45855</v>
      </c>
      <c r="E689" t="s">
        <v>17</v>
      </c>
      <c r="F689">
        <v>4450</v>
      </c>
      <c r="J689">
        <v>1433.9</v>
      </c>
      <c r="K689">
        <v>1343.8</v>
      </c>
      <c r="L689">
        <v>0</v>
      </c>
      <c r="M689" t="s">
        <v>18</v>
      </c>
      <c r="N689">
        <v>0</v>
      </c>
      <c r="O689">
        <v>0</v>
      </c>
    </row>
    <row r="690" spans="1:15" x14ac:dyDescent="0.2">
      <c r="A690" s="6">
        <v>45846</v>
      </c>
      <c r="B690" t="s">
        <v>15</v>
      </c>
      <c r="C690" t="s">
        <v>16</v>
      </c>
      <c r="D690" s="1">
        <v>45855</v>
      </c>
      <c r="E690" t="s">
        <v>17</v>
      </c>
      <c r="F690">
        <v>4100</v>
      </c>
      <c r="J690">
        <v>1783.4</v>
      </c>
      <c r="K690">
        <v>1693.2</v>
      </c>
      <c r="L690">
        <v>0</v>
      </c>
      <c r="M690" t="s">
        <v>18</v>
      </c>
      <c r="N690">
        <v>0</v>
      </c>
      <c r="O690">
        <v>0</v>
      </c>
    </row>
    <row r="691" spans="1:15" x14ac:dyDescent="0.2">
      <c r="A691" s="6">
        <v>45846</v>
      </c>
      <c r="B691" t="s">
        <v>15</v>
      </c>
      <c r="C691" t="s">
        <v>16</v>
      </c>
      <c r="D691" s="1">
        <v>45855</v>
      </c>
      <c r="E691" t="s">
        <v>17</v>
      </c>
      <c r="F691">
        <v>4400</v>
      </c>
      <c r="J691">
        <v>1483.8</v>
      </c>
      <c r="K691">
        <v>1393.7</v>
      </c>
      <c r="L691">
        <v>0</v>
      </c>
      <c r="M691" t="s">
        <v>18</v>
      </c>
      <c r="N691">
        <v>0</v>
      </c>
      <c r="O691">
        <v>0</v>
      </c>
    </row>
    <row r="692" spans="1:15" x14ac:dyDescent="0.2">
      <c r="A692" s="6">
        <v>45846</v>
      </c>
      <c r="B692" t="s">
        <v>15</v>
      </c>
      <c r="C692" t="s">
        <v>16</v>
      </c>
      <c r="D692" s="1">
        <v>45855</v>
      </c>
      <c r="E692" t="s">
        <v>17</v>
      </c>
      <c r="F692">
        <v>4750</v>
      </c>
      <c r="J692">
        <v>1134.4000000000001</v>
      </c>
      <c r="K692">
        <v>1044.4000000000001</v>
      </c>
      <c r="L692">
        <v>0</v>
      </c>
      <c r="M692" t="s">
        <v>18</v>
      </c>
      <c r="N692">
        <v>0</v>
      </c>
      <c r="O692">
        <v>0</v>
      </c>
    </row>
    <row r="693" spans="1:15" x14ac:dyDescent="0.2">
      <c r="A693" s="6">
        <v>45846</v>
      </c>
      <c r="B693" t="s">
        <v>15</v>
      </c>
      <c r="C693" t="s">
        <v>16</v>
      </c>
      <c r="D693" s="1">
        <v>45855</v>
      </c>
      <c r="E693" t="s">
        <v>17</v>
      </c>
      <c r="F693">
        <v>5000</v>
      </c>
      <c r="G693">
        <v>796.9</v>
      </c>
      <c r="H693">
        <v>889.2</v>
      </c>
      <c r="I693">
        <v>790</v>
      </c>
      <c r="J693">
        <v>831</v>
      </c>
      <c r="K693">
        <v>765.8</v>
      </c>
      <c r="L693">
        <v>6</v>
      </c>
      <c r="M693" t="s">
        <v>132</v>
      </c>
      <c r="N693">
        <v>34.99</v>
      </c>
      <c r="O693">
        <v>16</v>
      </c>
    </row>
    <row r="694" spans="1:15" x14ac:dyDescent="0.2">
      <c r="A694" s="6">
        <v>45846</v>
      </c>
      <c r="B694" t="s">
        <v>15</v>
      </c>
      <c r="C694" t="s">
        <v>16</v>
      </c>
      <c r="D694" s="1">
        <v>45855</v>
      </c>
      <c r="E694" t="s">
        <v>17</v>
      </c>
      <c r="F694">
        <v>4350</v>
      </c>
      <c r="J694">
        <v>1533.7</v>
      </c>
      <c r="K694">
        <v>1443.6</v>
      </c>
      <c r="L694">
        <v>0</v>
      </c>
      <c r="M694" t="s">
        <v>18</v>
      </c>
      <c r="N694">
        <v>0</v>
      </c>
      <c r="O694">
        <v>0</v>
      </c>
    </row>
    <row r="695" spans="1:15" x14ac:dyDescent="0.2">
      <c r="A695" s="6">
        <v>45846</v>
      </c>
      <c r="B695" t="s">
        <v>15</v>
      </c>
      <c r="C695" t="s">
        <v>16</v>
      </c>
      <c r="D695" s="1">
        <v>45855</v>
      </c>
      <c r="E695" t="s">
        <v>17</v>
      </c>
      <c r="F695">
        <v>7450</v>
      </c>
      <c r="G695">
        <v>5.0999999999999996</v>
      </c>
      <c r="H695">
        <v>12.6</v>
      </c>
      <c r="I695">
        <v>5.0999999999999996</v>
      </c>
      <c r="J695">
        <v>11.5</v>
      </c>
      <c r="K695">
        <v>10.4</v>
      </c>
      <c r="L695">
        <v>49</v>
      </c>
      <c r="M695" t="s">
        <v>151</v>
      </c>
      <c r="N695">
        <v>365.58</v>
      </c>
      <c r="O695">
        <v>85</v>
      </c>
    </row>
    <row r="696" spans="1:15" x14ac:dyDescent="0.2">
      <c r="A696" s="6">
        <v>45846</v>
      </c>
      <c r="B696" t="s">
        <v>15</v>
      </c>
      <c r="C696" t="s">
        <v>16</v>
      </c>
      <c r="D696" s="1">
        <v>45855</v>
      </c>
      <c r="E696" t="s">
        <v>19</v>
      </c>
      <c r="F696">
        <v>5200</v>
      </c>
      <c r="G696">
        <v>13.3</v>
      </c>
      <c r="H696">
        <v>13.5</v>
      </c>
      <c r="I696">
        <v>11.1</v>
      </c>
      <c r="J696">
        <v>11.9</v>
      </c>
      <c r="K696">
        <v>14</v>
      </c>
      <c r="L696">
        <v>11191</v>
      </c>
      <c r="M696" t="s">
        <v>382</v>
      </c>
      <c r="N696">
        <v>58328.4</v>
      </c>
      <c r="O696">
        <v>2864</v>
      </c>
    </row>
    <row r="697" spans="1:15" x14ac:dyDescent="0.2">
      <c r="A697" s="6">
        <v>45846</v>
      </c>
      <c r="B697" t="s">
        <v>15</v>
      </c>
      <c r="C697" t="s">
        <v>16</v>
      </c>
      <c r="D697" s="1">
        <v>45855</v>
      </c>
      <c r="E697" t="s">
        <v>17</v>
      </c>
      <c r="F697">
        <v>3700</v>
      </c>
      <c r="J697">
        <v>2182.8000000000002</v>
      </c>
      <c r="K697">
        <v>2092.6</v>
      </c>
      <c r="L697">
        <v>0</v>
      </c>
      <c r="M697" t="s">
        <v>18</v>
      </c>
      <c r="N697">
        <v>0</v>
      </c>
      <c r="O697">
        <v>0</v>
      </c>
    </row>
    <row r="698" spans="1:15" x14ac:dyDescent="0.2">
      <c r="A698" s="6">
        <v>45846</v>
      </c>
      <c r="B698" t="s">
        <v>15</v>
      </c>
      <c r="C698" t="s">
        <v>16</v>
      </c>
      <c r="D698" s="1">
        <v>45855</v>
      </c>
      <c r="E698" t="s">
        <v>19</v>
      </c>
      <c r="F698">
        <v>5250</v>
      </c>
      <c r="G698">
        <v>14.2</v>
      </c>
      <c r="H698">
        <v>15.7</v>
      </c>
      <c r="I698">
        <v>11.9</v>
      </c>
      <c r="J698">
        <v>12.7</v>
      </c>
      <c r="K698">
        <v>16.7</v>
      </c>
      <c r="L698">
        <v>715</v>
      </c>
      <c r="M698" t="s">
        <v>383</v>
      </c>
      <c r="N698">
        <v>3763.56</v>
      </c>
      <c r="O698">
        <v>559</v>
      </c>
    </row>
    <row r="699" spans="1:15" x14ac:dyDescent="0.2">
      <c r="A699" s="6">
        <v>45846</v>
      </c>
      <c r="B699" t="s">
        <v>15</v>
      </c>
      <c r="C699" t="s">
        <v>16</v>
      </c>
      <c r="D699" s="1">
        <v>45855</v>
      </c>
      <c r="E699" t="s">
        <v>17</v>
      </c>
      <c r="F699">
        <v>4850</v>
      </c>
      <c r="J699">
        <v>1034.5999999999999</v>
      </c>
      <c r="K699">
        <v>944.9</v>
      </c>
      <c r="L699">
        <v>0</v>
      </c>
      <c r="M699" t="s">
        <v>18</v>
      </c>
      <c r="N699">
        <v>0</v>
      </c>
      <c r="O699">
        <v>0</v>
      </c>
    </row>
    <row r="700" spans="1:15" x14ac:dyDescent="0.2">
      <c r="A700" s="6">
        <v>45846</v>
      </c>
      <c r="B700" t="s">
        <v>15</v>
      </c>
      <c r="C700" t="s">
        <v>16</v>
      </c>
      <c r="D700" s="1">
        <v>45855</v>
      </c>
      <c r="E700" t="s">
        <v>17</v>
      </c>
      <c r="F700">
        <v>5750</v>
      </c>
      <c r="G700">
        <v>160.19999999999999</v>
      </c>
      <c r="H700">
        <v>229.7</v>
      </c>
      <c r="I700">
        <v>149.1</v>
      </c>
      <c r="J700">
        <v>207.3</v>
      </c>
      <c r="K700">
        <v>163.1</v>
      </c>
      <c r="L700">
        <v>38355</v>
      </c>
      <c r="M700" t="s">
        <v>384</v>
      </c>
      <c r="N700">
        <v>227250.17</v>
      </c>
      <c r="O700">
        <v>588</v>
      </c>
    </row>
    <row r="701" spans="1:15" x14ac:dyDescent="0.2">
      <c r="A701" s="6">
        <v>45846</v>
      </c>
      <c r="B701" t="s">
        <v>15</v>
      </c>
      <c r="C701" t="s">
        <v>16</v>
      </c>
      <c r="D701" s="1">
        <v>45855</v>
      </c>
      <c r="E701" t="s">
        <v>19</v>
      </c>
      <c r="F701">
        <v>6800</v>
      </c>
      <c r="J701">
        <v>914.1</v>
      </c>
      <c r="K701">
        <v>1003.6</v>
      </c>
      <c r="L701">
        <v>0</v>
      </c>
      <c r="M701" t="s">
        <v>18</v>
      </c>
      <c r="N701">
        <v>0</v>
      </c>
      <c r="O701">
        <v>91</v>
      </c>
    </row>
    <row r="702" spans="1:15" x14ac:dyDescent="0.2">
      <c r="A702" s="6">
        <v>45846</v>
      </c>
      <c r="B702" t="s">
        <v>15</v>
      </c>
      <c r="C702" t="s">
        <v>16</v>
      </c>
      <c r="D702" s="1">
        <v>45855</v>
      </c>
      <c r="E702" t="s">
        <v>19</v>
      </c>
      <c r="F702">
        <v>5900</v>
      </c>
      <c r="G702">
        <v>188.4</v>
      </c>
      <c r="H702">
        <v>211.3</v>
      </c>
      <c r="I702">
        <v>128.5</v>
      </c>
      <c r="J702">
        <v>138.80000000000001</v>
      </c>
      <c r="K702">
        <v>200.1</v>
      </c>
      <c r="L702">
        <v>81917</v>
      </c>
      <c r="M702" t="s">
        <v>385</v>
      </c>
      <c r="N702">
        <v>496526.35</v>
      </c>
      <c r="O702">
        <v>4649</v>
      </c>
    </row>
    <row r="703" spans="1:15" x14ac:dyDescent="0.2">
      <c r="A703" s="6">
        <v>45846</v>
      </c>
      <c r="B703" t="s">
        <v>15</v>
      </c>
      <c r="C703" t="s">
        <v>16</v>
      </c>
      <c r="D703" s="1">
        <v>45855</v>
      </c>
      <c r="E703" t="s">
        <v>17</v>
      </c>
      <c r="F703">
        <v>7250</v>
      </c>
      <c r="G703">
        <v>12.5</v>
      </c>
      <c r="H703">
        <v>14</v>
      </c>
      <c r="I703">
        <v>10.5</v>
      </c>
      <c r="J703">
        <v>12.5</v>
      </c>
      <c r="K703">
        <v>12</v>
      </c>
      <c r="L703">
        <v>84</v>
      </c>
      <c r="M703" t="s">
        <v>386</v>
      </c>
      <c r="N703">
        <v>610.01</v>
      </c>
      <c r="O703">
        <v>105</v>
      </c>
    </row>
    <row r="704" spans="1:15" x14ac:dyDescent="0.2">
      <c r="A704" s="6">
        <v>45846</v>
      </c>
      <c r="B704" t="s">
        <v>15</v>
      </c>
      <c r="C704" t="s">
        <v>16</v>
      </c>
      <c r="D704" s="1">
        <v>45855</v>
      </c>
      <c r="E704" t="s">
        <v>19</v>
      </c>
      <c r="F704">
        <v>4800</v>
      </c>
      <c r="G704">
        <v>7.2</v>
      </c>
      <c r="H704">
        <v>8.6999999999999993</v>
      </c>
      <c r="I704">
        <v>6.8</v>
      </c>
      <c r="J704">
        <v>7.2</v>
      </c>
      <c r="K704">
        <v>8.6999999999999993</v>
      </c>
      <c r="L704">
        <v>592</v>
      </c>
      <c r="M704" t="s">
        <v>387</v>
      </c>
      <c r="N704">
        <v>2846.2</v>
      </c>
      <c r="O704">
        <v>674</v>
      </c>
    </row>
    <row r="705" spans="1:15" x14ac:dyDescent="0.2">
      <c r="A705" s="6">
        <v>45846</v>
      </c>
      <c r="B705" t="s">
        <v>15</v>
      </c>
      <c r="C705" t="s">
        <v>16</v>
      </c>
      <c r="D705" s="1">
        <v>45855</v>
      </c>
      <c r="E705" t="s">
        <v>17</v>
      </c>
      <c r="F705">
        <v>3800</v>
      </c>
      <c r="J705">
        <v>2082.9</v>
      </c>
      <c r="K705">
        <v>1992.7</v>
      </c>
      <c r="L705">
        <v>0</v>
      </c>
      <c r="M705" t="s">
        <v>18</v>
      </c>
      <c r="N705">
        <v>0</v>
      </c>
      <c r="O705">
        <v>0</v>
      </c>
    </row>
    <row r="706" spans="1:15" x14ac:dyDescent="0.2">
      <c r="A706" s="6">
        <v>45846</v>
      </c>
      <c r="B706" t="s">
        <v>15</v>
      </c>
      <c r="C706" t="s">
        <v>16</v>
      </c>
      <c r="D706" s="1">
        <v>45855</v>
      </c>
      <c r="E706" t="s">
        <v>19</v>
      </c>
      <c r="F706">
        <v>7600</v>
      </c>
      <c r="J706">
        <v>1711.5</v>
      </c>
      <c r="K706">
        <v>1801</v>
      </c>
      <c r="L706">
        <v>0</v>
      </c>
      <c r="M706" t="s">
        <v>18</v>
      </c>
      <c r="N706">
        <v>0</v>
      </c>
      <c r="O706">
        <v>0</v>
      </c>
    </row>
    <row r="707" spans="1:15" x14ac:dyDescent="0.2">
      <c r="A707" s="6">
        <v>45846</v>
      </c>
      <c r="B707" t="s">
        <v>15</v>
      </c>
      <c r="C707" t="s">
        <v>16</v>
      </c>
      <c r="D707" s="1">
        <v>45855</v>
      </c>
      <c r="E707" t="s">
        <v>17</v>
      </c>
      <c r="F707">
        <v>5550</v>
      </c>
      <c r="G707">
        <v>295.3</v>
      </c>
      <c r="H707">
        <v>385</v>
      </c>
      <c r="I707">
        <v>277.5</v>
      </c>
      <c r="J707">
        <v>361.8</v>
      </c>
      <c r="K707">
        <v>296.89999999999998</v>
      </c>
      <c r="L707">
        <v>1325</v>
      </c>
      <c r="M707" t="s">
        <v>388</v>
      </c>
      <c r="N707">
        <v>7764.86</v>
      </c>
      <c r="O707">
        <v>127</v>
      </c>
    </row>
    <row r="708" spans="1:15" x14ac:dyDescent="0.2">
      <c r="A708" s="6">
        <v>45846</v>
      </c>
      <c r="B708" t="s">
        <v>15</v>
      </c>
      <c r="C708" t="s">
        <v>16</v>
      </c>
      <c r="D708" s="1">
        <v>45855</v>
      </c>
      <c r="E708" t="s">
        <v>19</v>
      </c>
      <c r="F708">
        <v>4600</v>
      </c>
      <c r="G708">
        <v>7.3</v>
      </c>
      <c r="H708">
        <v>7.3</v>
      </c>
      <c r="I708">
        <v>6</v>
      </c>
      <c r="J708">
        <v>6.3</v>
      </c>
      <c r="K708">
        <v>7.2</v>
      </c>
      <c r="L708">
        <v>94</v>
      </c>
      <c r="M708" t="s">
        <v>389</v>
      </c>
      <c r="N708">
        <v>433.03</v>
      </c>
      <c r="O708">
        <v>125</v>
      </c>
    </row>
    <row r="709" spans="1:15" x14ac:dyDescent="0.2">
      <c r="A709" s="6">
        <v>45846</v>
      </c>
      <c r="B709" t="s">
        <v>15</v>
      </c>
      <c r="C709" t="s">
        <v>16</v>
      </c>
      <c r="D709" s="1">
        <v>45855</v>
      </c>
      <c r="E709" t="s">
        <v>19</v>
      </c>
      <c r="F709">
        <v>6200</v>
      </c>
      <c r="G709">
        <v>429.2</v>
      </c>
      <c r="H709">
        <v>455</v>
      </c>
      <c r="I709">
        <v>339.5</v>
      </c>
      <c r="J709">
        <v>355.5</v>
      </c>
      <c r="K709">
        <v>437.6</v>
      </c>
      <c r="L709">
        <v>730</v>
      </c>
      <c r="M709" t="s">
        <v>110</v>
      </c>
      <c r="N709">
        <v>4816.08</v>
      </c>
      <c r="O709">
        <v>531</v>
      </c>
    </row>
    <row r="710" spans="1:15" x14ac:dyDescent="0.2">
      <c r="A710" s="6">
        <v>45846</v>
      </c>
      <c r="B710" t="s">
        <v>15</v>
      </c>
      <c r="C710" t="s">
        <v>16</v>
      </c>
      <c r="D710" s="1">
        <v>45855</v>
      </c>
      <c r="E710" t="s">
        <v>17</v>
      </c>
      <c r="F710">
        <v>5600</v>
      </c>
      <c r="G710">
        <v>262.8</v>
      </c>
      <c r="H710">
        <v>342</v>
      </c>
      <c r="I710">
        <v>240.1</v>
      </c>
      <c r="J710">
        <v>318.5</v>
      </c>
      <c r="K710">
        <v>259.5</v>
      </c>
      <c r="L710">
        <v>13124</v>
      </c>
      <c r="M710" t="s">
        <v>390</v>
      </c>
      <c r="N710">
        <v>77145.3</v>
      </c>
      <c r="O710">
        <v>3075</v>
      </c>
    </row>
    <row r="711" spans="1:15" x14ac:dyDescent="0.2">
      <c r="A711" s="6">
        <v>45846</v>
      </c>
      <c r="B711" t="s">
        <v>15</v>
      </c>
      <c r="C711" t="s">
        <v>16</v>
      </c>
      <c r="D711" s="1">
        <v>45855</v>
      </c>
      <c r="E711" t="s">
        <v>17</v>
      </c>
      <c r="F711">
        <v>6750</v>
      </c>
      <c r="G711">
        <v>13.4</v>
      </c>
      <c r="H711">
        <v>18.3</v>
      </c>
      <c r="I711">
        <v>13.4</v>
      </c>
      <c r="J711">
        <v>16.2</v>
      </c>
      <c r="K711">
        <v>14.8</v>
      </c>
      <c r="L711">
        <v>323</v>
      </c>
      <c r="M711" t="s">
        <v>391</v>
      </c>
      <c r="N711">
        <v>2185.61</v>
      </c>
      <c r="O711">
        <v>201</v>
      </c>
    </row>
    <row r="712" spans="1:15" x14ac:dyDescent="0.2">
      <c r="A712" s="6">
        <v>45846</v>
      </c>
      <c r="B712" t="s">
        <v>15</v>
      </c>
      <c r="C712" t="s">
        <v>16</v>
      </c>
      <c r="D712" s="1">
        <v>45855</v>
      </c>
      <c r="E712" t="s">
        <v>19</v>
      </c>
      <c r="F712">
        <v>4950</v>
      </c>
      <c r="G712">
        <v>8</v>
      </c>
      <c r="H712">
        <v>11.4</v>
      </c>
      <c r="I712">
        <v>8</v>
      </c>
      <c r="J712">
        <v>9.8000000000000007</v>
      </c>
      <c r="K712">
        <v>10.7</v>
      </c>
      <c r="L712">
        <v>189</v>
      </c>
      <c r="M712" t="s">
        <v>323</v>
      </c>
      <c r="N712">
        <v>937.44</v>
      </c>
      <c r="O712">
        <v>175</v>
      </c>
    </row>
    <row r="713" spans="1:15" x14ac:dyDescent="0.2">
      <c r="A713" s="6">
        <v>45846</v>
      </c>
      <c r="B713" t="s">
        <v>15</v>
      </c>
      <c r="C713" t="s">
        <v>16</v>
      </c>
      <c r="D713" s="1">
        <v>45855</v>
      </c>
      <c r="E713" t="s">
        <v>17</v>
      </c>
      <c r="F713">
        <v>3850</v>
      </c>
      <c r="J713">
        <v>2033</v>
      </c>
      <c r="K713">
        <v>1942.8</v>
      </c>
      <c r="L713">
        <v>0</v>
      </c>
      <c r="M713" t="s">
        <v>18</v>
      </c>
      <c r="N713">
        <v>0</v>
      </c>
      <c r="O713">
        <v>0</v>
      </c>
    </row>
    <row r="714" spans="1:15" x14ac:dyDescent="0.2">
      <c r="A714" s="6">
        <v>45846</v>
      </c>
      <c r="B714" t="s">
        <v>15</v>
      </c>
      <c r="C714" t="s">
        <v>16</v>
      </c>
      <c r="D714" s="1">
        <v>45855</v>
      </c>
      <c r="E714" t="s">
        <v>19</v>
      </c>
      <c r="F714">
        <v>4250</v>
      </c>
      <c r="G714">
        <v>0.3</v>
      </c>
      <c r="H714">
        <v>9</v>
      </c>
      <c r="I714">
        <v>0.3</v>
      </c>
      <c r="J714">
        <v>5.8</v>
      </c>
      <c r="K714">
        <v>0.1</v>
      </c>
      <c r="L714">
        <v>20</v>
      </c>
      <c r="M714" t="s">
        <v>258</v>
      </c>
      <c r="N714">
        <v>85.12</v>
      </c>
      <c r="O714">
        <v>5</v>
      </c>
    </row>
    <row r="715" spans="1:15" x14ac:dyDescent="0.2">
      <c r="A715" s="6">
        <v>45846</v>
      </c>
      <c r="B715" t="s">
        <v>15</v>
      </c>
      <c r="C715" t="s">
        <v>16</v>
      </c>
      <c r="D715" s="1">
        <v>45855</v>
      </c>
      <c r="E715" t="s">
        <v>17</v>
      </c>
      <c r="F715">
        <v>7650</v>
      </c>
      <c r="G715">
        <v>7.4</v>
      </c>
      <c r="H715">
        <v>9.9</v>
      </c>
      <c r="I715">
        <v>7.1</v>
      </c>
      <c r="J715">
        <v>8.8000000000000007</v>
      </c>
      <c r="K715">
        <v>9.1999999999999993</v>
      </c>
      <c r="L715">
        <v>111</v>
      </c>
      <c r="M715" t="s">
        <v>392</v>
      </c>
      <c r="N715">
        <v>850.13</v>
      </c>
      <c r="O715">
        <v>218</v>
      </c>
    </row>
    <row r="716" spans="1:15" x14ac:dyDescent="0.2">
      <c r="A716" s="6">
        <v>45846</v>
      </c>
      <c r="B716" t="s">
        <v>15</v>
      </c>
      <c r="C716" t="s">
        <v>16</v>
      </c>
      <c r="D716" s="1">
        <v>45855</v>
      </c>
      <c r="E716" t="s">
        <v>19</v>
      </c>
      <c r="F716">
        <v>5050</v>
      </c>
      <c r="G716">
        <v>10.8</v>
      </c>
      <c r="H716">
        <v>12</v>
      </c>
      <c r="I716">
        <v>9.9</v>
      </c>
      <c r="J716">
        <v>11</v>
      </c>
      <c r="K716">
        <v>12.1</v>
      </c>
      <c r="L716">
        <v>350</v>
      </c>
      <c r="M716" t="s">
        <v>393</v>
      </c>
      <c r="N716">
        <v>1771.34</v>
      </c>
      <c r="O716">
        <v>382</v>
      </c>
    </row>
    <row r="717" spans="1:15" x14ac:dyDescent="0.2">
      <c r="A717" s="6">
        <v>45846</v>
      </c>
      <c r="B717" t="s">
        <v>15</v>
      </c>
      <c r="C717" t="s">
        <v>16</v>
      </c>
      <c r="D717" s="1">
        <v>45855</v>
      </c>
      <c r="E717" t="s">
        <v>19</v>
      </c>
      <c r="F717">
        <v>4450</v>
      </c>
      <c r="J717">
        <v>0.1</v>
      </c>
      <c r="K717">
        <v>0.1</v>
      </c>
      <c r="L717">
        <v>0</v>
      </c>
      <c r="M717" t="s">
        <v>18</v>
      </c>
      <c r="N717">
        <v>0</v>
      </c>
      <c r="O717">
        <v>1</v>
      </c>
    </row>
    <row r="718" spans="1:15" x14ac:dyDescent="0.2">
      <c r="A718" s="6">
        <v>45846</v>
      </c>
      <c r="B718" t="s">
        <v>15</v>
      </c>
      <c r="C718" t="s">
        <v>16</v>
      </c>
      <c r="D718" s="1">
        <v>45855</v>
      </c>
      <c r="E718" t="s">
        <v>19</v>
      </c>
      <c r="F718">
        <v>3700</v>
      </c>
      <c r="G718">
        <v>2.9</v>
      </c>
      <c r="H718">
        <v>3.4</v>
      </c>
      <c r="I718">
        <v>1.9</v>
      </c>
      <c r="J718">
        <v>2.5</v>
      </c>
      <c r="K718">
        <v>3</v>
      </c>
      <c r="L718">
        <v>93</v>
      </c>
      <c r="M718" t="s">
        <v>394</v>
      </c>
      <c r="N718">
        <v>344.36</v>
      </c>
      <c r="O718">
        <v>11</v>
      </c>
    </row>
    <row r="719" spans="1:15" x14ac:dyDescent="0.2">
      <c r="A719" s="6">
        <v>45846</v>
      </c>
      <c r="B719" t="s">
        <v>15</v>
      </c>
      <c r="C719" t="s">
        <v>16</v>
      </c>
      <c r="D719" s="1">
        <v>45855</v>
      </c>
      <c r="E719" t="s">
        <v>19</v>
      </c>
      <c r="F719">
        <v>5300</v>
      </c>
      <c r="G719">
        <v>16.3</v>
      </c>
      <c r="H719">
        <v>17.8</v>
      </c>
      <c r="I719">
        <v>11.4</v>
      </c>
      <c r="J719">
        <v>12.9</v>
      </c>
      <c r="K719">
        <v>18.8</v>
      </c>
      <c r="L719">
        <v>8621</v>
      </c>
      <c r="M719" t="s">
        <v>395</v>
      </c>
      <c r="N719">
        <v>45814.79</v>
      </c>
      <c r="O719">
        <v>2572</v>
      </c>
    </row>
    <row r="720" spans="1:15" x14ac:dyDescent="0.2">
      <c r="A720" s="6">
        <v>45846</v>
      </c>
      <c r="B720" t="s">
        <v>15</v>
      </c>
      <c r="C720" t="s">
        <v>16</v>
      </c>
      <c r="D720" s="1">
        <v>45855</v>
      </c>
      <c r="E720" t="s">
        <v>19</v>
      </c>
      <c r="F720">
        <v>5700</v>
      </c>
      <c r="G720">
        <v>92.5</v>
      </c>
      <c r="H720">
        <v>99.9</v>
      </c>
      <c r="I720">
        <v>53</v>
      </c>
      <c r="J720">
        <v>58.4</v>
      </c>
      <c r="K720">
        <v>97.7</v>
      </c>
      <c r="L720">
        <v>135107</v>
      </c>
      <c r="M720" t="s">
        <v>396</v>
      </c>
      <c r="N720">
        <v>780586.13</v>
      </c>
      <c r="O720">
        <v>14858</v>
      </c>
    </row>
    <row r="721" spans="1:15" x14ac:dyDescent="0.2">
      <c r="A721" s="6">
        <v>45846</v>
      </c>
      <c r="B721" t="s">
        <v>15</v>
      </c>
      <c r="C721" t="s">
        <v>16</v>
      </c>
      <c r="D721" s="1">
        <v>45855</v>
      </c>
      <c r="E721" t="s">
        <v>17</v>
      </c>
      <c r="F721">
        <v>6550</v>
      </c>
      <c r="G721">
        <v>17.8</v>
      </c>
      <c r="H721">
        <v>24.3</v>
      </c>
      <c r="I721">
        <v>17.8</v>
      </c>
      <c r="J721">
        <v>20.8</v>
      </c>
      <c r="K721">
        <v>19</v>
      </c>
      <c r="L721">
        <v>1808</v>
      </c>
      <c r="M721" t="s">
        <v>397</v>
      </c>
      <c r="N721">
        <v>11880.19</v>
      </c>
      <c r="O721">
        <v>1050</v>
      </c>
    </row>
    <row r="722" spans="1:15" x14ac:dyDescent="0.2">
      <c r="A722" s="6">
        <v>45846</v>
      </c>
      <c r="B722" t="s">
        <v>15</v>
      </c>
      <c r="C722" t="s">
        <v>16</v>
      </c>
      <c r="D722" s="1">
        <v>45855</v>
      </c>
      <c r="E722" t="s">
        <v>19</v>
      </c>
      <c r="F722">
        <v>5400</v>
      </c>
      <c r="G722">
        <v>24.3</v>
      </c>
      <c r="H722">
        <v>26.8</v>
      </c>
      <c r="I722">
        <v>13.8</v>
      </c>
      <c r="J722">
        <v>15.8</v>
      </c>
      <c r="K722">
        <v>27</v>
      </c>
      <c r="L722">
        <v>21715</v>
      </c>
      <c r="M722" t="s">
        <v>398</v>
      </c>
      <c r="N722">
        <v>117703.4</v>
      </c>
      <c r="O722">
        <v>3773</v>
      </c>
    </row>
    <row r="723" spans="1:15" x14ac:dyDescent="0.2">
      <c r="A723" s="6">
        <v>45846</v>
      </c>
      <c r="B723" t="s">
        <v>15</v>
      </c>
      <c r="C723" t="s">
        <v>16</v>
      </c>
      <c r="D723" s="1">
        <v>45855</v>
      </c>
      <c r="E723" t="s">
        <v>19</v>
      </c>
      <c r="F723">
        <v>7700</v>
      </c>
      <c r="J723">
        <v>1811.3</v>
      </c>
      <c r="K723">
        <v>1900.9</v>
      </c>
      <c r="L723">
        <v>0</v>
      </c>
      <c r="M723" t="s">
        <v>18</v>
      </c>
      <c r="N723">
        <v>0</v>
      </c>
      <c r="O723">
        <v>1</v>
      </c>
    </row>
    <row r="724" spans="1:15" x14ac:dyDescent="0.2">
      <c r="A724" s="6">
        <v>45846</v>
      </c>
      <c r="B724" t="s">
        <v>15</v>
      </c>
      <c r="C724" t="s">
        <v>16</v>
      </c>
      <c r="D724" s="1">
        <v>45855</v>
      </c>
      <c r="E724" t="s">
        <v>19</v>
      </c>
      <c r="F724">
        <v>6750</v>
      </c>
      <c r="J724">
        <v>864.7</v>
      </c>
      <c r="K724">
        <v>954.2</v>
      </c>
      <c r="L724">
        <v>0</v>
      </c>
      <c r="M724" t="s">
        <v>18</v>
      </c>
      <c r="N724">
        <v>0</v>
      </c>
      <c r="O724">
        <v>19</v>
      </c>
    </row>
    <row r="725" spans="1:15" x14ac:dyDescent="0.2">
      <c r="A725" s="6">
        <v>45846</v>
      </c>
      <c r="B725" t="s">
        <v>15</v>
      </c>
      <c r="C725" t="s">
        <v>16</v>
      </c>
      <c r="D725" s="1">
        <v>45855</v>
      </c>
      <c r="E725" t="s">
        <v>17</v>
      </c>
      <c r="F725">
        <v>7150</v>
      </c>
      <c r="G725">
        <v>12.9</v>
      </c>
      <c r="H725">
        <v>14.2</v>
      </c>
      <c r="I725">
        <v>11</v>
      </c>
      <c r="J725">
        <v>13.1</v>
      </c>
      <c r="K725">
        <v>14.4</v>
      </c>
      <c r="L725">
        <v>30</v>
      </c>
      <c r="M725" t="s">
        <v>399</v>
      </c>
      <c r="N725">
        <v>214.88</v>
      </c>
      <c r="O725">
        <v>105</v>
      </c>
    </row>
    <row r="726" spans="1:15" x14ac:dyDescent="0.2">
      <c r="A726" s="6">
        <v>45846</v>
      </c>
      <c r="B726" t="s">
        <v>15</v>
      </c>
      <c r="C726" t="s">
        <v>16</v>
      </c>
      <c r="D726" s="1">
        <v>45855</v>
      </c>
      <c r="E726" t="s">
        <v>17</v>
      </c>
      <c r="F726">
        <v>3750</v>
      </c>
      <c r="J726">
        <v>2132.9</v>
      </c>
      <c r="K726">
        <v>2042.7</v>
      </c>
      <c r="L726">
        <v>0</v>
      </c>
      <c r="M726" t="s">
        <v>18</v>
      </c>
      <c r="N726">
        <v>0</v>
      </c>
      <c r="O726">
        <v>0</v>
      </c>
    </row>
    <row r="727" spans="1:15" x14ac:dyDescent="0.2">
      <c r="A727" s="6">
        <v>45846</v>
      </c>
      <c r="B727" t="s">
        <v>15</v>
      </c>
      <c r="C727" t="s">
        <v>16</v>
      </c>
      <c r="D727" s="1">
        <v>45855</v>
      </c>
      <c r="E727" t="s">
        <v>17</v>
      </c>
      <c r="F727">
        <v>6650</v>
      </c>
      <c r="G727">
        <v>17.2</v>
      </c>
      <c r="H727">
        <v>21.8</v>
      </c>
      <c r="I727">
        <v>17.2</v>
      </c>
      <c r="J727">
        <v>18.7</v>
      </c>
      <c r="K727">
        <v>17.100000000000001</v>
      </c>
      <c r="L727">
        <v>523</v>
      </c>
      <c r="M727" t="s">
        <v>400</v>
      </c>
      <c r="N727">
        <v>3487.93</v>
      </c>
      <c r="O727">
        <v>351</v>
      </c>
    </row>
    <row r="728" spans="1:15" x14ac:dyDescent="0.2">
      <c r="A728" s="6">
        <v>45846</v>
      </c>
      <c r="B728" t="s">
        <v>15</v>
      </c>
      <c r="C728" t="s">
        <v>16</v>
      </c>
      <c r="D728" s="1">
        <v>45855</v>
      </c>
      <c r="E728" t="s">
        <v>17</v>
      </c>
      <c r="F728">
        <v>6050</v>
      </c>
      <c r="G728">
        <v>54.9</v>
      </c>
      <c r="H728">
        <v>82.7</v>
      </c>
      <c r="I728">
        <v>49.7</v>
      </c>
      <c r="J728">
        <v>70</v>
      </c>
      <c r="K728">
        <v>57.2</v>
      </c>
      <c r="L728">
        <v>25716</v>
      </c>
      <c r="M728" t="s">
        <v>401</v>
      </c>
      <c r="N728">
        <v>157178.1</v>
      </c>
      <c r="O728">
        <v>2300</v>
      </c>
    </row>
    <row r="729" spans="1:15" x14ac:dyDescent="0.2">
      <c r="A729" s="6">
        <v>45846</v>
      </c>
      <c r="B729" t="s">
        <v>15</v>
      </c>
      <c r="C729" t="s">
        <v>16</v>
      </c>
      <c r="D729" s="1">
        <v>45855</v>
      </c>
      <c r="E729" t="s">
        <v>17</v>
      </c>
      <c r="F729">
        <v>6850</v>
      </c>
      <c r="G729">
        <v>11.7</v>
      </c>
      <c r="H729">
        <v>17.3</v>
      </c>
      <c r="I729">
        <v>11.7</v>
      </c>
      <c r="J729">
        <v>14.7</v>
      </c>
      <c r="K729">
        <v>13</v>
      </c>
      <c r="L729">
        <v>290</v>
      </c>
      <c r="M729" t="s">
        <v>402</v>
      </c>
      <c r="N729">
        <v>1990.81</v>
      </c>
      <c r="O729">
        <v>279</v>
      </c>
    </row>
    <row r="730" spans="1:15" x14ac:dyDescent="0.2">
      <c r="A730" s="6">
        <v>45846</v>
      </c>
      <c r="B730" t="s">
        <v>15</v>
      </c>
      <c r="C730" t="s">
        <v>16</v>
      </c>
      <c r="D730" s="1">
        <v>45855</v>
      </c>
      <c r="E730" t="s">
        <v>19</v>
      </c>
      <c r="F730">
        <v>3750</v>
      </c>
      <c r="J730">
        <v>0.1</v>
      </c>
      <c r="K730">
        <v>0.1</v>
      </c>
      <c r="L730">
        <v>0</v>
      </c>
      <c r="M730" t="s">
        <v>18</v>
      </c>
      <c r="N730">
        <v>0</v>
      </c>
      <c r="O730">
        <v>0</v>
      </c>
    </row>
    <row r="731" spans="1:15" x14ac:dyDescent="0.2">
      <c r="A731" s="6">
        <v>45846</v>
      </c>
      <c r="B731" t="s">
        <v>15</v>
      </c>
      <c r="C731" t="s">
        <v>16</v>
      </c>
      <c r="D731" s="1">
        <v>45855</v>
      </c>
      <c r="E731" t="s">
        <v>19</v>
      </c>
      <c r="F731">
        <v>4700</v>
      </c>
      <c r="G731">
        <v>6.1</v>
      </c>
      <c r="H731">
        <v>7.3</v>
      </c>
      <c r="I731">
        <v>5.2</v>
      </c>
      <c r="J731">
        <v>5.4</v>
      </c>
      <c r="K731">
        <v>7.6</v>
      </c>
      <c r="L731">
        <v>127</v>
      </c>
      <c r="M731" t="s">
        <v>403</v>
      </c>
      <c r="N731">
        <v>597.72</v>
      </c>
      <c r="O731">
        <v>160</v>
      </c>
    </row>
    <row r="732" spans="1:15" x14ac:dyDescent="0.2">
      <c r="A732" s="6">
        <v>45846</v>
      </c>
      <c r="B732" t="s">
        <v>15</v>
      </c>
      <c r="C732" t="s">
        <v>16</v>
      </c>
      <c r="D732" s="1">
        <v>45855</v>
      </c>
      <c r="E732" t="s">
        <v>17</v>
      </c>
      <c r="F732">
        <v>7350</v>
      </c>
      <c r="G732">
        <v>9.6</v>
      </c>
      <c r="H732">
        <v>12.9</v>
      </c>
      <c r="I732">
        <v>9</v>
      </c>
      <c r="J732">
        <v>12.4</v>
      </c>
      <c r="K732">
        <v>10</v>
      </c>
      <c r="L732">
        <v>97</v>
      </c>
      <c r="M732" t="s">
        <v>404</v>
      </c>
      <c r="N732">
        <v>714.04</v>
      </c>
      <c r="O732">
        <v>232</v>
      </c>
    </row>
    <row r="733" spans="1:15" x14ac:dyDescent="0.2">
      <c r="A733" s="6">
        <v>45846</v>
      </c>
      <c r="B733" t="s">
        <v>15</v>
      </c>
      <c r="C733" t="s">
        <v>16</v>
      </c>
      <c r="D733" s="1">
        <v>45855</v>
      </c>
      <c r="E733" t="s">
        <v>19</v>
      </c>
      <c r="F733">
        <v>6400</v>
      </c>
      <c r="G733">
        <v>623.79999999999995</v>
      </c>
      <c r="H733">
        <v>634.9</v>
      </c>
      <c r="I733">
        <v>530.79999999999995</v>
      </c>
      <c r="J733">
        <v>577.20000000000005</v>
      </c>
      <c r="K733">
        <v>607.6</v>
      </c>
      <c r="L733">
        <v>14</v>
      </c>
      <c r="M733" t="s">
        <v>217</v>
      </c>
      <c r="N733">
        <v>97.73</v>
      </c>
      <c r="O733">
        <v>790</v>
      </c>
    </row>
    <row r="734" spans="1:15" x14ac:dyDescent="0.2">
      <c r="A734" s="6">
        <v>45846</v>
      </c>
      <c r="B734" t="s">
        <v>15</v>
      </c>
      <c r="C734" t="s">
        <v>16</v>
      </c>
      <c r="D734" s="1">
        <v>45855</v>
      </c>
      <c r="E734" t="s">
        <v>17</v>
      </c>
      <c r="F734">
        <v>6800</v>
      </c>
      <c r="G734">
        <v>14.3</v>
      </c>
      <c r="H734">
        <v>18</v>
      </c>
      <c r="I734">
        <v>14</v>
      </c>
      <c r="J734">
        <v>15.7</v>
      </c>
      <c r="K734">
        <v>14.3</v>
      </c>
      <c r="L734">
        <v>1635</v>
      </c>
      <c r="M734" t="s">
        <v>405</v>
      </c>
      <c r="N734">
        <v>11143.93</v>
      </c>
      <c r="O734">
        <v>1088</v>
      </c>
    </row>
    <row r="735" spans="1:15" x14ac:dyDescent="0.2">
      <c r="A735" s="6">
        <v>45846</v>
      </c>
      <c r="B735" t="s">
        <v>15</v>
      </c>
      <c r="C735" t="s">
        <v>16</v>
      </c>
      <c r="D735" s="1">
        <v>45855</v>
      </c>
      <c r="E735" t="s">
        <v>17</v>
      </c>
      <c r="F735">
        <v>6700</v>
      </c>
      <c r="G735">
        <v>17.7</v>
      </c>
      <c r="H735">
        <v>20.3</v>
      </c>
      <c r="I735">
        <v>15.6</v>
      </c>
      <c r="J735">
        <v>17.5</v>
      </c>
      <c r="K735">
        <v>16.100000000000001</v>
      </c>
      <c r="L735">
        <v>3034</v>
      </c>
      <c r="M735" t="s">
        <v>406</v>
      </c>
      <c r="N735">
        <v>20380.88</v>
      </c>
      <c r="O735">
        <v>1520</v>
      </c>
    </row>
    <row r="736" spans="1:15" x14ac:dyDescent="0.2">
      <c r="A736" s="6">
        <v>45846</v>
      </c>
      <c r="B736" t="s">
        <v>15</v>
      </c>
      <c r="C736" t="s">
        <v>16</v>
      </c>
      <c r="D736" s="1">
        <v>45855</v>
      </c>
      <c r="E736" t="s">
        <v>19</v>
      </c>
      <c r="F736">
        <v>5800</v>
      </c>
      <c r="G736">
        <v>139.30000000000001</v>
      </c>
      <c r="H736">
        <v>148.80000000000001</v>
      </c>
      <c r="I736">
        <v>83.7</v>
      </c>
      <c r="J736">
        <v>90.8</v>
      </c>
      <c r="K736">
        <v>141.4</v>
      </c>
      <c r="L736">
        <v>206168</v>
      </c>
      <c r="M736" t="s">
        <v>407</v>
      </c>
      <c r="N736">
        <v>1219759.29</v>
      </c>
      <c r="O736">
        <v>14033</v>
      </c>
    </row>
    <row r="737" spans="1:15" x14ac:dyDescent="0.2">
      <c r="A737" s="6">
        <v>45846</v>
      </c>
      <c r="B737" t="s">
        <v>15</v>
      </c>
      <c r="C737" t="s">
        <v>16</v>
      </c>
      <c r="D737" s="1">
        <v>45855</v>
      </c>
      <c r="E737" t="s">
        <v>19</v>
      </c>
      <c r="F737">
        <v>7150</v>
      </c>
      <c r="J737">
        <v>1262.2</v>
      </c>
      <c r="K737">
        <v>1351.9</v>
      </c>
      <c r="L737">
        <v>0</v>
      </c>
      <c r="M737" t="s">
        <v>18</v>
      </c>
      <c r="N737">
        <v>0</v>
      </c>
      <c r="O737">
        <v>0</v>
      </c>
    </row>
    <row r="738" spans="1:15" x14ac:dyDescent="0.2">
      <c r="A738" s="6">
        <v>45846</v>
      </c>
      <c r="B738" t="s">
        <v>15</v>
      </c>
      <c r="C738" t="s">
        <v>16</v>
      </c>
      <c r="D738" s="1">
        <v>45855</v>
      </c>
      <c r="E738" t="s">
        <v>19</v>
      </c>
      <c r="F738">
        <v>4550</v>
      </c>
      <c r="G738">
        <v>7</v>
      </c>
      <c r="H738">
        <v>7</v>
      </c>
      <c r="I738">
        <v>3.8</v>
      </c>
      <c r="J738">
        <v>5.5</v>
      </c>
      <c r="K738">
        <v>4.0999999999999996</v>
      </c>
      <c r="L738">
        <v>24</v>
      </c>
      <c r="M738" t="s">
        <v>181</v>
      </c>
      <c r="N738">
        <v>109.33</v>
      </c>
      <c r="O738">
        <v>3</v>
      </c>
    </row>
    <row r="739" spans="1:15" x14ac:dyDescent="0.2">
      <c r="A739" s="6">
        <v>45846</v>
      </c>
      <c r="B739" t="s">
        <v>15</v>
      </c>
      <c r="C739" t="s">
        <v>16</v>
      </c>
      <c r="D739" s="1">
        <v>45855</v>
      </c>
      <c r="E739" t="s">
        <v>19</v>
      </c>
      <c r="F739">
        <v>5450</v>
      </c>
      <c r="G739">
        <v>32.9</v>
      </c>
      <c r="H739">
        <v>32.9</v>
      </c>
      <c r="I739">
        <v>16.8</v>
      </c>
      <c r="J739">
        <v>19</v>
      </c>
      <c r="K739">
        <v>33.200000000000003</v>
      </c>
      <c r="L739">
        <v>5987</v>
      </c>
      <c r="M739" t="s">
        <v>408</v>
      </c>
      <c r="N739">
        <v>32782.69</v>
      </c>
      <c r="O739">
        <v>1296</v>
      </c>
    </row>
    <row r="740" spans="1:15" x14ac:dyDescent="0.2">
      <c r="A740" s="6">
        <v>45846</v>
      </c>
      <c r="B740" t="s">
        <v>15</v>
      </c>
      <c r="C740" t="s">
        <v>16</v>
      </c>
      <c r="D740" s="1">
        <v>45855</v>
      </c>
      <c r="E740" t="s">
        <v>17</v>
      </c>
      <c r="F740">
        <v>3600</v>
      </c>
      <c r="G740">
        <v>2192.4</v>
      </c>
      <c r="H740">
        <v>2200</v>
      </c>
      <c r="I740">
        <v>2192.4</v>
      </c>
      <c r="J740">
        <v>2196.1999999999998</v>
      </c>
      <c r="K740">
        <v>2192.4</v>
      </c>
      <c r="L740">
        <v>2</v>
      </c>
      <c r="M740" t="s">
        <v>28</v>
      </c>
      <c r="N740">
        <v>11.59</v>
      </c>
      <c r="O740">
        <v>0</v>
      </c>
    </row>
    <row r="741" spans="1:15" x14ac:dyDescent="0.2">
      <c r="A741" s="6">
        <v>45846</v>
      </c>
      <c r="B741" t="s">
        <v>15</v>
      </c>
      <c r="C741" t="s">
        <v>16</v>
      </c>
      <c r="D741" s="1">
        <v>45855</v>
      </c>
      <c r="E741" t="s">
        <v>17</v>
      </c>
      <c r="F741">
        <v>7500</v>
      </c>
      <c r="G741">
        <v>9</v>
      </c>
      <c r="H741">
        <v>10.6</v>
      </c>
      <c r="I741">
        <v>9</v>
      </c>
      <c r="J741">
        <v>10</v>
      </c>
      <c r="K741">
        <v>9.8000000000000007</v>
      </c>
      <c r="L741">
        <v>1547</v>
      </c>
      <c r="M741" t="s">
        <v>409</v>
      </c>
      <c r="N741">
        <v>11617.84</v>
      </c>
      <c r="O741">
        <v>3000</v>
      </c>
    </row>
    <row r="742" spans="1:15" x14ac:dyDescent="0.2">
      <c r="A742" s="6">
        <v>45846</v>
      </c>
      <c r="B742" t="s">
        <v>15</v>
      </c>
      <c r="C742" t="s">
        <v>16</v>
      </c>
      <c r="D742" s="1">
        <v>45855</v>
      </c>
      <c r="E742" t="s">
        <v>17</v>
      </c>
      <c r="F742">
        <v>6900</v>
      </c>
      <c r="G742">
        <v>12</v>
      </c>
      <c r="H742">
        <v>16.2</v>
      </c>
      <c r="I742">
        <v>12</v>
      </c>
      <c r="J742">
        <v>14.5</v>
      </c>
      <c r="K742">
        <v>13.4</v>
      </c>
      <c r="L742">
        <v>1023</v>
      </c>
      <c r="M742" t="s">
        <v>410</v>
      </c>
      <c r="N742">
        <v>7073.22</v>
      </c>
      <c r="O742">
        <v>819</v>
      </c>
    </row>
    <row r="743" spans="1:15" x14ac:dyDescent="0.2">
      <c r="A743" s="6">
        <v>45846</v>
      </c>
      <c r="B743" t="s">
        <v>15</v>
      </c>
      <c r="C743" t="s">
        <v>16</v>
      </c>
      <c r="D743" s="1">
        <v>45855</v>
      </c>
      <c r="E743" t="s">
        <v>17</v>
      </c>
      <c r="F743">
        <v>4250</v>
      </c>
      <c r="J743">
        <v>1633.6</v>
      </c>
      <c r="K743">
        <v>1543.5</v>
      </c>
      <c r="L743">
        <v>0</v>
      </c>
      <c r="M743" t="s">
        <v>18</v>
      </c>
      <c r="N743">
        <v>0</v>
      </c>
      <c r="O743">
        <v>0</v>
      </c>
    </row>
    <row r="744" spans="1:15" x14ac:dyDescent="0.2">
      <c r="A744" s="6">
        <v>45846</v>
      </c>
      <c r="B744" t="s">
        <v>15</v>
      </c>
      <c r="C744" t="s">
        <v>16</v>
      </c>
      <c r="D744" s="1">
        <v>45855</v>
      </c>
      <c r="E744" t="s">
        <v>17</v>
      </c>
      <c r="F744">
        <v>6950</v>
      </c>
      <c r="G744">
        <v>16</v>
      </c>
      <c r="H744">
        <v>16</v>
      </c>
      <c r="I744">
        <v>12.5</v>
      </c>
      <c r="J744">
        <v>14.5</v>
      </c>
      <c r="K744">
        <v>12.2</v>
      </c>
      <c r="L744">
        <v>301</v>
      </c>
      <c r="M744" t="s">
        <v>411</v>
      </c>
      <c r="N744">
        <v>2096.17</v>
      </c>
      <c r="O744">
        <v>332</v>
      </c>
    </row>
    <row r="745" spans="1:15" x14ac:dyDescent="0.2">
      <c r="A745" s="6">
        <v>45846</v>
      </c>
      <c r="B745" t="s">
        <v>15</v>
      </c>
      <c r="C745" t="s">
        <v>16</v>
      </c>
      <c r="D745" s="1">
        <v>45855</v>
      </c>
      <c r="E745" t="s">
        <v>17</v>
      </c>
      <c r="F745">
        <v>4150</v>
      </c>
      <c r="J745">
        <v>1733.4</v>
      </c>
      <c r="K745">
        <v>1643.3</v>
      </c>
      <c r="L745">
        <v>0</v>
      </c>
      <c r="M745" t="s">
        <v>18</v>
      </c>
      <c r="N745">
        <v>0</v>
      </c>
      <c r="O745">
        <v>0</v>
      </c>
    </row>
    <row r="746" spans="1:15" x14ac:dyDescent="0.2">
      <c r="A746" s="6">
        <v>45846</v>
      </c>
      <c r="B746" t="s">
        <v>15</v>
      </c>
      <c r="C746" t="s">
        <v>16</v>
      </c>
      <c r="D746" s="1">
        <v>45855</v>
      </c>
      <c r="E746" t="s">
        <v>17</v>
      </c>
      <c r="F746">
        <v>5200</v>
      </c>
      <c r="G746">
        <v>628</v>
      </c>
      <c r="H746">
        <v>695.3</v>
      </c>
      <c r="I746">
        <v>614.20000000000005</v>
      </c>
      <c r="J746">
        <v>642.29999999999995</v>
      </c>
      <c r="K746">
        <v>612</v>
      </c>
      <c r="L746">
        <v>5</v>
      </c>
      <c r="M746" t="s">
        <v>26</v>
      </c>
      <c r="N746">
        <v>29.21</v>
      </c>
      <c r="O746">
        <v>86</v>
      </c>
    </row>
    <row r="747" spans="1:15" x14ac:dyDescent="0.2">
      <c r="A747" s="6">
        <v>45846</v>
      </c>
      <c r="B747" t="s">
        <v>15</v>
      </c>
      <c r="C747" t="s">
        <v>16</v>
      </c>
      <c r="D747" s="1">
        <v>45855</v>
      </c>
      <c r="E747" t="s">
        <v>17</v>
      </c>
      <c r="F747">
        <v>5900</v>
      </c>
      <c r="G747">
        <v>101.1</v>
      </c>
      <c r="H747">
        <v>142</v>
      </c>
      <c r="I747">
        <v>87</v>
      </c>
      <c r="J747">
        <v>124.2</v>
      </c>
      <c r="K747">
        <v>96.3</v>
      </c>
      <c r="L747">
        <v>132629</v>
      </c>
      <c r="M747" t="s">
        <v>412</v>
      </c>
      <c r="N747">
        <v>796835.54</v>
      </c>
      <c r="O747">
        <v>4639</v>
      </c>
    </row>
    <row r="748" spans="1:15" x14ac:dyDescent="0.2">
      <c r="A748" s="6">
        <v>45846</v>
      </c>
      <c r="B748" t="s">
        <v>15</v>
      </c>
      <c r="C748" t="s">
        <v>16</v>
      </c>
      <c r="D748" s="1">
        <v>45855</v>
      </c>
      <c r="E748" t="s">
        <v>17</v>
      </c>
      <c r="F748">
        <v>4500</v>
      </c>
      <c r="J748">
        <v>1384</v>
      </c>
      <c r="K748">
        <v>1293.9000000000001</v>
      </c>
      <c r="L748">
        <v>0</v>
      </c>
      <c r="M748" t="s">
        <v>18</v>
      </c>
      <c r="N748">
        <v>0</v>
      </c>
      <c r="O748">
        <v>0</v>
      </c>
    </row>
    <row r="749" spans="1:15" x14ac:dyDescent="0.2">
      <c r="A749" s="6">
        <v>45846</v>
      </c>
      <c r="B749" t="s">
        <v>15</v>
      </c>
      <c r="C749" t="s">
        <v>16</v>
      </c>
      <c r="D749" s="1">
        <v>45855</v>
      </c>
      <c r="E749" t="s">
        <v>17</v>
      </c>
      <c r="F749">
        <v>5050</v>
      </c>
      <c r="J749">
        <v>835.6</v>
      </c>
      <c r="K749">
        <v>747.5</v>
      </c>
      <c r="L749">
        <v>0</v>
      </c>
      <c r="M749" t="s">
        <v>18</v>
      </c>
      <c r="N749">
        <v>0</v>
      </c>
      <c r="O749">
        <v>0</v>
      </c>
    </row>
    <row r="750" spans="1:15" x14ac:dyDescent="0.2">
      <c r="A750" s="6">
        <v>45846</v>
      </c>
      <c r="B750" t="s">
        <v>15</v>
      </c>
      <c r="C750" t="s">
        <v>16</v>
      </c>
      <c r="D750" s="1">
        <v>45855</v>
      </c>
      <c r="E750" t="s">
        <v>17</v>
      </c>
      <c r="F750">
        <v>5500</v>
      </c>
      <c r="G750">
        <v>341.3</v>
      </c>
      <c r="H750">
        <v>427</v>
      </c>
      <c r="I750">
        <v>314.8</v>
      </c>
      <c r="J750">
        <v>403.2</v>
      </c>
      <c r="K750">
        <v>334.8</v>
      </c>
      <c r="L750">
        <v>3018</v>
      </c>
      <c r="M750" t="s">
        <v>413</v>
      </c>
      <c r="N750">
        <v>17666.75</v>
      </c>
      <c r="O750">
        <v>1446</v>
      </c>
    </row>
    <row r="751" spans="1:15" x14ac:dyDescent="0.2">
      <c r="A751" s="6">
        <v>45846</v>
      </c>
      <c r="B751" t="s">
        <v>15</v>
      </c>
      <c r="C751" t="s">
        <v>16</v>
      </c>
      <c r="D751" s="1">
        <v>45855</v>
      </c>
      <c r="E751" t="s">
        <v>19</v>
      </c>
      <c r="F751">
        <v>6250</v>
      </c>
      <c r="G751">
        <v>464.7</v>
      </c>
      <c r="H751">
        <v>464.7</v>
      </c>
      <c r="I751">
        <v>384.6</v>
      </c>
      <c r="J751">
        <v>399.9</v>
      </c>
      <c r="K751">
        <v>480.1</v>
      </c>
      <c r="L751">
        <v>37</v>
      </c>
      <c r="M751" t="s">
        <v>32</v>
      </c>
      <c r="N751">
        <v>246.46</v>
      </c>
      <c r="O751">
        <v>69</v>
      </c>
    </row>
    <row r="752" spans="1:15" x14ac:dyDescent="0.2">
      <c r="A752" s="6">
        <v>45846</v>
      </c>
      <c r="B752" t="s">
        <v>15</v>
      </c>
      <c r="C752" t="s">
        <v>16</v>
      </c>
      <c r="D752" s="1">
        <v>45855</v>
      </c>
      <c r="E752" t="s">
        <v>19</v>
      </c>
      <c r="F752">
        <v>5150</v>
      </c>
      <c r="G752">
        <v>12.4</v>
      </c>
      <c r="H752">
        <v>13</v>
      </c>
      <c r="I752">
        <v>11.1</v>
      </c>
      <c r="J752">
        <v>11.5</v>
      </c>
      <c r="K752">
        <v>13.7</v>
      </c>
      <c r="L752">
        <v>467</v>
      </c>
      <c r="M752" t="s">
        <v>414</v>
      </c>
      <c r="N752">
        <v>2410.5500000000002</v>
      </c>
      <c r="O752">
        <v>305</v>
      </c>
    </row>
    <row r="753" spans="1:15" x14ac:dyDescent="0.2">
      <c r="A753" s="6">
        <v>45846</v>
      </c>
      <c r="B753" t="s">
        <v>15</v>
      </c>
      <c r="C753" t="s">
        <v>16</v>
      </c>
      <c r="D753" s="1">
        <v>45855</v>
      </c>
      <c r="E753" t="s">
        <v>19</v>
      </c>
      <c r="F753">
        <v>7500</v>
      </c>
      <c r="J753">
        <v>1611.6</v>
      </c>
      <c r="K753">
        <v>1701.2</v>
      </c>
      <c r="L753">
        <v>0</v>
      </c>
      <c r="M753" t="s">
        <v>18</v>
      </c>
      <c r="N753">
        <v>0</v>
      </c>
      <c r="O753">
        <v>0</v>
      </c>
    </row>
    <row r="754" spans="1:15" x14ac:dyDescent="0.2">
      <c r="A754" s="6">
        <v>45846</v>
      </c>
      <c r="B754" t="s">
        <v>15</v>
      </c>
      <c r="C754" t="s">
        <v>16</v>
      </c>
      <c r="D754" s="1">
        <v>45855</v>
      </c>
      <c r="E754" t="s">
        <v>17</v>
      </c>
      <c r="F754">
        <v>5150</v>
      </c>
      <c r="G754">
        <v>651.20000000000005</v>
      </c>
      <c r="H754">
        <v>658</v>
      </c>
      <c r="I754">
        <v>651.20000000000005</v>
      </c>
      <c r="J754">
        <v>654.6</v>
      </c>
      <c r="K754">
        <v>650.9</v>
      </c>
      <c r="L754">
        <v>2</v>
      </c>
      <c r="M754" t="s">
        <v>28</v>
      </c>
      <c r="N754">
        <v>11.61</v>
      </c>
      <c r="O754">
        <v>3</v>
      </c>
    </row>
    <row r="755" spans="1:15" x14ac:dyDescent="0.2">
      <c r="A755" s="6">
        <v>45846</v>
      </c>
      <c r="B755" t="s">
        <v>15</v>
      </c>
      <c r="C755" t="s">
        <v>16</v>
      </c>
      <c r="D755" s="1">
        <v>45855</v>
      </c>
      <c r="E755" t="s">
        <v>17</v>
      </c>
      <c r="F755">
        <v>6250</v>
      </c>
      <c r="G755">
        <v>27.7</v>
      </c>
      <c r="H755">
        <v>43.4</v>
      </c>
      <c r="I755">
        <v>27.7</v>
      </c>
      <c r="J755">
        <v>36.6</v>
      </c>
      <c r="K755">
        <v>32.700000000000003</v>
      </c>
      <c r="L755">
        <v>4120</v>
      </c>
      <c r="M755" t="s">
        <v>415</v>
      </c>
      <c r="N755">
        <v>25896.44</v>
      </c>
      <c r="O755">
        <v>1490</v>
      </c>
    </row>
    <row r="756" spans="1:15" x14ac:dyDescent="0.2">
      <c r="A756" s="6">
        <v>45846</v>
      </c>
      <c r="B756" t="s">
        <v>15</v>
      </c>
      <c r="C756" t="s">
        <v>16</v>
      </c>
      <c r="D756" s="1">
        <v>45855</v>
      </c>
      <c r="E756" t="s">
        <v>19</v>
      </c>
      <c r="F756">
        <v>7250</v>
      </c>
      <c r="J756">
        <v>1362</v>
      </c>
      <c r="K756">
        <v>1451.7</v>
      </c>
      <c r="L756">
        <v>0</v>
      </c>
      <c r="M756" t="s">
        <v>18</v>
      </c>
      <c r="N756">
        <v>0</v>
      </c>
      <c r="O756">
        <v>0</v>
      </c>
    </row>
    <row r="757" spans="1:15" x14ac:dyDescent="0.2">
      <c r="A757" s="6">
        <v>45846</v>
      </c>
      <c r="B757" t="s">
        <v>15</v>
      </c>
      <c r="C757" t="s">
        <v>16</v>
      </c>
      <c r="D757" s="1">
        <v>45855</v>
      </c>
      <c r="E757" t="s">
        <v>17</v>
      </c>
      <c r="F757">
        <v>5450</v>
      </c>
      <c r="G757">
        <v>378.5</v>
      </c>
      <c r="H757">
        <v>464.5</v>
      </c>
      <c r="I757">
        <v>359.2</v>
      </c>
      <c r="J757">
        <v>453.9</v>
      </c>
      <c r="K757">
        <v>374.5</v>
      </c>
      <c r="L757">
        <v>182</v>
      </c>
      <c r="M757" t="s">
        <v>194</v>
      </c>
      <c r="N757">
        <v>1062.9000000000001</v>
      </c>
      <c r="O757">
        <v>69</v>
      </c>
    </row>
    <row r="758" spans="1:15" x14ac:dyDescent="0.2">
      <c r="A758" s="6">
        <v>45846</v>
      </c>
      <c r="B758" t="s">
        <v>15</v>
      </c>
      <c r="C758" t="s">
        <v>16</v>
      </c>
      <c r="D758" s="1">
        <v>45855</v>
      </c>
      <c r="E758" t="s">
        <v>17</v>
      </c>
      <c r="F758">
        <v>4550</v>
      </c>
      <c r="J758">
        <v>1334</v>
      </c>
      <c r="K758">
        <v>1244</v>
      </c>
      <c r="L758">
        <v>0</v>
      </c>
      <c r="M758" t="s">
        <v>18</v>
      </c>
      <c r="N758">
        <v>0</v>
      </c>
      <c r="O758">
        <v>0</v>
      </c>
    </row>
    <row r="759" spans="1:15" x14ac:dyDescent="0.2">
      <c r="A759" s="6">
        <v>45846</v>
      </c>
      <c r="B759" t="s">
        <v>15</v>
      </c>
      <c r="C759" t="s">
        <v>16</v>
      </c>
      <c r="D759" s="1">
        <v>45855</v>
      </c>
      <c r="E759" t="s">
        <v>17</v>
      </c>
      <c r="F759">
        <v>5800</v>
      </c>
      <c r="G759">
        <v>134.9</v>
      </c>
      <c r="H759">
        <v>197.8</v>
      </c>
      <c r="I759">
        <v>124.5</v>
      </c>
      <c r="J759">
        <v>176.6</v>
      </c>
      <c r="K759">
        <v>137</v>
      </c>
      <c r="L759">
        <v>203075</v>
      </c>
      <c r="M759" t="s">
        <v>416</v>
      </c>
      <c r="N759">
        <v>1208055.57</v>
      </c>
      <c r="O759">
        <v>8481</v>
      </c>
    </row>
    <row r="760" spans="1:15" x14ac:dyDescent="0.2">
      <c r="A760" s="6">
        <v>45846</v>
      </c>
      <c r="B760" t="s">
        <v>15</v>
      </c>
      <c r="C760" t="s">
        <v>16</v>
      </c>
      <c r="D760" s="1">
        <v>45855</v>
      </c>
      <c r="E760" t="s">
        <v>17</v>
      </c>
      <c r="F760">
        <v>4000</v>
      </c>
      <c r="J760">
        <v>1883.2</v>
      </c>
      <c r="K760">
        <v>1793.1</v>
      </c>
      <c r="L760">
        <v>0</v>
      </c>
      <c r="M760" t="s">
        <v>18</v>
      </c>
      <c r="N760">
        <v>0</v>
      </c>
      <c r="O760">
        <v>0</v>
      </c>
    </row>
    <row r="761" spans="1:15" x14ac:dyDescent="0.2">
      <c r="A761" s="6">
        <v>45846</v>
      </c>
      <c r="B761" t="s">
        <v>15</v>
      </c>
      <c r="C761" t="s">
        <v>16</v>
      </c>
      <c r="D761" s="1">
        <v>45855</v>
      </c>
      <c r="E761" t="s">
        <v>17</v>
      </c>
      <c r="F761">
        <v>4050</v>
      </c>
      <c r="J761">
        <v>1833.3</v>
      </c>
      <c r="K761">
        <v>1743.1</v>
      </c>
      <c r="L761">
        <v>0</v>
      </c>
      <c r="M761" t="s">
        <v>18</v>
      </c>
      <c r="N761">
        <v>0</v>
      </c>
      <c r="O761">
        <v>0</v>
      </c>
    </row>
    <row r="762" spans="1:15" x14ac:dyDescent="0.2">
      <c r="A762" s="6">
        <v>45846</v>
      </c>
      <c r="B762" t="s">
        <v>15</v>
      </c>
      <c r="C762" t="s">
        <v>16</v>
      </c>
      <c r="D762" s="1">
        <v>45855</v>
      </c>
      <c r="E762" t="s">
        <v>19</v>
      </c>
      <c r="F762">
        <v>4400</v>
      </c>
      <c r="J762">
        <v>0.1</v>
      </c>
      <c r="K762">
        <v>5</v>
      </c>
      <c r="L762">
        <v>0</v>
      </c>
      <c r="M762" t="s">
        <v>18</v>
      </c>
      <c r="N762">
        <v>0</v>
      </c>
      <c r="O762">
        <v>1</v>
      </c>
    </row>
    <row r="763" spans="1:15" x14ac:dyDescent="0.2">
      <c r="A763" s="6">
        <v>45846</v>
      </c>
      <c r="B763" t="s">
        <v>15</v>
      </c>
      <c r="C763" t="s">
        <v>16</v>
      </c>
      <c r="D763" s="1">
        <v>45855</v>
      </c>
      <c r="E763" t="s">
        <v>17</v>
      </c>
      <c r="F763">
        <v>6350</v>
      </c>
      <c r="G763">
        <v>24.1</v>
      </c>
      <c r="H763">
        <v>33.200000000000003</v>
      </c>
      <c r="I763">
        <v>23.6</v>
      </c>
      <c r="J763">
        <v>27.8</v>
      </c>
      <c r="K763">
        <v>26.6</v>
      </c>
      <c r="L763">
        <v>2157</v>
      </c>
      <c r="M763" t="s">
        <v>417</v>
      </c>
      <c r="N763">
        <v>13757.13</v>
      </c>
      <c r="O763">
        <v>1652</v>
      </c>
    </row>
    <row r="764" spans="1:15" x14ac:dyDescent="0.2">
      <c r="A764" s="6">
        <v>45846</v>
      </c>
      <c r="B764" t="s">
        <v>15</v>
      </c>
      <c r="C764" t="s">
        <v>16</v>
      </c>
      <c r="D764" s="1">
        <v>45855</v>
      </c>
      <c r="E764" t="s">
        <v>19</v>
      </c>
      <c r="F764">
        <v>4650</v>
      </c>
      <c r="G764">
        <v>7</v>
      </c>
      <c r="H764">
        <v>7</v>
      </c>
      <c r="I764">
        <v>5.9</v>
      </c>
      <c r="J764">
        <v>6.1</v>
      </c>
      <c r="K764">
        <v>6.7</v>
      </c>
      <c r="L764">
        <v>10</v>
      </c>
      <c r="M764" t="s">
        <v>69</v>
      </c>
      <c r="N764">
        <v>46.56</v>
      </c>
      <c r="O764">
        <v>3</v>
      </c>
    </row>
    <row r="765" spans="1:15" x14ac:dyDescent="0.2">
      <c r="A765" s="6">
        <v>45846</v>
      </c>
      <c r="B765" t="s">
        <v>15</v>
      </c>
      <c r="C765" t="s">
        <v>16</v>
      </c>
      <c r="D765" s="1">
        <v>45855</v>
      </c>
      <c r="E765" t="s">
        <v>19</v>
      </c>
      <c r="F765">
        <v>7350</v>
      </c>
      <c r="J765">
        <v>1461.9</v>
      </c>
      <c r="K765">
        <v>1551.5</v>
      </c>
      <c r="L765">
        <v>0</v>
      </c>
      <c r="M765" t="s">
        <v>18</v>
      </c>
      <c r="N765">
        <v>0</v>
      </c>
      <c r="O765">
        <v>0</v>
      </c>
    </row>
    <row r="766" spans="1:15" x14ac:dyDescent="0.2">
      <c r="A766" s="6">
        <v>45846</v>
      </c>
      <c r="B766" t="s">
        <v>15</v>
      </c>
      <c r="C766" t="s">
        <v>16</v>
      </c>
      <c r="D766" s="1">
        <v>45855</v>
      </c>
      <c r="E766" t="s">
        <v>17</v>
      </c>
      <c r="F766">
        <v>7050</v>
      </c>
      <c r="G766">
        <v>14.5</v>
      </c>
      <c r="H766">
        <v>15.2</v>
      </c>
      <c r="I766">
        <v>11.4</v>
      </c>
      <c r="J766">
        <v>13.9</v>
      </c>
      <c r="K766">
        <v>12.2</v>
      </c>
      <c r="L766">
        <v>38</v>
      </c>
      <c r="M766" t="s">
        <v>205</v>
      </c>
      <c r="N766">
        <v>268.42</v>
      </c>
      <c r="O766">
        <v>162</v>
      </c>
    </row>
    <row r="767" spans="1:15" x14ac:dyDescent="0.2">
      <c r="A767" s="6">
        <v>45846</v>
      </c>
      <c r="B767" t="s">
        <v>15</v>
      </c>
      <c r="C767" t="s">
        <v>16</v>
      </c>
      <c r="D767" s="1">
        <v>45855</v>
      </c>
      <c r="E767" t="s">
        <v>19</v>
      </c>
      <c r="F767">
        <v>6850</v>
      </c>
      <c r="J767">
        <v>963.6</v>
      </c>
      <c r="K767">
        <v>1053.2</v>
      </c>
      <c r="L767">
        <v>0</v>
      </c>
      <c r="M767" t="s">
        <v>18</v>
      </c>
      <c r="N767">
        <v>0</v>
      </c>
      <c r="O767">
        <v>18</v>
      </c>
    </row>
    <row r="768" spans="1:15" x14ac:dyDescent="0.2">
      <c r="A768" s="6">
        <v>45846</v>
      </c>
      <c r="B768" t="s">
        <v>15</v>
      </c>
      <c r="C768" t="s">
        <v>16</v>
      </c>
      <c r="D768" s="1">
        <v>45855</v>
      </c>
      <c r="E768" t="s">
        <v>17</v>
      </c>
      <c r="F768">
        <v>7000</v>
      </c>
      <c r="G768">
        <v>12.1</v>
      </c>
      <c r="H768">
        <v>14.8</v>
      </c>
      <c r="I768">
        <v>11.7</v>
      </c>
      <c r="J768">
        <v>13.3</v>
      </c>
      <c r="K768">
        <v>12.2</v>
      </c>
      <c r="L768">
        <v>3549</v>
      </c>
      <c r="M768" t="s">
        <v>418</v>
      </c>
      <c r="N768">
        <v>24890.7</v>
      </c>
      <c r="O768">
        <v>4499</v>
      </c>
    </row>
    <row r="769" spans="1:15" x14ac:dyDescent="0.2">
      <c r="A769" s="6">
        <v>45846</v>
      </c>
      <c r="B769" t="s">
        <v>15</v>
      </c>
      <c r="C769" t="s">
        <v>16</v>
      </c>
      <c r="D769" s="1">
        <v>45855</v>
      </c>
      <c r="E769" t="s">
        <v>19</v>
      </c>
      <c r="F769">
        <v>4500</v>
      </c>
      <c r="G769">
        <v>4.4000000000000004</v>
      </c>
      <c r="H769">
        <v>6.2</v>
      </c>
      <c r="I769">
        <v>4.4000000000000004</v>
      </c>
      <c r="J769">
        <v>4.5999999999999996</v>
      </c>
      <c r="K769">
        <v>5.4</v>
      </c>
      <c r="L769">
        <v>1902</v>
      </c>
      <c r="M769" t="s">
        <v>419</v>
      </c>
      <c r="N769">
        <v>8569.08</v>
      </c>
      <c r="O769">
        <v>947</v>
      </c>
    </row>
    <row r="770" spans="1:15" x14ac:dyDescent="0.2">
      <c r="A770" s="6">
        <v>45846</v>
      </c>
      <c r="B770" t="s">
        <v>15</v>
      </c>
      <c r="C770" t="s">
        <v>16</v>
      </c>
      <c r="D770" s="1">
        <v>45855</v>
      </c>
      <c r="E770" t="s">
        <v>19</v>
      </c>
      <c r="F770">
        <v>5350</v>
      </c>
      <c r="G770">
        <v>21.5</v>
      </c>
      <c r="H770">
        <v>21.6</v>
      </c>
      <c r="I770">
        <v>13.1</v>
      </c>
      <c r="J770">
        <v>14.4</v>
      </c>
      <c r="K770">
        <v>22.5</v>
      </c>
      <c r="L770">
        <v>2140</v>
      </c>
      <c r="M770" t="s">
        <v>420</v>
      </c>
      <c r="N770">
        <v>11486.41</v>
      </c>
      <c r="O770">
        <v>862</v>
      </c>
    </row>
    <row r="771" spans="1:15" x14ac:dyDescent="0.2">
      <c r="A771" s="6">
        <v>45846</v>
      </c>
      <c r="B771" t="s">
        <v>15</v>
      </c>
      <c r="C771" t="s">
        <v>16</v>
      </c>
      <c r="D771" s="1">
        <v>45855</v>
      </c>
      <c r="E771" t="s">
        <v>17</v>
      </c>
      <c r="F771">
        <v>6300</v>
      </c>
      <c r="G771">
        <v>26</v>
      </c>
      <c r="H771">
        <v>37.299999999999997</v>
      </c>
      <c r="I771">
        <v>25.1</v>
      </c>
      <c r="J771">
        <v>31.5</v>
      </c>
      <c r="K771">
        <v>28.5</v>
      </c>
      <c r="L771">
        <v>15305</v>
      </c>
      <c r="M771" t="s">
        <v>421</v>
      </c>
      <c r="N771">
        <v>96887.94</v>
      </c>
      <c r="O771">
        <v>3791</v>
      </c>
    </row>
    <row r="772" spans="1:15" x14ac:dyDescent="0.2">
      <c r="A772" s="6">
        <v>45846</v>
      </c>
      <c r="B772" t="s">
        <v>15</v>
      </c>
      <c r="C772" t="s">
        <v>16</v>
      </c>
      <c r="D772" s="1">
        <v>45855</v>
      </c>
      <c r="E772" t="s">
        <v>19</v>
      </c>
      <c r="F772">
        <v>4100</v>
      </c>
      <c r="J772">
        <v>0.1</v>
      </c>
      <c r="K772">
        <v>0.1</v>
      </c>
      <c r="L772">
        <v>0</v>
      </c>
      <c r="M772" t="s">
        <v>18</v>
      </c>
      <c r="N772">
        <v>0</v>
      </c>
      <c r="O772">
        <v>0</v>
      </c>
    </row>
    <row r="773" spans="1:15" x14ac:dyDescent="0.2">
      <c r="A773" s="6">
        <v>45846</v>
      </c>
      <c r="B773" t="s">
        <v>15</v>
      </c>
      <c r="C773" t="s">
        <v>16</v>
      </c>
      <c r="D773" s="1">
        <v>45855</v>
      </c>
      <c r="E773" t="s">
        <v>17</v>
      </c>
      <c r="F773">
        <v>6500</v>
      </c>
      <c r="G773">
        <v>20.3</v>
      </c>
      <c r="H773">
        <v>26.3</v>
      </c>
      <c r="I773">
        <v>15.4</v>
      </c>
      <c r="J773">
        <v>22.1</v>
      </c>
      <c r="K773">
        <v>19.600000000000001</v>
      </c>
      <c r="L773">
        <v>12035</v>
      </c>
      <c r="M773" t="s">
        <v>422</v>
      </c>
      <c r="N773">
        <v>78486.759999999995</v>
      </c>
      <c r="O773">
        <v>11731</v>
      </c>
    </row>
    <row r="774" spans="1:15" x14ac:dyDescent="0.2">
      <c r="A774" s="6">
        <v>45846</v>
      </c>
      <c r="B774" t="s">
        <v>15</v>
      </c>
      <c r="C774" t="s">
        <v>16</v>
      </c>
      <c r="D774" s="1">
        <v>45855</v>
      </c>
      <c r="E774" t="s">
        <v>17</v>
      </c>
      <c r="F774">
        <v>3650</v>
      </c>
      <c r="J774">
        <v>2232.6999999999998</v>
      </c>
      <c r="K774">
        <v>2142.5</v>
      </c>
      <c r="L774">
        <v>0</v>
      </c>
      <c r="M774" t="s">
        <v>18</v>
      </c>
      <c r="N774">
        <v>0</v>
      </c>
      <c r="O774">
        <v>0</v>
      </c>
    </row>
    <row r="775" spans="1:15" x14ac:dyDescent="0.2">
      <c r="A775" s="6">
        <v>45846</v>
      </c>
      <c r="B775" t="s">
        <v>15</v>
      </c>
      <c r="C775" t="s">
        <v>16</v>
      </c>
      <c r="D775" s="1">
        <v>45855</v>
      </c>
      <c r="E775" t="s">
        <v>19</v>
      </c>
      <c r="F775">
        <v>6900</v>
      </c>
      <c r="J775">
        <v>1013.2</v>
      </c>
      <c r="K775">
        <v>1145</v>
      </c>
      <c r="L775">
        <v>0</v>
      </c>
      <c r="M775" t="s">
        <v>18</v>
      </c>
      <c r="N775">
        <v>0</v>
      </c>
      <c r="O775">
        <v>41</v>
      </c>
    </row>
    <row r="776" spans="1:15" x14ac:dyDescent="0.2">
      <c r="A776" s="6">
        <v>45846</v>
      </c>
      <c r="B776" t="s">
        <v>15</v>
      </c>
      <c r="C776" t="s">
        <v>16</v>
      </c>
      <c r="D776" s="1">
        <v>45855</v>
      </c>
      <c r="E776" t="s">
        <v>19</v>
      </c>
      <c r="F776">
        <v>6700</v>
      </c>
      <c r="G776">
        <v>850</v>
      </c>
      <c r="H776">
        <v>850</v>
      </c>
      <c r="I776">
        <v>849.2</v>
      </c>
      <c r="J776">
        <v>849.4</v>
      </c>
      <c r="K776">
        <v>904.9</v>
      </c>
      <c r="L776">
        <v>8</v>
      </c>
      <c r="M776" t="s">
        <v>71</v>
      </c>
      <c r="N776">
        <v>60.4</v>
      </c>
      <c r="O776">
        <v>181</v>
      </c>
    </row>
    <row r="777" spans="1:15" x14ac:dyDescent="0.2">
      <c r="A777" s="6">
        <v>45846</v>
      </c>
      <c r="B777" t="s">
        <v>15</v>
      </c>
      <c r="C777" t="s">
        <v>16</v>
      </c>
      <c r="D777" s="1">
        <v>45855</v>
      </c>
      <c r="E777" t="s">
        <v>19</v>
      </c>
      <c r="F777">
        <v>7400</v>
      </c>
      <c r="J777">
        <v>1511.8</v>
      </c>
      <c r="K777">
        <v>1601.4</v>
      </c>
      <c r="L777">
        <v>0</v>
      </c>
      <c r="M777" t="s">
        <v>18</v>
      </c>
      <c r="N777">
        <v>0</v>
      </c>
      <c r="O777">
        <v>0</v>
      </c>
    </row>
    <row r="778" spans="1:15" x14ac:dyDescent="0.2">
      <c r="A778" s="6">
        <v>45846</v>
      </c>
      <c r="B778" t="s">
        <v>15</v>
      </c>
      <c r="C778" t="s">
        <v>16</v>
      </c>
      <c r="D778" s="1">
        <v>45855</v>
      </c>
      <c r="E778" t="s">
        <v>19</v>
      </c>
      <c r="F778">
        <v>3650</v>
      </c>
      <c r="J778">
        <v>0.1</v>
      </c>
      <c r="K778">
        <v>0.1</v>
      </c>
      <c r="L778">
        <v>0</v>
      </c>
      <c r="M778" t="s">
        <v>18</v>
      </c>
      <c r="N778">
        <v>0</v>
      </c>
      <c r="O778">
        <v>0</v>
      </c>
    </row>
    <row r="779" spans="1:15" x14ac:dyDescent="0.2">
      <c r="A779" s="6">
        <v>45846</v>
      </c>
      <c r="B779" t="s">
        <v>15</v>
      </c>
      <c r="C779" t="s">
        <v>16</v>
      </c>
      <c r="D779" s="1">
        <v>45855</v>
      </c>
      <c r="E779" t="s">
        <v>17</v>
      </c>
      <c r="F779">
        <v>7200</v>
      </c>
      <c r="G779">
        <v>11.1</v>
      </c>
      <c r="H779">
        <v>13.5</v>
      </c>
      <c r="I779">
        <v>10.8</v>
      </c>
      <c r="J779">
        <v>12.7</v>
      </c>
      <c r="K779">
        <v>10.6</v>
      </c>
      <c r="L779">
        <v>1079</v>
      </c>
      <c r="M779" t="s">
        <v>423</v>
      </c>
      <c r="N779">
        <v>7782.26</v>
      </c>
      <c r="O779">
        <v>874</v>
      </c>
    </row>
    <row r="780" spans="1:15" x14ac:dyDescent="0.2">
      <c r="A780" s="6">
        <v>45846</v>
      </c>
      <c r="B780" t="s">
        <v>15</v>
      </c>
      <c r="C780" t="s">
        <v>16</v>
      </c>
      <c r="D780" s="1">
        <v>45855</v>
      </c>
      <c r="E780" t="s">
        <v>19</v>
      </c>
      <c r="F780">
        <v>7100</v>
      </c>
      <c r="J780">
        <v>1212.4000000000001</v>
      </c>
      <c r="K780">
        <v>1302</v>
      </c>
      <c r="L780">
        <v>0</v>
      </c>
      <c r="M780" t="s">
        <v>18</v>
      </c>
      <c r="N780">
        <v>0</v>
      </c>
      <c r="O780">
        <v>0</v>
      </c>
    </row>
    <row r="781" spans="1:15" x14ac:dyDescent="0.2">
      <c r="A781" s="6">
        <v>45846</v>
      </c>
      <c r="B781" t="s">
        <v>15</v>
      </c>
      <c r="C781" t="s">
        <v>16</v>
      </c>
      <c r="D781" s="1">
        <v>45855</v>
      </c>
      <c r="E781" t="s">
        <v>17</v>
      </c>
      <c r="F781">
        <v>4600</v>
      </c>
      <c r="J781">
        <v>1284.0999999999999</v>
      </c>
      <c r="K781">
        <v>1194.0999999999999</v>
      </c>
      <c r="L781">
        <v>0</v>
      </c>
      <c r="M781" t="s">
        <v>18</v>
      </c>
      <c r="N781">
        <v>0</v>
      </c>
      <c r="O781">
        <v>0</v>
      </c>
    </row>
    <row r="782" spans="1:15" x14ac:dyDescent="0.2">
      <c r="A782" s="6">
        <v>45846</v>
      </c>
      <c r="B782" t="s">
        <v>15</v>
      </c>
      <c r="C782" t="s">
        <v>16</v>
      </c>
      <c r="D782" s="1">
        <v>45855</v>
      </c>
      <c r="E782" t="s">
        <v>17</v>
      </c>
      <c r="F782">
        <v>5350</v>
      </c>
      <c r="J782">
        <v>545</v>
      </c>
      <c r="K782">
        <v>463.4</v>
      </c>
      <c r="L782">
        <v>0</v>
      </c>
      <c r="M782" t="s">
        <v>18</v>
      </c>
      <c r="N782">
        <v>0</v>
      </c>
      <c r="O782">
        <v>13</v>
      </c>
    </row>
    <row r="783" spans="1:15" x14ac:dyDescent="0.2">
      <c r="A783" s="6">
        <v>45846</v>
      </c>
      <c r="B783" t="s">
        <v>15</v>
      </c>
      <c r="C783" t="s">
        <v>16</v>
      </c>
      <c r="D783" s="1">
        <v>45855</v>
      </c>
      <c r="E783" t="s">
        <v>19</v>
      </c>
      <c r="F783">
        <v>4850</v>
      </c>
      <c r="G783">
        <v>7.1</v>
      </c>
      <c r="H783">
        <v>11.5</v>
      </c>
      <c r="I783">
        <v>5.6</v>
      </c>
      <c r="J783">
        <v>6.5</v>
      </c>
      <c r="K783">
        <v>9.9</v>
      </c>
      <c r="L783">
        <v>170</v>
      </c>
      <c r="M783" t="s">
        <v>424</v>
      </c>
      <c r="N783">
        <v>825.95</v>
      </c>
      <c r="O783">
        <v>118</v>
      </c>
    </row>
    <row r="784" spans="1:15" x14ac:dyDescent="0.2">
      <c r="A784" s="6">
        <v>45846</v>
      </c>
      <c r="B784" t="s">
        <v>15</v>
      </c>
      <c r="C784" t="s">
        <v>16</v>
      </c>
      <c r="D784" s="1">
        <v>45855</v>
      </c>
      <c r="E784" t="s">
        <v>17</v>
      </c>
      <c r="F784">
        <v>6100</v>
      </c>
      <c r="G784">
        <v>43.7</v>
      </c>
      <c r="H784">
        <v>69.2</v>
      </c>
      <c r="I784">
        <v>41.8</v>
      </c>
      <c r="J784">
        <v>58.8</v>
      </c>
      <c r="K784">
        <v>48.4</v>
      </c>
      <c r="L784">
        <v>45467</v>
      </c>
      <c r="M784" t="s">
        <v>425</v>
      </c>
      <c r="N784">
        <v>279777.69</v>
      </c>
      <c r="O784">
        <v>3117</v>
      </c>
    </row>
    <row r="785" spans="1:15" x14ac:dyDescent="0.2">
      <c r="A785" s="6">
        <v>45846</v>
      </c>
      <c r="B785" t="s">
        <v>15</v>
      </c>
      <c r="C785" t="s">
        <v>16</v>
      </c>
      <c r="D785" s="1">
        <v>45855</v>
      </c>
      <c r="E785" t="s">
        <v>19</v>
      </c>
      <c r="F785">
        <v>5600</v>
      </c>
      <c r="G785">
        <v>63.8</v>
      </c>
      <c r="H785">
        <v>66.099999999999994</v>
      </c>
      <c r="I785">
        <v>32.200000000000003</v>
      </c>
      <c r="J785">
        <v>36.200000000000003</v>
      </c>
      <c r="K785">
        <v>64.400000000000006</v>
      </c>
      <c r="L785">
        <v>65173</v>
      </c>
      <c r="M785" t="s">
        <v>426</v>
      </c>
      <c r="N785">
        <v>368164.18</v>
      </c>
      <c r="O785">
        <v>10619</v>
      </c>
    </row>
    <row r="786" spans="1:15" x14ac:dyDescent="0.2">
      <c r="A786" s="6">
        <v>45846</v>
      </c>
      <c r="B786" t="s">
        <v>15</v>
      </c>
      <c r="C786" t="s">
        <v>16</v>
      </c>
      <c r="D786" s="1">
        <v>45855</v>
      </c>
      <c r="E786" t="s">
        <v>19</v>
      </c>
      <c r="F786">
        <v>4000</v>
      </c>
      <c r="G786">
        <v>3.1</v>
      </c>
      <c r="H786">
        <v>3.8</v>
      </c>
      <c r="I786">
        <v>2.9</v>
      </c>
      <c r="J786">
        <v>3.2</v>
      </c>
      <c r="K786">
        <v>3.6</v>
      </c>
      <c r="L786">
        <v>639</v>
      </c>
      <c r="M786" t="s">
        <v>427</v>
      </c>
      <c r="N786">
        <v>2558.08</v>
      </c>
      <c r="O786">
        <v>1406</v>
      </c>
    </row>
    <row r="787" spans="1:15" x14ac:dyDescent="0.2">
      <c r="A787" s="6">
        <v>45846</v>
      </c>
      <c r="B787" t="s">
        <v>15</v>
      </c>
      <c r="C787" t="s">
        <v>16</v>
      </c>
      <c r="D787" s="1">
        <v>45855</v>
      </c>
      <c r="E787" t="s">
        <v>19</v>
      </c>
      <c r="F787">
        <v>6350</v>
      </c>
      <c r="G787">
        <v>550</v>
      </c>
      <c r="H787">
        <v>550</v>
      </c>
      <c r="I787">
        <v>480</v>
      </c>
      <c r="J787">
        <v>504.7</v>
      </c>
      <c r="K787">
        <v>633.20000000000005</v>
      </c>
      <c r="L787">
        <v>6</v>
      </c>
      <c r="M787" t="s">
        <v>132</v>
      </c>
      <c r="N787">
        <v>41.13</v>
      </c>
      <c r="O787">
        <v>78</v>
      </c>
    </row>
    <row r="788" spans="1:15" x14ac:dyDescent="0.2">
      <c r="A788" s="6">
        <v>45846</v>
      </c>
      <c r="B788" t="s">
        <v>15</v>
      </c>
      <c r="C788" t="s">
        <v>16</v>
      </c>
      <c r="D788" s="1">
        <v>45855</v>
      </c>
      <c r="E788" t="s">
        <v>19</v>
      </c>
      <c r="F788">
        <v>5650</v>
      </c>
      <c r="G788">
        <v>78.7</v>
      </c>
      <c r="H788">
        <v>81.5</v>
      </c>
      <c r="I788">
        <v>42.6</v>
      </c>
      <c r="J788">
        <v>47.2</v>
      </c>
      <c r="K788">
        <v>79.400000000000006</v>
      </c>
      <c r="L788">
        <v>31459</v>
      </c>
      <c r="M788" t="s">
        <v>428</v>
      </c>
      <c r="N788">
        <v>179662.94</v>
      </c>
      <c r="O788">
        <v>4251</v>
      </c>
    </row>
    <row r="789" spans="1:15" x14ac:dyDescent="0.2">
      <c r="A789" s="6">
        <v>45846</v>
      </c>
      <c r="B789" t="s">
        <v>15</v>
      </c>
      <c r="C789" t="s">
        <v>16</v>
      </c>
      <c r="D789" s="1">
        <v>45855</v>
      </c>
      <c r="E789" t="s">
        <v>17</v>
      </c>
      <c r="F789">
        <v>3950</v>
      </c>
      <c r="J789">
        <v>1933.1</v>
      </c>
      <c r="K789">
        <v>1843</v>
      </c>
      <c r="L789">
        <v>0</v>
      </c>
      <c r="M789" t="s">
        <v>18</v>
      </c>
      <c r="N789">
        <v>0</v>
      </c>
      <c r="O789">
        <v>0</v>
      </c>
    </row>
    <row r="790" spans="1:15" x14ac:dyDescent="0.2">
      <c r="A790" s="6">
        <v>45846</v>
      </c>
      <c r="B790" t="s">
        <v>15</v>
      </c>
      <c r="C790" t="s">
        <v>16</v>
      </c>
      <c r="D790" s="1">
        <v>45855</v>
      </c>
      <c r="E790" t="s">
        <v>17</v>
      </c>
      <c r="F790">
        <v>7550</v>
      </c>
      <c r="G790">
        <v>9.1999999999999993</v>
      </c>
      <c r="H790">
        <v>11.9</v>
      </c>
      <c r="I790">
        <v>6.2</v>
      </c>
      <c r="J790">
        <v>7.9</v>
      </c>
      <c r="K790">
        <v>7.8</v>
      </c>
      <c r="L790">
        <v>172</v>
      </c>
      <c r="M790" t="s">
        <v>429</v>
      </c>
      <c r="N790">
        <v>1300.28</v>
      </c>
      <c r="O790">
        <v>180</v>
      </c>
    </row>
    <row r="791" spans="1:15" x14ac:dyDescent="0.2">
      <c r="A791" s="6">
        <v>45846</v>
      </c>
      <c r="B791" t="s">
        <v>15</v>
      </c>
      <c r="C791" t="s">
        <v>16</v>
      </c>
      <c r="D791" s="1">
        <v>45855</v>
      </c>
      <c r="E791" t="s">
        <v>19</v>
      </c>
      <c r="F791">
        <v>7450</v>
      </c>
      <c r="J791">
        <v>1561.7</v>
      </c>
      <c r="K791">
        <v>1651.3</v>
      </c>
      <c r="L791">
        <v>0</v>
      </c>
      <c r="M791" t="s">
        <v>18</v>
      </c>
      <c r="N791">
        <v>0</v>
      </c>
      <c r="O791">
        <v>0</v>
      </c>
    </row>
    <row r="792" spans="1:15" x14ac:dyDescent="0.2">
      <c r="A792" s="6">
        <v>45846</v>
      </c>
      <c r="B792" t="s">
        <v>15</v>
      </c>
      <c r="C792" t="s">
        <v>16</v>
      </c>
      <c r="D792" s="1">
        <v>45855</v>
      </c>
      <c r="E792" t="s">
        <v>19</v>
      </c>
      <c r="F792">
        <v>4050</v>
      </c>
      <c r="J792">
        <v>0.1</v>
      </c>
      <c r="K792">
        <v>0.1</v>
      </c>
      <c r="L792">
        <v>0</v>
      </c>
      <c r="M792" t="s">
        <v>18</v>
      </c>
      <c r="N792">
        <v>0</v>
      </c>
      <c r="O792">
        <v>0</v>
      </c>
    </row>
    <row r="793" spans="1:15" x14ac:dyDescent="0.2">
      <c r="A793" s="6">
        <v>45846</v>
      </c>
      <c r="B793" t="s">
        <v>15</v>
      </c>
      <c r="C793" t="s">
        <v>16</v>
      </c>
      <c r="D793" s="1">
        <v>45855</v>
      </c>
      <c r="E793" t="s">
        <v>19</v>
      </c>
      <c r="F793">
        <v>5750</v>
      </c>
      <c r="G793">
        <v>118.5</v>
      </c>
      <c r="H793">
        <v>122.8</v>
      </c>
      <c r="I793">
        <v>66.7</v>
      </c>
      <c r="J793">
        <v>72.599999999999994</v>
      </c>
      <c r="K793">
        <v>118</v>
      </c>
      <c r="L793">
        <v>55358</v>
      </c>
      <c r="M793" t="s">
        <v>430</v>
      </c>
      <c r="N793">
        <v>323633.78000000003</v>
      </c>
      <c r="O793">
        <v>5456</v>
      </c>
    </row>
    <row r="794" spans="1:15" x14ac:dyDescent="0.2">
      <c r="A794" s="6">
        <v>45846</v>
      </c>
      <c r="B794" t="s">
        <v>15</v>
      </c>
      <c r="C794" t="s">
        <v>16</v>
      </c>
      <c r="D794" s="1">
        <v>45855</v>
      </c>
      <c r="E794" t="s">
        <v>19</v>
      </c>
      <c r="F794">
        <v>6100</v>
      </c>
      <c r="G794">
        <v>339.9</v>
      </c>
      <c r="H794">
        <v>365.7</v>
      </c>
      <c r="I794">
        <v>259.3</v>
      </c>
      <c r="J794">
        <v>274.10000000000002</v>
      </c>
      <c r="K794">
        <v>348.1</v>
      </c>
      <c r="L794">
        <v>3076</v>
      </c>
      <c r="M794" t="s">
        <v>431</v>
      </c>
      <c r="N794">
        <v>19701.98</v>
      </c>
      <c r="O794">
        <v>554</v>
      </c>
    </row>
    <row r="795" spans="1:15" x14ac:dyDescent="0.2">
      <c r="A795" s="6">
        <v>45846</v>
      </c>
      <c r="B795" t="s">
        <v>15</v>
      </c>
      <c r="C795" t="s">
        <v>16</v>
      </c>
      <c r="D795" s="1">
        <v>45855</v>
      </c>
      <c r="E795" t="s">
        <v>19</v>
      </c>
      <c r="F795">
        <v>5500</v>
      </c>
      <c r="G795">
        <v>40.5</v>
      </c>
      <c r="H795">
        <v>40.9</v>
      </c>
      <c r="I795">
        <v>19.5</v>
      </c>
      <c r="J795">
        <v>22.1</v>
      </c>
      <c r="K795">
        <v>41.2</v>
      </c>
      <c r="L795">
        <v>51509</v>
      </c>
      <c r="M795" t="s">
        <v>432</v>
      </c>
      <c r="N795">
        <v>284845.58</v>
      </c>
      <c r="O795">
        <v>10755</v>
      </c>
    </row>
    <row r="796" spans="1:15" x14ac:dyDescent="0.2">
      <c r="A796" s="6">
        <v>45846</v>
      </c>
      <c r="B796" t="s">
        <v>15</v>
      </c>
      <c r="C796" t="s">
        <v>16</v>
      </c>
      <c r="D796" s="1">
        <v>45855</v>
      </c>
      <c r="E796" t="s">
        <v>17</v>
      </c>
      <c r="F796">
        <v>6000</v>
      </c>
      <c r="G796">
        <v>68</v>
      </c>
      <c r="H796">
        <v>99.4</v>
      </c>
      <c r="I796">
        <v>60.5</v>
      </c>
      <c r="J796">
        <v>85.3</v>
      </c>
      <c r="K796">
        <v>67.7</v>
      </c>
      <c r="L796">
        <v>109899</v>
      </c>
      <c r="M796" t="s">
        <v>433</v>
      </c>
      <c r="N796">
        <v>667628.9</v>
      </c>
      <c r="O796">
        <v>6927</v>
      </c>
    </row>
    <row r="797" spans="1:15" x14ac:dyDescent="0.2">
      <c r="A797" s="6">
        <v>45846</v>
      </c>
      <c r="B797" t="s">
        <v>15</v>
      </c>
      <c r="C797" t="s">
        <v>16</v>
      </c>
      <c r="D797" s="1">
        <v>45855</v>
      </c>
      <c r="E797" t="s">
        <v>19</v>
      </c>
      <c r="F797">
        <v>3800</v>
      </c>
      <c r="J797">
        <v>0.1</v>
      </c>
      <c r="K797">
        <v>0.1</v>
      </c>
      <c r="L797">
        <v>0</v>
      </c>
      <c r="M797" t="s">
        <v>18</v>
      </c>
      <c r="N797">
        <v>0</v>
      </c>
      <c r="O797">
        <v>0</v>
      </c>
    </row>
    <row r="798" spans="1:15" x14ac:dyDescent="0.2">
      <c r="A798" s="6">
        <v>45846</v>
      </c>
      <c r="B798" t="s">
        <v>15</v>
      </c>
      <c r="C798" t="s">
        <v>16</v>
      </c>
      <c r="D798" s="1">
        <v>45855</v>
      </c>
      <c r="E798" t="s">
        <v>19</v>
      </c>
      <c r="F798">
        <v>5000</v>
      </c>
      <c r="G798">
        <v>10.9</v>
      </c>
      <c r="H798">
        <v>10.9</v>
      </c>
      <c r="I798">
        <v>9.3000000000000007</v>
      </c>
      <c r="J798">
        <v>9.8000000000000007</v>
      </c>
      <c r="K798">
        <v>11.2</v>
      </c>
      <c r="L798">
        <v>2990</v>
      </c>
      <c r="M798" t="s">
        <v>434</v>
      </c>
      <c r="N798">
        <v>14980.35</v>
      </c>
      <c r="O798">
        <v>2891</v>
      </c>
    </row>
    <row r="799" spans="1:15" x14ac:dyDescent="0.2">
      <c r="A799" s="6">
        <v>45846</v>
      </c>
      <c r="B799" t="s">
        <v>15</v>
      </c>
      <c r="C799" t="s">
        <v>16</v>
      </c>
      <c r="D799" s="1">
        <v>45855</v>
      </c>
      <c r="E799" t="s">
        <v>19</v>
      </c>
      <c r="F799">
        <v>5950</v>
      </c>
      <c r="G799">
        <v>229.3</v>
      </c>
      <c r="H799">
        <v>246</v>
      </c>
      <c r="I799">
        <v>157.19999999999999</v>
      </c>
      <c r="J799">
        <v>167.8</v>
      </c>
      <c r="K799">
        <v>233.4</v>
      </c>
      <c r="L799">
        <v>10688</v>
      </c>
      <c r="M799" t="s">
        <v>435</v>
      </c>
      <c r="N799">
        <v>65667.53</v>
      </c>
      <c r="O799">
        <v>522</v>
      </c>
    </row>
    <row r="800" spans="1:15" x14ac:dyDescent="0.2">
      <c r="A800" s="6">
        <v>45846</v>
      </c>
      <c r="B800" t="s">
        <v>15</v>
      </c>
      <c r="C800" t="s">
        <v>16</v>
      </c>
      <c r="D800" s="1">
        <v>45855</v>
      </c>
      <c r="E800" t="s">
        <v>19</v>
      </c>
      <c r="F800">
        <v>7300</v>
      </c>
      <c r="J800">
        <v>1411.9</v>
      </c>
      <c r="K800">
        <v>1501.6</v>
      </c>
      <c r="L800">
        <v>0</v>
      </c>
      <c r="M800" t="s">
        <v>18</v>
      </c>
      <c r="N800">
        <v>0</v>
      </c>
      <c r="O800">
        <v>0</v>
      </c>
    </row>
    <row r="801" spans="1:15" x14ac:dyDescent="0.2">
      <c r="A801" s="6">
        <v>45846</v>
      </c>
      <c r="B801" t="s">
        <v>15</v>
      </c>
      <c r="C801" t="s">
        <v>16</v>
      </c>
      <c r="D801" s="1">
        <v>45855</v>
      </c>
      <c r="E801" t="s">
        <v>19</v>
      </c>
      <c r="F801">
        <v>4150</v>
      </c>
      <c r="J801">
        <v>0.1</v>
      </c>
      <c r="K801">
        <v>0.1</v>
      </c>
      <c r="L801">
        <v>0</v>
      </c>
      <c r="M801" t="s">
        <v>18</v>
      </c>
      <c r="N801">
        <v>0</v>
      </c>
      <c r="O801">
        <v>0</v>
      </c>
    </row>
    <row r="802" spans="1:15" x14ac:dyDescent="0.2">
      <c r="A802" s="6">
        <v>45846</v>
      </c>
      <c r="B802" t="s">
        <v>15</v>
      </c>
      <c r="C802" t="s">
        <v>16</v>
      </c>
      <c r="D802" s="1">
        <v>45855</v>
      </c>
      <c r="E802" t="s">
        <v>17</v>
      </c>
      <c r="F802">
        <v>7100</v>
      </c>
      <c r="G802">
        <v>11.9</v>
      </c>
      <c r="H802">
        <v>15</v>
      </c>
      <c r="I802">
        <v>11.3</v>
      </c>
      <c r="J802">
        <v>13.4</v>
      </c>
      <c r="K802">
        <v>11.3</v>
      </c>
      <c r="L802">
        <v>667</v>
      </c>
      <c r="M802" t="s">
        <v>436</v>
      </c>
      <c r="N802">
        <v>4744.51</v>
      </c>
      <c r="O802">
        <v>360</v>
      </c>
    </row>
    <row r="803" spans="1:15" x14ac:dyDescent="0.2">
      <c r="A803" s="6">
        <v>45846</v>
      </c>
      <c r="B803" t="s">
        <v>15</v>
      </c>
      <c r="C803" t="s">
        <v>16</v>
      </c>
      <c r="D803" s="1">
        <v>45855</v>
      </c>
      <c r="E803" t="s">
        <v>17</v>
      </c>
      <c r="F803">
        <v>6450</v>
      </c>
      <c r="G803">
        <v>21.1</v>
      </c>
      <c r="H803">
        <v>27.2</v>
      </c>
      <c r="I803">
        <v>20.7</v>
      </c>
      <c r="J803">
        <v>23.2</v>
      </c>
      <c r="K803">
        <v>22.3</v>
      </c>
      <c r="L803">
        <v>1755</v>
      </c>
      <c r="M803" t="s">
        <v>437</v>
      </c>
      <c r="N803">
        <v>11360.25</v>
      </c>
      <c r="O803">
        <v>1831</v>
      </c>
    </row>
    <row r="804" spans="1:15" x14ac:dyDescent="0.2">
      <c r="A804" s="6">
        <v>45846</v>
      </c>
      <c r="B804" t="s">
        <v>15</v>
      </c>
      <c r="C804" t="s">
        <v>16</v>
      </c>
      <c r="D804" s="1">
        <v>45855</v>
      </c>
      <c r="E804" t="s">
        <v>17</v>
      </c>
      <c r="F804">
        <v>4700</v>
      </c>
      <c r="J804">
        <v>1184.3</v>
      </c>
      <c r="K804">
        <v>1094.3</v>
      </c>
      <c r="L804">
        <v>0</v>
      </c>
      <c r="M804" t="s">
        <v>18</v>
      </c>
      <c r="N804">
        <v>0</v>
      </c>
      <c r="O804">
        <v>0</v>
      </c>
    </row>
    <row r="805" spans="1:15" x14ac:dyDescent="0.2">
      <c r="A805" s="6">
        <v>45846</v>
      </c>
      <c r="B805" t="s">
        <v>15</v>
      </c>
      <c r="C805" t="s">
        <v>16</v>
      </c>
      <c r="D805" s="1">
        <v>45855</v>
      </c>
      <c r="E805" t="s">
        <v>19</v>
      </c>
      <c r="F805">
        <v>6450</v>
      </c>
      <c r="G805">
        <v>690.7</v>
      </c>
      <c r="H805">
        <v>690.7</v>
      </c>
      <c r="I805">
        <v>690.7</v>
      </c>
      <c r="J805">
        <v>690.7</v>
      </c>
      <c r="K805">
        <v>712.5</v>
      </c>
      <c r="L805">
        <v>1</v>
      </c>
      <c r="M805" t="s">
        <v>155</v>
      </c>
      <c r="N805">
        <v>7.14</v>
      </c>
      <c r="O805">
        <v>836</v>
      </c>
    </row>
    <row r="806" spans="1:15" x14ac:dyDescent="0.2">
      <c r="A806" s="6">
        <v>45846</v>
      </c>
      <c r="B806" t="s">
        <v>15</v>
      </c>
      <c r="C806" t="s">
        <v>16</v>
      </c>
      <c r="D806" s="1">
        <v>45855</v>
      </c>
      <c r="E806" t="s">
        <v>19</v>
      </c>
      <c r="F806">
        <v>7000</v>
      </c>
      <c r="G806">
        <v>1210</v>
      </c>
      <c r="H806">
        <v>1210</v>
      </c>
      <c r="I806">
        <v>1210</v>
      </c>
      <c r="J806">
        <v>1210</v>
      </c>
      <c r="K806">
        <v>1202.4000000000001</v>
      </c>
      <c r="L806">
        <v>1</v>
      </c>
      <c r="M806" t="s">
        <v>155</v>
      </c>
      <c r="N806">
        <v>8.2100000000000009</v>
      </c>
      <c r="O806">
        <v>13</v>
      </c>
    </row>
    <row r="807" spans="1:15" x14ac:dyDescent="0.2">
      <c r="A807" s="6">
        <v>45846</v>
      </c>
      <c r="B807" t="s">
        <v>15</v>
      </c>
      <c r="C807" t="s">
        <v>16</v>
      </c>
      <c r="D807" s="1">
        <v>45855</v>
      </c>
      <c r="E807" t="s">
        <v>17</v>
      </c>
      <c r="F807">
        <v>5650</v>
      </c>
      <c r="G807">
        <v>228.6</v>
      </c>
      <c r="H807">
        <v>303.10000000000002</v>
      </c>
      <c r="I807">
        <v>207</v>
      </c>
      <c r="J807">
        <v>281.3</v>
      </c>
      <c r="K807">
        <v>224.7</v>
      </c>
      <c r="L807">
        <v>7389</v>
      </c>
      <c r="M807" t="s">
        <v>438</v>
      </c>
      <c r="N807">
        <v>43500.41</v>
      </c>
      <c r="O807">
        <v>523</v>
      </c>
    </row>
    <row r="808" spans="1:15" x14ac:dyDescent="0.2">
      <c r="A808" s="6">
        <v>45846</v>
      </c>
      <c r="B808" t="s">
        <v>15</v>
      </c>
      <c r="C808" t="s">
        <v>16</v>
      </c>
      <c r="D808" s="1">
        <v>45855</v>
      </c>
      <c r="E808" t="s">
        <v>17</v>
      </c>
      <c r="F808">
        <v>4300</v>
      </c>
      <c r="J808">
        <v>1583.7</v>
      </c>
      <c r="K808">
        <v>1493.6</v>
      </c>
      <c r="L808">
        <v>0</v>
      </c>
      <c r="M808" t="s">
        <v>18</v>
      </c>
      <c r="N808">
        <v>0</v>
      </c>
      <c r="O808">
        <v>0</v>
      </c>
    </row>
    <row r="809" spans="1:15" x14ac:dyDescent="0.2">
      <c r="A809" s="6">
        <v>45846</v>
      </c>
      <c r="B809" t="s">
        <v>15</v>
      </c>
      <c r="C809" t="s">
        <v>16</v>
      </c>
      <c r="D809" s="1">
        <v>45855</v>
      </c>
      <c r="E809" t="s">
        <v>19</v>
      </c>
      <c r="F809">
        <v>4300</v>
      </c>
      <c r="J809">
        <v>0.1</v>
      </c>
      <c r="K809">
        <v>0.1</v>
      </c>
      <c r="L809">
        <v>0</v>
      </c>
      <c r="M809" t="s">
        <v>18</v>
      </c>
      <c r="N809">
        <v>0</v>
      </c>
      <c r="O809">
        <v>0</v>
      </c>
    </row>
    <row r="810" spans="1:15" x14ac:dyDescent="0.2">
      <c r="A810" s="6">
        <v>45846</v>
      </c>
      <c r="B810" t="s">
        <v>15</v>
      </c>
      <c r="C810" t="s">
        <v>16</v>
      </c>
      <c r="D810" s="1">
        <v>45855</v>
      </c>
      <c r="E810" t="s">
        <v>19</v>
      </c>
      <c r="F810">
        <v>6600</v>
      </c>
      <c r="G810">
        <v>819.1</v>
      </c>
      <c r="H810">
        <v>819.1</v>
      </c>
      <c r="I810">
        <v>819.1</v>
      </c>
      <c r="J810">
        <v>819.1</v>
      </c>
      <c r="K810">
        <v>861.6</v>
      </c>
      <c r="L810">
        <v>1</v>
      </c>
      <c r="M810" t="s">
        <v>155</v>
      </c>
      <c r="N810">
        <v>7.42</v>
      </c>
      <c r="O810">
        <v>161</v>
      </c>
    </row>
    <row r="811" spans="1:15" x14ac:dyDescent="0.2">
      <c r="A811" s="6">
        <v>45846</v>
      </c>
      <c r="B811" t="s">
        <v>15</v>
      </c>
      <c r="C811" t="s">
        <v>16</v>
      </c>
      <c r="D811" s="1">
        <v>45855</v>
      </c>
      <c r="E811" t="s">
        <v>17</v>
      </c>
      <c r="F811">
        <v>7700</v>
      </c>
      <c r="G811">
        <v>8.5</v>
      </c>
      <c r="H811">
        <v>8.9</v>
      </c>
      <c r="I811">
        <v>7.5</v>
      </c>
      <c r="J811">
        <v>7.9</v>
      </c>
      <c r="K811">
        <v>8.9</v>
      </c>
      <c r="L811">
        <v>955</v>
      </c>
      <c r="M811" t="s">
        <v>439</v>
      </c>
      <c r="N811">
        <v>7361.28</v>
      </c>
      <c r="O811">
        <v>2433</v>
      </c>
    </row>
    <row r="812" spans="1:15" x14ac:dyDescent="0.2">
      <c r="A812" s="6">
        <v>45846</v>
      </c>
      <c r="B812" t="s">
        <v>15</v>
      </c>
      <c r="C812" t="s">
        <v>16</v>
      </c>
      <c r="D812" s="1">
        <v>45855</v>
      </c>
      <c r="E812" t="s">
        <v>17</v>
      </c>
      <c r="F812">
        <v>6150</v>
      </c>
      <c r="G812">
        <v>39.6</v>
      </c>
      <c r="H812">
        <v>58.9</v>
      </c>
      <c r="I812">
        <v>36.799999999999997</v>
      </c>
      <c r="J812">
        <v>50.2</v>
      </c>
      <c r="K812">
        <v>42.1</v>
      </c>
      <c r="L812">
        <v>11730</v>
      </c>
      <c r="M812" t="s">
        <v>440</v>
      </c>
      <c r="N812">
        <v>72686.06</v>
      </c>
      <c r="O812">
        <v>719</v>
      </c>
    </row>
    <row r="813" spans="1:15" x14ac:dyDescent="0.2">
      <c r="A813" s="6">
        <v>45846</v>
      </c>
      <c r="B813" t="s">
        <v>15</v>
      </c>
      <c r="C813" t="s">
        <v>16</v>
      </c>
      <c r="D813" s="1">
        <v>45855</v>
      </c>
      <c r="E813" t="s">
        <v>17</v>
      </c>
      <c r="F813">
        <v>7400</v>
      </c>
      <c r="G813">
        <v>8.8000000000000007</v>
      </c>
      <c r="H813">
        <v>10.4</v>
      </c>
      <c r="I813">
        <v>7.2</v>
      </c>
      <c r="J813">
        <v>9.3000000000000007</v>
      </c>
      <c r="K813">
        <v>8.9</v>
      </c>
      <c r="L813">
        <v>672</v>
      </c>
      <c r="M813" t="s">
        <v>67</v>
      </c>
      <c r="N813">
        <v>4979.2299999999996</v>
      </c>
      <c r="O813">
        <v>1577</v>
      </c>
    </row>
    <row r="814" spans="1:15" x14ac:dyDescent="0.2">
      <c r="A814" s="6">
        <v>45846</v>
      </c>
      <c r="B814" t="s">
        <v>15</v>
      </c>
      <c r="C814" t="s">
        <v>16</v>
      </c>
      <c r="D814" s="1">
        <v>45855</v>
      </c>
      <c r="E814" t="s">
        <v>17</v>
      </c>
      <c r="F814">
        <v>5400</v>
      </c>
      <c r="G814">
        <v>422.3</v>
      </c>
      <c r="H814">
        <v>515.9</v>
      </c>
      <c r="I814">
        <v>401.2</v>
      </c>
      <c r="J814">
        <v>493.4</v>
      </c>
      <c r="K814">
        <v>419.5</v>
      </c>
      <c r="L814">
        <v>484</v>
      </c>
      <c r="M814" t="s">
        <v>441</v>
      </c>
      <c r="N814">
        <v>2829.33</v>
      </c>
      <c r="O814">
        <v>544</v>
      </c>
    </row>
    <row r="815" spans="1:15" x14ac:dyDescent="0.2">
      <c r="A815" s="6">
        <v>45846</v>
      </c>
      <c r="B815" t="s">
        <v>15</v>
      </c>
      <c r="C815" t="s">
        <v>16</v>
      </c>
      <c r="D815" s="1">
        <v>45855</v>
      </c>
      <c r="E815" t="s">
        <v>19</v>
      </c>
      <c r="F815">
        <v>4350</v>
      </c>
      <c r="G815">
        <v>0.3</v>
      </c>
      <c r="H815">
        <v>15.9</v>
      </c>
      <c r="I815">
        <v>0.1</v>
      </c>
      <c r="J815">
        <v>5.5</v>
      </c>
      <c r="K815">
        <v>0.1</v>
      </c>
      <c r="L815">
        <v>15</v>
      </c>
      <c r="M815" t="s">
        <v>278</v>
      </c>
      <c r="N815">
        <v>65.33</v>
      </c>
      <c r="O815">
        <v>5</v>
      </c>
    </row>
    <row r="816" spans="1:15" x14ac:dyDescent="0.2">
      <c r="A816" s="6">
        <v>45846</v>
      </c>
      <c r="B816" t="s">
        <v>15</v>
      </c>
      <c r="C816" t="s">
        <v>16</v>
      </c>
      <c r="D816" s="1">
        <v>45855</v>
      </c>
      <c r="E816" t="s">
        <v>19</v>
      </c>
      <c r="F816">
        <v>4750</v>
      </c>
      <c r="G816">
        <v>7.3</v>
      </c>
      <c r="H816">
        <v>7.8</v>
      </c>
      <c r="I816">
        <v>6.9</v>
      </c>
      <c r="J816">
        <v>7.4</v>
      </c>
      <c r="K816">
        <v>7.4</v>
      </c>
      <c r="L816">
        <v>27</v>
      </c>
      <c r="M816" t="s">
        <v>54</v>
      </c>
      <c r="N816">
        <v>128.44999999999999</v>
      </c>
      <c r="O816">
        <v>8</v>
      </c>
    </row>
    <row r="817" spans="1:15" x14ac:dyDescent="0.2">
      <c r="A817" s="6">
        <v>45846</v>
      </c>
      <c r="B817" t="s">
        <v>15</v>
      </c>
      <c r="C817" t="s">
        <v>16</v>
      </c>
      <c r="D817" s="1">
        <v>45855</v>
      </c>
      <c r="E817" t="s">
        <v>19</v>
      </c>
      <c r="F817">
        <v>7650</v>
      </c>
      <c r="J817">
        <v>1761.4</v>
      </c>
      <c r="K817">
        <v>1851</v>
      </c>
      <c r="L817">
        <v>0</v>
      </c>
      <c r="M817" t="s">
        <v>18</v>
      </c>
      <c r="N817">
        <v>0</v>
      </c>
      <c r="O817">
        <v>0</v>
      </c>
    </row>
    <row r="818" spans="1:15" x14ac:dyDescent="0.2">
      <c r="A818" s="6">
        <v>45846</v>
      </c>
      <c r="B818" t="s">
        <v>15</v>
      </c>
      <c r="C818" t="s">
        <v>16</v>
      </c>
      <c r="D818" s="1">
        <v>45855</v>
      </c>
      <c r="E818" t="s">
        <v>17</v>
      </c>
      <c r="F818">
        <v>5850</v>
      </c>
      <c r="G818">
        <v>114.8</v>
      </c>
      <c r="H818">
        <v>167.3</v>
      </c>
      <c r="I818">
        <v>104.3</v>
      </c>
      <c r="J818">
        <v>147.5</v>
      </c>
      <c r="K818">
        <v>114.8</v>
      </c>
      <c r="L818">
        <v>85719</v>
      </c>
      <c r="M818" t="s">
        <v>442</v>
      </c>
      <c r="N818">
        <v>512360.58</v>
      </c>
      <c r="O818">
        <v>1746</v>
      </c>
    </row>
    <row r="819" spans="1:15" x14ac:dyDescent="0.2">
      <c r="A819" s="6">
        <v>45846</v>
      </c>
      <c r="B819" t="s">
        <v>15</v>
      </c>
      <c r="C819" t="s">
        <v>16</v>
      </c>
      <c r="D819" s="1">
        <v>45855</v>
      </c>
      <c r="E819" t="s">
        <v>19</v>
      </c>
      <c r="F819">
        <v>6500</v>
      </c>
      <c r="G819">
        <v>720.1</v>
      </c>
      <c r="H819">
        <v>733.7</v>
      </c>
      <c r="I819">
        <v>619</v>
      </c>
      <c r="J819">
        <v>651.20000000000005</v>
      </c>
      <c r="K819">
        <v>703.7</v>
      </c>
      <c r="L819">
        <v>26</v>
      </c>
      <c r="M819" t="s">
        <v>59</v>
      </c>
      <c r="N819">
        <v>186.77</v>
      </c>
      <c r="O819">
        <v>728</v>
      </c>
    </row>
    <row r="820" spans="1:15" x14ac:dyDescent="0.2">
      <c r="A820" s="6">
        <v>45846</v>
      </c>
      <c r="B820" t="s">
        <v>15</v>
      </c>
      <c r="C820" t="s">
        <v>16</v>
      </c>
      <c r="D820" s="1">
        <v>45855</v>
      </c>
      <c r="E820" t="s">
        <v>17</v>
      </c>
      <c r="F820">
        <v>3900</v>
      </c>
      <c r="J820">
        <v>1983.1</v>
      </c>
      <c r="K820">
        <v>1892.9</v>
      </c>
      <c r="L820">
        <v>0</v>
      </c>
      <c r="M820" t="s">
        <v>18</v>
      </c>
      <c r="N820">
        <v>0</v>
      </c>
      <c r="O820">
        <v>0</v>
      </c>
    </row>
    <row r="821" spans="1:15" x14ac:dyDescent="0.2">
      <c r="A821" s="6">
        <v>45846</v>
      </c>
      <c r="B821" t="s">
        <v>15</v>
      </c>
      <c r="C821" t="s">
        <v>16</v>
      </c>
      <c r="D821" s="1">
        <v>45855</v>
      </c>
      <c r="E821" t="s">
        <v>19</v>
      </c>
      <c r="F821">
        <v>5850</v>
      </c>
      <c r="G821">
        <v>161.5</v>
      </c>
      <c r="H821">
        <v>178.5</v>
      </c>
      <c r="I821">
        <v>104.5</v>
      </c>
      <c r="J821">
        <v>113.1</v>
      </c>
      <c r="K821">
        <v>168.4</v>
      </c>
      <c r="L821">
        <v>59430</v>
      </c>
      <c r="M821" t="s">
        <v>443</v>
      </c>
      <c r="N821">
        <v>355827.26</v>
      </c>
      <c r="O821">
        <v>3295</v>
      </c>
    </row>
    <row r="822" spans="1:15" x14ac:dyDescent="0.2">
      <c r="A822" s="6">
        <v>45846</v>
      </c>
      <c r="B822" t="s">
        <v>15</v>
      </c>
      <c r="C822" t="s">
        <v>16</v>
      </c>
      <c r="D822" s="1">
        <v>45855</v>
      </c>
      <c r="E822" t="s">
        <v>19</v>
      </c>
      <c r="F822">
        <v>6300</v>
      </c>
      <c r="G822">
        <v>525.9</v>
      </c>
      <c r="H822">
        <v>536</v>
      </c>
      <c r="I822">
        <v>426.8</v>
      </c>
      <c r="J822">
        <v>437.1</v>
      </c>
      <c r="K822">
        <v>509.5</v>
      </c>
      <c r="L822">
        <v>107</v>
      </c>
      <c r="M822" t="s">
        <v>62</v>
      </c>
      <c r="N822">
        <v>726.69</v>
      </c>
      <c r="O822">
        <v>541</v>
      </c>
    </row>
    <row r="823" spans="1:15" x14ac:dyDescent="0.2">
      <c r="A823" s="6">
        <v>45846</v>
      </c>
      <c r="B823" t="s">
        <v>15</v>
      </c>
      <c r="C823" t="s">
        <v>16</v>
      </c>
      <c r="D823" s="1">
        <v>45855</v>
      </c>
      <c r="E823" t="s">
        <v>17</v>
      </c>
      <c r="F823">
        <v>6600</v>
      </c>
      <c r="G823">
        <v>17.899999999999999</v>
      </c>
      <c r="H823">
        <v>21.3</v>
      </c>
      <c r="I823">
        <v>16</v>
      </c>
      <c r="J823">
        <v>18.2</v>
      </c>
      <c r="K823">
        <v>16.5</v>
      </c>
      <c r="L823">
        <v>3634</v>
      </c>
      <c r="M823" t="s">
        <v>444</v>
      </c>
      <c r="N823">
        <v>24050.37</v>
      </c>
      <c r="O823">
        <v>4334</v>
      </c>
    </row>
    <row r="824" spans="1:15" x14ac:dyDescent="0.2">
      <c r="A824" s="6">
        <v>45846</v>
      </c>
      <c r="B824" t="s">
        <v>15</v>
      </c>
      <c r="C824" t="s">
        <v>16</v>
      </c>
      <c r="D824" s="1">
        <v>45855</v>
      </c>
      <c r="E824" t="s">
        <v>19</v>
      </c>
      <c r="F824">
        <v>7550</v>
      </c>
      <c r="J824">
        <v>1661.6</v>
      </c>
      <c r="K824">
        <v>1751.1</v>
      </c>
      <c r="L824">
        <v>0</v>
      </c>
      <c r="M824" t="s">
        <v>18</v>
      </c>
      <c r="N824">
        <v>0</v>
      </c>
      <c r="O824">
        <v>0</v>
      </c>
    </row>
    <row r="825" spans="1:15" x14ac:dyDescent="0.2">
      <c r="A825" s="6">
        <v>45846</v>
      </c>
      <c r="B825" t="s">
        <v>15</v>
      </c>
      <c r="C825" t="s">
        <v>16</v>
      </c>
      <c r="D825" s="1">
        <v>45855</v>
      </c>
      <c r="E825" t="s">
        <v>19</v>
      </c>
      <c r="F825">
        <v>5550</v>
      </c>
      <c r="G825">
        <v>46.3</v>
      </c>
      <c r="H825">
        <v>52.7</v>
      </c>
      <c r="I825">
        <v>25.7</v>
      </c>
      <c r="J825">
        <v>29.4</v>
      </c>
      <c r="K825">
        <v>51.7</v>
      </c>
      <c r="L825">
        <v>17340</v>
      </c>
      <c r="M825" t="s">
        <v>445</v>
      </c>
      <c r="N825">
        <v>96949.19</v>
      </c>
      <c r="O825">
        <v>2472</v>
      </c>
    </row>
    <row r="826" spans="1:15" x14ac:dyDescent="0.2">
      <c r="A826" s="6">
        <v>45846</v>
      </c>
      <c r="B826" t="s">
        <v>15</v>
      </c>
      <c r="C826" t="s">
        <v>16</v>
      </c>
      <c r="D826" s="1">
        <v>45855</v>
      </c>
      <c r="E826" t="s">
        <v>19</v>
      </c>
      <c r="F826">
        <v>7050</v>
      </c>
      <c r="J826">
        <v>1162.5</v>
      </c>
      <c r="K826">
        <v>1252.2</v>
      </c>
      <c r="L826">
        <v>0</v>
      </c>
      <c r="M826" t="s">
        <v>18</v>
      </c>
      <c r="N826">
        <v>0</v>
      </c>
      <c r="O826">
        <v>0</v>
      </c>
    </row>
    <row r="827" spans="1:15" x14ac:dyDescent="0.2">
      <c r="A827" s="6">
        <v>45846</v>
      </c>
      <c r="B827" t="s">
        <v>15</v>
      </c>
      <c r="C827" t="s">
        <v>16</v>
      </c>
      <c r="D827" s="1">
        <v>45855</v>
      </c>
      <c r="E827" t="s">
        <v>19</v>
      </c>
      <c r="F827">
        <v>3850</v>
      </c>
      <c r="J827">
        <v>0.1</v>
      </c>
      <c r="K827">
        <v>0.1</v>
      </c>
      <c r="L827">
        <v>0</v>
      </c>
      <c r="M827" t="s">
        <v>18</v>
      </c>
      <c r="N827">
        <v>0</v>
      </c>
      <c r="O827">
        <v>0</v>
      </c>
    </row>
    <row r="828" spans="1:15" x14ac:dyDescent="0.2">
      <c r="A828" s="6">
        <v>45846</v>
      </c>
      <c r="B828" t="s">
        <v>15</v>
      </c>
      <c r="C828" t="s">
        <v>16</v>
      </c>
      <c r="D828" s="1">
        <v>45855</v>
      </c>
      <c r="E828" t="s">
        <v>19</v>
      </c>
      <c r="F828">
        <v>6000</v>
      </c>
      <c r="G828">
        <v>263.3</v>
      </c>
      <c r="H828">
        <v>283.10000000000002</v>
      </c>
      <c r="I828">
        <v>188.2</v>
      </c>
      <c r="J828">
        <v>199.5</v>
      </c>
      <c r="K828">
        <v>269.5</v>
      </c>
      <c r="L828">
        <v>20988</v>
      </c>
      <c r="M828" t="s">
        <v>446</v>
      </c>
      <c r="N828">
        <v>130636.24</v>
      </c>
      <c r="O828">
        <v>2609</v>
      </c>
    </row>
    <row r="829" spans="1:15" x14ac:dyDescent="0.2">
      <c r="A829" s="6">
        <v>45846</v>
      </c>
      <c r="B829" t="s">
        <v>15</v>
      </c>
      <c r="C829" t="s">
        <v>16</v>
      </c>
      <c r="D829" s="1">
        <v>45855</v>
      </c>
      <c r="E829" t="s">
        <v>17</v>
      </c>
      <c r="F829">
        <v>7600</v>
      </c>
      <c r="G829">
        <v>9</v>
      </c>
      <c r="H829">
        <v>10</v>
      </c>
      <c r="I829">
        <v>7.4</v>
      </c>
      <c r="J829">
        <v>8.1999999999999993</v>
      </c>
      <c r="K829">
        <v>9.8000000000000007</v>
      </c>
      <c r="L829">
        <v>465</v>
      </c>
      <c r="M829" t="s">
        <v>447</v>
      </c>
      <c r="N829">
        <v>3538.11</v>
      </c>
      <c r="O829">
        <v>1138</v>
      </c>
    </row>
    <row r="830" spans="1:15" x14ac:dyDescent="0.2">
      <c r="A830" s="6">
        <v>45846</v>
      </c>
      <c r="B830" t="s">
        <v>15</v>
      </c>
      <c r="C830" t="s">
        <v>16</v>
      </c>
      <c r="D830" s="1">
        <v>45855</v>
      </c>
      <c r="E830" t="s">
        <v>17</v>
      </c>
      <c r="F830">
        <v>6400</v>
      </c>
      <c r="G830">
        <v>22.7</v>
      </c>
      <c r="H830">
        <v>30.4</v>
      </c>
      <c r="I830">
        <v>21.7</v>
      </c>
      <c r="J830">
        <v>25.8</v>
      </c>
      <c r="K830">
        <v>23.4</v>
      </c>
      <c r="L830">
        <v>10139</v>
      </c>
      <c r="M830" t="s">
        <v>448</v>
      </c>
      <c r="N830">
        <v>65145.63</v>
      </c>
      <c r="O830">
        <v>5588</v>
      </c>
    </row>
    <row r="831" spans="1:15" x14ac:dyDescent="0.2">
      <c r="A831" s="6">
        <v>45846</v>
      </c>
      <c r="B831" t="s">
        <v>15</v>
      </c>
      <c r="C831" t="s">
        <v>16</v>
      </c>
      <c r="D831" s="1">
        <v>45855</v>
      </c>
      <c r="E831" t="s">
        <v>19</v>
      </c>
      <c r="F831">
        <v>3950</v>
      </c>
      <c r="J831">
        <v>0.1</v>
      </c>
      <c r="K831">
        <v>0.1</v>
      </c>
      <c r="L831">
        <v>0</v>
      </c>
      <c r="M831" t="s">
        <v>18</v>
      </c>
      <c r="N831">
        <v>0</v>
      </c>
      <c r="O831">
        <v>0</v>
      </c>
    </row>
    <row r="832" spans="1:15" x14ac:dyDescent="0.2">
      <c r="A832" s="6">
        <v>45845</v>
      </c>
      <c r="B832" t="s">
        <v>15</v>
      </c>
      <c r="C832" t="s">
        <v>16</v>
      </c>
      <c r="D832" s="1">
        <v>45855</v>
      </c>
      <c r="E832" t="s">
        <v>17</v>
      </c>
      <c r="F832">
        <v>4850</v>
      </c>
      <c r="J832">
        <v>944.9</v>
      </c>
      <c r="K832">
        <v>841.3</v>
      </c>
      <c r="L832">
        <v>0</v>
      </c>
      <c r="M832" t="s">
        <v>18</v>
      </c>
      <c r="N832">
        <v>0</v>
      </c>
      <c r="O832">
        <v>0</v>
      </c>
    </row>
    <row r="833" spans="1:15" x14ac:dyDescent="0.2">
      <c r="A833" s="6">
        <v>45845</v>
      </c>
      <c r="B833" t="s">
        <v>15</v>
      </c>
      <c r="C833" t="s">
        <v>16</v>
      </c>
      <c r="D833" s="1">
        <v>45855</v>
      </c>
      <c r="E833" t="s">
        <v>19</v>
      </c>
      <c r="F833">
        <v>5250</v>
      </c>
      <c r="G833">
        <v>25.1</v>
      </c>
      <c r="H833">
        <v>26.8</v>
      </c>
      <c r="I833">
        <v>15</v>
      </c>
      <c r="J833">
        <v>16.7</v>
      </c>
      <c r="K833">
        <v>23.5</v>
      </c>
      <c r="L833">
        <v>2151</v>
      </c>
      <c r="M833" t="s">
        <v>449</v>
      </c>
      <c r="N833">
        <v>11336.98</v>
      </c>
      <c r="O833">
        <v>563</v>
      </c>
    </row>
    <row r="834" spans="1:15" x14ac:dyDescent="0.2">
      <c r="A834" s="6">
        <v>45845</v>
      </c>
      <c r="B834" t="s">
        <v>15</v>
      </c>
      <c r="C834" t="s">
        <v>16</v>
      </c>
      <c r="D834" s="1">
        <v>45855</v>
      </c>
      <c r="E834" t="s">
        <v>17</v>
      </c>
      <c r="F834">
        <v>3700</v>
      </c>
      <c r="J834">
        <v>2092.6</v>
      </c>
      <c r="K834">
        <v>1985.8</v>
      </c>
      <c r="L834">
        <v>0</v>
      </c>
      <c r="M834" t="s">
        <v>18</v>
      </c>
      <c r="N834">
        <v>0</v>
      </c>
      <c r="O834">
        <v>0</v>
      </c>
    </row>
    <row r="835" spans="1:15" x14ac:dyDescent="0.2">
      <c r="A835" s="6">
        <v>45845</v>
      </c>
      <c r="B835" t="s">
        <v>15</v>
      </c>
      <c r="C835" t="s">
        <v>16</v>
      </c>
      <c r="D835" s="1">
        <v>45855</v>
      </c>
      <c r="E835" t="s">
        <v>19</v>
      </c>
      <c r="F835">
        <v>5200</v>
      </c>
      <c r="G835">
        <v>18.100000000000001</v>
      </c>
      <c r="H835">
        <v>20.5</v>
      </c>
      <c r="I835">
        <v>12.6</v>
      </c>
      <c r="J835">
        <v>14</v>
      </c>
      <c r="K835">
        <v>18.7</v>
      </c>
      <c r="L835">
        <v>14074</v>
      </c>
      <c r="M835" t="s">
        <v>450</v>
      </c>
      <c r="N835">
        <v>73408.490000000005</v>
      </c>
      <c r="O835">
        <v>4796</v>
      </c>
    </row>
    <row r="836" spans="1:15" x14ac:dyDescent="0.2">
      <c r="A836" s="6">
        <v>45845</v>
      </c>
      <c r="B836" t="s">
        <v>15</v>
      </c>
      <c r="C836" t="s">
        <v>16</v>
      </c>
      <c r="D836" s="1">
        <v>45855</v>
      </c>
      <c r="E836" t="s">
        <v>17</v>
      </c>
      <c r="F836">
        <v>7450</v>
      </c>
      <c r="G836">
        <v>9.6999999999999993</v>
      </c>
      <c r="H836">
        <v>12.4</v>
      </c>
      <c r="I836">
        <v>9</v>
      </c>
      <c r="J836">
        <v>10.4</v>
      </c>
      <c r="K836">
        <v>10.7</v>
      </c>
      <c r="L836">
        <v>16</v>
      </c>
      <c r="M836" t="s">
        <v>259</v>
      </c>
      <c r="N836">
        <v>119.36</v>
      </c>
      <c r="O836">
        <v>84</v>
      </c>
    </row>
    <row r="837" spans="1:15" x14ac:dyDescent="0.2">
      <c r="A837" s="6">
        <v>45845</v>
      </c>
      <c r="B837" t="s">
        <v>15</v>
      </c>
      <c r="C837" t="s">
        <v>16</v>
      </c>
      <c r="D837" s="1">
        <v>45855</v>
      </c>
      <c r="E837" t="s">
        <v>19</v>
      </c>
      <c r="F837">
        <v>6950</v>
      </c>
      <c r="J837">
        <v>1152.5999999999999</v>
      </c>
      <c r="K837">
        <v>1258.0999999999999</v>
      </c>
      <c r="L837">
        <v>0</v>
      </c>
      <c r="M837" t="s">
        <v>18</v>
      </c>
      <c r="N837">
        <v>0</v>
      </c>
      <c r="O837">
        <v>15</v>
      </c>
    </row>
    <row r="838" spans="1:15" x14ac:dyDescent="0.2">
      <c r="A838" s="6">
        <v>45845</v>
      </c>
      <c r="B838" t="s">
        <v>15</v>
      </c>
      <c r="C838" t="s">
        <v>16</v>
      </c>
      <c r="D838" s="1">
        <v>45855</v>
      </c>
      <c r="E838" t="s">
        <v>17</v>
      </c>
      <c r="F838">
        <v>4350</v>
      </c>
      <c r="J838">
        <v>1443.6</v>
      </c>
      <c r="K838">
        <v>1337.2</v>
      </c>
      <c r="L838">
        <v>0</v>
      </c>
      <c r="M838" t="s">
        <v>18</v>
      </c>
      <c r="N838">
        <v>0</v>
      </c>
      <c r="O838">
        <v>0</v>
      </c>
    </row>
    <row r="839" spans="1:15" x14ac:dyDescent="0.2">
      <c r="A839" s="6">
        <v>45845</v>
      </c>
      <c r="B839" t="s">
        <v>15</v>
      </c>
      <c r="C839" t="s">
        <v>16</v>
      </c>
      <c r="D839" s="1">
        <v>45855</v>
      </c>
      <c r="E839" t="s">
        <v>17</v>
      </c>
      <c r="F839">
        <v>5000</v>
      </c>
      <c r="G839">
        <v>765.8</v>
      </c>
      <c r="H839">
        <v>765.8</v>
      </c>
      <c r="I839">
        <v>765.8</v>
      </c>
      <c r="J839">
        <v>765.8</v>
      </c>
      <c r="K839">
        <v>697</v>
      </c>
      <c r="L839">
        <v>1</v>
      </c>
      <c r="M839" t="s">
        <v>155</v>
      </c>
      <c r="N839">
        <v>5.77</v>
      </c>
      <c r="O839">
        <v>16</v>
      </c>
    </row>
    <row r="840" spans="1:15" x14ac:dyDescent="0.2">
      <c r="A840" s="6">
        <v>45845</v>
      </c>
      <c r="B840" t="s">
        <v>15</v>
      </c>
      <c r="C840" t="s">
        <v>16</v>
      </c>
      <c r="D840" s="1">
        <v>45855</v>
      </c>
      <c r="E840" t="s">
        <v>17</v>
      </c>
      <c r="F840">
        <v>4750</v>
      </c>
      <c r="J840">
        <v>1044.4000000000001</v>
      </c>
      <c r="K840">
        <v>939.4</v>
      </c>
      <c r="L840">
        <v>0</v>
      </c>
      <c r="M840" t="s">
        <v>18</v>
      </c>
      <c r="N840">
        <v>0</v>
      </c>
      <c r="O840">
        <v>0</v>
      </c>
    </row>
    <row r="841" spans="1:15" x14ac:dyDescent="0.2">
      <c r="A841" s="6">
        <v>45845</v>
      </c>
      <c r="B841" t="s">
        <v>15</v>
      </c>
      <c r="C841" t="s">
        <v>16</v>
      </c>
      <c r="D841" s="1">
        <v>45855</v>
      </c>
      <c r="E841" t="s">
        <v>17</v>
      </c>
      <c r="F841">
        <v>4400</v>
      </c>
      <c r="J841">
        <v>1393.7</v>
      </c>
      <c r="K841">
        <v>1287.3</v>
      </c>
      <c r="L841">
        <v>0</v>
      </c>
      <c r="M841" t="s">
        <v>18</v>
      </c>
      <c r="N841">
        <v>0</v>
      </c>
      <c r="O841">
        <v>0</v>
      </c>
    </row>
    <row r="842" spans="1:15" x14ac:dyDescent="0.2">
      <c r="A842" s="6">
        <v>45845</v>
      </c>
      <c r="B842" t="s">
        <v>15</v>
      </c>
      <c r="C842" t="s">
        <v>16</v>
      </c>
      <c r="D842" s="1">
        <v>45855</v>
      </c>
      <c r="E842" t="s">
        <v>17</v>
      </c>
      <c r="F842">
        <v>4100</v>
      </c>
      <c r="J842">
        <v>1693.2</v>
      </c>
      <c r="K842">
        <v>1586.6</v>
      </c>
      <c r="L842">
        <v>0</v>
      </c>
      <c r="M842" t="s">
        <v>18</v>
      </c>
      <c r="N842">
        <v>0</v>
      </c>
      <c r="O842">
        <v>0</v>
      </c>
    </row>
    <row r="843" spans="1:15" x14ac:dyDescent="0.2">
      <c r="A843" s="6">
        <v>45845</v>
      </c>
      <c r="B843" t="s">
        <v>15</v>
      </c>
      <c r="C843" t="s">
        <v>16</v>
      </c>
      <c r="D843" s="1">
        <v>45855</v>
      </c>
      <c r="E843" t="s">
        <v>17</v>
      </c>
      <c r="F843">
        <v>4450</v>
      </c>
      <c r="J843">
        <v>1343.8</v>
      </c>
      <c r="K843">
        <v>1237.4000000000001</v>
      </c>
      <c r="L843">
        <v>0</v>
      </c>
      <c r="M843" t="s">
        <v>18</v>
      </c>
      <c r="N843">
        <v>0</v>
      </c>
      <c r="O843">
        <v>0</v>
      </c>
    </row>
    <row r="844" spans="1:15" x14ac:dyDescent="0.2">
      <c r="A844" s="6">
        <v>45845</v>
      </c>
      <c r="B844" t="s">
        <v>15</v>
      </c>
      <c r="C844" t="s">
        <v>16</v>
      </c>
      <c r="D844" s="1">
        <v>45855</v>
      </c>
      <c r="E844" t="s">
        <v>17</v>
      </c>
      <c r="F844">
        <v>5300</v>
      </c>
      <c r="G844">
        <v>393.8</v>
      </c>
      <c r="H844">
        <v>535</v>
      </c>
      <c r="I844">
        <v>391</v>
      </c>
      <c r="J844">
        <v>515.4</v>
      </c>
      <c r="K844">
        <v>416.3</v>
      </c>
      <c r="L844">
        <v>182</v>
      </c>
      <c r="M844" t="s">
        <v>194</v>
      </c>
      <c r="N844">
        <v>1048.04</v>
      </c>
      <c r="O844">
        <v>60</v>
      </c>
    </row>
    <row r="845" spans="1:15" x14ac:dyDescent="0.2">
      <c r="A845" s="6">
        <v>45845</v>
      </c>
      <c r="B845" t="s">
        <v>15</v>
      </c>
      <c r="C845" t="s">
        <v>16</v>
      </c>
      <c r="D845" s="1">
        <v>45855</v>
      </c>
      <c r="E845" t="s">
        <v>19</v>
      </c>
      <c r="F845">
        <v>6150</v>
      </c>
      <c r="G845">
        <v>515</v>
      </c>
      <c r="H845">
        <v>515</v>
      </c>
      <c r="I845">
        <v>374</v>
      </c>
      <c r="J845">
        <v>400</v>
      </c>
      <c r="K845">
        <v>490.8</v>
      </c>
      <c r="L845">
        <v>116</v>
      </c>
      <c r="M845" t="s">
        <v>451</v>
      </c>
      <c r="N845">
        <v>761.34</v>
      </c>
      <c r="O845">
        <v>120</v>
      </c>
    </row>
    <row r="846" spans="1:15" x14ac:dyDescent="0.2">
      <c r="A846" s="6">
        <v>45845</v>
      </c>
      <c r="B846" t="s">
        <v>15</v>
      </c>
      <c r="C846" t="s">
        <v>16</v>
      </c>
      <c r="D846" s="1">
        <v>45855</v>
      </c>
      <c r="E846" t="s">
        <v>17</v>
      </c>
      <c r="F846">
        <v>6200</v>
      </c>
      <c r="G846">
        <v>24.9</v>
      </c>
      <c r="H846">
        <v>43</v>
      </c>
      <c r="I846">
        <v>21.2</v>
      </c>
      <c r="J846">
        <v>36.700000000000003</v>
      </c>
      <c r="K846">
        <v>28.7</v>
      </c>
      <c r="L846">
        <v>27889</v>
      </c>
      <c r="M846" t="s">
        <v>452</v>
      </c>
      <c r="N846">
        <v>173877.47</v>
      </c>
      <c r="O846">
        <v>3460</v>
      </c>
    </row>
    <row r="847" spans="1:15" x14ac:dyDescent="0.2">
      <c r="A847" s="6">
        <v>45845</v>
      </c>
      <c r="B847" t="s">
        <v>15</v>
      </c>
      <c r="C847" t="s">
        <v>16</v>
      </c>
      <c r="D847" s="1">
        <v>45855</v>
      </c>
      <c r="E847" t="s">
        <v>17</v>
      </c>
      <c r="F847">
        <v>5700</v>
      </c>
      <c r="G847">
        <v>120</v>
      </c>
      <c r="H847">
        <v>222</v>
      </c>
      <c r="I847">
        <v>116.7</v>
      </c>
      <c r="J847">
        <v>192.2</v>
      </c>
      <c r="K847">
        <v>139.69999999999999</v>
      </c>
      <c r="L847">
        <v>144354</v>
      </c>
      <c r="M847" t="s">
        <v>453</v>
      </c>
      <c r="N847">
        <v>848721.66</v>
      </c>
      <c r="O847">
        <v>8832</v>
      </c>
    </row>
    <row r="848" spans="1:15" x14ac:dyDescent="0.2">
      <c r="A848" s="6">
        <v>45845</v>
      </c>
      <c r="B848" t="s">
        <v>15</v>
      </c>
      <c r="C848" t="s">
        <v>16</v>
      </c>
      <c r="D848" s="1">
        <v>45855</v>
      </c>
      <c r="E848" t="s">
        <v>17</v>
      </c>
      <c r="F848">
        <v>4950</v>
      </c>
      <c r="J848">
        <v>845.8</v>
      </c>
      <c r="K848">
        <v>744.6</v>
      </c>
      <c r="L848">
        <v>0</v>
      </c>
      <c r="M848" t="s">
        <v>18</v>
      </c>
      <c r="N848">
        <v>0</v>
      </c>
      <c r="O848">
        <v>0</v>
      </c>
    </row>
    <row r="849" spans="1:15" x14ac:dyDescent="0.2">
      <c r="A849" s="6">
        <v>45845</v>
      </c>
      <c r="B849" t="s">
        <v>15</v>
      </c>
      <c r="C849" t="s">
        <v>16</v>
      </c>
      <c r="D849" s="1">
        <v>45855</v>
      </c>
      <c r="E849" t="s">
        <v>17</v>
      </c>
      <c r="F849">
        <v>4900</v>
      </c>
      <c r="J849">
        <v>895.3</v>
      </c>
      <c r="K849">
        <v>792.7</v>
      </c>
      <c r="L849">
        <v>0</v>
      </c>
      <c r="M849" t="s">
        <v>18</v>
      </c>
      <c r="N849">
        <v>0</v>
      </c>
      <c r="O849">
        <v>0</v>
      </c>
    </row>
    <row r="850" spans="1:15" x14ac:dyDescent="0.2">
      <c r="A850" s="6">
        <v>45845</v>
      </c>
      <c r="B850" t="s">
        <v>15</v>
      </c>
      <c r="C850" t="s">
        <v>16</v>
      </c>
      <c r="D850" s="1">
        <v>45855</v>
      </c>
      <c r="E850" t="s">
        <v>19</v>
      </c>
      <c r="F850">
        <v>6550</v>
      </c>
      <c r="J850">
        <v>758.5</v>
      </c>
      <c r="K850">
        <v>864.9</v>
      </c>
      <c r="L850">
        <v>0</v>
      </c>
      <c r="M850" t="s">
        <v>18</v>
      </c>
      <c r="N850">
        <v>0</v>
      </c>
      <c r="O850">
        <v>56</v>
      </c>
    </row>
    <row r="851" spans="1:15" x14ac:dyDescent="0.2">
      <c r="A851" s="6">
        <v>45845</v>
      </c>
      <c r="B851" t="s">
        <v>15</v>
      </c>
      <c r="C851" t="s">
        <v>16</v>
      </c>
      <c r="D851" s="1">
        <v>45855</v>
      </c>
      <c r="E851" t="s">
        <v>19</v>
      </c>
      <c r="F851">
        <v>3900</v>
      </c>
      <c r="J851">
        <v>0.1</v>
      </c>
      <c r="K851">
        <v>0.1</v>
      </c>
      <c r="L851">
        <v>0</v>
      </c>
      <c r="M851" t="s">
        <v>18</v>
      </c>
      <c r="N851">
        <v>0</v>
      </c>
      <c r="O851">
        <v>0</v>
      </c>
    </row>
    <row r="852" spans="1:15" x14ac:dyDescent="0.2">
      <c r="A852" s="6">
        <v>45845</v>
      </c>
      <c r="B852" t="s">
        <v>15</v>
      </c>
      <c r="C852" t="s">
        <v>16</v>
      </c>
      <c r="D852" s="1">
        <v>45855</v>
      </c>
      <c r="E852" t="s">
        <v>17</v>
      </c>
      <c r="F852">
        <v>5950</v>
      </c>
      <c r="G852">
        <v>48</v>
      </c>
      <c r="H852">
        <v>96.2</v>
      </c>
      <c r="I852">
        <v>45.3</v>
      </c>
      <c r="J852">
        <v>80.5</v>
      </c>
      <c r="K852">
        <v>58.1</v>
      </c>
      <c r="L852">
        <v>36947</v>
      </c>
      <c r="M852" t="s">
        <v>454</v>
      </c>
      <c r="N852">
        <v>222694.47</v>
      </c>
      <c r="O852">
        <v>1804</v>
      </c>
    </row>
    <row r="853" spans="1:15" x14ac:dyDescent="0.2">
      <c r="A853" s="6">
        <v>45845</v>
      </c>
      <c r="B853" t="s">
        <v>15</v>
      </c>
      <c r="C853" t="s">
        <v>16</v>
      </c>
      <c r="D853" s="1">
        <v>45855</v>
      </c>
      <c r="E853" t="s">
        <v>17</v>
      </c>
      <c r="F853">
        <v>4800</v>
      </c>
      <c r="J853">
        <v>994.6</v>
      </c>
      <c r="K853">
        <v>890.2</v>
      </c>
      <c r="L853">
        <v>0</v>
      </c>
      <c r="M853" t="s">
        <v>18</v>
      </c>
      <c r="N853">
        <v>0</v>
      </c>
      <c r="O853">
        <v>0</v>
      </c>
    </row>
    <row r="854" spans="1:15" x14ac:dyDescent="0.2">
      <c r="A854" s="6">
        <v>45845</v>
      </c>
      <c r="B854" t="s">
        <v>15</v>
      </c>
      <c r="C854" t="s">
        <v>16</v>
      </c>
      <c r="D854" s="1">
        <v>45855</v>
      </c>
      <c r="E854" t="s">
        <v>19</v>
      </c>
      <c r="F854">
        <v>4200</v>
      </c>
      <c r="J854">
        <v>0.1</v>
      </c>
      <c r="K854">
        <v>0.1</v>
      </c>
      <c r="L854">
        <v>0</v>
      </c>
      <c r="M854" t="s">
        <v>18</v>
      </c>
      <c r="N854">
        <v>0</v>
      </c>
      <c r="O854">
        <v>0</v>
      </c>
    </row>
    <row r="855" spans="1:15" x14ac:dyDescent="0.2">
      <c r="A855" s="6">
        <v>45845</v>
      </c>
      <c r="B855" t="s">
        <v>15</v>
      </c>
      <c r="C855" t="s">
        <v>16</v>
      </c>
      <c r="D855" s="1">
        <v>45855</v>
      </c>
      <c r="E855" t="s">
        <v>17</v>
      </c>
      <c r="F855">
        <v>7300</v>
      </c>
      <c r="G855">
        <v>10</v>
      </c>
      <c r="H855">
        <v>12.2</v>
      </c>
      <c r="I855">
        <v>7.9</v>
      </c>
      <c r="J855">
        <v>10.8</v>
      </c>
      <c r="K855">
        <v>10.4</v>
      </c>
      <c r="L855">
        <v>579</v>
      </c>
      <c r="M855" t="s">
        <v>455</v>
      </c>
      <c r="N855">
        <v>4232.95</v>
      </c>
      <c r="O855">
        <v>820</v>
      </c>
    </row>
    <row r="856" spans="1:15" x14ac:dyDescent="0.2">
      <c r="A856" s="6">
        <v>45845</v>
      </c>
      <c r="B856" t="s">
        <v>15</v>
      </c>
      <c r="C856" t="s">
        <v>16</v>
      </c>
      <c r="D856" s="1">
        <v>45855</v>
      </c>
      <c r="E856" t="s">
        <v>19</v>
      </c>
      <c r="F856">
        <v>7200</v>
      </c>
      <c r="J856">
        <v>1401.8</v>
      </c>
      <c r="K856">
        <v>1507</v>
      </c>
      <c r="L856">
        <v>0</v>
      </c>
      <c r="M856" t="s">
        <v>18</v>
      </c>
      <c r="N856">
        <v>0</v>
      </c>
      <c r="O856">
        <v>0</v>
      </c>
    </row>
    <row r="857" spans="1:15" x14ac:dyDescent="0.2">
      <c r="A857" s="6">
        <v>45845</v>
      </c>
      <c r="B857" t="s">
        <v>15</v>
      </c>
      <c r="C857" t="s">
        <v>16</v>
      </c>
      <c r="D857" s="1">
        <v>45855</v>
      </c>
      <c r="E857" t="s">
        <v>19</v>
      </c>
      <c r="F857">
        <v>3600</v>
      </c>
      <c r="J857">
        <v>0.1</v>
      </c>
      <c r="K857">
        <v>0.1</v>
      </c>
      <c r="L857">
        <v>0</v>
      </c>
      <c r="M857" t="s">
        <v>18</v>
      </c>
      <c r="N857">
        <v>0</v>
      </c>
      <c r="O857">
        <v>0</v>
      </c>
    </row>
    <row r="858" spans="1:15" x14ac:dyDescent="0.2">
      <c r="A858" s="6">
        <v>45845</v>
      </c>
      <c r="B858" t="s">
        <v>15</v>
      </c>
      <c r="C858" t="s">
        <v>16</v>
      </c>
      <c r="D858" s="1">
        <v>45855</v>
      </c>
      <c r="E858" t="s">
        <v>17</v>
      </c>
      <c r="F858">
        <v>5100</v>
      </c>
      <c r="G858">
        <v>705</v>
      </c>
      <c r="H858">
        <v>705</v>
      </c>
      <c r="I858">
        <v>705</v>
      </c>
      <c r="J858">
        <v>705</v>
      </c>
      <c r="K858">
        <v>604.1</v>
      </c>
      <c r="L858">
        <v>1</v>
      </c>
      <c r="M858" t="s">
        <v>155</v>
      </c>
      <c r="N858">
        <v>5.81</v>
      </c>
      <c r="O858">
        <v>7</v>
      </c>
    </row>
    <row r="859" spans="1:15" x14ac:dyDescent="0.2">
      <c r="A859" s="6">
        <v>45845</v>
      </c>
      <c r="B859" t="s">
        <v>15</v>
      </c>
      <c r="C859" t="s">
        <v>16</v>
      </c>
      <c r="D859" s="1">
        <v>45855</v>
      </c>
      <c r="E859" t="s">
        <v>19</v>
      </c>
      <c r="F859">
        <v>4900</v>
      </c>
      <c r="G859">
        <v>7.5</v>
      </c>
      <c r="H859">
        <v>10.199999999999999</v>
      </c>
      <c r="I859">
        <v>7.5</v>
      </c>
      <c r="J859">
        <v>9.1999999999999993</v>
      </c>
      <c r="K859">
        <v>8.3000000000000007</v>
      </c>
      <c r="L859">
        <v>1103</v>
      </c>
      <c r="M859" t="s">
        <v>456</v>
      </c>
      <c r="N859">
        <v>5414.87</v>
      </c>
      <c r="O859">
        <v>838</v>
      </c>
    </row>
    <row r="860" spans="1:15" x14ac:dyDescent="0.2">
      <c r="A860" s="6">
        <v>45845</v>
      </c>
      <c r="B860" t="s">
        <v>15</v>
      </c>
      <c r="C860" t="s">
        <v>16</v>
      </c>
      <c r="D860" s="1">
        <v>45855</v>
      </c>
      <c r="E860" t="s">
        <v>19</v>
      </c>
      <c r="F860">
        <v>6050</v>
      </c>
      <c r="G860">
        <v>421.4</v>
      </c>
      <c r="H860">
        <v>421.4</v>
      </c>
      <c r="I860">
        <v>281.7</v>
      </c>
      <c r="J860">
        <v>309</v>
      </c>
      <c r="K860">
        <v>408.5</v>
      </c>
      <c r="L860">
        <v>794</v>
      </c>
      <c r="M860" t="s">
        <v>457</v>
      </c>
      <c r="N860">
        <v>5053.28</v>
      </c>
      <c r="O860">
        <v>122</v>
      </c>
    </row>
    <row r="861" spans="1:15" x14ac:dyDescent="0.2">
      <c r="A861" s="6">
        <v>45845</v>
      </c>
      <c r="B861" t="s">
        <v>15</v>
      </c>
      <c r="C861" t="s">
        <v>16</v>
      </c>
      <c r="D861" s="1">
        <v>45855</v>
      </c>
      <c r="E861" t="s">
        <v>19</v>
      </c>
      <c r="F861">
        <v>6650</v>
      </c>
      <c r="J861">
        <v>855.8</v>
      </c>
      <c r="K861">
        <v>962.1</v>
      </c>
      <c r="L861">
        <v>0</v>
      </c>
      <c r="M861" t="s">
        <v>18</v>
      </c>
      <c r="N861">
        <v>0</v>
      </c>
      <c r="O861">
        <v>21</v>
      </c>
    </row>
    <row r="862" spans="1:15" x14ac:dyDescent="0.2">
      <c r="A862" s="6">
        <v>45845</v>
      </c>
      <c r="B862" t="s">
        <v>15</v>
      </c>
      <c r="C862" t="s">
        <v>16</v>
      </c>
      <c r="D862" s="1">
        <v>45855</v>
      </c>
      <c r="E862" t="s">
        <v>17</v>
      </c>
      <c r="F862">
        <v>4200</v>
      </c>
      <c r="J862">
        <v>1593.4</v>
      </c>
      <c r="K862">
        <v>1486.8</v>
      </c>
      <c r="L862">
        <v>0</v>
      </c>
      <c r="M862" t="s">
        <v>18</v>
      </c>
      <c r="N862">
        <v>0</v>
      </c>
      <c r="O862">
        <v>0</v>
      </c>
    </row>
    <row r="863" spans="1:15" x14ac:dyDescent="0.2">
      <c r="A863" s="6">
        <v>45845</v>
      </c>
      <c r="B863" t="s">
        <v>15</v>
      </c>
      <c r="C863" t="s">
        <v>16</v>
      </c>
      <c r="D863" s="1">
        <v>45855</v>
      </c>
      <c r="E863" t="s">
        <v>17</v>
      </c>
      <c r="F863">
        <v>5250</v>
      </c>
      <c r="J863">
        <v>556.79999999999995</v>
      </c>
      <c r="K863">
        <v>472.5</v>
      </c>
      <c r="L863">
        <v>0</v>
      </c>
      <c r="M863" t="s">
        <v>18</v>
      </c>
      <c r="N863">
        <v>0</v>
      </c>
      <c r="O863">
        <v>20</v>
      </c>
    </row>
    <row r="864" spans="1:15" x14ac:dyDescent="0.2">
      <c r="A864" s="6">
        <v>45845</v>
      </c>
      <c r="B864" t="s">
        <v>15</v>
      </c>
      <c r="C864" t="s">
        <v>16</v>
      </c>
      <c r="D864" s="1">
        <v>45855</v>
      </c>
      <c r="E864" t="s">
        <v>19</v>
      </c>
      <c r="F864">
        <v>5100</v>
      </c>
      <c r="G864">
        <v>13.4</v>
      </c>
      <c r="H864">
        <v>14.9</v>
      </c>
      <c r="I864">
        <v>11.2</v>
      </c>
      <c r="J864">
        <v>12.6</v>
      </c>
      <c r="K864">
        <v>13.1</v>
      </c>
      <c r="L864">
        <v>8390</v>
      </c>
      <c r="M864" t="s">
        <v>458</v>
      </c>
      <c r="N864">
        <v>42899.08</v>
      </c>
      <c r="O864">
        <v>1389</v>
      </c>
    </row>
    <row r="865" spans="1:15" x14ac:dyDescent="0.2">
      <c r="A865" s="6">
        <v>45845</v>
      </c>
      <c r="B865" t="s">
        <v>15</v>
      </c>
      <c r="C865" t="s">
        <v>16</v>
      </c>
      <c r="D865" s="1">
        <v>45855</v>
      </c>
      <c r="E865" t="s">
        <v>17</v>
      </c>
      <c r="F865">
        <v>4650</v>
      </c>
      <c r="J865">
        <v>1144.2</v>
      </c>
      <c r="K865">
        <v>1038.4000000000001</v>
      </c>
      <c r="L865">
        <v>0</v>
      </c>
      <c r="M865" t="s">
        <v>18</v>
      </c>
      <c r="N865">
        <v>0</v>
      </c>
      <c r="O865">
        <v>0</v>
      </c>
    </row>
    <row r="866" spans="1:15" x14ac:dyDescent="0.2">
      <c r="A866" s="6">
        <v>45845</v>
      </c>
      <c r="B866" t="s">
        <v>15</v>
      </c>
      <c r="C866" t="s">
        <v>16</v>
      </c>
      <c r="D866" s="1">
        <v>45855</v>
      </c>
      <c r="E866" t="s">
        <v>17</v>
      </c>
      <c r="F866">
        <v>6900</v>
      </c>
      <c r="G866">
        <v>12.6</v>
      </c>
      <c r="H866">
        <v>15.2</v>
      </c>
      <c r="I866">
        <v>10.8</v>
      </c>
      <c r="J866">
        <v>13.4</v>
      </c>
      <c r="K866">
        <v>13.4</v>
      </c>
      <c r="L866">
        <v>1165</v>
      </c>
      <c r="M866" t="s">
        <v>459</v>
      </c>
      <c r="N866">
        <v>8053.72</v>
      </c>
      <c r="O866">
        <v>872</v>
      </c>
    </row>
    <row r="867" spans="1:15" x14ac:dyDescent="0.2">
      <c r="A867" s="6">
        <v>45845</v>
      </c>
      <c r="B867" t="s">
        <v>15</v>
      </c>
      <c r="C867" t="s">
        <v>16</v>
      </c>
      <c r="D867" s="1">
        <v>45855</v>
      </c>
      <c r="E867" t="s">
        <v>17</v>
      </c>
      <c r="F867">
        <v>7500</v>
      </c>
      <c r="G867">
        <v>7.3</v>
      </c>
      <c r="H867">
        <v>10.8</v>
      </c>
      <c r="I867">
        <v>6.6</v>
      </c>
      <c r="J867">
        <v>9.8000000000000007</v>
      </c>
      <c r="K867">
        <v>8.8000000000000007</v>
      </c>
      <c r="L867">
        <v>3237</v>
      </c>
      <c r="M867" t="s">
        <v>460</v>
      </c>
      <c r="N867">
        <v>24307.040000000001</v>
      </c>
      <c r="O867">
        <v>2940</v>
      </c>
    </row>
    <row r="868" spans="1:15" x14ac:dyDescent="0.2">
      <c r="A868" s="6">
        <v>45845</v>
      </c>
      <c r="B868" t="s">
        <v>15</v>
      </c>
      <c r="C868" t="s">
        <v>16</v>
      </c>
      <c r="D868" s="1">
        <v>45855</v>
      </c>
      <c r="E868" t="s">
        <v>17</v>
      </c>
      <c r="F868">
        <v>3600</v>
      </c>
      <c r="J868">
        <v>2192.4</v>
      </c>
      <c r="K868">
        <v>2085.6</v>
      </c>
      <c r="L868">
        <v>0</v>
      </c>
      <c r="M868" t="s">
        <v>18</v>
      </c>
      <c r="N868">
        <v>0</v>
      </c>
      <c r="O868">
        <v>0</v>
      </c>
    </row>
    <row r="869" spans="1:15" x14ac:dyDescent="0.2">
      <c r="A869" s="6">
        <v>45845</v>
      </c>
      <c r="B869" t="s">
        <v>15</v>
      </c>
      <c r="C869" t="s">
        <v>16</v>
      </c>
      <c r="D869" s="1">
        <v>45855</v>
      </c>
      <c r="E869" t="s">
        <v>19</v>
      </c>
      <c r="F869">
        <v>5800</v>
      </c>
      <c r="G869">
        <v>249.3</v>
      </c>
      <c r="H869">
        <v>249.3</v>
      </c>
      <c r="I869">
        <v>122.4</v>
      </c>
      <c r="J869">
        <v>141.4</v>
      </c>
      <c r="K869">
        <v>207.2</v>
      </c>
      <c r="L869">
        <v>157999</v>
      </c>
      <c r="M869" t="s">
        <v>461</v>
      </c>
      <c r="N869">
        <v>939712.4</v>
      </c>
      <c r="O869">
        <v>9230</v>
      </c>
    </row>
    <row r="870" spans="1:15" x14ac:dyDescent="0.2">
      <c r="A870" s="6">
        <v>45845</v>
      </c>
      <c r="B870" t="s">
        <v>15</v>
      </c>
      <c r="C870" t="s">
        <v>16</v>
      </c>
      <c r="D870" s="1">
        <v>45855</v>
      </c>
      <c r="E870" t="s">
        <v>19</v>
      </c>
      <c r="F870">
        <v>5450</v>
      </c>
      <c r="G870">
        <v>58.9</v>
      </c>
      <c r="H870">
        <v>60.8</v>
      </c>
      <c r="I870">
        <v>29.6</v>
      </c>
      <c r="J870">
        <v>33.200000000000003</v>
      </c>
      <c r="K870">
        <v>55.1</v>
      </c>
      <c r="L870">
        <v>16363</v>
      </c>
      <c r="M870" t="s">
        <v>462</v>
      </c>
      <c r="N870">
        <v>89840.95</v>
      </c>
      <c r="O870">
        <v>1693</v>
      </c>
    </row>
    <row r="871" spans="1:15" x14ac:dyDescent="0.2">
      <c r="A871" s="6">
        <v>45845</v>
      </c>
      <c r="B871" t="s">
        <v>15</v>
      </c>
      <c r="C871" t="s">
        <v>16</v>
      </c>
      <c r="D871" s="1">
        <v>45855</v>
      </c>
      <c r="E871" t="s">
        <v>19</v>
      </c>
      <c r="F871">
        <v>7150</v>
      </c>
      <c r="J871">
        <v>1351.9</v>
      </c>
      <c r="K871">
        <v>1457.1</v>
      </c>
      <c r="L871">
        <v>0</v>
      </c>
      <c r="M871" t="s">
        <v>18</v>
      </c>
      <c r="N871">
        <v>0</v>
      </c>
      <c r="O871">
        <v>0</v>
      </c>
    </row>
    <row r="872" spans="1:15" x14ac:dyDescent="0.2">
      <c r="A872" s="6">
        <v>45845</v>
      </c>
      <c r="B872" t="s">
        <v>15</v>
      </c>
      <c r="C872" t="s">
        <v>16</v>
      </c>
      <c r="D872" s="1">
        <v>45855</v>
      </c>
      <c r="E872" t="s">
        <v>17</v>
      </c>
      <c r="F872">
        <v>6700</v>
      </c>
      <c r="G872">
        <v>8.3000000000000007</v>
      </c>
      <c r="H872">
        <v>17.7</v>
      </c>
      <c r="I872">
        <v>8.3000000000000007</v>
      </c>
      <c r="J872">
        <v>16.100000000000001</v>
      </c>
      <c r="K872">
        <v>15.5</v>
      </c>
      <c r="L872">
        <v>1831</v>
      </c>
      <c r="M872" t="s">
        <v>463</v>
      </c>
      <c r="N872">
        <v>12295.83</v>
      </c>
      <c r="O872">
        <v>1577</v>
      </c>
    </row>
    <row r="873" spans="1:15" x14ac:dyDescent="0.2">
      <c r="A873" s="6">
        <v>45845</v>
      </c>
      <c r="B873" t="s">
        <v>15</v>
      </c>
      <c r="C873" t="s">
        <v>16</v>
      </c>
      <c r="D873" s="1">
        <v>45855</v>
      </c>
      <c r="E873" t="s">
        <v>17</v>
      </c>
      <c r="F873">
        <v>6800</v>
      </c>
      <c r="G873">
        <v>13.7</v>
      </c>
      <c r="H873">
        <v>16.2</v>
      </c>
      <c r="I873">
        <v>11</v>
      </c>
      <c r="J873">
        <v>14.3</v>
      </c>
      <c r="K873">
        <v>14.7</v>
      </c>
      <c r="L873">
        <v>1216</v>
      </c>
      <c r="M873" t="s">
        <v>464</v>
      </c>
      <c r="N873">
        <v>8286.09</v>
      </c>
      <c r="O873">
        <v>1174</v>
      </c>
    </row>
    <row r="874" spans="1:15" x14ac:dyDescent="0.2">
      <c r="A874" s="6">
        <v>45845</v>
      </c>
      <c r="B874" t="s">
        <v>15</v>
      </c>
      <c r="C874" t="s">
        <v>16</v>
      </c>
      <c r="D874" s="1">
        <v>45855</v>
      </c>
      <c r="E874" t="s">
        <v>19</v>
      </c>
      <c r="F874">
        <v>4550</v>
      </c>
      <c r="G874">
        <v>6.4</v>
      </c>
      <c r="H874">
        <v>7.5</v>
      </c>
      <c r="I874">
        <v>3.1</v>
      </c>
      <c r="J874">
        <v>4.0999999999999996</v>
      </c>
      <c r="K874">
        <v>6.9</v>
      </c>
      <c r="L874">
        <v>20</v>
      </c>
      <c r="M874" t="s">
        <v>258</v>
      </c>
      <c r="N874">
        <v>91.08</v>
      </c>
      <c r="O874">
        <v>12</v>
      </c>
    </row>
    <row r="875" spans="1:15" x14ac:dyDescent="0.2">
      <c r="A875" s="6">
        <v>45845</v>
      </c>
      <c r="B875" t="s">
        <v>15</v>
      </c>
      <c r="C875" t="s">
        <v>16</v>
      </c>
      <c r="D875" s="1">
        <v>45855</v>
      </c>
      <c r="E875" t="s">
        <v>17</v>
      </c>
      <c r="F875">
        <v>7350</v>
      </c>
      <c r="G875">
        <v>10</v>
      </c>
      <c r="H875">
        <v>11.4</v>
      </c>
      <c r="I875">
        <v>9</v>
      </c>
      <c r="J875">
        <v>10</v>
      </c>
      <c r="K875">
        <v>11.4</v>
      </c>
      <c r="L875">
        <v>25</v>
      </c>
      <c r="M875" t="s">
        <v>465</v>
      </c>
      <c r="N875">
        <v>184</v>
      </c>
      <c r="O875">
        <v>238</v>
      </c>
    </row>
    <row r="876" spans="1:15" x14ac:dyDescent="0.2">
      <c r="A876" s="6">
        <v>45845</v>
      </c>
      <c r="B876" t="s">
        <v>15</v>
      </c>
      <c r="C876" t="s">
        <v>16</v>
      </c>
      <c r="D876" s="1">
        <v>45855</v>
      </c>
      <c r="E876" t="s">
        <v>17</v>
      </c>
      <c r="F876">
        <v>6850</v>
      </c>
      <c r="G876">
        <v>4</v>
      </c>
      <c r="H876">
        <v>15.7</v>
      </c>
      <c r="I876">
        <v>4</v>
      </c>
      <c r="J876">
        <v>13</v>
      </c>
      <c r="K876">
        <v>12.4</v>
      </c>
      <c r="L876">
        <v>242</v>
      </c>
      <c r="M876" t="s">
        <v>466</v>
      </c>
      <c r="N876">
        <v>1660.99</v>
      </c>
      <c r="O876">
        <v>323</v>
      </c>
    </row>
    <row r="877" spans="1:15" x14ac:dyDescent="0.2">
      <c r="A877" s="6">
        <v>45845</v>
      </c>
      <c r="B877" t="s">
        <v>15</v>
      </c>
      <c r="C877" t="s">
        <v>16</v>
      </c>
      <c r="D877" s="1">
        <v>45855</v>
      </c>
      <c r="E877" t="s">
        <v>19</v>
      </c>
      <c r="F877">
        <v>4700</v>
      </c>
      <c r="G877">
        <v>5</v>
      </c>
      <c r="H877">
        <v>8.3000000000000007</v>
      </c>
      <c r="I877">
        <v>5</v>
      </c>
      <c r="J877">
        <v>7.6</v>
      </c>
      <c r="K877">
        <v>6.2</v>
      </c>
      <c r="L877">
        <v>438</v>
      </c>
      <c r="M877" t="s">
        <v>467</v>
      </c>
      <c r="N877">
        <v>2061.89</v>
      </c>
      <c r="O877">
        <v>173</v>
      </c>
    </row>
    <row r="878" spans="1:15" x14ac:dyDescent="0.2">
      <c r="A878" s="6">
        <v>45845</v>
      </c>
      <c r="B878" t="s">
        <v>15</v>
      </c>
      <c r="C878" t="s">
        <v>16</v>
      </c>
      <c r="D878" s="1">
        <v>45855</v>
      </c>
      <c r="E878" t="s">
        <v>19</v>
      </c>
      <c r="F878">
        <v>3750</v>
      </c>
      <c r="J878">
        <v>0.1</v>
      </c>
      <c r="K878">
        <v>0.1</v>
      </c>
      <c r="L878">
        <v>0</v>
      </c>
      <c r="M878" t="s">
        <v>18</v>
      </c>
      <c r="N878">
        <v>0</v>
      </c>
      <c r="O878">
        <v>0</v>
      </c>
    </row>
    <row r="879" spans="1:15" x14ac:dyDescent="0.2">
      <c r="A879" s="6">
        <v>45845</v>
      </c>
      <c r="B879" t="s">
        <v>15</v>
      </c>
      <c r="C879" t="s">
        <v>16</v>
      </c>
      <c r="D879" s="1">
        <v>45855</v>
      </c>
      <c r="E879" t="s">
        <v>17</v>
      </c>
      <c r="F879">
        <v>6650</v>
      </c>
      <c r="G879">
        <v>17</v>
      </c>
      <c r="H879">
        <v>19.5</v>
      </c>
      <c r="I879">
        <v>13.4</v>
      </c>
      <c r="J879">
        <v>17.100000000000001</v>
      </c>
      <c r="K879">
        <v>17</v>
      </c>
      <c r="L879">
        <v>368</v>
      </c>
      <c r="M879" t="s">
        <v>468</v>
      </c>
      <c r="N879">
        <v>2453.42</v>
      </c>
      <c r="O879">
        <v>373</v>
      </c>
    </row>
    <row r="880" spans="1:15" x14ac:dyDescent="0.2">
      <c r="A880" s="6">
        <v>45845</v>
      </c>
      <c r="B880" t="s">
        <v>15</v>
      </c>
      <c r="C880" t="s">
        <v>16</v>
      </c>
      <c r="D880" s="1">
        <v>45855</v>
      </c>
      <c r="E880" t="s">
        <v>17</v>
      </c>
      <c r="F880">
        <v>3750</v>
      </c>
      <c r="J880">
        <v>2042.7</v>
      </c>
      <c r="K880">
        <v>1935.9</v>
      </c>
      <c r="L880">
        <v>0</v>
      </c>
      <c r="M880" t="s">
        <v>18</v>
      </c>
      <c r="N880">
        <v>0</v>
      </c>
      <c r="O880">
        <v>0</v>
      </c>
    </row>
    <row r="881" spans="1:15" x14ac:dyDescent="0.2">
      <c r="A881" s="6">
        <v>45845</v>
      </c>
      <c r="B881" t="s">
        <v>15</v>
      </c>
      <c r="C881" t="s">
        <v>16</v>
      </c>
      <c r="D881" s="1">
        <v>45855</v>
      </c>
      <c r="E881" t="s">
        <v>17</v>
      </c>
      <c r="F881">
        <v>7150</v>
      </c>
      <c r="G881">
        <v>7.9</v>
      </c>
      <c r="H881">
        <v>16.7</v>
      </c>
      <c r="I881">
        <v>7.9</v>
      </c>
      <c r="J881">
        <v>14.4</v>
      </c>
      <c r="K881">
        <v>12.3</v>
      </c>
      <c r="L881">
        <v>23</v>
      </c>
      <c r="M881" t="s">
        <v>221</v>
      </c>
      <c r="N881">
        <v>164.76</v>
      </c>
      <c r="O881">
        <v>118</v>
      </c>
    </row>
    <row r="882" spans="1:15" x14ac:dyDescent="0.2">
      <c r="A882" s="6">
        <v>45845</v>
      </c>
      <c r="B882" t="s">
        <v>15</v>
      </c>
      <c r="C882" t="s">
        <v>16</v>
      </c>
      <c r="D882" s="1">
        <v>45855</v>
      </c>
      <c r="E882" t="s">
        <v>19</v>
      </c>
      <c r="F882">
        <v>7700</v>
      </c>
      <c r="J882">
        <v>1900.9</v>
      </c>
      <c r="K882">
        <v>2005.7</v>
      </c>
      <c r="L882">
        <v>0</v>
      </c>
      <c r="M882" t="s">
        <v>18</v>
      </c>
      <c r="N882">
        <v>0</v>
      </c>
      <c r="O882">
        <v>1</v>
      </c>
    </row>
    <row r="883" spans="1:15" x14ac:dyDescent="0.2">
      <c r="A883" s="6">
        <v>45845</v>
      </c>
      <c r="B883" t="s">
        <v>15</v>
      </c>
      <c r="C883" t="s">
        <v>16</v>
      </c>
      <c r="D883" s="1">
        <v>45855</v>
      </c>
      <c r="E883" t="s">
        <v>19</v>
      </c>
      <c r="F883">
        <v>6750</v>
      </c>
      <c r="J883">
        <v>954.2</v>
      </c>
      <c r="K883">
        <v>1060.2</v>
      </c>
      <c r="L883">
        <v>0</v>
      </c>
      <c r="M883" t="s">
        <v>18</v>
      </c>
      <c r="N883">
        <v>0</v>
      </c>
      <c r="O883">
        <v>19</v>
      </c>
    </row>
    <row r="884" spans="1:15" x14ac:dyDescent="0.2">
      <c r="A884" s="6">
        <v>45845</v>
      </c>
      <c r="B884" t="s">
        <v>15</v>
      </c>
      <c r="C884" t="s">
        <v>16</v>
      </c>
      <c r="D884" s="1">
        <v>45855</v>
      </c>
      <c r="E884" t="s">
        <v>17</v>
      </c>
      <c r="F884">
        <v>6050</v>
      </c>
      <c r="G884">
        <v>33.5</v>
      </c>
      <c r="H884">
        <v>68.599999999999994</v>
      </c>
      <c r="I884">
        <v>30.4</v>
      </c>
      <c r="J884">
        <v>57.2</v>
      </c>
      <c r="K884">
        <v>42.3</v>
      </c>
      <c r="L884">
        <v>19337</v>
      </c>
      <c r="M884" t="s">
        <v>469</v>
      </c>
      <c r="N884">
        <v>118052.05</v>
      </c>
      <c r="O884">
        <v>925</v>
      </c>
    </row>
    <row r="885" spans="1:15" x14ac:dyDescent="0.2">
      <c r="A885" s="6">
        <v>45845</v>
      </c>
      <c r="B885" t="s">
        <v>15</v>
      </c>
      <c r="C885" t="s">
        <v>16</v>
      </c>
      <c r="D885" s="1">
        <v>45855</v>
      </c>
      <c r="E885" t="s">
        <v>19</v>
      </c>
      <c r="F885">
        <v>5400</v>
      </c>
      <c r="G885">
        <v>54.4</v>
      </c>
      <c r="H885">
        <v>54.5</v>
      </c>
      <c r="I885">
        <v>24</v>
      </c>
      <c r="J885">
        <v>27</v>
      </c>
      <c r="K885">
        <v>44.9</v>
      </c>
      <c r="L885">
        <v>34635</v>
      </c>
      <c r="M885" t="s">
        <v>470</v>
      </c>
      <c r="N885">
        <v>188145.05</v>
      </c>
      <c r="O885">
        <v>3813</v>
      </c>
    </row>
    <row r="886" spans="1:15" x14ac:dyDescent="0.2">
      <c r="A886" s="6">
        <v>45845</v>
      </c>
      <c r="B886" t="s">
        <v>15</v>
      </c>
      <c r="C886" t="s">
        <v>16</v>
      </c>
      <c r="D886" s="1">
        <v>45855</v>
      </c>
      <c r="E886" t="s">
        <v>19</v>
      </c>
      <c r="F886">
        <v>5300</v>
      </c>
      <c r="G886">
        <v>30.1</v>
      </c>
      <c r="H886">
        <v>32.299999999999997</v>
      </c>
      <c r="I886">
        <v>16.399999999999999</v>
      </c>
      <c r="J886">
        <v>18.8</v>
      </c>
      <c r="K886">
        <v>29.1</v>
      </c>
      <c r="L886">
        <v>20034</v>
      </c>
      <c r="M886" t="s">
        <v>471</v>
      </c>
      <c r="N886">
        <v>106622.26</v>
      </c>
      <c r="O886">
        <v>2653</v>
      </c>
    </row>
    <row r="887" spans="1:15" x14ac:dyDescent="0.2">
      <c r="A887" s="6">
        <v>45845</v>
      </c>
      <c r="B887" t="s">
        <v>15</v>
      </c>
      <c r="C887" t="s">
        <v>16</v>
      </c>
      <c r="D887" s="1">
        <v>45855</v>
      </c>
      <c r="E887" t="s">
        <v>19</v>
      </c>
      <c r="F887">
        <v>6400</v>
      </c>
      <c r="G887">
        <v>750.1</v>
      </c>
      <c r="H887">
        <v>753</v>
      </c>
      <c r="I887">
        <v>570</v>
      </c>
      <c r="J887">
        <v>607.6</v>
      </c>
      <c r="K887">
        <v>735.5</v>
      </c>
      <c r="L887">
        <v>73</v>
      </c>
      <c r="M887" t="s">
        <v>103</v>
      </c>
      <c r="N887">
        <v>518.58000000000004</v>
      </c>
      <c r="O887">
        <v>799</v>
      </c>
    </row>
    <row r="888" spans="1:15" x14ac:dyDescent="0.2">
      <c r="A888" s="6">
        <v>45845</v>
      </c>
      <c r="B888" t="s">
        <v>15</v>
      </c>
      <c r="C888" t="s">
        <v>16</v>
      </c>
      <c r="D888" s="1">
        <v>45855</v>
      </c>
      <c r="E888" t="s">
        <v>17</v>
      </c>
      <c r="F888">
        <v>6550</v>
      </c>
      <c r="G888">
        <v>18.2</v>
      </c>
      <c r="H888">
        <v>21.3</v>
      </c>
      <c r="I888">
        <v>14.8</v>
      </c>
      <c r="J888">
        <v>19</v>
      </c>
      <c r="K888">
        <v>18.3</v>
      </c>
      <c r="L888">
        <v>1378</v>
      </c>
      <c r="M888" t="s">
        <v>472</v>
      </c>
      <c r="N888">
        <v>9051.59</v>
      </c>
      <c r="O888">
        <v>1160</v>
      </c>
    </row>
    <row r="889" spans="1:15" x14ac:dyDescent="0.2">
      <c r="A889" s="6">
        <v>45845</v>
      </c>
      <c r="B889" t="s">
        <v>15</v>
      </c>
      <c r="C889" t="s">
        <v>16</v>
      </c>
      <c r="D889" s="1">
        <v>45855</v>
      </c>
      <c r="E889" t="s">
        <v>19</v>
      </c>
      <c r="F889">
        <v>5700</v>
      </c>
      <c r="G889">
        <v>169.5</v>
      </c>
      <c r="H889">
        <v>169.5</v>
      </c>
      <c r="I889">
        <v>84.1</v>
      </c>
      <c r="J889">
        <v>97.7</v>
      </c>
      <c r="K889">
        <v>151.4</v>
      </c>
      <c r="L889">
        <v>197318</v>
      </c>
      <c r="M889" t="s">
        <v>473</v>
      </c>
      <c r="N889">
        <v>1145909.93</v>
      </c>
      <c r="O889">
        <v>12651</v>
      </c>
    </row>
    <row r="890" spans="1:15" x14ac:dyDescent="0.2">
      <c r="A890" s="6">
        <v>45845</v>
      </c>
      <c r="B890" t="s">
        <v>15</v>
      </c>
      <c r="C890" t="s">
        <v>16</v>
      </c>
      <c r="D890" s="1">
        <v>45855</v>
      </c>
      <c r="E890" t="s">
        <v>19</v>
      </c>
      <c r="F890">
        <v>3700</v>
      </c>
      <c r="G890">
        <v>2.9</v>
      </c>
      <c r="H890">
        <v>3.6</v>
      </c>
      <c r="I890">
        <v>2.2999999999999998</v>
      </c>
      <c r="J890">
        <v>3</v>
      </c>
      <c r="K890">
        <v>2.9</v>
      </c>
      <c r="L890">
        <v>11</v>
      </c>
      <c r="M890" t="s">
        <v>236</v>
      </c>
      <c r="N890">
        <v>40.729999999999997</v>
      </c>
      <c r="O890">
        <v>50</v>
      </c>
    </row>
    <row r="891" spans="1:15" x14ac:dyDescent="0.2">
      <c r="A891" s="6">
        <v>45845</v>
      </c>
      <c r="B891" t="s">
        <v>15</v>
      </c>
      <c r="C891" t="s">
        <v>16</v>
      </c>
      <c r="D891" s="1">
        <v>45855</v>
      </c>
      <c r="E891" t="s">
        <v>19</v>
      </c>
      <c r="F891">
        <v>4450</v>
      </c>
      <c r="J891">
        <v>0.1</v>
      </c>
      <c r="K891">
        <v>0.1</v>
      </c>
      <c r="L891">
        <v>0</v>
      </c>
      <c r="M891" t="s">
        <v>18</v>
      </c>
      <c r="N891">
        <v>0</v>
      </c>
      <c r="O891">
        <v>1</v>
      </c>
    </row>
    <row r="892" spans="1:15" x14ac:dyDescent="0.2">
      <c r="A892" s="6">
        <v>45845</v>
      </c>
      <c r="B892" t="s">
        <v>15</v>
      </c>
      <c r="C892" t="s">
        <v>16</v>
      </c>
      <c r="D892" s="1">
        <v>45855</v>
      </c>
      <c r="E892" t="s">
        <v>19</v>
      </c>
      <c r="F892">
        <v>5050</v>
      </c>
      <c r="G892">
        <v>11.2</v>
      </c>
      <c r="H892">
        <v>13.9</v>
      </c>
      <c r="I892">
        <v>10.8</v>
      </c>
      <c r="J892">
        <v>12.1</v>
      </c>
      <c r="K892">
        <v>12.4</v>
      </c>
      <c r="L892">
        <v>460</v>
      </c>
      <c r="M892" t="s">
        <v>474</v>
      </c>
      <c r="N892">
        <v>2328.7399999999998</v>
      </c>
      <c r="O892">
        <v>400</v>
      </c>
    </row>
    <row r="893" spans="1:15" x14ac:dyDescent="0.2">
      <c r="A893" s="6">
        <v>45845</v>
      </c>
      <c r="B893" t="s">
        <v>15</v>
      </c>
      <c r="C893" t="s">
        <v>16</v>
      </c>
      <c r="D893" s="1">
        <v>45855</v>
      </c>
      <c r="E893" t="s">
        <v>17</v>
      </c>
      <c r="F893">
        <v>7650</v>
      </c>
      <c r="G893">
        <v>8.1</v>
      </c>
      <c r="H893">
        <v>10.3</v>
      </c>
      <c r="I893">
        <v>8.1</v>
      </c>
      <c r="J893">
        <v>9.1999999999999993</v>
      </c>
      <c r="K893">
        <v>8.9</v>
      </c>
      <c r="L893">
        <v>139</v>
      </c>
      <c r="M893" t="s">
        <v>475</v>
      </c>
      <c r="N893">
        <v>1064.6400000000001</v>
      </c>
      <c r="O893">
        <v>248</v>
      </c>
    </row>
    <row r="894" spans="1:15" x14ac:dyDescent="0.2">
      <c r="A894" s="6">
        <v>45845</v>
      </c>
      <c r="B894" t="s">
        <v>15</v>
      </c>
      <c r="C894" t="s">
        <v>16</v>
      </c>
      <c r="D894" s="1">
        <v>45855</v>
      </c>
      <c r="E894" t="s">
        <v>19</v>
      </c>
      <c r="F894">
        <v>4250</v>
      </c>
      <c r="J894">
        <v>0.1</v>
      </c>
      <c r="K894">
        <v>0.1</v>
      </c>
      <c r="L894">
        <v>0</v>
      </c>
      <c r="M894" t="s">
        <v>18</v>
      </c>
      <c r="N894">
        <v>0</v>
      </c>
      <c r="O894">
        <v>0</v>
      </c>
    </row>
    <row r="895" spans="1:15" x14ac:dyDescent="0.2">
      <c r="A895" s="6">
        <v>45845</v>
      </c>
      <c r="B895" t="s">
        <v>15</v>
      </c>
      <c r="C895" t="s">
        <v>16</v>
      </c>
      <c r="D895" s="1">
        <v>45855</v>
      </c>
      <c r="E895" t="s">
        <v>17</v>
      </c>
      <c r="F895">
        <v>3850</v>
      </c>
      <c r="J895">
        <v>1942.8</v>
      </c>
      <c r="K895">
        <v>1836.1</v>
      </c>
      <c r="L895">
        <v>0</v>
      </c>
      <c r="M895" t="s">
        <v>18</v>
      </c>
      <c r="N895">
        <v>0</v>
      </c>
      <c r="O895">
        <v>0</v>
      </c>
    </row>
    <row r="896" spans="1:15" x14ac:dyDescent="0.2">
      <c r="A896" s="6">
        <v>45845</v>
      </c>
      <c r="B896" t="s">
        <v>15</v>
      </c>
      <c r="C896" t="s">
        <v>16</v>
      </c>
      <c r="D896" s="1">
        <v>45855</v>
      </c>
      <c r="E896" t="s">
        <v>19</v>
      </c>
      <c r="F896">
        <v>4950</v>
      </c>
      <c r="G896">
        <v>10.6</v>
      </c>
      <c r="H896">
        <v>12.1</v>
      </c>
      <c r="I896">
        <v>9.6999999999999993</v>
      </c>
      <c r="J896">
        <v>10.7</v>
      </c>
      <c r="K896">
        <v>10.5</v>
      </c>
      <c r="L896">
        <v>313</v>
      </c>
      <c r="M896" t="s">
        <v>476</v>
      </c>
      <c r="N896">
        <v>1552.75</v>
      </c>
      <c r="O896">
        <v>171</v>
      </c>
    </row>
    <row r="897" spans="1:15" x14ac:dyDescent="0.2">
      <c r="A897" s="6">
        <v>45845</v>
      </c>
      <c r="B897" t="s">
        <v>15</v>
      </c>
      <c r="C897" t="s">
        <v>16</v>
      </c>
      <c r="D897" s="1">
        <v>45855</v>
      </c>
      <c r="E897" t="s">
        <v>17</v>
      </c>
      <c r="F897">
        <v>6750</v>
      </c>
      <c r="G897">
        <v>12.9</v>
      </c>
      <c r="H897">
        <v>17.100000000000001</v>
      </c>
      <c r="I897">
        <v>12.2</v>
      </c>
      <c r="J897">
        <v>14.8</v>
      </c>
      <c r="K897">
        <v>15.4</v>
      </c>
      <c r="L897">
        <v>198</v>
      </c>
      <c r="M897" t="s">
        <v>477</v>
      </c>
      <c r="N897">
        <v>1339.34</v>
      </c>
      <c r="O897">
        <v>220</v>
      </c>
    </row>
    <row r="898" spans="1:15" x14ac:dyDescent="0.2">
      <c r="A898" s="6">
        <v>45845</v>
      </c>
      <c r="B898" t="s">
        <v>15</v>
      </c>
      <c r="C898" t="s">
        <v>16</v>
      </c>
      <c r="D898" s="1">
        <v>45855</v>
      </c>
      <c r="E898" t="s">
        <v>17</v>
      </c>
      <c r="F898">
        <v>5600</v>
      </c>
      <c r="G898">
        <v>178</v>
      </c>
      <c r="H898">
        <v>293.7</v>
      </c>
      <c r="I898">
        <v>165.4</v>
      </c>
      <c r="J898">
        <v>259.5</v>
      </c>
      <c r="K898">
        <v>192.1</v>
      </c>
      <c r="L898">
        <v>39668</v>
      </c>
      <c r="M898" t="s">
        <v>478</v>
      </c>
      <c r="N898">
        <v>231595.51</v>
      </c>
      <c r="O898">
        <v>3203</v>
      </c>
    </row>
    <row r="899" spans="1:15" x14ac:dyDescent="0.2">
      <c r="A899" s="6">
        <v>45845</v>
      </c>
      <c r="B899" t="s">
        <v>15</v>
      </c>
      <c r="C899" t="s">
        <v>16</v>
      </c>
      <c r="D899" s="1">
        <v>45855</v>
      </c>
      <c r="E899" t="s">
        <v>19</v>
      </c>
      <c r="F899">
        <v>4600</v>
      </c>
      <c r="G899">
        <v>8.1</v>
      </c>
      <c r="H899">
        <v>9.1</v>
      </c>
      <c r="I899">
        <v>5.6</v>
      </c>
      <c r="J899">
        <v>7.2</v>
      </c>
      <c r="K899">
        <v>8.1</v>
      </c>
      <c r="L899">
        <v>176</v>
      </c>
      <c r="M899" t="s">
        <v>109</v>
      </c>
      <c r="N899">
        <v>810.9</v>
      </c>
      <c r="O899">
        <v>126</v>
      </c>
    </row>
    <row r="900" spans="1:15" x14ac:dyDescent="0.2">
      <c r="A900" s="6">
        <v>45845</v>
      </c>
      <c r="B900" t="s">
        <v>15</v>
      </c>
      <c r="C900" t="s">
        <v>16</v>
      </c>
      <c r="D900" s="1">
        <v>45855</v>
      </c>
      <c r="E900" t="s">
        <v>17</v>
      </c>
      <c r="F900">
        <v>5550</v>
      </c>
      <c r="G900">
        <v>205.1</v>
      </c>
      <c r="H900">
        <v>331.3</v>
      </c>
      <c r="I900">
        <v>202</v>
      </c>
      <c r="J900">
        <v>296.89999999999998</v>
      </c>
      <c r="K900">
        <v>223.3</v>
      </c>
      <c r="L900">
        <v>3842</v>
      </c>
      <c r="M900" t="s">
        <v>479</v>
      </c>
      <c r="N900">
        <v>22341.439999999999</v>
      </c>
      <c r="O900">
        <v>151</v>
      </c>
    </row>
    <row r="901" spans="1:15" x14ac:dyDescent="0.2">
      <c r="A901" s="6">
        <v>45845</v>
      </c>
      <c r="B901" t="s">
        <v>15</v>
      </c>
      <c r="C901" t="s">
        <v>16</v>
      </c>
      <c r="D901" s="1">
        <v>45855</v>
      </c>
      <c r="E901" t="s">
        <v>19</v>
      </c>
      <c r="F901">
        <v>7600</v>
      </c>
      <c r="J901">
        <v>1801</v>
      </c>
      <c r="K901">
        <v>1905.9</v>
      </c>
      <c r="L901">
        <v>0</v>
      </c>
      <c r="M901" t="s">
        <v>18</v>
      </c>
      <c r="N901">
        <v>0</v>
      </c>
      <c r="O901">
        <v>0</v>
      </c>
    </row>
    <row r="902" spans="1:15" x14ac:dyDescent="0.2">
      <c r="A902" s="6">
        <v>45845</v>
      </c>
      <c r="B902" t="s">
        <v>15</v>
      </c>
      <c r="C902" t="s">
        <v>16</v>
      </c>
      <c r="D902" s="1">
        <v>45855</v>
      </c>
      <c r="E902" t="s">
        <v>17</v>
      </c>
      <c r="F902">
        <v>3800</v>
      </c>
      <c r="J902">
        <v>1992.7</v>
      </c>
      <c r="K902">
        <v>1886</v>
      </c>
      <c r="L902">
        <v>0</v>
      </c>
      <c r="M902" t="s">
        <v>18</v>
      </c>
      <c r="N902">
        <v>0</v>
      </c>
      <c r="O902">
        <v>0</v>
      </c>
    </row>
    <row r="903" spans="1:15" x14ac:dyDescent="0.2">
      <c r="A903" s="6">
        <v>45845</v>
      </c>
      <c r="B903" t="s">
        <v>15</v>
      </c>
      <c r="C903" t="s">
        <v>16</v>
      </c>
      <c r="D903" s="1">
        <v>45855</v>
      </c>
      <c r="E903" t="s">
        <v>17</v>
      </c>
      <c r="F903">
        <v>7250</v>
      </c>
      <c r="G903">
        <v>11.9</v>
      </c>
      <c r="H903">
        <v>12.9</v>
      </c>
      <c r="I903">
        <v>10.6</v>
      </c>
      <c r="J903">
        <v>12</v>
      </c>
      <c r="K903">
        <v>13.2</v>
      </c>
      <c r="L903">
        <v>48</v>
      </c>
      <c r="M903" t="s">
        <v>38</v>
      </c>
      <c r="N903">
        <v>348.56</v>
      </c>
      <c r="O903">
        <v>133</v>
      </c>
    </row>
    <row r="904" spans="1:15" x14ac:dyDescent="0.2">
      <c r="A904" s="6">
        <v>45845</v>
      </c>
      <c r="B904" t="s">
        <v>15</v>
      </c>
      <c r="C904" t="s">
        <v>16</v>
      </c>
      <c r="D904" s="1">
        <v>45855</v>
      </c>
      <c r="E904" t="s">
        <v>19</v>
      </c>
      <c r="F904">
        <v>5900</v>
      </c>
      <c r="G904">
        <v>287.2</v>
      </c>
      <c r="H904">
        <v>295.2</v>
      </c>
      <c r="I904">
        <v>175.2</v>
      </c>
      <c r="J904">
        <v>200.1</v>
      </c>
      <c r="K904">
        <v>275.60000000000002</v>
      </c>
      <c r="L904">
        <v>35074</v>
      </c>
      <c r="M904" t="s">
        <v>480</v>
      </c>
      <c r="N904">
        <v>214096.83</v>
      </c>
      <c r="O904">
        <v>1730</v>
      </c>
    </row>
    <row r="905" spans="1:15" x14ac:dyDescent="0.2">
      <c r="A905" s="6">
        <v>45845</v>
      </c>
      <c r="B905" t="s">
        <v>15</v>
      </c>
      <c r="C905" t="s">
        <v>16</v>
      </c>
      <c r="D905" s="1">
        <v>45855</v>
      </c>
      <c r="E905" t="s">
        <v>19</v>
      </c>
      <c r="F905">
        <v>6200</v>
      </c>
      <c r="G905">
        <v>533.29999999999995</v>
      </c>
      <c r="H905">
        <v>541.29999999999995</v>
      </c>
      <c r="I905">
        <v>405</v>
      </c>
      <c r="J905">
        <v>437.6</v>
      </c>
      <c r="K905">
        <v>529.6</v>
      </c>
      <c r="L905">
        <v>718</v>
      </c>
      <c r="M905" t="s">
        <v>481</v>
      </c>
      <c r="N905">
        <v>4787.99</v>
      </c>
      <c r="O905">
        <v>516</v>
      </c>
    </row>
    <row r="906" spans="1:15" x14ac:dyDescent="0.2">
      <c r="A906" s="6">
        <v>45845</v>
      </c>
      <c r="B906" t="s">
        <v>15</v>
      </c>
      <c r="C906" t="s">
        <v>16</v>
      </c>
      <c r="D906" s="1">
        <v>45855</v>
      </c>
      <c r="E906" t="s">
        <v>19</v>
      </c>
      <c r="F906">
        <v>6800</v>
      </c>
      <c r="J906">
        <v>1003.6</v>
      </c>
      <c r="K906">
        <v>1100.5</v>
      </c>
      <c r="L906">
        <v>0</v>
      </c>
      <c r="M906" t="s">
        <v>18</v>
      </c>
      <c r="N906">
        <v>0</v>
      </c>
      <c r="O906">
        <v>91</v>
      </c>
    </row>
    <row r="907" spans="1:15" x14ac:dyDescent="0.2">
      <c r="A907" s="6">
        <v>45845</v>
      </c>
      <c r="B907" t="s">
        <v>15</v>
      </c>
      <c r="C907" t="s">
        <v>16</v>
      </c>
      <c r="D907" s="1">
        <v>45855</v>
      </c>
      <c r="E907" t="s">
        <v>17</v>
      </c>
      <c r="F907">
        <v>5750</v>
      </c>
      <c r="G907">
        <v>107</v>
      </c>
      <c r="H907">
        <v>190</v>
      </c>
      <c r="I907">
        <v>99.5</v>
      </c>
      <c r="J907">
        <v>163.1</v>
      </c>
      <c r="K907">
        <v>117.2</v>
      </c>
      <c r="L907">
        <v>86487</v>
      </c>
      <c r="M907" t="s">
        <v>482</v>
      </c>
      <c r="N907">
        <v>510743.03999999998</v>
      </c>
      <c r="O907">
        <v>1450</v>
      </c>
    </row>
    <row r="908" spans="1:15" x14ac:dyDescent="0.2">
      <c r="A908" s="6">
        <v>45845</v>
      </c>
      <c r="B908" t="s">
        <v>15</v>
      </c>
      <c r="C908" t="s">
        <v>16</v>
      </c>
      <c r="D908" s="1">
        <v>45855</v>
      </c>
      <c r="E908" t="s">
        <v>17</v>
      </c>
      <c r="F908">
        <v>6500</v>
      </c>
      <c r="G908">
        <v>13.9</v>
      </c>
      <c r="H908">
        <v>22.4</v>
      </c>
      <c r="I908">
        <v>12.1</v>
      </c>
      <c r="J908">
        <v>19.600000000000001</v>
      </c>
      <c r="K908">
        <v>18.5</v>
      </c>
      <c r="L908">
        <v>13212</v>
      </c>
      <c r="M908" t="s">
        <v>483</v>
      </c>
      <c r="N908">
        <v>86131.78</v>
      </c>
      <c r="O908">
        <v>12253</v>
      </c>
    </row>
    <row r="909" spans="1:15" x14ac:dyDescent="0.2">
      <c r="A909" s="6">
        <v>45845</v>
      </c>
      <c r="B909" t="s">
        <v>15</v>
      </c>
      <c r="C909" t="s">
        <v>16</v>
      </c>
      <c r="D909" s="1">
        <v>45855</v>
      </c>
      <c r="E909" t="s">
        <v>19</v>
      </c>
      <c r="F909">
        <v>4100</v>
      </c>
      <c r="J909">
        <v>0.1</v>
      </c>
      <c r="K909">
        <v>0.1</v>
      </c>
      <c r="L909">
        <v>0</v>
      </c>
      <c r="M909" t="s">
        <v>18</v>
      </c>
      <c r="N909">
        <v>0</v>
      </c>
      <c r="O909">
        <v>0</v>
      </c>
    </row>
    <row r="910" spans="1:15" x14ac:dyDescent="0.2">
      <c r="A910" s="6">
        <v>45845</v>
      </c>
      <c r="B910" t="s">
        <v>15</v>
      </c>
      <c r="C910" t="s">
        <v>16</v>
      </c>
      <c r="D910" s="1">
        <v>45855</v>
      </c>
      <c r="E910" t="s">
        <v>17</v>
      </c>
      <c r="F910">
        <v>6300</v>
      </c>
      <c r="G910">
        <v>20.9</v>
      </c>
      <c r="H910">
        <v>33.700000000000003</v>
      </c>
      <c r="I910">
        <v>18.600000000000001</v>
      </c>
      <c r="J910">
        <v>28.5</v>
      </c>
      <c r="K910">
        <v>24</v>
      </c>
      <c r="L910">
        <v>18886</v>
      </c>
      <c r="M910" t="s">
        <v>484</v>
      </c>
      <c r="N910">
        <v>119484.52</v>
      </c>
      <c r="O910">
        <v>3713</v>
      </c>
    </row>
    <row r="911" spans="1:15" x14ac:dyDescent="0.2">
      <c r="A911" s="6">
        <v>45845</v>
      </c>
      <c r="B911" t="s">
        <v>15</v>
      </c>
      <c r="C911" t="s">
        <v>16</v>
      </c>
      <c r="D911" s="1">
        <v>45855</v>
      </c>
      <c r="E911" t="s">
        <v>19</v>
      </c>
      <c r="F911">
        <v>5350</v>
      </c>
      <c r="G911">
        <v>35.299999999999997</v>
      </c>
      <c r="H911">
        <v>41.7</v>
      </c>
      <c r="I911">
        <v>20.399999999999999</v>
      </c>
      <c r="J911">
        <v>22.5</v>
      </c>
      <c r="K911">
        <v>36.1</v>
      </c>
      <c r="L911">
        <v>7888</v>
      </c>
      <c r="M911" t="s">
        <v>485</v>
      </c>
      <c r="N911">
        <v>42415.040000000001</v>
      </c>
      <c r="O911">
        <v>866</v>
      </c>
    </row>
    <row r="912" spans="1:15" x14ac:dyDescent="0.2">
      <c r="A912" s="6">
        <v>45845</v>
      </c>
      <c r="B912" t="s">
        <v>15</v>
      </c>
      <c r="C912" t="s">
        <v>16</v>
      </c>
      <c r="D912" s="1">
        <v>45855</v>
      </c>
      <c r="E912" t="s">
        <v>19</v>
      </c>
      <c r="F912">
        <v>4500</v>
      </c>
      <c r="G912">
        <v>6</v>
      </c>
      <c r="H912">
        <v>7</v>
      </c>
      <c r="I912">
        <v>4.5999999999999996</v>
      </c>
      <c r="J912">
        <v>5.4</v>
      </c>
      <c r="K912">
        <v>5.7</v>
      </c>
      <c r="L912">
        <v>1999</v>
      </c>
      <c r="M912" t="s">
        <v>486</v>
      </c>
      <c r="N912">
        <v>9007.34</v>
      </c>
      <c r="O912">
        <v>891</v>
      </c>
    </row>
    <row r="913" spans="1:15" x14ac:dyDescent="0.2">
      <c r="A913" s="6">
        <v>45845</v>
      </c>
      <c r="B913" t="s">
        <v>15</v>
      </c>
      <c r="C913" t="s">
        <v>16</v>
      </c>
      <c r="D913" s="1">
        <v>45855</v>
      </c>
      <c r="E913" t="s">
        <v>19</v>
      </c>
      <c r="F913">
        <v>6850</v>
      </c>
      <c r="J913">
        <v>1053.2</v>
      </c>
      <c r="K913">
        <v>1159</v>
      </c>
      <c r="L913">
        <v>0</v>
      </c>
      <c r="M913" t="s">
        <v>18</v>
      </c>
      <c r="N913">
        <v>0</v>
      </c>
      <c r="O913">
        <v>18</v>
      </c>
    </row>
    <row r="914" spans="1:15" x14ac:dyDescent="0.2">
      <c r="A914" s="6">
        <v>45845</v>
      </c>
      <c r="B914" t="s">
        <v>15</v>
      </c>
      <c r="C914" t="s">
        <v>16</v>
      </c>
      <c r="D914" s="1">
        <v>45855</v>
      </c>
      <c r="E914" t="s">
        <v>17</v>
      </c>
      <c r="F914">
        <v>7050</v>
      </c>
      <c r="G914">
        <v>12.4</v>
      </c>
      <c r="H914">
        <v>16.899999999999999</v>
      </c>
      <c r="I914">
        <v>8.6</v>
      </c>
      <c r="J914">
        <v>12.2</v>
      </c>
      <c r="K914">
        <v>12.4</v>
      </c>
      <c r="L914">
        <v>98</v>
      </c>
      <c r="M914" t="s">
        <v>487</v>
      </c>
      <c r="N914">
        <v>692.16</v>
      </c>
      <c r="O914">
        <v>165</v>
      </c>
    </row>
    <row r="915" spans="1:15" x14ac:dyDescent="0.2">
      <c r="A915" s="6">
        <v>45845</v>
      </c>
      <c r="B915" t="s">
        <v>15</v>
      </c>
      <c r="C915" t="s">
        <v>16</v>
      </c>
      <c r="D915" s="1">
        <v>45855</v>
      </c>
      <c r="E915" t="s">
        <v>19</v>
      </c>
      <c r="F915">
        <v>7350</v>
      </c>
      <c r="J915">
        <v>1551.5</v>
      </c>
      <c r="K915">
        <v>1656.5</v>
      </c>
      <c r="L915">
        <v>0</v>
      </c>
      <c r="M915" t="s">
        <v>18</v>
      </c>
      <c r="N915">
        <v>0</v>
      </c>
      <c r="O915">
        <v>0</v>
      </c>
    </row>
    <row r="916" spans="1:15" x14ac:dyDescent="0.2">
      <c r="A916" s="6">
        <v>45845</v>
      </c>
      <c r="B916" t="s">
        <v>15</v>
      </c>
      <c r="C916" t="s">
        <v>16</v>
      </c>
      <c r="D916" s="1">
        <v>45855</v>
      </c>
      <c r="E916" t="s">
        <v>17</v>
      </c>
      <c r="F916">
        <v>7000</v>
      </c>
      <c r="G916">
        <v>10.4</v>
      </c>
      <c r="H916">
        <v>14</v>
      </c>
      <c r="I916">
        <v>8.8000000000000007</v>
      </c>
      <c r="J916">
        <v>12.2</v>
      </c>
      <c r="K916">
        <v>11.9</v>
      </c>
      <c r="L916">
        <v>5367</v>
      </c>
      <c r="M916" t="s">
        <v>488</v>
      </c>
      <c r="N916">
        <v>37632.42</v>
      </c>
      <c r="O916">
        <v>4670</v>
      </c>
    </row>
    <row r="917" spans="1:15" x14ac:dyDescent="0.2">
      <c r="A917" s="6">
        <v>45845</v>
      </c>
      <c r="B917" t="s">
        <v>15</v>
      </c>
      <c r="C917" t="s">
        <v>16</v>
      </c>
      <c r="D917" s="1">
        <v>45855</v>
      </c>
      <c r="E917" t="s">
        <v>19</v>
      </c>
      <c r="F917">
        <v>4650</v>
      </c>
      <c r="G917">
        <v>6.6</v>
      </c>
      <c r="H917">
        <v>7.4</v>
      </c>
      <c r="I917">
        <v>6.5</v>
      </c>
      <c r="J917">
        <v>6.7</v>
      </c>
      <c r="K917">
        <v>7.7</v>
      </c>
      <c r="L917">
        <v>9</v>
      </c>
      <c r="M917" t="s">
        <v>343</v>
      </c>
      <c r="N917">
        <v>41.91</v>
      </c>
      <c r="O917">
        <v>6</v>
      </c>
    </row>
    <row r="918" spans="1:15" x14ac:dyDescent="0.2">
      <c r="A918" s="6">
        <v>45845</v>
      </c>
      <c r="B918" t="s">
        <v>15</v>
      </c>
      <c r="C918" t="s">
        <v>16</v>
      </c>
      <c r="D918" s="1">
        <v>45855</v>
      </c>
      <c r="E918" t="s">
        <v>17</v>
      </c>
      <c r="F918">
        <v>6350</v>
      </c>
      <c r="G918">
        <v>19</v>
      </c>
      <c r="H918">
        <v>30.5</v>
      </c>
      <c r="I918">
        <v>18</v>
      </c>
      <c r="J918">
        <v>26.6</v>
      </c>
      <c r="K918">
        <v>23.9</v>
      </c>
      <c r="L918">
        <v>2019</v>
      </c>
      <c r="M918" t="s">
        <v>489</v>
      </c>
      <c r="N918">
        <v>12870.37</v>
      </c>
      <c r="O918">
        <v>1566</v>
      </c>
    </row>
    <row r="919" spans="1:15" x14ac:dyDescent="0.2">
      <c r="A919" s="6">
        <v>45845</v>
      </c>
      <c r="B919" t="s">
        <v>15</v>
      </c>
      <c r="C919" t="s">
        <v>16</v>
      </c>
      <c r="D919" s="1">
        <v>45855</v>
      </c>
      <c r="E919" t="s">
        <v>19</v>
      </c>
      <c r="F919">
        <v>4400</v>
      </c>
      <c r="G919">
        <v>5</v>
      </c>
      <c r="H919">
        <v>5</v>
      </c>
      <c r="I919">
        <v>5</v>
      </c>
      <c r="J919">
        <v>5</v>
      </c>
      <c r="K919">
        <v>0.1</v>
      </c>
      <c r="L919">
        <v>1</v>
      </c>
      <c r="M919" t="s">
        <v>155</v>
      </c>
      <c r="N919">
        <v>4.41</v>
      </c>
      <c r="O919">
        <v>1</v>
      </c>
    </row>
    <row r="920" spans="1:15" x14ac:dyDescent="0.2">
      <c r="A920" s="6">
        <v>45845</v>
      </c>
      <c r="B920" t="s">
        <v>15</v>
      </c>
      <c r="C920" t="s">
        <v>16</v>
      </c>
      <c r="D920" s="1">
        <v>45855</v>
      </c>
      <c r="E920" t="s">
        <v>17</v>
      </c>
      <c r="F920">
        <v>4050</v>
      </c>
      <c r="J920">
        <v>1743.1</v>
      </c>
      <c r="K920">
        <v>1636.5</v>
      </c>
      <c r="L920">
        <v>0</v>
      </c>
      <c r="M920" t="s">
        <v>18</v>
      </c>
      <c r="N920">
        <v>0</v>
      </c>
      <c r="O920">
        <v>0</v>
      </c>
    </row>
    <row r="921" spans="1:15" x14ac:dyDescent="0.2">
      <c r="A921" s="6">
        <v>45845</v>
      </c>
      <c r="B921" t="s">
        <v>15</v>
      </c>
      <c r="C921" t="s">
        <v>16</v>
      </c>
      <c r="D921" s="1">
        <v>45855</v>
      </c>
      <c r="E921" t="s">
        <v>17</v>
      </c>
      <c r="F921">
        <v>4000</v>
      </c>
      <c r="J921">
        <v>1793.1</v>
      </c>
      <c r="K921">
        <v>1686.4</v>
      </c>
      <c r="L921">
        <v>0</v>
      </c>
      <c r="M921" t="s">
        <v>18</v>
      </c>
      <c r="N921">
        <v>0</v>
      </c>
      <c r="O921">
        <v>0</v>
      </c>
    </row>
    <row r="922" spans="1:15" x14ac:dyDescent="0.2">
      <c r="A922" s="6">
        <v>45845</v>
      </c>
      <c r="B922" t="s">
        <v>15</v>
      </c>
      <c r="C922" t="s">
        <v>16</v>
      </c>
      <c r="D922" s="1">
        <v>45855</v>
      </c>
      <c r="E922" t="s">
        <v>17</v>
      </c>
      <c r="F922">
        <v>5800</v>
      </c>
      <c r="G922">
        <v>73</v>
      </c>
      <c r="H922">
        <v>162</v>
      </c>
      <c r="I922">
        <v>73</v>
      </c>
      <c r="J922">
        <v>137</v>
      </c>
      <c r="K922">
        <v>99.3</v>
      </c>
      <c r="L922">
        <v>213139</v>
      </c>
      <c r="M922" t="s">
        <v>490</v>
      </c>
      <c r="N922">
        <v>1264662.93</v>
      </c>
      <c r="O922">
        <v>9938</v>
      </c>
    </row>
    <row r="923" spans="1:15" x14ac:dyDescent="0.2">
      <c r="A923" s="6">
        <v>45845</v>
      </c>
      <c r="B923" t="s">
        <v>15</v>
      </c>
      <c r="C923" t="s">
        <v>16</v>
      </c>
      <c r="D923" s="1">
        <v>45855</v>
      </c>
      <c r="E923" t="s">
        <v>17</v>
      </c>
      <c r="F923">
        <v>4550</v>
      </c>
      <c r="J923">
        <v>1244</v>
      </c>
      <c r="K923">
        <v>1137.8</v>
      </c>
      <c r="L923">
        <v>0</v>
      </c>
      <c r="M923" t="s">
        <v>18</v>
      </c>
      <c r="N923">
        <v>0</v>
      </c>
      <c r="O923">
        <v>0</v>
      </c>
    </row>
    <row r="924" spans="1:15" x14ac:dyDescent="0.2">
      <c r="A924" s="6">
        <v>45845</v>
      </c>
      <c r="B924" t="s">
        <v>15</v>
      </c>
      <c r="C924" t="s">
        <v>16</v>
      </c>
      <c r="D924" s="1">
        <v>45855</v>
      </c>
      <c r="E924" t="s">
        <v>17</v>
      </c>
      <c r="F924">
        <v>5450</v>
      </c>
      <c r="G924">
        <v>276.89999999999998</v>
      </c>
      <c r="H924">
        <v>406.3</v>
      </c>
      <c r="I924">
        <v>269.89999999999998</v>
      </c>
      <c r="J924">
        <v>374.5</v>
      </c>
      <c r="K924">
        <v>295.10000000000002</v>
      </c>
      <c r="L924">
        <v>565</v>
      </c>
      <c r="M924" t="s">
        <v>491</v>
      </c>
      <c r="N924">
        <v>3266.71</v>
      </c>
      <c r="O924">
        <v>40</v>
      </c>
    </row>
    <row r="925" spans="1:15" x14ac:dyDescent="0.2">
      <c r="A925" s="6">
        <v>45845</v>
      </c>
      <c r="B925" t="s">
        <v>15</v>
      </c>
      <c r="C925" t="s">
        <v>16</v>
      </c>
      <c r="D925" s="1">
        <v>45855</v>
      </c>
      <c r="E925" t="s">
        <v>17</v>
      </c>
      <c r="F925">
        <v>6250</v>
      </c>
      <c r="G925">
        <v>21.6</v>
      </c>
      <c r="H925">
        <v>38.700000000000003</v>
      </c>
      <c r="I925">
        <v>20.7</v>
      </c>
      <c r="J925">
        <v>32.700000000000003</v>
      </c>
      <c r="K925">
        <v>27.2</v>
      </c>
      <c r="L925">
        <v>3618</v>
      </c>
      <c r="M925" t="s">
        <v>492</v>
      </c>
      <c r="N925">
        <v>22725.67</v>
      </c>
      <c r="O925">
        <v>1530</v>
      </c>
    </row>
    <row r="926" spans="1:15" x14ac:dyDescent="0.2">
      <c r="A926" s="6">
        <v>45845</v>
      </c>
      <c r="B926" t="s">
        <v>15</v>
      </c>
      <c r="C926" t="s">
        <v>16</v>
      </c>
      <c r="D926" s="1">
        <v>45855</v>
      </c>
      <c r="E926" t="s">
        <v>17</v>
      </c>
      <c r="F926">
        <v>5150</v>
      </c>
      <c r="J926">
        <v>650.9</v>
      </c>
      <c r="K926">
        <v>559</v>
      </c>
      <c r="L926">
        <v>0</v>
      </c>
      <c r="M926" t="s">
        <v>18</v>
      </c>
      <c r="N926">
        <v>0</v>
      </c>
      <c r="O926">
        <v>3</v>
      </c>
    </row>
    <row r="927" spans="1:15" x14ac:dyDescent="0.2">
      <c r="A927" s="6">
        <v>45845</v>
      </c>
      <c r="B927" t="s">
        <v>15</v>
      </c>
      <c r="C927" t="s">
        <v>16</v>
      </c>
      <c r="D927" s="1">
        <v>45855</v>
      </c>
      <c r="E927" t="s">
        <v>19</v>
      </c>
      <c r="F927">
        <v>7500</v>
      </c>
      <c r="J927">
        <v>1701.2</v>
      </c>
      <c r="K927">
        <v>1806.2</v>
      </c>
      <c r="L927">
        <v>0</v>
      </c>
      <c r="M927" t="s">
        <v>18</v>
      </c>
      <c r="N927">
        <v>0</v>
      </c>
      <c r="O927">
        <v>0</v>
      </c>
    </row>
    <row r="928" spans="1:15" x14ac:dyDescent="0.2">
      <c r="A928" s="6">
        <v>45845</v>
      </c>
      <c r="B928" t="s">
        <v>15</v>
      </c>
      <c r="C928" t="s">
        <v>16</v>
      </c>
      <c r="D928" s="1">
        <v>45855</v>
      </c>
      <c r="E928" t="s">
        <v>19</v>
      </c>
      <c r="F928">
        <v>5150</v>
      </c>
      <c r="G928">
        <v>14.9</v>
      </c>
      <c r="H928">
        <v>18</v>
      </c>
      <c r="I928">
        <v>12.6</v>
      </c>
      <c r="J928">
        <v>13.7</v>
      </c>
      <c r="K928">
        <v>16</v>
      </c>
      <c r="L928">
        <v>563</v>
      </c>
      <c r="M928" t="s">
        <v>493</v>
      </c>
      <c r="N928">
        <v>2907.9</v>
      </c>
      <c r="O928">
        <v>320</v>
      </c>
    </row>
    <row r="929" spans="1:15" x14ac:dyDescent="0.2">
      <c r="A929" s="6">
        <v>45845</v>
      </c>
      <c r="B929" t="s">
        <v>15</v>
      </c>
      <c r="C929" t="s">
        <v>16</v>
      </c>
      <c r="D929" s="1">
        <v>45855</v>
      </c>
      <c r="E929" t="s">
        <v>19</v>
      </c>
      <c r="F929">
        <v>6250</v>
      </c>
      <c r="J929">
        <v>480.1</v>
      </c>
      <c r="K929">
        <v>584.79999999999995</v>
      </c>
      <c r="L929">
        <v>0</v>
      </c>
      <c r="M929" t="s">
        <v>18</v>
      </c>
      <c r="N929">
        <v>0</v>
      </c>
      <c r="O929">
        <v>92</v>
      </c>
    </row>
    <row r="930" spans="1:15" x14ac:dyDescent="0.2">
      <c r="A930" s="6">
        <v>45845</v>
      </c>
      <c r="B930" t="s">
        <v>15</v>
      </c>
      <c r="C930" t="s">
        <v>16</v>
      </c>
      <c r="D930" s="1">
        <v>45855</v>
      </c>
      <c r="E930" t="s">
        <v>19</v>
      </c>
      <c r="F930">
        <v>7250</v>
      </c>
      <c r="J930">
        <v>1451.7</v>
      </c>
      <c r="K930">
        <v>1556.8</v>
      </c>
      <c r="L930">
        <v>0</v>
      </c>
      <c r="M930" t="s">
        <v>18</v>
      </c>
      <c r="N930">
        <v>0</v>
      </c>
      <c r="O930">
        <v>0</v>
      </c>
    </row>
    <row r="931" spans="1:15" x14ac:dyDescent="0.2">
      <c r="A931" s="6">
        <v>45845</v>
      </c>
      <c r="B931" t="s">
        <v>15</v>
      </c>
      <c r="C931" t="s">
        <v>16</v>
      </c>
      <c r="D931" s="1">
        <v>45855</v>
      </c>
      <c r="E931" t="s">
        <v>17</v>
      </c>
      <c r="F931">
        <v>5050</v>
      </c>
      <c r="J931">
        <v>747.5</v>
      </c>
      <c r="K931">
        <v>650.1</v>
      </c>
      <c r="L931">
        <v>0</v>
      </c>
      <c r="M931" t="s">
        <v>18</v>
      </c>
      <c r="N931">
        <v>0</v>
      </c>
      <c r="O931">
        <v>0</v>
      </c>
    </row>
    <row r="932" spans="1:15" x14ac:dyDescent="0.2">
      <c r="A932" s="6">
        <v>45845</v>
      </c>
      <c r="B932" t="s">
        <v>15</v>
      </c>
      <c r="C932" t="s">
        <v>16</v>
      </c>
      <c r="D932" s="1">
        <v>45855</v>
      </c>
      <c r="E932" t="s">
        <v>17</v>
      </c>
      <c r="F932">
        <v>5500</v>
      </c>
      <c r="G932">
        <v>216.4</v>
      </c>
      <c r="H932">
        <v>371.9</v>
      </c>
      <c r="I932">
        <v>216.4</v>
      </c>
      <c r="J932">
        <v>334.8</v>
      </c>
      <c r="K932">
        <v>255.1</v>
      </c>
      <c r="L932">
        <v>6877</v>
      </c>
      <c r="M932" t="s">
        <v>494</v>
      </c>
      <c r="N932">
        <v>39927.47</v>
      </c>
      <c r="O932">
        <v>1552</v>
      </c>
    </row>
    <row r="933" spans="1:15" x14ac:dyDescent="0.2">
      <c r="A933" s="6">
        <v>45845</v>
      </c>
      <c r="B933" t="s">
        <v>15</v>
      </c>
      <c r="C933" t="s">
        <v>16</v>
      </c>
      <c r="D933" s="1">
        <v>45855</v>
      </c>
      <c r="E933" t="s">
        <v>17</v>
      </c>
      <c r="F933">
        <v>4500</v>
      </c>
      <c r="J933">
        <v>1293.9000000000001</v>
      </c>
      <c r="K933">
        <v>1187.5999999999999</v>
      </c>
      <c r="L933">
        <v>0</v>
      </c>
      <c r="M933" t="s">
        <v>18</v>
      </c>
      <c r="N933">
        <v>0</v>
      </c>
      <c r="O933">
        <v>0</v>
      </c>
    </row>
    <row r="934" spans="1:15" x14ac:dyDescent="0.2">
      <c r="A934" s="6">
        <v>45845</v>
      </c>
      <c r="B934" t="s">
        <v>15</v>
      </c>
      <c r="C934" t="s">
        <v>16</v>
      </c>
      <c r="D934" s="1">
        <v>45855</v>
      </c>
      <c r="E934" t="s">
        <v>17</v>
      </c>
      <c r="F934">
        <v>5900</v>
      </c>
      <c r="G934">
        <v>59.3</v>
      </c>
      <c r="H934">
        <v>115</v>
      </c>
      <c r="I934">
        <v>51.7</v>
      </c>
      <c r="J934">
        <v>96.3</v>
      </c>
      <c r="K934">
        <v>68</v>
      </c>
      <c r="L934">
        <v>116042</v>
      </c>
      <c r="M934" t="s">
        <v>495</v>
      </c>
      <c r="N934">
        <v>695522.17</v>
      </c>
      <c r="O934">
        <v>3534</v>
      </c>
    </row>
    <row r="935" spans="1:15" x14ac:dyDescent="0.2">
      <c r="A935" s="6">
        <v>45845</v>
      </c>
      <c r="B935" t="s">
        <v>15</v>
      </c>
      <c r="C935" t="s">
        <v>16</v>
      </c>
      <c r="D935" s="1">
        <v>45855</v>
      </c>
      <c r="E935" t="s">
        <v>17</v>
      </c>
      <c r="F935">
        <v>5200</v>
      </c>
      <c r="G935">
        <v>480</v>
      </c>
      <c r="H935">
        <v>636.4</v>
      </c>
      <c r="I935">
        <v>480</v>
      </c>
      <c r="J935">
        <v>612</v>
      </c>
      <c r="K935">
        <v>506</v>
      </c>
      <c r="L935">
        <v>50</v>
      </c>
      <c r="M935" t="s">
        <v>171</v>
      </c>
      <c r="N935">
        <v>288.31</v>
      </c>
      <c r="O935">
        <v>87</v>
      </c>
    </row>
    <row r="936" spans="1:15" x14ac:dyDescent="0.2">
      <c r="A936" s="6">
        <v>45845</v>
      </c>
      <c r="B936" t="s">
        <v>15</v>
      </c>
      <c r="C936" t="s">
        <v>16</v>
      </c>
      <c r="D936" s="1">
        <v>45855</v>
      </c>
      <c r="E936" t="s">
        <v>17</v>
      </c>
      <c r="F936">
        <v>4150</v>
      </c>
      <c r="J936">
        <v>1643.3</v>
      </c>
      <c r="K936">
        <v>1536.7</v>
      </c>
      <c r="L936">
        <v>0</v>
      </c>
      <c r="M936" t="s">
        <v>18</v>
      </c>
      <c r="N936">
        <v>0</v>
      </c>
      <c r="O936">
        <v>0</v>
      </c>
    </row>
    <row r="937" spans="1:15" x14ac:dyDescent="0.2">
      <c r="A937" s="6">
        <v>45845</v>
      </c>
      <c r="B937" t="s">
        <v>15</v>
      </c>
      <c r="C937" t="s">
        <v>16</v>
      </c>
      <c r="D937" s="1">
        <v>45855</v>
      </c>
      <c r="E937" t="s">
        <v>17</v>
      </c>
      <c r="F937">
        <v>4250</v>
      </c>
      <c r="J937">
        <v>1543.5</v>
      </c>
      <c r="K937">
        <v>1436.9</v>
      </c>
      <c r="L937">
        <v>0</v>
      </c>
      <c r="M937" t="s">
        <v>18</v>
      </c>
      <c r="N937">
        <v>0</v>
      </c>
      <c r="O937">
        <v>0</v>
      </c>
    </row>
    <row r="938" spans="1:15" x14ac:dyDescent="0.2">
      <c r="A938" s="6">
        <v>45845</v>
      </c>
      <c r="B938" t="s">
        <v>15</v>
      </c>
      <c r="C938" t="s">
        <v>16</v>
      </c>
      <c r="D938" s="1">
        <v>45855</v>
      </c>
      <c r="E938" t="s">
        <v>17</v>
      </c>
      <c r="F938">
        <v>6950</v>
      </c>
      <c r="G938">
        <v>7.5</v>
      </c>
      <c r="H938">
        <v>14.4</v>
      </c>
      <c r="I938">
        <v>7.5</v>
      </c>
      <c r="J938">
        <v>12.2</v>
      </c>
      <c r="K938">
        <v>14</v>
      </c>
      <c r="L938">
        <v>573</v>
      </c>
      <c r="M938" t="s">
        <v>496</v>
      </c>
      <c r="N938">
        <v>3989.59</v>
      </c>
      <c r="O938">
        <v>309</v>
      </c>
    </row>
    <row r="939" spans="1:15" x14ac:dyDescent="0.2">
      <c r="A939" s="6">
        <v>45845</v>
      </c>
      <c r="B939" t="s">
        <v>15</v>
      </c>
      <c r="C939" t="s">
        <v>16</v>
      </c>
      <c r="D939" s="1">
        <v>45855</v>
      </c>
      <c r="E939" t="s">
        <v>19</v>
      </c>
      <c r="F939">
        <v>7450</v>
      </c>
      <c r="J939">
        <v>1651.3</v>
      </c>
      <c r="K939">
        <v>1756.3</v>
      </c>
      <c r="L939">
        <v>0</v>
      </c>
      <c r="M939" t="s">
        <v>18</v>
      </c>
      <c r="N939">
        <v>0</v>
      </c>
      <c r="O939">
        <v>0</v>
      </c>
    </row>
    <row r="940" spans="1:15" x14ac:dyDescent="0.2">
      <c r="A940" s="6">
        <v>45845</v>
      </c>
      <c r="B940" t="s">
        <v>15</v>
      </c>
      <c r="C940" t="s">
        <v>16</v>
      </c>
      <c r="D940" s="1">
        <v>45855</v>
      </c>
      <c r="E940" t="s">
        <v>17</v>
      </c>
      <c r="F940">
        <v>7550</v>
      </c>
      <c r="G940">
        <v>10.1</v>
      </c>
      <c r="H940">
        <v>12.3</v>
      </c>
      <c r="I940">
        <v>6</v>
      </c>
      <c r="J940">
        <v>7.8</v>
      </c>
      <c r="K940">
        <v>10.1</v>
      </c>
      <c r="L940">
        <v>48</v>
      </c>
      <c r="M940" t="s">
        <v>38</v>
      </c>
      <c r="N940">
        <v>362.78</v>
      </c>
      <c r="O940">
        <v>173</v>
      </c>
    </row>
    <row r="941" spans="1:15" x14ac:dyDescent="0.2">
      <c r="A941" s="6">
        <v>45845</v>
      </c>
      <c r="B941" t="s">
        <v>15</v>
      </c>
      <c r="C941" t="s">
        <v>16</v>
      </c>
      <c r="D941" s="1">
        <v>45855</v>
      </c>
      <c r="E941" t="s">
        <v>17</v>
      </c>
      <c r="F941">
        <v>3950</v>
      </c>
      <c r="J941">
        <v>1843</v>
      </c>
      <c r="K941">
        <v>1736.3</v>
      </c>
      <c r="L941">
        <v>0</v>
      </c>
      <c r="M941" t="s">
        <v>18</v>
      </c>
      <c r="N941">
        <v>0</v>
      </c>
      <c r="O941">
        <v>0</v>
      </c>
    </row>
    <row r="942" spans="1:15" x14ac:dyDescent="0.2">
      <c r="A942" s="6">
        <v>45845</v>
      </c>
      <c r="B942" t="s">
        <v>15</v>
      </c>
      <c r="C942" t="s">
        <v>16</v>
      </c>
      <c r="D942" s="1">
        <v>45855</v>
      </c>
      <c r="E942" t="s">
        <v>19</v>
      </c>
      <c r="F942">
        <v>5650</v>
      </c>
      <c r="G942">
        <v>134.80000000000001</v>
      </c>
      <c r="H942">
        <v>135.80000000000001</v>
      </c>
      <c r="I942">
        <v>68.099999999999994</v>
      </c>
      <c r="J942">
        <v>79.400000000000006</v>
      </c>
      <c r="K942">
        <v>125</v>
      </c>
      <c r="L942">
        <v>57045</v>
      </c>
      <c r="M942" t="s">
        <v>497</v>
      </c>
      <c r="N942">
        <v>327439.52</v>
      </c>
      <c r="O942">
        <v>4140</v>
      </c>
    </row>
    <row r="943" spans="1:15" x14ac:dyDescent="0.2">
      <c r="A943" s="6">
        <v>45845</v>
      </c>
      <c r="B943" t="s">
        <v>15</v>
      </c>
      <c r="C943" t="s">
        <v>16</v>
      </c>
      <c r="D943" s="1">
        <v>45855</v>
      </c>
      <c r="E943" t="s">
        <v>19</v>
      </c>
      <c r="F943">
        <v>6350</v>
      </c>
      <c r="G943">
        <v>670.5</v>
      </c>
      <c r="H943">
        <v>670.5</v>
      </c>
      <c r="I943">
        <v>595.9</v>
      </c>
      <c r="J943">
        <v>633.20000000000005</v>
      </c>
      <c r="K943">
        <v>675.6</v>
      </c>
      <c r="L943">
        <v>2</v>
      </c>
      <c r="M943" t="s">
        <v>28</v>
      </c>
      <c r="N943">
        <v>13.97</v>
      </c>
      <c r="O943">
        <v>78</v>
      </c>
    </row>
    <row r="944" spans="1:15" x14ac:dyDescent="0.2">
      <c r="A944" s="6">
        <v>45845</v>
      </c>
      <c r="B944" t="s">
        <v>15</v>
      </c>
      <c r="C944" t="s">
        <v>16</v>
      </c>
      <c r="D944" s="1">
        <v>45855</v>
      </c>
      <c r="E944" t="s">
        <v>19</v>
      </c>
      <c r="F944">
        <v>4000</v>
      </c>
      <c r="G944">
        <v>3.3</v>
      </c>
      <c r="H944">
        <v>4.0999999999999996</v>
      </c>
      <c r="I944">
        <v>3</v>
      </c>
      <c r="J944">
        <v>3.6</v>
      </c>
      <c r="K944">
        <v>2.9</v>
      </c>
      <c r="L944">
        <v>727</v>
      </c>
      <c r="M944" t="s">
        <v>498</v>
      </c>
      <c r="N944">
        <v>2910.64</v>
      </c>
      <c r="O944">
        <v>1482</v>
      </c>
    </row>
    <row r="945" spans="1:15" x14ac:dyDescent="0.2">
      <c r="A945" s="6">
        <v>45845</v>
      </c>
      <c r="B945" t="s">
        <v>15</v>
      </c>
      <c r="C945" t="s">
        <v>16</v>
      </c>
      <c r="D945" s="1">
        <v>45855</v>
      </c>
      <c r="E945" t="s">
        <v>19</v>
      </c>
      <c r="F945">
        <v>5600</v>
      </c>
      <c r="G945">
        <v>126.4</v>
      </c>
      <c r="H945">
        <v>126.4</v>
      </c>
      <c r="I945">
        <v>56</v>
      </c>
      <c r="J945">
        <v>64.400000000000006</v>
      </c>
      <c r="K945">
        <v>104.4</v>
      </c>
      <c r="L945">
        <v>108747</v>
      </c>
      <c r="M945" t="s">
        <v>499</v>
      </c>
      <c r="N945">
        <v>616973.43999999994</v>
      </c>
      <c r="O945">
        <v>9365</v>
      </c>
    </row>
    <row r="946" spans="1:15" x14ac:dyDescent="0.2">
      <c r="A946" s="6">
        <v>45845</v>
      </c>
      <c r="B946" t="s">
        <v>15</v>
      </c>
      <c r="C946" t="s">
        <v>16</v>
      </c>
      <c r="D946" s="1">
        <v>45855</v>
      </c>
      <c r="E946" t="s">
        <v>19</v>
      </c>
      <c r="F946">
        <v>4850</v>
      </c>
      <c r="G946">
        <v>7.5</v>
      </c>
      <c r="H946">
        <v>11.4</v>
      </c>
      <c r="I946">
        <v>7.5</v>
      </c>
      <c r="J946">
        <v>9.9</v>
      </c>
      <c r="K946">
        <v>9.3000000000000007</v>
      </c>
      <c r="L946">
        <v>247</v>
      </c>
      <c r="M946" t="s">
        <v>267</v>
      </c>
      <c r="N946">
        <v>1200.4000000000001</v>
      </c>
      <c r="O946">
        <v>130</v>
      </c>
    </row>
    <row r="947" spans="1:15" x14ac:dyDescent="0.2">
      <c r="A947" s="6">
        <v>45845</v>
      </c>
      <c r="B947" t="s">
        <v>15</v>
      </c>
      <c r="C947" t="s">
        <v>16</v>
      </c>
      <c r="D947" s="1">
        <v>45855</v>
      </c>
      <c r="E947" t="s">
        <v>17</v>
      </c>
      <c r="F947">
        <v>6100</v>
      </c>
      <c r="G947">
        <v>30</v>
      </c>
      <c r="H947">
        <v>57.3</v>
      </c>
      <c r="I947">
        <v>26</v>
      </c>
      <c r="J947">
        <v>48.4</v>
      </c>
      <c r="K947">
        <v>35.1</v>
      </c>
      <c r="L947">
        <v>46517</v>
      </c>
      <c r="M947" t="s">
        <v>500</v>
      </c>
      <c r="N947">
        <v>285863.87</v>
      </c>
      <c r="O947">
        <v>2620</v>
      </c>
    </row>
    <row r="948" spans="1:15" x14ac:dyDescent="0.2">
      <c r="A948" s="6">
        <v>45845</v>
      </c>
      <c r="B948" t="s">
        <v>15</v>
      </c>
      <c r="C948" t="s">
        <v>16</v>
      </c>
      <c r="D948" s="1">
        <v>45855</v>
      </c>
      <c r="E948" t="s">
        <v>17</v>
      </c>
      <c r="F948">
        <v>5350</v>
      </c>
      <c r="G948">
        <v>353.6</v>
      </c>
      <c r="H948">
        <v>484.9</v>
      </c>
      <c r="I948">
        <v>350.2</v>
      </c>
      <c r="J948">
        <v>463.4</v>
      </c>
      <c r="K948">
        <v>372.3</v>
      </c>
      <c r="L948">
        <v>86</v>
      </c>
      <c r="M948" t="s">
        <v>153</v>
      </c>
      <c r="N948">
        <v>494.6</v>
      </c>
      <c r="O948">
        <v>13</v>
      </c>
    </row>
    <row r="949" spans="1:15" x14ac:dyDescent="0.2">
      <c r="A949" s="6">
        <v>45845</v>
      </c>
      <c r="B949" t="s">
        <v>15</v>
      </c>
      <c r="C949" t="s">
        <v>16</v>
      </c>
      <c r="D949" s="1">
        <v>45855</v>
      </c>
      <c r="E949" t="s">
        <v>17</v>
      </c>
      <c r="F949">
        <v>4600</v>
      </c>
      <c r="J949">
        <v>1194.0999999999999</v>
      </c>
      <c r="K949">
        <v>1088.0999999999999</v>
      </c>
      <c r="L949">
        <v>0</v>
      </c>
      <c r="M949" t="s">
        <v>18</v>
      </c>
      <c r="N949">
        <v>0</v>
      </c>
      <c r="O949">
        <v>0</v>
      </c>
    </row>
    <row r="950" spans="1:15" x14ac:dyDescent="0.2">
      <c r="A950" s="6">
        <v>45845</v>
      </c>
      <c r="B950" t="s">
        <v>15</v>
      </c>
      <c r="C950" t="s">
        <v>16</v>
      </c>
      <c r="D950" s="1">
        <v>45855</v>
      </c>
      <c r="E950" t="s">
        <v>19</v>
      </c>
      <c r="F950">
        <v>7100</v>
      </c>
      <c r="J950">
        <v>1302</v>
      </c>
      <c r="K950">
        <v>1407.3</v>
      </c>
      <c r="L950">
        <v>0</v>
      </c>
      <c r="M950" t="s">
        <v>18</v>
      </c>
      <c r="N950">
        <v>0</v>
      </c>
      <c r="O950">
        <v>0</v>
      </c>
    </row>
    <row r="951" spans="1:15" x14ac:dyDescent="0.2">
      <c r="A951" s="6">
        <v>45845</v>
      </c>
      <c r="B951" t="s">
        <v>15</v>
      </c>
      <c r="C951" t="s">
        <v>16</v>
      </c>
      <c r="D951" s="1">
        <v>45855</v>
      </c>
      <c r="E951" t="s">
        <v>17</v>
      </c>
      <c r="F951">
        <v>7200</v>
      </c>
      <c r="G951">
        <v>8.3000000000000007</v>
      </c>
      <c r="H951">
        <v>12.7</v>
      </c>
      <c r="I951">
        <v>8.1</v>
      </c>
      <c r="J951">
        <v>10.6</v>
      </c>
      <c r="K951">
        <v>10.9</v>
      </c>
      <c r="L951">
        <v>812</v>
      </c>
      <c r="M951" t="s">
        <v>377</v>
      </c>
      <c r="N951">
        <v>5855.35</v>
      </c>
      <c r="O951">
        <v>880</v>
      </c>
    </row>
    <row r="952" spans="1:15" x14ac:dyDescent="0.2">
      <c r="A952" s="6">
        <v>45845</v>
      </c>
      <c r="B952" t="s">
        <v>15</v>
      </c>
      <c r="C952" t="s">
        <v>16</v>
      </c>
      <c r="D952" s="1">
        <v>45855</v>
      </c>
      <c r="E952" t="s">
        <v>19</v>
      </c>
      <c r="F952">
        <v>3650</v>
      </c>
      <c r="J952">
        <v>0.1</v>
      </c>
      <c r="K952">
        <v>0.1</v>
      </c>
      <c r="L952">
        <v>0</v>
      </c>
      <c r="M952" t="s">
        <v>18</v>
      </c>
      <c r="N952">
        <v>0</v>
      </c>
      <c r="O952">
        <v>0</v>
      </c>
    </row>
    <row r="953" spans="1:15" x14ac:dyDescent="0.2">
      <c r="A953" s="6">
        <v>45845</v>
      </c>
      <c r="B953" t="s">
        <v>15</v>
      </c>
      <c r="C953" t="s">
        <v>16</v>
      </c>
      <c r="D953" s="1">
        <v>45855</v>
      </c>
      <c r="E953" t="s">
        <v>19</v>
      </c>
      <c r="F953">
        <v>7400</v>
      </c>
      <c r="J953">
        <v>1601.4</v>
      </c>
      <c r="K953">
        <v>1706.4</v>
      </c>
      <c r="L953">
        <v>0</v>
      </c>
      <c r="M953" t="s">
        <v>18</v>
      </c>
      <c r="N953">
        <v>0</v>
      </c>
      <c r="O953">
        <v>0</v>
      </c>
    </row>
    <row r="954" spans="1:15" x14ac:dyDescent="0.2">
      <c r="A954" s="6">
        <v>45845</v>
      </c>
      <c r="B954" t="s">
        <v>15</v>
      </c>
      <c r="C954" t="s">
        <v>16</v>
      </c>
      <c r="D954" s="1">
        <v>45855</v>
      </c>
      <c r="E954" t="s">
        <v>19</v>
      </c>
      <c r="F954">
        <v>6700</v>
      </c>
      <c r="J954">
        <v>904.9</v>
      </c>
      <c r="K954">
        <v>1011</v>
      </c>
      <c r="L954">
        <v>0</v>
      </c>
      <c r="M954" t="s">
        <v>18</v>
      </c>
      <c r="N954">
        <v>0</v>
      </c>
      <c r="O954">
        <v>189</v>
      </c>
    </row>
    <row r="955" spans="1:15" x14ac:dyDescent="0.2">
      <c r="A955" s="6">
        <v>45845</v>
      </c>
      <c r="B955" t="s">
        <v>15</v>
      </c>
      <c r="C955" t="s">
        <v>16</v>
      </c>
      <c r="D955" s="1">
        <v>45855</v>
      </c>
      <c r="E955" t="s">
        <v>19</v>
      </c>
      <c r="F955">
        <v>6900</v>
      </c>
      <c r="G955">
        <v>1145</v>
      </c>
      <c r="H955">
        <v>1145</v>
      </c>
      <c r="I955">
        <v>1145</v>
      </c>
      <c r="J955">
        <v>1145</v>
      </c>
      <c r="K955">
        <v>1208.5</v>
      </c>
      <c r="L955">
        <v>1</v>
      </c>
      <c r="M955" t="s">
        <v>155</v>
      </c>
      <c r="N955">
        <v>8.0500000000000007</v>
      </c>
      <c r="O955">
        <v>41</v>
      </c>
    </row>
    <row r="956" spans="1:15" x14ac:dyDescent="0.2">
      <c r="A956" s="6">
        <v>45845</v>
      </c>
      <c r="B956" t="s">
        <v>15</v>
      </c>
      <c r="C956" t="s">
        <v>16</v>
      </c>
      <c r="D956" s="1">
        <v>45855</v>
      </c>
      <c r="E956" t="s">
        <v>17</v>
      </c>
      <c r="F956">
        <v>3650</v>
      </c>
      <c r="J956">
        <v>2142.5</v>
      </c>
      <c r="K956">
        <v>2035.7</v>
      </c>
      <c r="L956">
        <v>0</v>
      </c>
      <c r="M956" t="s">
        <v>18</v>
      </c>
      <c r="N956">
        <v>0</v>
      </c>
      <c r="O956">
        <v>0</v>
      </c>
    </row>
    <row r="957" spans="1:15" x14ac:dyDescent="0.2">
      <c r="A957" s="6">
        <v>45845</v>
      </c>
      <c r="B957" t="s">
        <v>15</v>
      </c>
      <c r="C957" t="s">
        <v>16</v>
      </c>
      <c r="D957" s="1">
        <v>45855</v>
      </c>
      <c r="E957" t="s">
        <v>19</v>
      </c>
      <c r="F957">
        <v>3950</v>
      </c>
      <c r="J957">
        <v>0.1</v>
      </c>
      <c r="K957">
        <v>0.1</v>
      </c>
      <c r="L957">
        <v>0</v>
      </c>
      <c r="M957" t="s">
        <v>18</v>
      </c>
      <c r="N957">
        <v>0</v>
      </c>
      <c r="O957">
        <v>0</v>
      </c>
    </row>
    <row r="958" spans="1:15" x14ac:dyDescent="0.2">
      <c r="A958" s="6">
        <v>45845</v>
      </c>
      <c r="B958" t="s">
        <v>15</v>
      </c>
      <c r="C958" t="s">
        <v>16</v>
      </c>
      <c r="D958" s="1">
        <v>45855</v>
      </c>
      <c r="E958" t="s">
        <v>17</v>
      </c>
      <c r="F958">
        <v>6400</v>
      </c>
      <c r="G958">
        <v>21</v>
      </c>
      <c r="H958">
        <v>26.6</v>
      </c>
      <c r="I958">
        <v>16.2</v>
      </c>
      <c r="J958">
        <v>23.4</v>
      </c>
      <c r="K958">
        <v>21.5</v>
      </c>
      <c r="L958">
        <v>11130</v>
      </c>
      <c r="M958" t="s">
        <v>501</v>
      </c>
      <c r="N958">
        <v>71473.13</v>
      </c>
      <c r="O958">
        <v>5769</v>
      </c>
    </row>
    <row r="959" spans="1:15" x14ac:dyDescent="0.2">
      <c r="A959" s="6">
        <v>45845</v>
      </c>
      <c r="B959" t="s">
        <v>15</v>
      </c>
      <c r="C959" t="s">
        <v>16</v>
      </c>
      <c r="D959" s="1">
        <v>45855</v>
      </c>
      <c r="E959" t="s">
        <v>19</v>
      </c>
      <c r="F959">
        <v>6000</v>
      </c>
      <c r="G959">
        <v>372.1</v>
      </c>
      <c r="H959">
        <v>376.6</v>
      </c>
      <c r="I959">
        <v>241.4</v>
      </c>
      <c r="J959">
        <v>269.5</v>
      </c>
      <c r="K959">
        <v>358</v>
      </c>
      <c r="L959">
        <v>9075</v>
      </c>
      <c r="M959" t="s">
        <v>502</v>
      </c>
      <c r="N959">
        <v>57010.81</v>
      </c>
      <c r="O959">
        <v>2050</v>
      </c>
    </row>
    <row r="960" spans="1:15" x14ac:dyDescent="0.2">
      <c r="A960" s="6">
        <v>45845</v>
      </c>
      <c r="B960" t="s">
        <v>15</v>
      </c>
      <c r="C960" t="s">
        <v>16</v>
      </c>
      <c r="D960" s="1">
        <v>45855</v>
      </c>
      <c r="E960" t="s">
        <v>17</v>
      </c>
      <c r="F960">
        <v>7600</v>
      </c>
      <c r="G960">
        <v>6.8</v>
      </c>
      <c r="H960">
        <v>11</v>
      </c>
      <c r="I960">
        <v>6.7</v>
      </c>
      <c r="J960">
        <v>9.8000000000000007</v>
      </c>
      <c r="K960">
        <v>8.8000000000000007</v>
      </c>
      <c r="L960">
        <v>1359</v>
      </c>
      <c r="M960" t="s">
        <v>503</v>
      </c>
      <c r="N960">
        <v>10341.11</v>
      </c>
      <c r="O960">
        <v>1134</v>
      </c>
    </row>
    <row r="961" spans="1:15" x14ac:dyDescent="0.2">
      <c r="A961" s="6">
        <v>45845</v>
      </c>
      <c r="B961" t="s">
        <v>15</v>
      </c>
      <c r="C961" t="s">
        <v>16</v>
      </c>
      <c r="D961" s="1">
        <v>45855</v>
      </c>
      <c r="E961" t="s">
        <v>19</v>
      </c>
      <c r="F961">
        <v>7050</v>
      </c>
      <c r="J961">
        <v>1252.2</v>
      </c>
      <c r="K961">
        <v>1357.6</v>
      </c>
      <c r="L961">
        <v>0</v>
      </c>
      <c r="M961" t="s">
        <v>18</v>
      </c>
      <c r="N961">
        <v>0</v>
      </c>
      <c r="O961">
        <v>0</v>
      </c>
    </row>
    <row r="962" spans="1:15" x14ac:dyDescent="0.2">
      <c r="A962" s="6">
        <v>45845</v>
      </c>
      <c r="B962" t="s">
        <v>15</v>
      </c>
      <c r="C962" t="s">
        <v>16</v>
      </c>
      <c r="D962" s="1">
        <v>45855</v>
      </c>
      <c r="E962" t="s">
        <v>19</v>
      </c>
      <c r="F962">
        <v>7550</v>
      </c>
      <c r="J962">
        <v>1751.1</v>
      </c>
      <c r="K962">
        <v>1856.1</v>
      </c>
      <c r="L962">
        <v>0</v>
      </c>
      <c r="M962" t="s">
        <v>18</v>
      </c>
      <c r="N962">
        <v>0</v>
      </c>
      <c r="O962">
        <v>0</v>
      </c>
    </row>
    <row r="963" spans="1:15" x14ac:dyDescent="0.2">
      <c r="A963" s="6">
        <v>45845</v>
      </c>
      <c r="B963" t="s">
        <v>15</v>
      </c>
      <c r="C963" t="s">
        <v>16</v>
      </c>
      <c r="D963" s="1">
        <v>45855</v>
      </c>
      <c r="E963" t="s">
        <v>19</v>
      </c>
      <c r="F963">
        <v>3850</v>
      </c>
      <c r="J963">
        <v>0.1</v>
      </c>
      <c r="K963">
        <v>0.1</v>
      </c>
      <c r="L963">
        <v>0</v>
      </c>
      <c r="M963" t="s">
        <v>18</v>
      </c>
      <c r="N963">
        <v>0</v>
      </c>
      <c r="O963">
        <v>0</v>
      </c>
    </row>
    <row r="964" spans="1:15" x14ac:dyDescent="0.2">
      <c r="A964" s="6">
        <v>45845</v>
      </c>
      <c r="B964" t="s">
        <v>15</v>
      </c>
      <c r="C964" t="s">
        <v>16</v>
      </c>
      <c r="D964" s="1">
        <v>45855</v>
      </c>
      <c r="E964" t="s">
        <v>17</v>
      </c>
      <c r="F964">
        <v>6600</v>
      </c>
      <c r="G964">
        <v>13.3</v>
      </c>
      <c r="H964">
        <v>19.2</v>
      </c>
      <c r="I964">
        <v>12.9</v>
      </c>
      <c r="J964">
        <v>16.5</v>
      </c>
      <c r="K964">
        <v>16.2</v>
      </c>
      <c r="L964">
        <v>5655</v>
      </c>
      <c r="M964" t="s">
        <v>504</v>
      </c>
      <c r="N964">
        <v>37413.54</v>
      </c>
      <c r="O964">
        <v>4510</v>
      </c>
    </row>
    <row r="965" spans="1:15" x14ac:dyDescent="0.2">
      <c r="A965" s="6">
        <v>45845</v>
      </c>
      <c r="B965" t="s">
        <v>15</v>
      </c>
      <c r="C965" t="s">
        <v>16</v>
      </c>
      <c r="D965" s="1">
        <v>45855</v>
      </c>
      <c r="E965" t="s">
        <v>19</v>
      </c>
      <c r="F965">
        <v>4800</v>
      </c>
      <c r="G965">
        <v>8.1</v>
      </c>
      <c r="H965">
        <v>10.8</v>
      </c>
      <c r="I965">
        <v>7.2</v>
      </c>
      <c r="J965">
        <v>8.6999999999999993</v>
      </c>
      <c r="K965">
        <v>8.5</v>
      </c>
      <c r="L965">
        <v>1048</v>
      </c>
      <c r="M965" t="s">
        <v>505</v>
      </c>
      <c r="N965">
        <v>5039.72</v>
      </c>
      <c r="O965">
        <v>705</v>
      </c>
    </row>
    <row r="966" spans="1:15" x14ac:dyDescent="0.2">
      <c r="A966" s="6">
        <v>45845</v>
      </c>
      <c r="B966" t="s">
        <v>15</v>
      </c>
      <c r="C966" t="s">
        <v>16</v>
      </c>
      <c r="D966" s="1">
        <v>45855</v>
      </c>
      <c r="E966" t="s">
        <v>19</v>
      </c>
      <c r="F966">
        <v>5850</v>
      </c>
      <c r="G966">
        <v>249.3</v>
      </c>
      <c r="H966">
        <v>257.8</v>
      </c>
      <c r="I966">
        <v>148.19999999999999</v>
      </c>
      <c r="J966">
        <v>168.4</v>
      </c>
      <c r="K966">
        <v>242.4</v>
      </c>
      <c r="L966">
        <v>27865</v>
      </c>
      <c r="M966" t="s">
        <v>506</v>
      </c>
      <c r="N966">
        <v>167893.26</v>
      </c>
      <c r="O966">
        <v>668</v>
      </c>
    </row>
    <row r="967" spans="1:15" x14ac:dyDescent="0.2">
      <c r="A967" s="6">
        <v>45845</v>
      </c>
      <c r="B967" t="s">
        <v>15</v>
      </c>
      <c r="C967" t="s">
        <v>16</v>
      </c>
      <c r="D967" s="1">
        <v>45855</v>
      </c>
      <c r="E967" t="s">
        <v>17</v>
      </c>
      <c r="F967">
        <v>3900</v>
      </c>
      <c r="J967">
        <v>1892.9</v>
      </c>
      <c r="K967">
        <v>1786.2</v>
      </c>
      <c r="L967">
        <v>0</v>
      </c>
      <c r="M967" t="s">
        <v>18</v>
      </c>
      <c r="N967">
        <v>0</v>
      </c>
      <c r="O967">
        <v>0</v>
      </c>
    </row>
    <row r="968" spans="1:15" x14ac:dyDescent="0.2">
      <c r="A968" s="6">
        <v>45845</v>
      </c>
      <c r="B968" t="s">
        <v>15</v>
      </c>
      <c r="C968" t="s">
        <v>16</v>
      </c>
      <c r="D968" s="1">
        <v>45855</v>
      </c>
      <c r="E968" t="s">
        <v>19</v>
      </c>
      <c r="F968">
        <v>6300</v>
      </c>
      <c r="G968">
        <v>616.79999999999995</v>
      </c>
      <c r="H968">
        <v>616.79999999999995</v>
      </c>
      <c r="I968">
        <v>497.2</v>
      </c>
      <c r="J968">
        <v>509.5</v>
      </c>
      <c r="K968">
        <v>641.1</v>
      </c>
      <c r="L968">
        <v>50</v>
      </c>
      <c r="M968" t="s">
        <v>171</v>
      </c>
      <c r="N968">
        <v>341.4</v>
      </c>
      <c r="O968">
        <v>565</v>
      </c>
    </row>
    <row r="969" spans="1:15" x14ac:dyDescent="0.2">
      <c r="A969" s="6">
        <v>45845</v>
      </c>
      <c r="B969" t="s">
        <v>15</v>
      </c>
      <c r="C969" t="s">
        <v>16</v>
      </c>
      <c r="D969" s="1">
        <v>45855</v>
      </c>
      <c r="E969" t="s">
        <v>17</v>
      </c>
      <c r="F969">
        <v>5850</v>
      </c>
      <c r="G969">
        <v>73.099999999999994</v>
      </c>
      <c r="H969">
        <v>136.80000000000001</v>
      </c>
      <c r="I969">
        <v>63.8</v>
      </c>
      <c r="J969">
        <v>114.8</v>
      </c>
      <c r="K969">
        <v>82.3</v>
      </c>
      <c r="L969">
        <v>69962</v>
      </c>
      <c r="M969" t="s">
        <v>507</v>
      </c>
      <c r="N969">
        <v>417096.07</v>
      </c>
      <c r="O969">
        <v>1611</v>
      </c>
    </row>
    <row r="970" spans="1:15" x14ac:dyDescent="0.2">
      <c r="A970" s="6">
        <v>45845</v>
      </c>
      <c r="B970" t="s">
        <v>15</v>
      </c>
      <c r="C970" t="s">
        <v>16</v>
      </c>
      <c r="D970" s="1">
        <v>45855</v>
      </c>
      <c r="E970" t="s">
        <v>19</v>
      </c>
      <c r="F970">
        <v>6500</v>
      </c>
      <c r="G970">
        <v>861.6</v>
      </c>
      <c r="H970">
        <v>861.6</v>
      </c>
      <c r="I970">
        <v>686</v>
      </c>
      <c r="J970">
        <v>703.7</v>
      </c>
      <c r="K970">
        <v>831.1</v>
      </c>
      <c r="L970">
        <v>46</v>
      </c>
      <c r="M970" t="s">
        <v>338</v>
      </c>
      <c r="N970">
        <v>334.03</v>
      </c>
      <c r="O970">
        <v>738</v>
      </c>
    </row>
    <row r="971" spans="1:15" x14ac:dyDescent="0.2">
      <c r="A971" s="6">
        <v>45845</v>
      </c>
      <c r="B971" t="s">
        <v>15</v>
      </c>
      <c r="C971" t="s">
        <v>16</v>
      </c>
      <c r="D971" s="1">
        <v>45855</v>
      </c>
      <c r="E971" t="s">
        <v>19</v>
      </c>
      <c r="F971">
        <v>5550</v>
      </c>
      <c r="G971">
        <v>96.4</v>
      </c>
      <c r="H971">
        <v>96.4</v>
      </c>
      <c r="I971">
        <v>44.7</v>
      </c>
      <c r="J971">
        <v>51.7</v>
      </c>
      <c r="K971">
        <v>85.8</v>
      </c>
      <c r="L971">
        <v>29612</v>
      </c>
      <c r="M971" t="s">
        <v>508</v>
      </c>
      <c r="N971">
        <v>166161.9</v>
      </c>
      <c r="O971">
        <v>2695</v>
      </c>
    </row>
    <row r="972" spans="1:15" x14ac:dyDescent="0.2">
      <c r="A972" s="6">
        <v>45845</v>
      </c>
      <c r="B972" t="s">
        <v>15</v>
      </c>
      <c r="C972" t="s">
        <v>16</v>
      </c>
      <c r="D972" s="1">
        <v>45855</v>
      </c>
      <c r="E972" t="s">
        <v>19</v>
      </c>
      <c r="F972">
        <v>7650</v>
      </c>
      <c r="J972">
        <v>1851</v>
      </c>
      <c r="K972">
        <v>1955.8</v>
      </c>
      <c r="L972">
        <v>0</v>
      </c>
      <c r="M972" t="s">
        <v>18</v>
      </c>
      <c r="N972">
        <v>0</v>
      </c>
      <c r="O972">
        <v>0</v>
      </c>
    </row>
    <row r="973" spans="1:15" x14ac:dyDescent="0.2">
      <c r="A973" s="6">
        <v>45845</v>
      </c>
      <c r="B973" t="s">
        <v>15</v>
      </c>
      <c r="C973" t="s">
        <v>16</v>
      </c>
      <c r="D973" s="1">
        <v>45855</v>
      </c>
      <c r="E973" t="s">
        <v>17</v>
      </c>
      <c r="F973">
        <v>6150</v>
      </c>
      <c r="G973">
        <v>24.7</v>
      </c>
      <c r="H973">
        <v>49.7</v>
      </c>
      <c r="I973">
        <v>24.6</v>
      </c>
      <c r="J973">
        <v>42.1</v>
      </c>
      <c r="K973">
        <v>30.8</v>
      </c>
      <c r="L973">
        <v>10202</v>
      </c>
      <c r="M973" t="s">
        <v>509</v>
      </c>
      <c r="N973">
        <v>63149.42</v>
      </c>
      <c r="O973">
        <v>768</v>
      </c>
    </row>
    <row r="974" spans="1:15" x14ac:dyDescent="0.2">
      <c r="A974" s="6">
        <v>45845</v>
      </c>
      <c r="B974" t="s">
        <v>15</v>
      </c>
      <c r="C974" t="s">
        <v>16</v>
      </c>
      <c r="D974" s="1">
        <v>45855</v>
      </c>
      <c r="E974" t="s">
        <v>19</v>
      </c>
      <c r="F974">
        <v>4350</v>
      </c>
      <c r="J974">
        <v>0.1</v>
      </c>
      <c r="K974">
        <v>0.1</v>
      </c>
      <c r="L974">
        <v>0</v>
      </c>
      <c r="M974" t="s">
        <v>18</v>
      </c>
      <c r="N974">
        <v>0</v>
      </c>
      <c r="O974">
        <v>0</v>
      </c>
    </row>
    <row r="975" spans="1:15" x14ac:dyDescent="0.2">
      <c r="A975" s="6">
        <v>45845</v>
      </c>
      <c r="B975" t="s">
        <v>15</v>
      </c>
      <c r="C975" t="s">
        <v>16</v>
      </c>
      <c r="D975" s="1">
        <v>45855</v>
      </c>
      <c r="E975" t="s">
        <v>19</v>
      </c>
      <c r="F975">
        <v>4750</v>
      </c>
      <c r="G975">
        <v>3.5</v>
      </c>
      <c r="H975">
        <v>7.9</v>
      </c>
      <c r="I975">
        <v>3.5</v>
      </c>
      <c r="J975">
        <v>7.4</v>
      </c>
      <c r="K975">
        <v>8.1</v>
      </c>
      <c r="L975">
        <v>12</v>
      </c>
      <c r="M975" t="s">
        <v>180</v>
      </c>
      <c r="N975">
        <v>57.09</v>
      </c>
      <c r="O975">
        <v>4</v>
      </c>
    </row>
    <row r="976" spans="1:15" x14ac:dyDescent="0.2">
      <c r="A976" s="6">
        <v>45845</v>
      </c>
      <c r="B976" t="s">
        <v>15</v>
      </c>
      <c r="C976" t="s">
        <v>16</v>
      </c>
      <c r="D976" s="1">
        <v>45855</v>
      </c>
      <c r="E976" t="s">
        <v>17</v>
      </c>
      <c r="F976">
        <v>7400</v>
      </c>
      <c r="G976">
        <v>6.7</v>
      </c>
      <c r="H976">
        <v>11</v>
      </c>
      <c r="I976">
        <v>6.2</v>
      </c>
      <c r="J976">
        <v>8.9</v>
      </c>
      <c r="K976">
        <v>9.1</v>
      </c>
      <c r="L976">
        <v>520</v>
      </c>
      <c r="M976" t="s">
        <v>510</v>
      </c>
      <c r="N976">
        <v>3852.67</v>
      </c>
      <c r="O976">
        <v>1613</v>
      </c>
    </row>
    <row r="977" spans="1:15" x14ac:dyDescent="0.2">
      <c r="A977" s="6">
        <v>45845</v>
      </c>
      <c r="B977" t="s">
        <v>15</v>
      </c>
      <c r="C977" t="s">
        <v>16</v>
      </c>
      <c r="D977" s="1">
        <v>45855</v>
      </c>
      <c r="E977" t="s">
        <v>17</v>
      </c>
      <c r="F977">
        <v>5400</v>
      </c>
      <c r="G977">
        <v>309.60000000000002</v>
      </c>
      <c r="H977">
        <v>455.4</v>
      </c>
      <c r="I977">
        <v>308</v>
      </c>
      <c r="J977">
        <v>419.5</v>
      </c>
      <c r="K977">
        <v>329.3</v>
      </c>
      <c r="L977">
        <v>1706</v>
      </c>
      <c r="M977" t="s">
        <v>511</v>
      </c>
      <c r="N977">
        <v>9850.27</v>
      </c>
      <c r="O977">
        <v>544</v>
      </c>
    </row>
    <row r="978" spans="1:15" x14ac:dyDescent="0.2">
      <c r="A978" s="6">
        <v>45845</v>
      </c>
      <c r="B978" t="s">
        <v>15</v>
      </c>
      <c r="C978" t="s">
        <v>16</v>
      </c>
      <c r="D978" s="1">
        <v>45855</v>
      </c>
      <c r="E978" t="s">
        <v>17</v>
      </c>
      <c r="F978">
        <v>7700</v>
      </c>
      <c r="G978">
        <v>7.1</v>
      </c>
      <c r="H978">
        <v>10.1</v>
      </c>
      <c r="I978">
        <v>5.0999999999999996</v>
      </c>
      <c r="J978">
        <v>8.9</v>
      </c>
      <c r="K978">
        <v>8.3000000000000007</v>
      </c>
      <c r="L978">
        <v>3124</v>
      </c>
      <c r="M978" t="s">
        <v>512</v>
      </c>
      <c r="N978">
        <v>24081.75</v>
      </c>
      <c r="O978">
        <v>2439</v>
      </c>
    </row>
    <row r="979" spans="1:15" x14ac:dyDescent="0.2">
      <c r="A979" s="6">
        <v>45845</v>
      </c>
      <c r="B979" t="s">
        <v>15</v>
      </c>
      <c r="C979" t="s">
        <v>16</v>
      </c>
      <c r="D979" s="1">
        <v>45855</v>
      </c>
      <c r="E979" t="s">
        <v>19</v>
      </c>
      <c r="F979">
        <v>6600</v>
      </c>
      <c r="G979">
        <v>883.2</v>
      </c>
      <c r="H979">
        <v>883.2</v>
      </c>
      <c r="I979">
        <v>840</v>
      </c>
      <c r="J979">
        <v>861.6</v>
      </c>
      <c r="K979">
        <v>913.3</v>
      </c>
      <c r="L979">
        <v>2</v>
      </c>
      <c r="M979" t="s">
        <v>28</v>
      </c>
      <c r="N979">
        <v>14.92</v>
      </c>
      <c r="O979">
        <v>161</v>
      </c>
    </row>
    <row r="980" spans="1:15" x14ac:dyDescent="0.2">
      <c r="A980" s="6">
        <v>45845</v>
      </c>
      <c r="B980" t="s">
        <v>15</v>
      </c>
      <c r="C980" t="s">
        <v>16</v>
      </c>
      <c r="D980" s="1">
        <v>45855</v>
      </c>
      <c r="E980" t="s">
        <v>19</v>
      </c>
      <c r="F980">
        <v>4300</v>
      </c>
      <c r="J980">
        <v>0.1</v>
      </c>
      <c r="K980">
        <v>0.1</v>
      </c>
      <c r="L980">
        <v>0</v>
      </c>
      <c r="M980" t="s">
        <v>18</v>
      </c>
      <c r="N980">
        <v>0</v>
      </c>
      <c r="O980">
        <v>0</v>
      </c>
    </row>
    <row r="981" spans="1:15" x14ac:dyDescent="0.2">
      <c r="A981" s="6">
        <v>45845</v>
      </c>
      <c r="B981" t="s">
        <v>15</v>
      </c>
      <c r="C981" t="s">
        <v>16</v>
      </c>
      <c r="D981" s="1">
        <v>45855</v>
      </c>
      <c r="E981" t="s">
        <v>17</v>
      </c>
      <c r="F981">
        <v>4300</v>
      </c>
      <c r="J981">
        <v>1493.6</v>
      </c>
      <c r="K981">
        <v>1387.1</v>
      </c>
      <c r="L981">
        <v>0</v>
      </c>
      <c r="M981" t="s">
        <v>18</v>
      </c>
      <c r="N981">
        <v>0</v>
      </c>
      <c r="O981">
        <v>0</v>
      </c>
    </row>
    <row r="982" spans="1:15" x14ac:dyDescent="0.2">
      <c r="A982" s="6">
        <v>45845</v>
      </c>
      <c r="B982" t="s">
        <v>15</v>
      </c>
      <c r="C982" t="s">
        <v>16</v>
      </c>
      <c r="D982" s="1">
        <v>45855</v>
      </c>
      <c r="E982" t="s">
        <v>19</v>
      </c>
      <c r="F982">
        <v>7000</v>
      </c>
      <c r="J982">
        <v>1202.4000000000001</v>
      </c>
      <c r="K982">
        <v>1307.8</v>
      </c>
      <c r="L982">
        <v>0</v>
      </c>
      <c r="M982" t="s">
        <v>18</v>
      </c>
      <c r="N982">
        <v>0</v>
      </c>
      <c r="O982">
        <v>12</v>
      </c>
    </row>
    <row r="983" spans="1:15" x14ac:dyDescent="0.2">
      <c r="A983" s="6">
        <v>45845</v>
      </c>
      <c r="B983" t="s">
        <v>15</v>
      </c>
      <c r="C983" t="s">
        <v>16</v>
      </c>
      <c r="D983" s="1">
        <v>45855</v>
      </c>
      <c r="E983" t="s">
        <v>17</v>
      </c>
      <c r="F983">
        <v>4700</v>
      </c>
      <c r="J983">
        <v>1094.3</v>
      </c>
      <c r="K983">
        <v>988.8</v>
      </c>
      <c r="L983">
        <v>0</v>
      </c>
      <c r="M983" t="s">
        <v>18</v>
      </c>
      <c r="N983">
        <v>0</v>
      </c>
      <c r="O983">
        <v>0</v>
      </c>
    </row>
    <row r="984" spans="1:15" x14ac:dyDescent="0.2">
      <c r="A984" s="6">
        <v>45845</v>
      </c>
      <c r="B984" t="s">
        <v>15</v>
      </c>
      <c r="C984" t="s">
        <v>16</v>
      </c>
      <c r="D984" s="1">
        <v>45855</v>
      </c>
      <c r="E984" t="s">
        <v>17</v>
      </c>
      <c r="F984">
        <v>5650</v>
      </c>
      <c r="G984">
        <v>140</v>
      </c>
      <c r="H984">
        <v>256.89999999999998</v>
      </c>
      <c r="I984">
        <v>139</v>
      </c>
      <c r="J984">
        <v>224.7</v>
      </c>
      <c r="K984">
        <v>164.5</v>
      </c>
      <c r="L984">
        <v>24528</v>
      </c>
      <c r="M984" t="s">
        <v>513</v>
      </c>
      <c r="N984">
        <v>143629.13</v>
      </c>
      <c r="O984">
        <v>779</v>
      </c>
    </row>
    <row r="985" spans="1:15" x14ac:dyDescent="0.2">
      <c r="A985" s="6">
        <v>45845</v>
      </c>
      <c r="B985" t="s">
        <v>15</v>
      </c>
      <c r="C985" t="s">
        <v>16</v>
      </c>
      <c r="D985" s="1">
        <v>45855</v>
      </c>
      <c r="E985" t="s">
        <v>19</v>
      </c>
      <c r="F985">
        <v>6450</v>
      </c>
      <c r="G985">
        <v>756.1</v>
      </c>
      <c r="H985">
        <v>770</v>
      </c>
      <c r="I985">
        <v>644.70000000000005</v>
      </c>
      <c r="J985">
        <v>712.5</v>
      </c>
      <c r="K985">
        <v>792.7</v>
      </c>
      <c r="L985">
        <v>47</v>
      </c>
      <c r="M985" t="s">
        <v>230</v>
      </c>
      <c r="N985">
        <v>338.39</v>
      </c>
      <c r="O985">
        <v>837</v>
      </c>
    </row>
    <row r="986" spans="1:15" x14ac:dyDescent="0.2">
      <c r="A986" s="6">
        <v>45845</v>
      </c>
      <c r="B986" t="s">
        <v>15</v>
      </c>
      <c r="C986" t="s">
        <v>16</v>
      </c>
      <c r="D986" s="1">
        <v>45855</v>
      </c>
      <c r="E986" t="s">
        <v>17</v>
      </c>
      <c r="F986">
        <v>6450</v>
      </c>
      <c r="G986">
        <v>16.8</v>
      </c>
      <c r="H986">
        <v>25.6</v>
      </c>
      <c r="I986">
        <v>16.399999999999999</v>
      </c>
      <c r="J986">
        <v>22.3</v>
      </c>
      <c r="K986">
        <v>20.399999999999999</v>
      </c>
      <c r="L986">
        <v>1867</v>
      </c>
      <c r="M986" t="s">
        <v>514</v>
      </c>
      <c r="N986">
        <v>12080.78</v>
      </c>
      <c r="O986">
        <v>1614</v>
      </c>
    </row>
    <row r="987" spans="1:15" x14ac:dyDescent="0.2">
      <c r="A987" s="6">
        <v>45845</v>
      </c>
      <c r="B987" t="s">
        <v>15</v>
      </c>
      <c r="C987" t="s">
        <v>16</v>
      </c>
      <c r="D987" s="1">
        <v>45855</v>
      </c>
      <c r="E987" t="s">
        <v>17</v>
      </c>
      <c r="F987">
        <v>7100</v>
      </c>
      <c r="G987">
        <v>11.8</v>
      </c>
      <c r="H987">
        <v>13</v>
      </c>
      <c r="I987">
        <v>8.3000000000000007</v>
      </c>
      <c r="J987">
        <v>11.3</v>
      </c>
      <c r="K987">
        <v>11.6</v>
      </c>
      <c r="L987">
        <v>437</v>
      </c>
      <c r="M987" t="s">
        <v>515</v>
      </c>
      <c r="N987">
        <v>3107.62</v>
      </c>
      <c r="O987">
        <v>383</v>
      </c>
    </row>
    <row r="988" spans="1:15" x14ac:dyDescent="0.2">
      <c r="A988" s="6">
        <v>45845</v>
      </c>
      <c r="B988" t="s">
        <v>15</v>
      </c>
      <c r="C988" t="s">
        <v>16</v>
      </c>
      <c r="D988" s="1">
        <v>45855</v>
      </c>
      <c r="E988" t="s">
        <v>19</v>
      </c>
      <c r="F988">
        <v>4150</v>
      </c>
      <c r="J988">
        <v>0.1</v>
      </c>
      <c r="K988">
        <v>0.1</v>
      </c>
      <c r="L988">
        <v>0</v>
      </c>
      <c r="M988" t="s">
        <v>18</v>
      </c>
      <c r="N988">
        <v>0</v>
      </c>
      <c r="O988">
        <v>0</v>
      </c>
    </row>
    <row r="989" spans="1:15" x14ac:dyDescent="0.2">
      <c r="A989" s="6">
        <v>45845</v>
      </c>
      <c r="B989" t="s">
        <v>15</v>
      </c>
      <c r="C989" t="s">
        <v>16</v>
      </c>
      <c r="D989" s="1">
        <v>45855</v>
      </c>
      <c r="E989" t="s">
        <v>19</v>
      </c>
      <c r="F989">
        <v>7300</v>
      </c>
      <c r="J989">
        <v>1501.6</v>
      </c>
      <c r="K989">
        <v>1606.7</v>
      </c>
      <c r="L989">
        <v>0</v>
      </c>
      <c r="M989" t="s">
        <v>18</v>
      </c>
      <c r="N989">
        <v>0</v>
      </c>
      <c r="O989">
        <v>0</v>
      </c>
    </row>
    <row r="990" spans="1:15" x14ac:dyDescent="0.2">
      <c r="A990" s="6">
        <v>45845</v>
      </c>
      <c r="B990" t="s">
        <v>15</v>
      </c>
      <c r="C990" t="s">
        <v>16</v>
      </c>
      <c r="D990" s="1">
        <v>45855</v>
      </c>
      <c r="E990" t="s">
        <v>19</v>
      </c>
      <c r="F990">
        <v>5950</v>
      </c>
      <c r="G990">
        <v>331.2</v>
      </c>
      <c r="H990">
        <v>333.2</v>
      </c>
      <c r="I990">
        <v>208.5</v>
      </c>
      <c r="J990">
        <v>233.4</v>
      </c>
      <c r="K990">
        <v>317.3</v>
      </c>
      <c r="L990">
        <v>3771</v>
      </c>
      <c r="M990" t="s">
        <v>516</v>
      </c>
      <c r="N990">
        <v>23336.35</v>
      </c>
      <c r="O990">
        <v>153</v>
      </c>
    </row>
    <row r="991" spans="1:15" x14ac:dyDescent="0.2">
      <c r="A991" s="6">
        <v>45845</v>
      </c>
      <c r="B991" t="s">
        <v>15</v>
      </c>
      <c r="C991" t="s">
        <v>16</v>
      </c>
      <c r="D991" s="1">
        <v>45855</v>
      </c>
      <c r="E991" t="s">
        <v>19</v>
      </c>
      <c r="F991">
        <v>5000</v>
      </c>
      <c r="G991">
        <v>12.5</v>
      </c>
      <c r="H991">
        <v>12.6</v>
      </c>
      <c r="I991">
        <v>10.1</v>
      </c>
      <c r="J991">
        <v>11.2</v>
      </c>
      <c r="K991">
        <v>11.2</v>
      </c>
      <c r="L991">
        <v>10412</v>
      </c>
      <c r="M991" t="s">
        <v>517</v>
      </c>
      <c r="N991">
        <v>52178.42</v>
      </c>
      <c r="O991">
        <v>3033</v>
      </c>
    </row>
    <row r="992" spans="1:15" x14ac:dyDescent="0.2">
      <c r="A992" s="6">
        <v>45845</v>
      </c>
      <c r="B992" t="s">
        <v>15</v>
      </c>
      <c r="C992" t="s">
        <v>16</v>
      </c>
      <c r="D992" s="1">
        <v>45855</v>
      </c>
      <c r="E992" t="s">
        <v>19</v>
      </c>
      <c r="F992">
        <v>3800</v>
      </c>
      <c r="J992">
        <v>0.1</v>
      </c>
      <c r="K992">
        <v>0.1</v>
      </c>
      <c r="L992">
        <v>0</v>
      </c>
      <c r="M992" t="s">
        <v>18</v>
      </c>
      <c r="N992">
        <v>0</v>
      </c>
      <c r="O992">
        <v>0</v>
      </c>
    </row>
    <row r="993" spans="1:15" x14ac:dyDescent="0.2">
      <c r="A993" s="6">
        <v>45845</v>
      </c>
      <c r="B993" t="s">
        <v>15</v>
      </c>
      <c r="C993" t="s">
        <v>16</v>
      </c>
      <c r="D993" s="1">
        <v>45855</v>
      </c>
      <c r="E993" t="s">
        <v>17</v>
      </c>
      <c r="F993">
        <v>6000</v>
      </c>
      <c r="G993">
        <v>36.700000000000003</v>
      </c>
      <c r="H993">
        <v>81.400000000000006</v>
      </c>
      <c r="I993">
        <v>36.700000000000003</v>
      </c>
      <c r="J993">
        <v>67.7</v>
      </c>
      <c r="K993">
        <v>48.3</v>
      </c>
      <c r="L993">
        <v>104335</v>
      </c>
      <c r="M993" t="s">
        <v>518</v>
      </c>
      <c r="N993">
        <v>632707.78</v>
      </c>
      <c r="O993">
        <v>7308</v>
      </c>
    </row>
    <row r="994" spans="1:15" x14ac:dyDescent="0.2">
      <c r="A994" s="6">
        <v>45845</v>
      </c>
      <c r="B994" t="s">
        <v>15</v>
      </c>
      <c r="C994" t="s">
        <v>16</v>
      </c>
      <c r="D994" s="1">
        <v>45855</v>
      </c>
      <c r="E994" t="s">
        <v>19</v>
      </c>
      <c r="F994">
        <v>6100</v>
      </c>
      <c r="G994">
        <v>463.5</v>
      </c>
      <c r="H994">
        <v>465.7</v>
      </c>
      <c r="I994">
        <v>319.2</v>
      </c>
      <c r="J994">
        <v>348.1</v>
      </c>
      <c r="K994">
        <v>445.7</v>
      </c>
      <c r="L994">
        <v>1317</v>
      </c>
      <c r="M994" t="s">
        <v>519</v>
      </c>
      <c r="N994">
        <v>8509.52</v>
      </c>
      <c r="O994">
        <v>304</v>
      </c>
    </row>
    <row r="995" spans="1:15" x14ac:dyDescent="0.2">
      <c r="A995" s="6">
        <v>45845</v>
      </c>
      <c r="B995" t="s">
        <v>15</v>
      </c>
      <c r="C995" t="s">
        <v>16</v>
      </c>
      <c r="D995" s="1">
        <v>45855</v>
      </c>
      <c r="E995" t="s">
        <v>19</v>
      </c>
      <c r="F995">
        <v>5500</v>
      </c>
      <c r="G995">
        <v>85.5</v>
      </c>
      <c r="H995">
        <v>85.5</v>
      </c>
      <c r="I995">
        <v>36.200000000000003</v>
      </c>
      <c r="J995">
        <v>41.2</v>
      </c>
      <c r="K995">
        <v>68.599999999999994</v>
      </c>
      <c r="L995">
        <v>66997</v>
      </c>
      <c r="M995" t="s">
        <v>520</v>
      </c>
      <c r="N995">
        <v>371788.53</v>
      </c>
      <c r="O995">
        <v>9349</v>
      </c>
    </row>
    <row r="996" spans="1:15" x14ac:dyDescent="0.2">
      <c r="A996" s="6">
        <v>45845</v>
      </c>
      <c r="B996" t="s">
        <v>15</v>
      </c>
      <c r="C996" t="s">
        <v>16</v>
      </c>
      <c r="D996" s="1">
        <v>45855</v>
      </c>
      <c r="E996" t="s">
        <v>19</v>
      </c>
      <c r="F996">
        <v>5750</v>
      </c>
      <c r="G996">
        <v>183.6</v>
      </c>
      <c r="H996">
        <v>189.8</v>
      </c>
      <c r="I996">
        <v>103</v>
      </c>
      <c r="J996">
        <v>118</v>
      </c>
      <c r="K996">
        <v>177</v>
      </c>
      <c r="L996">
        <v>86504</v>
      </c>
      <c r="M996" t="s">
        <v>521</v>
      </c>
      <c r="N996">
        <v>508395.57</v>
      </c>
      <c r="O996">
        <v>4305</v>
      </c>
    </row>
    <row r="997" spans="1:15" x14ac:dyDescent="0.2">
      <c r="A997" s="6">
        <v>45845</v>
      </c>
      <c r="B997" t="s">
        <v>15</v>
      </c>
      <c r="C997" t="s">
        <v>16</v>
      </c>
      <c r="D997" s="1">
        <v>45855</v>
      </c>
      <c r="E997" t="s">
        <v>19</v>
      </c>
      <c r="F997">
        <v>4050</v>
      </c>
      <c r="J997">
        <v>0.1</v>
      </c>
      <c r="K997">
        <v>0.1</v>
      </c>
      <c r="L997">
        <v>0</v>
      </c>
      <c r="M997" t="s">
        <v>18</v>
      </c>
      <c r="N997">
        <v>0</v>
      </c>
      <c r="O997">
        <v>0</v>
      </c>
    </row>
    <row r="998" spans="1:15" x14ac:dyDescent="0.2">
      <c r="A998" s="6">
        <v>45842</v>
      </c>
      <c r="B998" t="s">
        <v>15</v>
      </c>
      <c r="C998" t="s">
        <v>16</v>
      </c>
      <c r="D998" s="1">
        <v>45855</v>
      </c>
      <c r="E998" t="s">
        <v>17</v>
      </c>
      <c r="F998">
        <v>5100</v>
      </c>
      <c r="J998">
        <v>604.1</v>
      </c>
      <c r="K998">
        <v>676.4</v>
      </c>
      <c r="L998">
        <v>0</v>
      </c>
      <c r="M998" t="s">
        <v>18</v>
      </c>
      <c r="N998">
        <v>0</v>
      </c>
      <c r="O998">
        <v>8</v>
      </c>
    </row>
    <row r="999" spans="1:15" x14ac:dyDescent="0.2">
      <c r="A999" s="6">
        <v>45842</v>
      </c>
      <c r="B999" t="s">
        <v>15</v>
      </c>
      <c r="C999" t="s">
        <v>16</v>
      </c>
      <c r="D999" s="1">
        <v>45855</v>
      </c>
      <c r="E999" t="s">
        <v>19</v>
      </c>
      <c r="F999">
        <v>6050</v>
      </c>
      <c r="G999">
        <v>411</v>
      </c>
      <c r="H999">
        <v>432</v>
      </c>
      <c r="I999">
        <v>397.9</v>
      </c>
      <c r="J999">
        <v>408.5</v>
      </c>
      <c r="K999">
        <v>387.5</v>
      </c>
      <c r="L999">
        <v>16</v>
      </c>
      <c r="M999" t="s">
        <v>259</v>
      </c>
      <c r="N999">
        <v>103.34</v>
      </c>
      <c r="O999">
        <v>97</v>
      </c>
    </row>
    <row r="1000" spans="1:15" x14ac:dyDescent="0.2">
      <c r="A1000" s="6">
        <v>45842</v>
      </c>
      <c r="B1000" t="s">
        <v>15</v>
      </c>
      <c r="C1000" t="s">
        <v>16</v>
      </c>
      <c r="D1000" s="1">
        <v>45855</v>
      </c>
      <c r="E1000" t="s">
        <v>19</v>
      </c>
      <c r="F1000">
        <v>5100</v>
      </c>
      <c r="G1000">
        <v>14.1</v>
      </c>
      <c r="H1000">
        <v>17.8</v>
      </c>
      <c r="I1000">
        <v>10.9</v>
      </c>
      <c r="J1000">
        <v>13.1</v>
      </c>
      <c r="K1000">
        <v>13.9</v>
      </c>
      <c r="L1000">
        <v>4240</v>
      </c>
      <c r="M1000" t="s">
        <v>522</v>
      </c>
      <c r="N1000">
        <v>21689.73</v>
      </c>
      <c r="O1000">
        <v>1992</v>
      </c>
    </row>
    <row r="1001" spans="1:15" x14ac:dyDescent="0.2">
      <c r="A1001" s="6">
        <v>45842</v>
      </c>
      <c r="B1001" t="s">
        <v>15</v>
      </c>
      <c r="C1001" t="s">
        <v>16</v>
      </c>
      <c r="D1001" s="1">
        <v>45855</v>
      </c>
      <c r="E1001" t="s">
        <v>17</v>
      </c>
      <c r="F1001">
        <v>4650</v>
      </c>
      <c r="J1001">
        <v>1038.4000000000001</v>
      </c>
      <c r="K1001">
        <v>1072.4000000000001</v>
      </c>
      <c r="L1001">
        <v>0</v>
      </c>
      <c r="M1001" t="s">
        <v>18</v>
      </c>
      <c r="N1001">
        <v>0</v>
      </c>
      <c r="O1001">
        <v>0</v>
      </c>
    </row>
    <row r="1002" spans="1:15" x14ac:dyDescent="0.2">
      <c r="A1002" s="6">
        <v>45842</v>
      </c>
      <c r="B1002" t="s">
        <v>15</v>
      </c>
      <c r="C1002" t="s">
        <v>16</v>
      </c>
      <c r="D1002" s="1">
        <v>45855</v>
      </c>
      <c r="E1002" t="s">
        <v>17</v>
      </c>
      <c r="F1002">
        <v>5250</v>
      </c>
      <c r="J1002">
        <v>472.5</v>
      </c>
      <c r="K1002">
        <v>501.4</v>
      </c>
      <c r="L1002">
        <v>0</v>
      </c>
      <c r="M1002" t="s">
        <v>18</v>
      </c>
      <c r="N1002">
        <v>0</v>
      </c>
      <c r="O1002">
        <v>20</v>
      </c>
    </row>
    <row r="1003" spans="1:15" x14ac:dyDescent="0.2">
      <c r="A1003" s="6">
        <v>45842</v>
      </c>
      <c r="B1003" t="s">
        <v>15</v>
      </c>
      <c r="C1003" t="s">
        <v>16</v>
      </c>
      <c r="D1003" s="1">
        <v>45855</v>
      </c>
      <c r="E1003" t="s">
        <v>17</v>
      </c>
      <c r="F1003">
        <v>4200</v>
      </c>
      <c r="J1003">
        <v>1486.8</v>
      </c>
      <c r="K1003">
        <v>1520.5</v>
      </c>
      <c r="L1003">
        <v>0</v>
      </c>
      <c r="M1003" t="s">
        <v>18</v>
      </c>
      <c r="N1003">
        <v>0</v>
      </c>
      <c r="O1003">
        <v>0</v>
      </c>
    </row>
    <row r="1004" spans="1:15" x14ac:dyDescent="0.2">
      <c r="A1004" s="6">
        <v>45842</v>
      </c>
      <c r="B1004" t="s">
        <v>15</v>
      </c>
      <c r="C1004" t="s">
        <v>16</v>
      </c>
      <c r="D1004" s="1">
        <v>45855</v>
      </c>
      <c r="E1004" t="s">
        <v>19</v>
      </c>
      <c r="F1004">
        <v>4200</v>
      </c>
      <c r="J1004">
        <v>0.1</v>
      </c>
      <c r="K1004">
        <v>0.1</v>
      </c>
      <c r="L1004">
        <v>0</v>
      </c>
      <c r="M1004" t="s">
        <v>18</v>
      </c>
      <c r="N1004">
        <v>0</v>
      </c>
      <c r="O1004">
        <v>0</v>
      </c>
    </row>
    <row r="1005" spans="1:15" x14ac:dyDescent="0.2">
      <c r="A1005" s="6">
        <v>45842</v>
      </c>
      <c r="B1005" t="s">
        <v>15</v>
      </c>
      <c r="C1005" t="s">
        <v>16</v>
      </c>
      <c r="D1005" s="1">
        <v>45855</v>
      </c>
      <c r="E1005" t="s">
        <v>19</v>
      </c>
      <c r="F1005">
        <v>6650</v>
      </c>
      <c r="J1005">
        <v>962.1</v>
      </c>
      <c r="K1005">
        <v>937.3</v>
      </c>
      <c r="L1005">
        <v>0</v>
      </c>
      <c r="M1005" t="s">
        <v>18</v>
      </c>
      <c r="N1005">
        <v>0</v>
      </c>
      <c r="O1005">
        <v>21</v>
      </c>
    </row>
    <row r="1006" spans="1:15" x14ac:dyDescent="0.2">
      <c r="A1006" s="6">
        <v>45842</v>
      </c>
      <c r="B1006" t="s">
        <v>15</v>
      </c>
      <c r="C1006" t="s">
        <v>16</v>
      </c>
      <c r="D1006" s="1">
        <v>45855</v>
      </c>
      <c r="E1006" t="s">
        <v>17</v>
      </c>
      <c r="F1006">
        <v>5700</v>
      </c>
      <c r="G1006">
        <v>160</v>
      </c>
      <c r="H1006">
        <v>173.5</v>
      </c>
      <c r="I1006">
        <v>128</v>
      </c>
      <c r="J1006">
        <v>139.69999999999999</v>
      </c>
      <c r="K1006">
        <v>170.8</v>
      </c>
      <c r="L1006">
        <v>134948</v>
      </c>
      <c r="M1006" t="s">
        <v>523</v>
      </c>
      <c r="N1006">
        <v>789289.19</v>
      </c>
      <c r="O1006">
        <v>10289</v>
      </c>
    </row>
    <row r="1007" spans="1:15" x14ac:dyDescent="0.2">
      <c r="A1007" s="6">
        <v>45842</v>
      </c>
      <c r="B1007" t="s">
        <v>15</v>
      </c>
      <c r="C1007" t="s">
        <v>16</v>
      </c>
      <c r="D1007" s="1">
        <v>45855</v>
      </c>
      <c r="E1007" t="s">
        <v>19</v>
      </c>
      <c r="F1007">
        <v>4900</v>
      </c>
      <c r="G1007">
        <v>8.6</v>
      </c>
      <c r="H1007">
        <v>12</v>
      </c>
      <c r="I1007">
        <v>7.9</v>
      </c>
      <c r="J1007">
        <v>8.3000000000000007</v>
      </c>
      <c r="K1007">
        <v>9</v>
      </c>
      <c r="L1007">
        <v>1536</v>
      </c>
      <c r="M1007" t="s">
        <v>524</v>
      </c>
      <c r="N1007">
        <v>7541.89</v>
      </c>
      <c r="O1007">
        <v>1070</v>
      </c>
    </row>
    <row r="1008" spans="1:15" x14ac:dyDescent="0.2">
      <c r="A1008" s="6">
        <v>45842</v>
      </c>
      <c r="B1008" t="s">
        <v>15</v>
      </c>
      <c r="C1008" t="s">
        <v>16</v>
      </c>
      <c r="D1008" s="1">
        <v>45855</v>
      </c>
      <c r="E1008" t="s">
        <v>17</v>
      </c>
      <c r="F1008">
        <v>5300</v>
      </c>
      <c r="G1008">
        <v>452.3</v>
      </c>
      <c r="H1008">
        <v>457.9</v>
      </c>
      <c r="I1008">
        <v>399.3</v>
      </c>
      <c r="J1008">
        <v>416.3</v>
      </c>
      <c r="K1008">
        <v>452.3</v>
      </c>
      <c r="L1008">
        <v>195</v>
      </c>
      <c r="M1008" t="s">
        <v>525</v>
      </c>
      <c r="N1008">
        <v>1114.76</v>
      </c>
      <c r="O1008">
        <v>78</v>
      </c>
    </row>
    <row r="1009" spans="1:15" x14ac:dyDescent="0.2">
      <c r="A1009" s="6">
        <v>45842</v>
      </c>
      <c r="B1009" t="s">
        <v>15</v>
      </c>
      <c r="C1009" t="s">
        <v>16</v>
      </c>
      <c r="D1009" s="1">
        <v>45855</v>
      </c>
      <c r="E1009" t="s">
        <v>17</v>
      </c>
      <c r="F1009">
        <v>4950</v>
      </c>
      <c r="J1009">
        <v>744.6</v>
      </c>
      <c r="K1009">
        <v>779.6</v>
      </c>
      <c r="L1009">
        <v>0</v>
      </c>
      <c r="M1009" t="s">
        <v>18</v>
      </c>
      <c r="N1009">
        <v>0</v>
      </c>
      <c r="O1009">
        <v>0</v>
      </c>
    </row>
    <row r="1010" spans="1:15" x14ac:dyDescent="0.2">
      <c r="A1010" s="6">
        <v>45842</v>
      </c>
      <c r="B1010" t="s">
        <v>15</v>
      </c>
      <c r="C1010" t="s">
        <v>16</v>
      </c>
      <c r="D1010" s="1">
        <v>45855</v>
      </c>
      <c r="E1010" t="s">
        <v>19</v>
      </c>
      <c r="F1010">
        <v>3600</v>
      </c>
      <c r="J1010">
        <v>0.1</v>
      </c>
      <c r="K1010">
        <v>0.1</v>
      </c>
      <c r="L1010">
        <v>0</v>
      </c>
      <c r="M1010" t="s">
        <v>18</v>
      </c>
      <c r="N1010">
        <v>0</v>
      </c>
      <c r="O1010">
        <v>0</v>
      </c>
    </row>
    <row r="1011" spans="1:15" x14ac:dyDescent="0.2">
      <c r="A1011" s="6">
        <v>45842</v>
      </c>
      <c r="B1011" t="s">
        <v>15</v>
      </c>
      <c r="C1011" t="s">
        <v>16</v>
      </c>
      <c r="D1011" s="1">
        <v>45855</v>
      </c>
      <c r="E1011" t="s">
        <v>19</v>
      </c>
      <c r="F1011">
        <v>7200</v>
      </c>
      <c r="J1011">
        <v>1507</v>
      </c>
      <c r="K1011">
        <v>1473.1</v>
      </c>
      <c r="L1011">
        <v>0</v>
      </c>
      <c r="M1011" t="s">
        <v>18</v>
      </c>
      <c r="N1011">
        <v>0</v>
      </c>
      <c r="O1011">
        <v>0</v>
      </c>
    </row>
    <row r="1012" spans="1:15" x14ac:dyDescent="0.2">
      <c r="A1012" s="6">
        <v>45842</v>
      </c>
      <c r="B1012" t="s">
        <v>15</v>
      </c>
      <c r="C1012" t="s">
        <v>16</v>
      </c>
      <c r="D1012" s="1">
        <v>45855</v>
      </c>
      <c r="E1012" t="s">
        <v>17</v>
      </c>
      <c r="F1012">
        <v>7300</v>
      </c>
      <c r="G1012">
        <v>13.6</v>
      </c>
      <c r="H1012">
        <v>14.2</v>
      </c>
      <c r="I1012">
        <v>9.8000000000000007</v>
      </c>
      <c r="J1012">
        <v>10.4</v>
      </c>
      <c r="K1012">
        <v>13.5</v>
      </c>
      <c r="L1012">
        <v>544</v>
      </c>
      <c r="M1012" t="s">
        <v>526</v>
      </c>
      <c r="N1012">
        <v>3977.4</v>
      </c>
      <c r="O1012">
        <v>849</v>
      </c>
    </row>
    <row r="1013" spans="1:15" x14ac:dyDescent="0.2">
      <c r="A1013" s="6">
        <v>45842</v>
      </c>
      <c r="B1013" t="s">
        <v>15</v>
      </c>
      <c r="C1013" t="s">
        <v>16</v>
      </c>
      <c r="D1013" s="1">
        <v>45855</v>
      </c>
      <c r="E1013" t="s">
        <v>19</v>
      </c>
      <c r="F1013">
        <v>5250</v>
      </c>
      <c r="G1013">
        <v>25</v>
      </c>
      <c r="H1013">
        <v>32.1</v>
      </c>
      <c r="I1013">
        <v>21.9</v>
      </c>
      <c r="J1013">
        <v>23.5</v>
      </c>
      <c r="K1013">
        <v>24.2</v>
      </c>
      <c r="L1013">
        <v>2446</v>
      </c>
      <c r="M1013" t="s">
        <v>527</v>
      </c>
      <c r="N1013">
        <v>12909.89</v>
      </c>
      <c r="O1013">
        <v>767</v>
      </c>
    </row>
    <row r="1014" spans="1:15" x14ac:dyDescent="0.2">
      <c r="A1014" s="6">
        <v>45842</v>
      </c>
      <c r="B1014" t="s">
        <v>15</v>
      </c>
      <c r="C1014" t="s">
        <v>16</v>
      </c>
      <c r="D1014" s="1">
        <v>45855</v>
      </c>
      <c r="E1014" t="s">
        <v>17</v>
      </c>
      <c r="F1014">
        <v>4800</v>
      </c>
      <c r="J1014">
        <v>890.2</v>
      </c>
      <c r="K1014">
        <v>924.6</v>
      </c>
      <c r="L1014">
        <v>0</v>
      </c>
      <c r="M1014" t="s">
        <v>18</v>
      </c>
      <c r="N1014">
        <v>0</v>
      </c>
      <c r="O1014">
        <v>0</v>
      </c>
    </row>
    <row r="1015" spans="1:15" x14ac:dyDescent="0.2">
      <c r="A1015" s="6">
        <v>45842</v>
      </c>
      <c r="B1015" t="s">
        <v>15</v>
      </c>
      <c r="C1015" t="s">
        <v>16</v>
      </c>
      <c r="D1015" s="1">
        <v>45855</v>
      </c>
      <c r="E1015" t="s">
        <v>17</v>
      </c>
      <c r="F1015">
        <v>4450</v>
      </c>
      <c r="J1015">
        <v>1237.4000000000001</v>
      </c>
      <c r="K1015">
        <v>1271.2</v>
      </c>
      <c r="L1015">
        <v>0</v>
      </c>
      <c r="M1015" t="s">
        <v>18</v>
      </c>
      <c r="N1015">
        <v>0</v>
      </c>
      <c r="O1015">
        <v>0</v>
      </c>
    </row>
    <row r="1016" spans="1:15" x14ac:dyDescent="0.2">
      <c r="A1016" s="6">
        <v>45842</v>
      </c>
      <c r="B1016" t="s">
        <v>15</v>
      </c>
      <c r="C1016" t="s">
        <v>16</v>
      </c>
      <c r="D1016" s="1">
        <v>45855</v>
      </c>
      <c r="E1016" t="s">
        <v>17</v>
      </c>
      <c r="F1016">
        <v>5950</v>
      </c>
      <c r="G1016">
        <v>73</v>
      </c>
      <c r="H1016">
        <v>78.400000000000006</v>
      </c>
      <c r="I1016">
        <v>48</v>
      </c>
      <c r="J1016">
        <v>58.1</v>
      </c>
      <c r="K1016">
        <v>79.099999999999994</v>
      </c>
      <c r="L1016">
        <v>15404</v>
      </c>
      <c r="M1016" t="s">
        <v>528</v>
      </c>
      <c r="N1016">
        <v>92650.94</v>
      </c>
      <c r="O1016">
        <v>1942</v>
      </c>
    </row>
    <row r="1017" spans="1:15" x14ac:dyDescent="0.2">
      <c r="A1017" s="6">
        <v>45842</v>
      </c>
      <c r="B1017" t="s">
        <v>15</v>
      </c>
      <c r="C1017" t="s">
        <v>16</v>
      </c>
      <c r="D1017" s="1">
        <v>45855</v>
      </c>
      <c r="E1017" t="s">
        <v>19</v>
      </c>
      <c r="F1017">
        <v>3900</v>
      </c>
      <c r="J1017">
        <v>0.1</v>
      </c>
      <c r="K1017">
        <v>0.1</v>
      </c>
      <c r="L1017">
        <v>0</v>
      </c>
      <c r="M1017" t="s">
        <v>18</v>
      </c>
      <c r="N1017">
        <v>0</v>
      </c>
      <c r="O1017">
        <v>0</v>
      </c>
    </row>
    <row r="1018" spans="1:15" x14ac:dyDescent="0.2">
      <c r="A1018" s="6">
        <v>45842</v>
      </c>
      <c r="B1018" t="s">
        <v>15</v>
      </c>
      <c r="C1018" t="s">
        <v>16</v>
      </c>
      <c r="D1018" s="1">
        <v>45855</v>
      </c>
      <c r="E1018" t="s">
        <v>19</v>
      </c>
      <c r="F1018">
        <v>6550</v>
      </c>
      <c r="J1018">
        <v>864.9</v>
      </c>
      <c r="K1018">
        <v>856</v>
      </c>
      <c r="L1018">
        <v>0</v>
      </c>
      <c r="M1018" t="s">
        <v>18</v>
      </c>
      <c r="N1018">
        <v>0</v>
      </c>
      <c r="O1018">
        <v>56</v>
      </c>
    </row>
    <row r="1019" spans="1:15" x14ac:dyDescent="0.2">
      <c r="A1019" s="6">
        <v>45842</v>
      </c>
      <c r="B1019" t="s">
        <v>15</v>
      </c>
      <c r="C1019" t="s">
        <v>16</v>
      </c>
      <c r="D1019" s="1">
        <v>45855</v>
      </c>
      <c r="E1019" t="s">
        <v>17</v>
      </c>
      <c r="F1019">
        <v>4900</v>
      </c>
      <c r="J1019">
        <v>792.7</v>
      </c>
      <c r="K1019">
        <v>827.5</v>
      </c>
      <c r="L1019">
        <v>0</v>
      </c>
      <c r="M1019" t="s">
        <v>18</v>
      </c>
      <c r="N1019">
        <v>0</v>
      </c>
      <c r="O1019">
        <v>0</v>
      </c>
    </row>
    <row r="1020" spans="1:15" x14ac:dyDescent="0.2">
      <c r="A1020" s="6">
        <v>45842</v>
      </c>
      <c r="B1020" t="s">
        <v>15</v>
      </c>
      <c r="C1020" t="s">
        <v>16</v>
      </c>
      <c r="D1020" s="1">
        <v>45855</v>
      </c>
      <c r="E1020" t="s">
        <v>17</v>
      </c>
      <c r="F1020">
        <v>5200</v>
      </c>
      <c r="G1020">
        <v>525.6</v>
      </c>
      <c r="H1020">
        <v>525.6</v>
      </c>
      <c r="I1020">
        <v>484.5</v>
      </c>
      <c r="J1020">
        <v>506</v>
      </c>
      <c r="K1020">
        <v>537.6</v>
      </c>
      <c r="L1020">
        <v>26</v>
      </c>
      <c r="M1020" t="s">
        <v>59</v>
      </c>
      <c r="N1020">
        <v>148.31</v>
      </c>
      <c r="O1020">
        <v>90</v>
      </c>
    </row>
    <row r="1021" spans="1:15" x14ac:dyDescent="0.2">
      <c r="A1021" s="6">
        <v>45842</v>
      </c>
      <c r="B1021" t="s">
        <v>15</v>
      </c>
      <c r="C1021" t="s">
        <v>16</v>
      </c>
      <c r="D1021" s="1">
        <v>45855</v>
      </c>
      <c r="E1021" t="s">
        <v>17</v>
      </c>
      <c r="F1021">
        <v>6200</v>
      </c>
      <c r="G1021">
        <v>38</v>
      </c>
      <c r="H1021">
        <v>38.700000000000003</v>
      </c>
      <c r="I1021">
        <v>24.7</v>
      </c>
      <c r="J1021">
        <v>28.7</v>
      </c>
      <c r="K1021">
        <v>40.299999999999997</v>
      </c>
      <c r="L1021">
        <v>11657</v>
      </c>
      <c r="M1021" t="s">
        <v>529</v>
      </c>
      <c r="N1021">
        <v>72657.210000000006</v>
      </c>
      <c r="O1021">
        <v>3871</v>
      </c>
    </row>
    <row r="1022" spans="1:15" x14ac:dyDescent="0.2">
      <c r="A1022" s="6">
        <v>45842</v>
      </c>
      <c r="B1022" t="s">
        <v>15</v>
      </c>
      <c r="C1022" t="s">
        <v>16</v>
      </c>
      <c r="D1022" s="1">
        <v>45855</v>
      </c>
      <c r="E1022" t="s">
        <v>19</v>
      </c>
      <c r="F1022">
        <v>6150</v>
      </c>
      <c r="G1022">
        <v>476.4</v>
      </c>
      <c r="H1022">
        <v>503.4</v>
      </c>
      <c r="I1022">
        <v>476.4</v>
      </c>
      <c r="J1022">
        <v>490.8</v>
      </c>
      <c r="K1022">
        <v>459.4</v>
      </c>
      <c r="L1022">
        <v>4</v>
      </c>
      <c r="M1022" t="s">
        <v>78</v>
      </c>
      <c r="N1022">
        <v>26.56</v>
      </c>
      <c r="O1022">
        <v>115</v>
      </c>
    </row>
    <row r="1023" spans="1:15" x14ac:dyDescent="0.2">
      <c r="A1023" s="6">
        <v>45842</v>
      </c>
      <c r="B1023" t="s">
        <v>15</v>
      </c>
      <c r="C1023" t="s">
        <v>16</v>
      </c>
      <c r="D1023" s="1">
        <v>45855</v>
      </c>
      <c r="E1023" t="s">
        <v>19</v>
      </c>
      <c r="F1023">
        <v>6950</v>
      </c>
      <c r="J1023">
        <v>1258.0999999999999</v>
      </c>
      <c r="K1023">
        <v>1225</v>
      </c>
      <c r="L1023">
        <v>0</v>
      </c>
      <c r="M1023" t="s">
        <v>18</v>
      </c>
      <c r="N1023">
        <v>0</v>
      </c>
      <c r="O1023">
        <v>15</v>
      </c>
    </row>
    <row r="1024" spans="1:15" x14ac:dyDescent="0.2">
      <c r="A1024" s="6">
        <v>45842</v>
      </c>
      <c r="B1024" t="s">
        <v>15</v>
      </c>
      <c r="C1024" t="s">
        <v>16</v>
      </c>
      <c r="D1024" s="1">
        <v>45855</v>
      </c>
      <c r="E1024" t="s">
        <v>17</v>
      </c>
      <c r="F1024">
        <v>4400</v>
      </c>
      <c r="J1024">
        <v>1287.3</v>
      </c>
      <c r="K1024">
        <v>1321.1</v>
      </c>
      <c r="L1024">
        <v>0</v>
      </c>
      <c r="M1024" t="s">
        <v>18</v>
      </c>
      <c r="N1024">
        <v>0</v>
      </c>
      <c r="O1024">
        <v>0</v>
      </c>
    </row>
    <row r="1025" spans="1:15" x14ac:dyDescent="0.2">
      <c r="A1025" s="6">
        <v>45842</v>
      </c>
      <c r="B1025" t="s">
        <v>15</v>
      </c>
      <c r="C1025" t="s">
        <v>16</v>
      </c>
      <c r="D1025" s="1">
        <v>45855</v>
      </c>
      <c r="E1025" t="s">
        <v>17</v>
      </c>
      <c r="F1025">
        <v>4100</v>
      </c>
      <c r="J1025">
        <v>1586.6</v>
      </c>
      <c r="K1025">
        <v>1620.3</v>
      </c>
      <c r="L1025">
        <v>0</v>
      </c>
      <c r="M1025" t="s">
        <v>18</v>
      </c>
      <c r="N1025">
        <v>0</v>
      </c>
      <c r="O1025">
        <v>0</v>
      </c>
    </row>
    <row r="1026" spans="1:15" x14ac:dyDescent="0.2">
      <c r="A1026" s="6">
        <v>45842</v>
      </c>
      <c r="B1026" t="s">
        <v>15</v>
      </c>
      <c r="C1026" t="s">
        <v>16</v>
      </c>
      <c r="D1026" s="1">
        <v>45855</v>
      </c>
      <c r="E1026" t="s">
        <v>17</v>
      </c>
      <c r="F1026">
        <v>4750</v>
      </c>
      <c r="J1026">
        <v>939.4</v>
      </c>
      <c r="K1026">
        <v>973.7</v>
      </c>
      <c r="L1026">
        <v>0</v>
      </c>
      <c r="M1026" t="s">
        <v>18</v>
      </c>
      <c r="N1026">
        <v>0</v>
      </c>
      <c r="O1026">
        <v>0</v>
      </c>
    </row>
    <row r="1027" spans="1:15" x14ac:dyDescent="0.2">
      <c r="A1027" s="6">
        <v>45842</v>
      </c>
      <c r="B1027" t="s">
        <v>15</v>
      </c>
      <c r="C1027" t="s">
        <v>16</v>
      </c>
      <c r="D1027" s="1">
        <v>45855</v>
      </c>
      <c r="E1027" t="s">
        <v>17</v>
      </c>
      <c r="F1027">
        <v>5000</v>
      </c>
      <c r="J1027">
        <v>697</v>
      </c>
      <c r="K1027">
        <v>750.5</v>
      </c>
      <c r="L1027">
        <v>0</v>
      </c>
      <c r="M1027" t="s">
        <v>18</v>
      </c>
      <c r="N1027">
        <v>0</v>
      </c>
      <c r="O1027">
        <v>17</v>
      </c>
    </row>
    <row r="1028" spans="1:15" x14ac:dyDescent="0.2">
      <c r="A1028" s="6">
        <v>45842</v>
      </c>
      <c r="B1028" t="s">
        <v>15</v>
      </c>
      <c r="C1028" t="s">
        <v>16</v>
      </c>
      <c r="D1028" s="1">
        <v>45855</v>
      </c>
      <c r="E1028" t="s">
        <v>17</v>
      </c>
      <c r="F1028">
        <v>5150</v>
      </c>
      <c r="J1028">
        <v>559</v>
      </c>
      <c r="K1028">
        <v>594.79999999999995</v>
      </c>
      <c r="L1028">
        <v>0</v>
      </c>
      <c r="M1028" t="s">
        <v>18</v>
      </c>
      <c r="N1028">
        <v>0</v>
      </c>
      <c r="O1028">
        <v>3</v>
      </c>
    </row>
    <row r="1029" spans="1:15" x14ac:dyDescent="0.2">
      <c r="A1029" s="6">
        <v>45842</v>
      </c>
      <c r="B1029" t="s">
        <v>15</v>
      </c>
      <c r="C1029" t="s">
        <v>16</v>
      </c>
      <c r="D1029" s="1">
        <v>45855</v>
      </c>
      <c r="E1029" t="s">
        <v>17</v>
      </c>
      <c r="F1029">
        <v>4350</v>
      </c>
      <c r="J1029">
        <v>1337.2</v>
      </c>
      <c r="K1029">
        <v>1370.9</v>
      </c>
      <c r="L1029">
        <v>0</v>
      </c>
      <c r="M1029" t="s">
        <v>18</v>
      </c>
      <c r="N1029">
        <v>0</v>
      </c>
      <c r="O1029">
        <v>0</v>
      </c>
    </row>
    <row r="1030" spans="1:15" x14ac:dyDescent="0.2">
      <c r="A1030" s="6">
        <v>45842</v>
      </c>
      <c r="B1030" t="s">
        <v>15</v>
      </c>
      <c r="C1030" t="s">
        <v>16</v>
      </c>
      <c r="D1030" s="1">
        <v>45855</v>
      </c>
      <c r="E1030" t="s">
        <v>17</v>
      </c>
      <c r="F1030">
        <v>3700</v>
      </c>
      <c r="J1030">
        <v>1985.8</v>
      </c>
      <c r="K1030">
        <v>2019.4</v>
      </c>
      <c r="L1030">
        <v>0</v>
      </c>
      <c r="M1030" t="s">
        <v>18</v>
      </c>
      <c r="N1030">
        <v>0</v>
      </c>
      <c r="O1030">
        <v>0</v>
      </c>
    </row>
    <row r="1031" spans="1:15" x14ac:dyDescent="0.2">
      <c r="A1031" s="6">
        <v>45842</v>
      </c>
      <c r="B1031" t="s">
        <v>15</v>
      </c>
      <c r="C1031" t="s">
        <v>16</v>
      </c>
      <c r="D1031" s="1">
        <v>45855</v>
      </c>
      <c r="E1031" t="s">
        <v>17</v>
      </c>
      <c r="F1031">
        <v>4500</v>
      </c>
      <c r="J1031">
        <v>1187.5999999999999</v>
      </c>
      <c r="K1031">
        <v>1221.4000000000001</v>
      </c>
      <c r="L1031">
        <v>0</v>
      </c>
      <c r="M1031" t="s">
        <v>18</v>
      </c>
      <c r="N1031">
        <v>0</v>
      </c>
      <c r="O1031">
        <v>0</v>
      </c>
    </row>
    <row r="1032" spans="1:15" x14ac:dyDescent="0.2">
      <c r="A1032" s="6">
        <v>45842</v>
      </c>
      <c r="B1032" t="s">
        <v>15</v>
      </c>
      <c r="C1032" t="s">
        <v>16</v>
      </c>
      <c r="D1032" s="1">
        <v>45855</v>
      </c>
      <c r="E1032" t="s">
        <v>17</v>
      </c>
      <c r="F1032">
        <v>7450</v>
      </c>
      <c r="G1032">
        <v>12.5</v>
      </c>
      <c r="H1032">
        <v>13</v>
      </c>
      <c r="I1032">
        <v>10</v>
      </c>
      <c r="J1032">
        <v>10.7</v>
      </c>
      <c r="K1032">
        <v>14.7</v>
      </c>
      <c r="L1032">
        <v>16</v>
      </c>
      <c r="M1032" t="s">
        <v>259</v>
      </c>
      <c r="N1032">
        <v>119.38</v>
      </c>
      <c r="O1032">
        <v>88</v>
      </c>
    </row>
    <row r="1033" spans="1:15" x14ac:dyDescent="0.2">
      <c r="A1033" s="6">
        <v>45842</v>
      </c>
      <c r="B1033" t="s">
        <v>15</v>
      </c>
      <c r="C1033" t="s">
        <v>16</v>
      </c>
      <c r="D1033" s="1">
        <v>45855</v>
      </c>
      <c r="E1033" t="s">
        <v>19</v>
      </c>
      <c r="F1033">
        <v>5200</v>
      </c>
      <c r="G1033">
        <v>19.399999999999999</v>
      </c>
      <c r="H1033">
        <v>25.4</v>
      </c>
      <c r="I1033">
        <v>16.600000000000001</v>
      </c>
      <c r="J1033">
        <v>18.7</v>
      </c>
      <c r="K1033">
        <v>19</v>
      </c>
      <c r="L1033">
        <v>16643</v>
      </c>
      <c r="M1033" t="s">
        <v>530</v>
      </c>
      <c r="N1033">
        <v>86908.66</v>
      </c>
      <c r="O1033">
        <v>4918</v>
      </c>
    </row>
    <row r="1034" spans="1:15" x14ac:dyDescent="0.2">
      <c r="A1034" s="6">
        <v>45842</v>
      </c>
      <c r="B1034" t="s">
        <v>15</v>
      </c>
      <c r="C1034" t="s">
        <v>16</v>
      </c>
      <c r="D1034" s="1">
        <v>45855</v>
      </c>
      <c r="E1034" t="s">
        <v>17</v>
      </c>
      <c r="F1034">
        <v>4850</v>
      </c>
      <c r="J1034">
        <v>841.3</v>
      </c>
      <c r="K1034">
        <v>875.9</v>
      </c>
      <c r="L1034">
        <v>0</v>
      </c>
      <c r="M1034" t="s">
        <v>18</v>
      </c>
      <c r="N1034">
        <v>0</v>
      </c>
      <c r="O1034">
        <v>0</v>
      </c>
    </row>
    <row r="1035" spans="1:15" x14ac:dyDescent="0.2">
      <c r="A1035" s="6">
        <v>45842</v>
      </c>
      <c r="B1035" t="s">
        <v>15</v>
      </c>
      <c r="C1035" t="s">
        <v>16</v>
      </c>
      <c r="D1035" s="1">
        <v>45855</v>
      </c>
      <c r="E1035" t="s">
        <v>17</v>
      </c>
      <c r="F1035">
        <v>5750</v>
      </c>
      <c r="G1035">
        <v>139.19999999999999</v>
      </c>
      <c r="H1035">
        <v>148.9</v>
      </c>
      <c r="I1035">
        <v>108</v>
      </c>
      <c r="J1035">
        <v>117.2</v>
      </c>
      <c r="K1035">
        <v>147.5</v>
      </c>
      <c r="L1035">
        <v>52289</v>
      </c>
      <c r="M1035" t="s">
        <v>531</v>
      </c>
      <c r="N1035">
        <v>307341.15999999997</v>
      </c>
      <c r="O1035">
        <v>3301</v>
      </c>
    </row>
    <row r="1036" spans="1:15" x14ac:dyDescent="0.2">
      <c r="A1036" s="6">
        <v>45842</v>
      </c>
      <c r="B1036" t="s">
        <v>15</v>
      </c>
      <c r="C1036" t="s">
        <v>16</v>
      </c>
      <c r="D1036" s="1">
        <v>45855</v>
      </c>
      <c r="E1036" t="s">
        <v>19</v>
      </c>
      <c r="F1036">
        <v>6800</v>
      </c>
      <c r="G1036">
        <v>1100.5</v>
      </c>
      <c r="H1036">
        <v>1100.5</v>
      </c>
      <c r="I1036">
        <v>1100.5</v>
      </c>
      <c r="J1036">
        <v>1100.5</v>
      </c>
      <c r="K1036">
        <v>1073.7</v>
      </c>
      <c r="L1036">
        <v>1</v>
      </c>
      <c r="M1036" t="s">
        <v>155</v>
      </c>
      <c r="N1036">
        <v>7.9</v>
      </c>
      <c r="O1036">
        <v>91</v>
      </c>
    </row>
    <row r="1037" spans="1:15" x14ac:dyDescent="0.2">
      <c r="A1037" s="6">
        <v>45842</v>
      </c>
      <c r="B1037" t="s">
        <v>15</v>
      </c>
      <c r="C1037" t="s">
        <v>16</v>
      </c>
      <c r="D1037" s="1">
        <v>45855</v>
      </c>
      <c r="E1037" t="s">
        <v>19</v>
      </c>
      <c r="F1037">
        <v>6200</v>
      </c>
      <c r="G1037">
        <v>510</v>
      </c>
      <c r="H1037">
        <v>568.29999999999995</v>
      </c>
      <c r="I1037">
        <v>505</v>
      </c>
      <c r="J1037">
        <v>529.6</v>
      </c>
      <c r="K1037">
        <v>520.1</v>
      </c>
      <c r="L1037">
        <v>9</v>
      </c>
      <c r="M1037" t="s">
        <v>343</v>
      </c>
      <c r="N1037">
        <v>60.57</v>
      </c>
      <c r="O1037">
        <v>684</v>
      </c>
    </row>
    <row r="1038" spans="1:15" x14ac:dyDescent="0.2">
      <c r="A1038" s="6">
        <v>45842</v>
      </c>
      <c r="B1038" t="s">
        <v>15</v>
      </c>
      <c r="C1038" t="s">
        <v>16</v>
      </c>
      <c r="D1038" s="1">
        <v>45855</v>
      </c>
      <c r="E1038" t="s">
        <v>17</v>
      </c>
      <c r="F1038">
        <v>7250</v>
      </c>
      <c r="G1038">
        <v>14.2</v>
      </c>
      <c r="H1038">
        <v>15.7</v>
      </c>
      <c r="I1038">
        <v>11.8</v>
      </c>
      <c r="J1038">
        <v>13.2</v>
      </c>
      <c r="K1038">
        <v>18</v>
      </c>
      <c r="L1038">
        <v>31</v>
      </c>
      <c r="M1038" t="s">
        <v>532</v>
      </c>
      <c r="N1038">
        <v>225.17</v>
      </c>
      <c r="O1038">
        <v>136</v>
      </c>
    </row>
    <row r="1039" spans="1:15" x14ac:dyDescent="0.2">
      <c r="A1039" s="6">
        <v>45842</v>
      </c>
      <c r="B1039" t="s">
        <v>15</v>
      </c>
      <c r="C1039" t="s">
        <v>16</v>
      </c>
      <c r="D1039" s="1">
        <v>45855</v>
      </c>
      <c r="E1039" t="s">
        <v>17</v>
      </c>
      <c r="F1039">
        <v>3800</v>
      </c>
      <c r="J1039">
        <v>1886</v>
      </c>
      <c r="K1039">
        <v>1919.6</v>
      </c>
      <c r="L1039">
        <v>0</v>
      </c>
      <c r="M1039" t="s">
        <v>18</v>
      </c>
      <c r="N1039">
        <v>0</v>
      </c>
      <c r="O1039">
        <v>0</v>
      </c>
    </row>
    <row r="1040" spans="1:15" x14ac:dyDescent="0.2">
      <c r="A1040" s="6">
        <v>45842</v>
      </c>
      <c r="B1040" t="s">
        <v>15</v>
      </c>
      <c r="C1040" t="s">
        <v>16</v>
      </c>
      <c r="D1040" s="1">
        <v>45855</v>
      </c>
      <c r="E1040" t="s">
        <v>19</v>
      </c>
      <c r="F1040">
        <v>5900</v>
      </c>
      <c r="G1040">
        <v>270.3</v>
      </c>
      <c r="H1040">
        <v>311</v>
      </c>
      <c r="I1040">
        <v>257.39999999999998</v>
      </c>
      <c r="J1040">
        <v>275.60000000000002</v>
      </c>
      <c r="K1040">
        <v>266.60000000000002</v>
      </c>
      <c r="L1040">
        <v>4085</v>
      </c>
      <c r="M1040" t="s">
        <v>533</v>
      </c>
      <c r="N1040">
        <v>25274.36</v>
      </c>
      <c r="O1040">
        <v>658</v>
      </c>
    </row>
    <row r="1041" spans="1:15" x14ac:dyDescent="0.2">
      <c r="A1041" s="6">
        <v>45842</v>
      </c>
      <c r="B1041" t="s">
        <v>15</v>
      </c>
      <c r="C1041" t="s">
        <v>16</v>
      </c>
      <c r="D1041" s="1">
        <v>45855</v>
      </c>
      <c r="E1041" t="s">
        <v>19</v>
      </c>
      <c r="F1041">
        <v>7600</v>
      </c>
      <c r="J1041">
        <v>1905.9</v>
      </c>
      <c r="K1041">
        <v>1871.7</v>
      </c>
      <c r="L1041">
        <v>0</v>
      </c>
      <c r="M1041" t="s">
        <v>18</v>
      </c>
      <c r="N1041">
        <v>0</v>
      </c>
      <c r="O1041">
        <v>0</v>
      </c>
    </row>
    <row r="1042" spans="1:15" x14ac:dyDescent="0.2">
      <c r="A1042" s="6">
        <v>45842</v>
      </c>
      <c r="B1042" t="s">
        <v>15</v>
      </c>
      <c r="C1042" t="s">
        <v>16</v>
      </c>
      <c r="D1042" s="1">
        <v>45855</v>
      </c>
      <c r="E1042" t="s">
        <v>19</v>
      </c>
      <c r="F1042">
        <v>4600</v>
      </c>
      <c r="G1042">
        <v>6.5</v>
      </c>
      <c r="H1042">
        <v>10</v>
      </c>
      <c r="I1042">
        <v>5.8</v>
      </c>
      <c r="J1042">
        <v>8.1</v>
      </c>
      <c r="K1042">
        <v>7.9</v>
      </c>
      <c r="L1042">
        <v>263</v>
      </c>
      <c r="M1042" t="s">
        <v>534</v>
      </c>
      <c r="N1042">
        <v>1211.8</v>
      </c>
      <c r="O1042">
        <v>88</v>
      </c>
    </row>
    <row r="1043" spans="1:15" x14ac:dyDescent="0.2">
      <c r="A1043" s="6">
        <v>45842</v>
      </c>
      <c r="B1043" t="s">
        <v>15</v>
      </c>
      <c r="C1043" t="s">
        <v>16</v>
      </c>
      <c r="D1043" s="1">
        <v>45855</v>
      </c>
      <c r="E1043" t="s">
        <v>19</v>
      </c>
      <c r="F1043">
        <v>4250</v>
      </c>
      <c r="J1043">
        <v>0.1</v>
      </c>
      <c r="K1043">
        <v>0.1</v>
      </c>
      <c r="L1043">
        <v>0</v>
      </c>
      <c r="M1043" t="s">
        <v>18</v>
      </c>
      <c r="N1043">
        <v>0</v>
      </c>
      <c r="O1043">
        <v>0</v>
      </c>
    </row>
    <row r="1044" spans="1:15" x14ac:dyDescent="0.2">
      <c r="A1044" s="6">
        <v>45842</v>
      </c>
      <c r="B1044" t="s">
        <v>15</v>
      </c>
      <c r="C1044" t="s">
        <v>16</v>
      </c>
      <c r="D1044" s="1">
        <v>45855</v>
      </c>
      <c r="E1044" t="s">
        <v>17</v>
      </c>
      <c r="F1044">
        <v>5600</v>
      </c>
      <c r="G1044">
        <v>211.1</v>
      </c>
      <c r="H1044">
        <v>230</v>
      </c>
      <c r="I1044">
        <v>179</v>
      </c>
      <c r="J1044">
        <v>192.1</v>
      </c>
      <c r="K1044">
        <v>224.9</v>
      </c>
      <c r="L1044">
        <v>51841</v>
      </c>
      <c r="M1044" t="s">
        <v>535</v>
      </c>
      <c r="N1044">
        <v>300675.05</v>
      </c>
      <c r="O1044">
        <v>5195</v>
      </c>
    </row>
    <row r="1045" spans="1:15" x14ac:dyDescent="0.2">
      <c r="A1045" s="6">
        <v>45842</v>
      </c>
      <c r="B1045" t="s">
        <v>15</v>
      </c>
      <c r="C1045" t="s">
        <v>16</v>
      </c>
      <c r="D1045" s="1">
        <v>45855</v>
      </c>
      <c r="E1045" t="s">
        <v>17</v>
      </c>
      <c r="F1045">
        <v>6750</v>
      </c>
      <c r="G1045">
        <v>19.399999999999999</v>
      </c>
      <c r="H1045">
        <v>19.399999999999999</v>
      </c>
      <c r="I1045">
        <v>12.6</v>
      </c>
      <c r="J1045">
        <v>15.4</v>
      </c>
      <c r="K1045">
        <v>20.399999999999999</v>
      </c>
      <c r="L1045">
        <v>228</v>
      </c>
      <c r="M1045" t="s">
        <v>381</v>
      </c>
      <c r="N1045">
        <v>1542.79</v>
      </c>
      <c r="O1045">
        <v>222</v>
      </c>
    </row>
    <row r="1046" spans="1:15" x14ac:dyDescent="0.2">
      <c r="A1046" s="6">
        <v>45842</v>
      </c>
      <c r="B1046" t="s">
        <v>15</v>
      </c>
      <c r="C1046" t="s">
        <v>16</v>
      </c>
      <c r="D1046" s="1">
        <v>45855</v>
      </c>
      <c r="E1046" t="s">
        <v>19</v>
      </c>
      <c r="F1046">
        <v>4950</v>
      </c>
      <c r="G1046">
        <v>9.5</v>
      </c>
      <c r="H1046">
        <v>14</v>
      </c>
      <c r="I1046">
        <v>9.5</v>
      </c>
      <c r="J1046">
        <v>10.5</v>
      </c>
      <c r="K1046">
        <v>10.9</v>
      </c>
      <c r="L1046">
        <v>376</v>
      </c>
      <c r="M1046" t="s">
        <v>536</v>
      </c>
      <c r="N1046">
        <v>1865.72</v>
      </c>
      <c r="O1046">
        <v>203</v>
      </c>
    </row>
    <row r="1047" spans="1:15" x14ac:dyDescent="0.2">
      <c r="A1047" s="6">
        <v>45842</v>
      </c>
      <c r="B1047" t="s">
        <v>15</v>
      </c>
      <c r="C1047" t="s">
        <v>16</v>
      </c>
      <c r="D1047" s="1">
        <v>45855</v>
      </c>
      <c r="E1047" t="s">
        <v>17</v>
      </c>
      <c r="F1047">
        <v>3850</v>
      </c>
      <c r="J1047">
        <v>1836.1</v>
      </c>
      <c r="K1047">
        <v>1869.7</v>
      </c>
      <c r="L1047">
        <v>0</v>
      </c>
      <c r="M1047" t="s">
        <v>18</v>
      </c>
      <c r="N1047">
        <v>0</v>
      </c>
      <c r="O1047">
        <v>0</v>
      </c>
    </row>
    <row r="1048" spans="1:15" x14ac:dyDescent="0.2">
      <c r="A1048" s="6">
        <v>45842</v>
      </c>
      <c r="B1048" t="s">
        <v>15</v>
      </c>
      <c r="C1048" t="s">
        <v>16</v>
      </c>
      <c r="D1048" s="1">
        <v>45855</v>
      </c>
      <c r="E1048" t="s">
        <v>19</v>
      </c>
      <c r="F1048">
        <v>5050</v>
      </c>
      <c r="G1048">
        <v>13.3</v>
      </c>
      <c r="H1048">
        <v>16.399999999999999</v>
      </c>
      <c r="I1048">
        <v>11.8</v>
      </c>
      <c r="J1048">
        <v>12.4</v>
      </c>
      <c r="K1048">
        <v>13.3</v>
      </c>
      <c r="L1048">
        <v>416</v>
      </c>
      <c r="M1048" t="s">
        <v>537</v>
      </c>
      <c r="N1048">
        <v>2106.67</v>
      </c>
      <c r="O1048">
        <v>402</v>
      </c>
    </row>
    <row r="1049" spans="1:15" x14ac:dyDescent="0.2">
      <c r="A1049" s="6">
        <v>45842</v>
      </c>
      <c r="B1049" t="s">
        <v>15</v>
      </c>
      <c r="C1049" t="s">
        <v>16</v>
      </c>
      <c r="D1049" s="1">
        <v>45855</v>
      </c>
      <c r="E1049" t="s">
        <v>17</v>
      </c>
      <c r="F1049">
        <v>7650</v>
      </c>
      <c r="G1049">
        <v>9.6999999999999993</v>
      </c>
      <c r="H1049">
        <v>11</v>
      </c>
      <c r="I1049">
        <v>8.1</v>
      </c>
      <c r="J1049">
        <v>8.9</v>
      </c>
      <c r="K1049">
        <v>10.199999999999999</v>
      </c>
      <c r="L1049">
        <v>142</v>
      </c>
      <c r="M1049" t="s">
        <v>538</v>
      </c>
      <c r="N1049">
        <v>1087.6400000000001</v>
      </c>
      <c r="O1049">
        <v>233</v>
      </c>
    </row>
    <row r="1050" spans="1:15" x14ac:dyDescent="0.2">
      <c r="A1050" s="6">
        <v>45842</v>
      </c>
      <c r="B1050" t="s">
        <v>15</v>
      </c>
      <c r="C1050" t="s">
        <v>16</v>
      </c>
      <c r="D1050" s="1">
        <v>45855</v>
      </c>
      <c r="E1050" t="s">
        <v>19</v>
      </c>
      <c r="F1050">
        <v>4450</v>
      </c>
      <c r="J1050">
        <v>0.1</v>
      </c>
      <c r="K1050">
        <v>0.2</v>
      </c>
      <c r="L1050">
        <v>0</v>
      </c>
      <c r="M1050" t="s">
        <v>18</v>
      </c>
      <c r="N1050">
        <v>0</v>
      </c>
      <c r="O1050">
        <v>1</v>
      </c>
    </row>
    <row r="1051" spans="1:15" x14ac:dyDescent="0.2">
      <c r="A1051" s="6">
        <v>45842</v>
      </c>
      <c r="B1051" t="s">
        <v>15</v>
      </c>
      <c r="C1051" t="s">
        <v>16</v>
      </c>
      <c r="D1051" s="1">
        <v>45855</v>
      </c>
      <c r="E1051" t="s">
        <v>19</v>
      </c>
      <c r="F1051">
        <v>3700</v>
      </c>
      <c r="G1051">
        <v>4</v>
      </c>
      <c r="H1051">
        <v>4</v>
      </c>
      <c r="I1051">
        <v>2.2999999999999998</v>
      </c>
      <c r="J1051">
        <v>2.9</v>
      </c>
      <c r="K1051">
        <v>2.8</v>
      </c>
      <c r="L1051">
        <v>60</v>
      </c>
      <c r="M1051" t="s">
        <v>539</v>
      </c>
      <c r="N1051">
        <v>222.18</v>
      </c>
      <c r="O1051">
        <v>56</v>
      </c>
    </row>
    <row r="1052" spans="1:15" x14ac:dyDescent="0.2">
      <c r="A1052" s="6">
        <v>45842</v>
      </c>
      <c r="B1052" t="s">
        <v>15</v>
      </c>
      <c r="C1052" t="s">
        <v>16</v>
      </c>
      <c r="D1052" s="1">
        <v>45855</v>
      </c>
      <c r="E1052" t="s">
        <v>19</v>
      </c>
      <c r="F1052">
        <v>5700</v>
      </c>
      <c r="G1052">
        <v>150</v>
      </c>
      <c r="H1052">
        <v>178.6</v>
      </c>
      <c r="I1052">
        <v>136.1</v>
      </c>
      <c r="J1052">
        <v>151.4</v>
      </c>
      <c r="K1052">
        <v>146.30000000000001</v>
      </c>
      <c r="L1052">
        <v>120101</v>
      </c>
      <c r="M1052" t="s">
        <v>540</v>
      </c>
      <c r="N1052">
        <v>704173.18</v>
      </c>
      <c r="O1052">
        <v>6145</v>
      </c>
    </row>
    <row r="1053" spans="1:15" x14ac:dyDescent="0.2">
      <c r="A1053" s="6">
        <v>45842</v>
      </c>
      <c r="B1053" t="s">
        <v>15</v>
      </c>
      <c r="C1053" t="s">
        <v>16</v>
      </c>
      <c r="D1053" s="1">
        <v>45855</v>
      </c>
      <c r="E1053" t="s">
        <v>17</v>
      </c>
      <c r="F1053">
        <v>6550</v>
      </c>
      <c r="G1053">
        <v>24.3</v>
      </c>
      <c r="H1053">
        <v>24.4</v>
      </c>
      <c r="I1053">
        <v>16.899999999999999</v>
      </c>
      <c r="J1053">
        <v>18.3</v>
      </c>
      <c r="K1053">
        <v>25.1</v>
      </c>
      <c r="L1053">
        <v>1112</v>
      </c>
      <c r="M1053" t="s">
        <v>541</v>
      </c>
      <c r="N1053">
        <v>7306.31</v>
      </c>
      <c r="O1053">
        <v>1191</v>
      </c>
    </row>
    <row r="1054" spans="1:15" x14ac:dyDescent="0.2">
      <c r="A1054" s="6">
        <v>45842</v>
      </c>
      <c r="B1054" t="s">
        <v>15</v>
      </c>
      <c r="C1054" t="s">
        <v>16</v>
      </c>
      <c r="D1054" s="1">
        <v>45855</v>
      </c>
      <c r="E1054" t="s">
        <v>19</v>
      </c>
      <c r="F1054">
        <v>6400</v>
      </c>
      <c r="G1054">
        <v>696.2</v>
      </c>
      <c r="H1054">
        <v>760</v>
      </c>
      <c r="I1054">
        <v>696</v>
      </c>
      <c r="J1054">
        <v>735.5</v>
      </c>
      <c r="K1054">
        <v>709.5</v>
      </c>
      <c r="L1054">
        <v>13</v>
      </c>
      <c r="M1054" t="s">
        <v>121</v>
      </c>
      <c r="N1054">
        <v>92.76</v>
      </c>
      <c r="O1054">
        <v>797</v>
      </c>
    </row>
    <row r="1055" spans="1:15" x14ac:dyDescent="0.2">
      <c r="A1055" s="6">
        <v>45842</v>
      </c>
      <c r="B1055" t="s">
        <v>15</v>
      </c>
      <c r="C1055" t="s">
        <v>16</v>
      </c>
      <c r="D1055" s="1">
        <v>45855</v>
      </c>
      <c r="E1055" t="s">
        <v>19</v>
      </c>
      <c r="F1055">
        <v>5400</v>
      </c>
      <c r="G1055">
        <v>46.1</v>
      </c>
      <c r="H1055">
        <v>58.1</v>
      </c>
      <c r="I1055">
        <v>38.9</v>
      </c>
      <c r="J1055">
        <v>44.9</v>
      </c>
      <c r="K1055">
        <v>44.9</v>
      </c>
      <c r="L1055">
        <v>31379</v>
      </c>
      <c r="M1055" t="s">
        <v>542</v>
      </c>
      <c r="N1055">
        <v>171050.28</v>
      </c>
      <c r="O1055">
        <v>3920</v>
      </c>
    </row>
    <row r="1056" spans="1:15" x14ac:dyDescent="0.2">
      <c r="A1056" s="6">
        <v>45842</v>
      </c>
      <c r="B1056" t="s">
        <v>15</v>
      </c>
      <c r="C1056" t="s">
        <v>16</v>
      </c>
      <c r="D1056" s="1">
        <v>45855</v>
      </c>
      <c r="E1056" t="s">
        <v>19</v>
      </c>
      <c r="F1056">
        <v>5300</v>
      </c>
      <c r="G1056">
        <v>30.1</v>
      </c>
      <c r="H1056">
        <v>38.6</v>
      </c>
      <c r="I1056">
        <v>24</v>
      </c>
      <c r="J1056">
        <v>29.1</v>
      </c>
      <c r="K1056">
        <v>29.6</v>
      </c>
      <c r="L1056">
        <v>17105</v>
      </c>
      <c r="M1056" t="s">
        <v>543</v>
      </c>
      <c r="N1056">
        <v>91227.86</v>
      </c>
      <c r="O1056">
        <v>2674</v>
      </c>
    </row>
    <row r="1057" spans="1:15" x14ac:dyDescent="0.2">
      <c r="A1057" s="6">
        <v>45842</v>
      </c>
      <c r="B1057" t="s">
        <v>15</v>
      </c>
      <c r="C1057" t="s">
        <v>16</v>
      </c>
      <c r="D1057" s="1">
        <v>45855</v>
      </c>
      <c r="E1057" t="s">
        <v>17</v>
      </c>
      <c r="F1057">
        <v>6050</v>
      </c>
      <c r="G1057">
        <v>53.7</v>
      </c>
      <c r="H1057">
        <v>57.6</v>
      </c>
      <c r="I1057">
        <v>34.700000000000003</v>
      </c>
      <c r="J1057">
        <v>42.3</v>
      </c>
      <c r="K1057">
        <v>58.4</v>
      </c>
      <c r="L1057">
        <v>7131</v>
      </c>
      <c r="M1057" t="s">
        <v>544</v>
      </c>
      <c r="N1057">
        <v>43482.8</v>
      </c>
      <c r="O1057">
        <v>1172</v>
      </c>
    </row>
    <row r="1058" spans="1:15" x14ac:dyDescent="0.2">
      <c r="A1058" s="6">
        <v>45842</v>
      </c>
      <c r="B1058" t="s">
        <v>15</v>
      </c>
      <c r="C1058" t="s">
        <v>16</v>
      </c>
      <c r="D1058" s="1">
        <v>45855</v>
      </c>
      <c r="E1058" t="s">
        <v>19</v>
      </c>
      <c r="F1058">
        <v>6750</v>
      </c>
      <c r="J1058">
        <v>1060.2</v>
      </c>
      <c r="K1058">
        <v>1028.3</v>
      </c>
      <c r="L1058">
        <v>0</v>
      </c>
      <c r="M1058" t="s">
        <v>18</v>
      </c>
      <c r="N1058">
        <v>0</v>
      </c>
      <c r="O1058">
        <v>19</v>
      </c>
    </row>
    <row r="1059" spans="1:15" x14ac:dyDescent="0.2">
      <c r="A1059" s="6">
        <v>45842</v>
      </c>
      <c r="B1059" t="s">
        <v>15</v>
      </c>
      <c r="C1059" t="s">
        <v>16</v>
      </c>
      <c r="D1059" s="1">
        <v>45855</v>
      </c>
      <c r="E1059" t="s">
        <v>19</v>
      </c>
      <c r="F1059">
        <v>7700</v>
      </c>
      <c r="J1059">
        <v>2005.7</v>
      </c>
      <c r="K1059">
        <v>2079.6</v>
      </c>
      <c r="L1059">
        <v>0</v>
      </c>
      <c r="M1059" t="s">
        <v>18</v>
      </c>
      <c r="N1059">
        <v>0</v>
      </c>
      <c r="O1059">
        <v>1</v>
      </c>
    </row>
    <row r="1060" spans="1:15" x14ac:dyDescent="0.2">
      <c r="A1060" s="6">
        <v>45842</v>
      </c>
      <c r="B1060" t="s">
        <v>15</v>
      </c>
      <c r="C1060" t="s">
        <v>16</v>
      </c>
      <c r="D1060" s="1">
        <v>45855</v>
      </c>
      <c r="E1060" t="s">
        <v>17</v>
      </c>
      <c r="F1060">
        <v>7150</v>
      </c>
      <c r="G1060">
        <v>14</v>
      </c>
      <c r="H1060">
        <v>15.1</v>
      </c>
      <c r="I1060">
        <v>8.8000000000000007</v>
      </c>
      <c r="J1060">
        <v>12.3</v>
      </c>
      <c r="K1060">
        <v>15.9</v>
      </c>
      <c r="L1060">
        <v>32</v>
      </c>
      <c r="M1060" t="s">
        <v>242</v>
      </c>
      <c r="N1060">
        <v>229.22</v>
      </c>
      <c r="O1060">
        <v>109</v>
      </c>
    </row>
    <row r="1061" spans="1:15" x14ac:dyDescent="0.2">
      <c r="A1061" s="6">
        <v>45842</v>
      </c>
      <c r="B1061" t="s">
        <v>15</v>
      </c>
      <c r="C1061" t="s">
        <v>16</v>
      </c>
      <c r="D1061" s="1">
        <v>45855</v>
      </c>
      <c r="E1061" t="s">
        <v>17</v>
      </c>
      <c r="F1061">
        <v>3750</v>
      </c>
      <c r="J1061">
        <v>1935.9</v>
      </c>
      <c r="K1061">
        <v>1969.5</v>
      </c>
      <c r="L1061">
        <v>0</v>
      </c>
      <c r="M1061" t="s">
        <v>18</v>
      </c>
      <c r="N1061">
        <v>0</v>
      </c>
      <c r="O1061">
        <v>0</v>
      </c>
    </row>
    <row r="1062" spans="1:15" x14ac:dyDescent="0.2">
      <c r="A1062" s="6">
        <v>45842</v>
      </c>
      <c r="B1062" t="s">
        <v>15</v>
      </c>
      <c r="C1062" t="s">
        <v>16</v>
      </c>
      <c r="D1062" s="1">
        <v>45855</v>
      </c>
      <c r="E1062" t="s">
        <v>17</v>
      </c>
      <c r="F1062">
        <v>6650</v>
      </c>
      <c r="G1062">
        <v>22.6</v>
      </c>
      <c r="H1062">
        <v>22.6</v>
      </c>
      <c r="I1062">
        <v>16.5</v>
      </c>
      <c r="J1062">
        <v>17</v>
      </c>
      <c r="K1062">
        <v>22.7</v>
      </c>
      <c r="L1062">
        <v>202</v>
      </c>
      <c r="M1062" t="s">
        <v>545</v>
      </c>
      <c r="N1062">
        <v>1347.08</v>
      </c>
      <c r="O1062">
        <v>374</v>
      </c>
    </row>
    <row r="1063" spans="1:15" x14ac:dyDescent="0.2">
      <c r="A1063" s="6">
        <v>45842</v>
      </c>
      <c r="B1063" t="s">
        <v>15</v>
      </c>
      <c r="C1063" t="s">
        <v>16</v>
      </c>
      <c r="D1063" s="1">
        <v>45855</v>
      </c>
      <c r="E1063" t="s">
        <v>19</v>
      </c>
      <c r="F1063">
        <v>5450</v>
      </c>
      <c r="G1063">
        <v>58.1</v>
      </c>
      <c r="H1063">
        <v>71.5</v>
      </c>
      <c r="I1063">
        <v>45.8</v>
      </c>
      <c r="J1063">
        <v>55.1</v>
      </c>
      <c r="K1063">
        <v>55.3</v>
      </c>
      <c r="L1063">
        <v>13961</v>
      </c>
      <c r="M1063" t="s">
        <v>546</v>
      </c>
      <c r="N1063">
        <v>76975.95</v>
      </c>
      <c r="O1063">
        <v>1200</v>
      </c>
    </row>
    <row r="1064" spans="1:15" x14ac:dyDescent="0.2">
      <c r="A1064" s="6">
        <v>45842</v>
      </c>
      <c r="B1064" t="s">
        <v>15</v>
      </c>
      <c r="C1064" t="s">
        <v>16</v>
      </c>
      <c r="D1064" s="1">
        <v>45855</v>
      </c>
      <c r="E1064" t="s">
        <v>19</v>
      </c>
      <c r="F1064">
        <v>3750</v>
      </c>
      <c r="J1064">
        <v>0.1</v>
      </c>
      <c r="K1064">
        <v>0.1</v>
      </c>
      <c r="L1064">
        <v>0</v>
      </c>
      <c r="M1064" t="s">
        <v>18</v>
      </c>
      <c r="N1064">
        <v>0</v>
      </c>
      <c r="O1064">
        <v>0</v>
      </c>
    </row>
    <row r="1065" spans="1:15" x14ac:dyDescent="0.2">
      <c r="A1065" s="6">
        <v>45842</v>
      </c>
      <c r="B1065" t="s">
        <v>15</v>
      </c>
      <c r="C1065" t="s">
        <v>16</v>
      </c>
      <c r="D1065" s="1">
        <v>45855</v>
      </c>
      <c r="E1065" t="s">
        <v>19</v>
      </c>
      <c r="F1065">
        <v>4700</v>
      </c>
      <c r="G1065">
        <v>6.9</v>
      </c>
      <c r="H1065">
        <v>9.1</v>
      </c>
      <c r="I1065">
        <v>4</v>
      </c>
      <c r="J1065">
        <v>6.2</v>
      </c>
      <c r="K1065">
        <v>6.9</v>
      </c>
      <c r="L1065">
        <v>411</v>
      </c>
      <c r="M1065" t="s">
        <v>547</v>
      </c>
      <c r="N1065">
        <v>1934.92</v>
      </c>
      <c r="O1065">
        <v>181</v>
      </c>
    </row>
    <row r="1066" spans="1:15" x14ac:dyDescent="0.2">
      <c r="A1066" s="6">
        <v>45842</v>
      </c>
      <c r="B1066" t="s">
        <v>15</v>
      </c>
      <c r="C1066" t="s">
        <v>16</v>
      </c>
      <c r="D1066" s="1">
        <v>45855</v>
      </c>
      <c r="E1066" t="s">
        <v>17</v>
      </c>
      <c r="F1066">
        <v>6850</v>
      </c>
      <c r="G1066">
        <v>16.8</v>
      </c>
      <c r="H1066">
        <v>17.600000000000001</v>
      </c>
      <c r="I1066">
        <v>11.6</v>
      </c>
      <c r="J1066">
        <v>12.4</v>
      </c>
      <c r="K1066">
        <v>18.600000000000001</v>
      </c>
      <c r="L1066">
        <v>152</v>
      </c>
      <c r="M1066" t="s">
        <v>548</v>
      </c>
      <c r="N1066">
        <v>1043.52</v>
      </c>
      <c r="O1066">
        <v>323</v>
      </c>
    </row>
    <row r="1067" spans="1:15" x14ac:dyDescent="0.2">
      <c r="A1067" s="6">
        <v>45842</v>
      </c>
      <c r="B1067" t="s">
        <v>15</v>
      </c>
      <c r="C1067" t="s">
        <v>16</v>
      </c>
      <c r="D1067" s="1">
        <v>45855</v>
      </c>
      <c r="E1067" t="s">
        <v>17</v>
      </c>
      <c r="F1067">
        <v>7350</v>
      </c>
      <c r="G1067">
        <v>16.8</v>
      </c>
      <c r="H1067">
        <v>16.8</v>
      </c>
      <c r="I1067">
        <v>10.3</v>
      </c>
      <c r="J1067">
        <v>11.4</v>
      </c>
      <c r="K1067">
        <v>16.8</v>
      </c>
      <c r="L1067">
        <v>81</v>
      </c>
      <c r="M1067" t="s">
        <v>549</v>
      </c>
      <c r="N1067">
        <v>596.34</v>
      </c>
      <c r="O1067">
        <v>241</v>
      </c>
    </row>
    <row r="1068" spans="1:15" x14ac:dyDescent="0.2">
      <c r="A1068" s="6">
        <v>45842</v>
      </c>
      <c r="B1068" t="s">
        <v>15</v>
      </c>
      <c r="C1068" t="s">
        <v>16</v>
      </c>
      <c r="D1068" s="1">
        <v>45855</v>
      </c>
      <c r="E1068" t="s">
        <v>19</v>
      </c>
      <c r="F1068">
        <v>4550</v>
      </c>
      <c r="G1068">
        <v>7.1</v>
      </c>
      <c r="H1068">
        <v>7.2</v>
      </c>
      <c r="I1068">
        <v>6.5</v>
      </c>
      <c r="J1068">
        <v>6.9</v>
      </c>
      <c r="K1068">
        <v>7.2</v>
      </c>
      <c r="L1068">
        <v>19</v>
      </c>
      <c r="M1068" t="s">
        <v>550</v>
      </c>
      <c r="N1068">
        <v>86.58</v>
      </c>
      <c r="O1068">
        <v>16</v>
      </c>
    </row>
    <row r="1069" spans="1:15" x14ac:dyDescent="0.2">
      <c r="A1069" s="6">
        <v>45842</v>
      </c>
      <c r="B1069" t="s">
        <v>15</v>
      </c>
      <c r="C1069" t="s">
        <v>16</v>
      </c>
      <c r="D1069" s="1">
        <v>45855</v>
      </c>
      <c r="E1069" t="s">
        <v>17</v>
      </c>
      <c r="F1069">
        <v>6800</v>
      </c>
      <c r="G1069">
        <v>19.2</v>
      </c>
      <c r="H1069">
        <v>19.2</v>
      </c>
      <c r="I1069">
        <v>13.5</v>
      </c>
      <c r="J1069">
        <v>14.7</v>
      </c>
      <c r="K1069">
        <v>19.600000000000001</v>
      </c>
      <c r="L1069">
        <v>955</v>
      </c>
      <c r="M1069" t="s">
        <v>439</v>
      </c>
      <c r="N1069">
        <v>6509.46</v>
      </c>
      <c r="O1069">
        <v>1159</v>
      </c>
    </row>
    <row r="1070" spans="1:15" x14ac:dyDescent="0.2">
      <c r="A1070" s="6">
        <v>45842</v>
      </c>
      <c r="B1070" t="s">
        <v>15</v>
      </c>
      <c r="C1070" t="s">
        <v>16</v>
      </c>
      <c r="D1070" s="1">
        <v>45855</v>
      </c>
      <c r="E1070" t="s">
        <v>17</v>
      </c>
      <c r="F1070">
        <v>6700</v>
      </c>
      <c r="G1070">
        <v>20.9</v>
      </c>
      <c r="H1070">
        <v>20.9</v>
      </c>
      <c r="I1070">
        <v>14.7</v>
      </c>
      <c r="J1070">
        <v>15.5</v>
      </c>
      <c r="K1070">
        <v>21</v>
      </c>
      <c r="L1070">
        <v>854</v>
      </c>
      <c r="M1070" t="s">
        <v>551</v>
      </c>
      <c r="N1070">
        <v>5736.82</v>
      </c>
      <c r="O1070">
        <v>1713</v>
      </c>
    </row>
    <row r="1071" spans="1:15" x14ac:dyDescent="0.2">
      <c r="A1071" s="6">
        <v>45842</v>
      </c>
      <c r="B1071" t="s">
        <v>15</v>
      </c>
      <c r="C1071" t="s">
        <v>16</v>
      </c>
      <c r="D1071" s="1">
        <v>45855</v>
      </c>
      <c r="E1071" t="s">
        <v>19</v>
      </c>
      <c r="F1071">
        <v>7150</v>
      </c>
      <c r="J1071">
        <v>1457.1</v>
      </c>
      <c r="K1071">
        <v>1423.4</v>
      </c>
      <c r="L1071">
        <v>0</v>
      </c>
      <c r="M1071" t="s">
        <v>18</v>
      </c>
      <c r="N1071">
        <v>0</v>
      </c>
      <c r="O1071">
        <v>0</v>
      </c>
    </row>
    <row r="1072" spans="1:15" x14ac:dyDescent="0.2">
      <c r="A1072" s="6">
        <v>45842</v>
      </c>
      <c r="B1072" t="s">
        <v>15</v>
      </c>
      <c r="C1072" t="s">
        <v>16</v>
      </c>
      <c r="D1072" s="1">
        <v>45855</v>
      </c>
      <c r="E1072" t="s">
        <v>17</v>
      </c>
      <c r="F1072">
        <v>7500</v>
      </c>
      <c r="G1072">
        <v>12.8</v>
      </c>
      <c r="H1072">
        <v>13.1</v>
      </c>
      <c r="I1072">
        <v>8.3000000000000007</v>
      </c>
      <c r="J1072">
        <v>8.8000000000000007</v>
      </c>
      <c r="K1072">
        <v>12.3</v>
      </c>
      <c r="L1072">
        <v>2336</v>
      </c>
      <c r="M1072" t="s">
        <v>552</v>
      </c>
      <c r="N1072">
        <v>17545.57</v>
      </c>
      <c r="O1072">
        <v>3041</v>
      </c>
    </row>
    <row r="1073" spans="1:15" x14ac:dyDescent="0.2">
      <c r="A1073" s="6">
        <v>45842</v>
      </c>
      <c r="B1073" t="s">
        <v>15</v>
      </c>
      <c r="C1073" t="s">
        <v>16</v>
      </c>
      <c r="D1073" s="1">
        <v>45855</v>
      </c>
      <c r="E1073" t="s">
        <v>17</v>
      </c>
      <c r="F1073">
        <v>6900</v>
      </c>
      <c r="G1073">
        <v>18</v>
      </c>
      <c r="H1073">
        <v>19.899999999999999</v>
      </c>
      <c r="I1073">
        <v>12.7</v>
      </c>
      <c r="J1073">
        <v>13.4</v>
      </c>
      <c r="K1073">
        <v>18.399999999999999</v>
      </c>
      <c r="L1073">
        <v>1007</v>
      </c>
      <c r="M1073" t="s">
        <v>553</v>
      </c>
      <c r="N1073">
        <v>6963.53</v>
      </c>
      <c r="O1073">
        <v>988</v>
      </c>
    </row>
    <row r="1074" spans="1:15" x14ac:dyDescent="0.2">
      <c r="A1074" s="6">
        <v>45842</v>
      </c>
      <c r="B1074" t="s">
        <v>15</v>
      </c>
      <c r="C1074" t="s">
        <v>16</v>
      </c>
      <c r="D1074" s="1">
        <v>45855</v>
      </c>
      <c r="E1074" t="s">
        <v>19</v>
      </c>
      <c r="F1074">
        <v>5800</v>
      </c>
      <c r="G1074">
        <v>200.3</v>
      </c>
      <c r="H1074">
        <v>239.4</v>
      </c>
      <c r="I1074">
        <v>191.6</v>
      </c>
      <c r="J1074">
        <v>207.2</v>
      </c>
      <c r="K1074">
        <v>200.3</v>
      </c>
      <c r="L1074">
        <v>25834</v>
      </c>
      <c r="M1074" t="s">
        <v>554</v>
      </c>
      <c r="N1074">
        <v>155492.09</v>
      </c>
      <c r="O1074">
        <v>2252</v>
      </c>
    </row>
    <row r="1075" spans="1:15" x14ac:dyDescent="0.2">
      <c r="A1075" s="6">
        <v>45842</v>
      </c>
      <c r="B1075" t="s">
        <v>15</v>
      </c>
      <c r="C1075" t="s">
        <v>16</v>
      </c>
      <c r="D1075" s="1">
        <v>45855</v>
      </c>
      <c r="E1075" t="s">
        <v>17</v>
      </c>
      <c r="F1075">
        <v>5900</v>
      </c>
      <c r="G1075">
        <v>89.2</v>
      </c>
      <c r="H1075">
        <v>92</v>
      </c>
      <c r="I1075">
        <v>57</v>
      </c>
      <c r="J1075">
        <v>68</v>
      </c>
      <c r="K1075">
        <v>91.7</v>
      </c>
      <c r="L1075">
        <v>42449</v>
      </c>
      <c r="M1075" t="s">
        <v>555</v>
      </c>
      <c r="N1075">
        <v>253693.45</v>
      </c>
      <c r="O1075">
        <v>4849</v>
      </c>
    </row>
    <row r="1076" spans="1:15" x14ac:dyDescent="0.2">
      <c r="A1076" s="6">
        <v>45842</v>
      </c>
      <c r="B1076" t="s">
        <v>15</v>
      </c>
      <c r="C1076" t="s">
        <v>16</v>
      </c>
      <c r="D1076" s="1">
        <v>45855</v>
      </c>
      <c r="E1076" t="s">
        <v>17</v>
      </c>
      <c r="F1076">
        <v>4150</v>
      </c>
      <c r="J1076">
        <v>1536.7</v>
      </c>
      <c r="K1076">
        <v>1570.4</v>
      </c>
      <c r="L1076">
        <v>0</v>
      </c>
      <c r="M1076" t="s">
        <v>18</v>
      </c>
      <c r="N1076">
        <v>0</v>
      </c>
      <c r="O1076">
        <v>0</v>
      </c>
    </row>
    <row r="1077" spans="1:15" x14ac:dyDescent="0.2">
      <c r="A1077" s="6">
        <v>45842</v>
      </c>
      <c r="B1077" t="s">
        <v>15</v>
      </c>
      <c r="C1077" t="s">
        <v>16</v>
      </c>
      <c r="D1077" s="1">
        <v>45855</v>
      </c>
      <c r="E1077" t="s">
        <v>17</v>
      </c>
      <c r="F1077">
        <v>5500</v>
      </c>
      <c r="G1077">
        <v>276.5</v>
      </c>
      <c r="H1077">
        <v>297</v>
      </c>
      <c r="I1077">
        <v>239.8</v>
      </c>
      <c r="J1077">
        <v>255.1</v>
      </c>
      <c r="K1077">
        <v>289.5</v>
      </c>
      <c r="L1077">
        <v>9869</v>
      </c>
      <c r="M1077" t="s">
        <v>556</v>
      </c>
      <c r="N1077">
        <v>56874.13</v>
      </c>
      <c r="O1077">
        <v>1616</v>
      </c>
    </row>
    <row r="1078" spans="1:15" x14ac:dyDescent="0.2">
      <c r="A1078" s="6">
        <v>45842</v>
      </c>
      <c r="B1078" t="s">
        <v>15</v>
      </c>
      <c r="C1078" t="s">
        <v>16</v>
      </c>
      <c r="D1078" s="1">
        <v>45855</v>
      </c>
      <c r="E1078" t="s">
        <v>19</v>
      </c>
      <c r="F1078">
        <v>6250</v>
      </c>
      <c r="J1078">
        <v>584.79999999999995</v>
      </c>
      <c r="K1078">
        <v>557</v>
      </c>
      <c r="L1078">
        <v>0</v>
      </c>
      <c r="M1078" t="s">
        <v>18</v>
      </c>
      <c r="N1078">
        <v>0</v>
      </c>
      <c r="O1078">
        <v>92</v>
      </c>
    </row>
    <row r="1079" spans="1:15" x14ac:dyDescent="0.2">
      <c r="A1079" s="6">
        <v>45842</v>
      </c>
      <c r="B1079" t="s">
        <v>15</v>
      </c>
      <c r="C1079" t="s">
        <v>16</v>
      </c>
      <c r="D1079" s="1">
        <v>45855</v>
      </c>
      <c r="E1079" t="s">
        <v>17</v>
      </c>
      <c r="F1079">
        <v>5050</v>
      </c>
      <c r="J1079">
        <v>650.1</v>
      </c>
      <c r="K1079">
        <v>685.6</v>
      </c>
      <c r="L1079">
        <v>0</v>
      </c>
      <c r="M1079" t="s">
        <v>18</v>
      </c>
      <c r="N1079">
        <v>0</v>
      </c>
      <c r="O1079">
        <v>0</v>
      </c>
    </row>
    <row r="1080" spans="1:15" x14ac:dyDescent="0.2">
      <c r="A1080" s="6">
        <v>45842</v>
      </c>
      <c r="B1080" t="s">
        <v>15</v>
      </c>
      <c r="C1080" t="s">
        <v>16</v>
      </c>
      <c r="D1080" s="1">
        <v>45855</v>
      </c>
      <c r="E1080" t="s">
        <v>19</v>
      </c>
      <c r="F1080">
        <v>7250</v>
      </c>
      <c r="J1080">
        <v>1556.8</v>
      </c>
      <c r="K1080">
        <v>1522.9</v>
      </c>
      <c r="L1080">
        <v>0</v>
      </c>
      <c r="M1080" t="s">
        <v>18</v>
      </c>
      <c r="N1080">
        <v>0</v>
      </c>
      <c r="O1080">
        <v>0</v>
      </c>
    </row>
    <row r="1081" spans="1:15" x14ac:dyDescent="0.2">
      <c r="A1081" s="6">
        <v>45842</v>
      </c>
      <c r="B1081" t="s">
        <v>15</v>
      </c>
      <c r="C1081" t="s">
        <v>16</v>
      </c>
      <c r="D1081" s="1">
        <v>45855</v>
      </c>
      <c r="E1081" t="s">
        <v>17</v>
      </c>
      <c r="F1081">
        <v>6500</v>
      </c>
      <c r="G1081">
        <v>26.5</v>
      </c>
      <c r="H1081">
        <v>26.5</v>
      </c>
      <c r="I1081">
        <v>17</v>
      </c>
      <c r="J1081">
        <v>18.5</v>
      </c>
      <c r="K1081">
        <v>26.1</v>
      </c>
      <c r="L1081">
        <v>6032</v>
      </c>
      <c r="M1081" t="s">
        <v>557</v>
      </c>
      <c r="N1081">
        <v>39334.629999999997</v>
      </c>
      <c r="O1081">
        <v>11743</v>
      </c>
    </row>
    <row r="1082" spans="1:15" x14ac:dyDescent="0.2">
      <c r="A1082" s="6">
        <v>45842</v>
      </c>
      <c r="B1082" t="s">
        <v>15</v>
      </c>
      <c r="C1082" t="s">
        <v>16</v>
      </c>
      <c r="D1082" s="1">
        <v>45855</v>
      </c>
      <c r="E1082" t="s">
        <v>17</v>
      </c>
      <c r="F1082">
        <v>6950</v>
      </c>
      <c r="G1082">
        <v>17</v>
      </c>
      <c r="H1082">
        <v>17.5</v>
      </c>
      <c r="I1082">
        <v>13.5</v>
      </c>
      <c r="J1082">
        <v>14</v>
      </c>
      <c r="K1082">
        <v>18</v>
      </c>
      <c r="L1082">
        <v>549</v>
      </c>
      <c r="M1082" t="s">
        <v>558</v>
      </c>
      <c r="N1082">
        <v>3824.11</v>
      </c>
      <c r="O1082">
        <v>220</v>
      </c>
    </row>
    <row r="1083" spans="1:15" x14ac:dyDescent="0.2">
      <c r="A1083" s="6">
        <v>45842</v>
      </c>
      <c r="B1083" t="s">
        <v>15</v>
      </c>
      <c r="C1083" t="s">
        <v>16</v>
      </c>
      <c r="D1083" s="1">
        <v>45855</v>
      </c>
      <c r="E1083" t="s">
        <v>19</v>
      </c>
      <c r="F1083">
        <v>5150</v>
      </c>
      <c r="G1083">
        <v>15.4</v>
      </c>
      <c r="H1083">
        <v>21.8</v>
      </c>
      <c r="I1083">
        <v>13.7</v>
      </c>
      <c r="J1083">
        <v>16</v>
      </c>
      <c r="K1083">
        <v>16.8</v>
      </c>
      <c r="L1083">
        <v>687</v>
      </c>
      <c r="M1083" t="s">
        <v>559</v>
      </c>
      <c r="N1083">
        <v>3550.97</v>
      </c>
      <c r="O1083">
        <v>328</v>
      </c>
    </row>
    <row r="1084" spans="1:15" x14ac:dyDescent="0.2">
      <c r="A1084" s="6">
        <v>45842</v>
      </c>
      <c r="B1084" t="s">
        <v>15</v>
      </c>
      <c r="C1084" t="s">
        <v>16</v>
      </c>
      <c r="D1084" s="1">
        <v>45855</v>
      </c>
      <c r="E1084" t="s">
        <v>17</v>
      </c>
      <c r="F1084">
        <v>6250</v>
      </c>
      <c r="G1084">
        <v>32.5</v>
      </c>
      <c r="H1084">
        <v>36.4</v>
      </c>
      <c r="I1084">
        <v>23.2</v>
      </c>
      <c r="J1084">
        <v>27.2</v>
      </c>
      <c r="K1084">
        <v>37.5</v>
      </c>
      <c r="L1084">
        <v>1367</v>
      </c>
      <c r="M1084" t="s">
        <v>560</v>
      </c>
      <c r="N1084">
        <v>8586.06</v>
      </c>
      <c r="O1084">
        <v>1552</v>
      </c>
    </row>
    <row r="1085" spans="1:15" x14ac:dyDescent="0.2">
      <c r="A1085" s="6">
        <v>45842</v>
      </c>
      <c r="B1085" t="s">
        <v>15</v>
      </c>
      <c r="C1085" t="s">
        <v>16</v>
      </c>
      <c r="D1085" s="1">
        <v>45855</v>
      </c>
      <c r="E1085" t="s">
        <v>17</v>
      </c>
      <c r="F1085">
        <v>4600</v>
      </c>
      <c r="J1085">
        <v>1088.0999999999999</v>
      </c>
      <c r="K1085">
        <v>1122</v>
      </c>
      <c r="L1085">
        <v>0</v>
      </c>
      <c r="M1085" t="s">
        <v>18</v>
      </c>
      <c r="N1085">
        <v>0</v>
      </c>
      <c r="O1085">
        <v>0</v>
      </c>
    </row>
    <row r="1086" spans="1:15" x14ac:dyDescent="0.2">
      <c r="A1086" s="6">
        <v>45842</v>
      </c>
      <c r="B1086" t="s">
        <v>15</v>
      </c>
      <c r="C1086" t="s">
        <v>16</v>
      </c>
      <c r="D1086" s="1">
        <v>45855</v>
      </c>
      <c r="E1086" t="s">
        <v>19</v>
      </c>
      <c r="F1086">
        <v>7500</v>
      </c>
      <c r="J1086">
        <v>1806.2</v>
      </c>
      <c r="K1086">
        <v>1772</v>
      </c>
      <c r="L1086">
        <v>0</v>
      </c>
      <c r="M1086" t="s">
        <v>18</v>
      </c>
      <c r="N1086">
        <v>0</v>
      </c>
      <c r="O1086">
        <v>0</v>
      </c>
    </row>
    <row r="1087" spans="1:15" x14ac:dyDescent="0.2">
      <c r="A1087" s="6">
        <v>45842</v>
      </c>
      <c r="B1087" t="s">
        <v>15</v>
      </c>
      <c r="C1087" t="s">
        <v>16</v>
      </c>
      <c r="D1087" s="1">
        <v>45855</v>
      </c>
      <c r="E1087" t="s">
        <v>17</v>
      </c>
      <c r="F1087">
        <v>5450</v>
      </c>
      <c r="G1087">
        <v>319.10000000000002</v>
      </c>
      <c r="H1087">
        <v>333.2</v>
      </c>
      <c r="I1087">
        <v>275.89999999999998</v>
      </c>
      <c r="J1087">
        <v>295.10000000000002</v>
      </c>
      <c r="K1087">
        <v>329.5</v>
      </c>
      <c r="L1087">
        <v>592</v>
      </c>
      <c r="M1087" t="s">
        <v>387</v>
      </c>
      <c r="N1087">
        <v>3404.4</v>
      </c>
      <c r="O1087">
        <v>53</v>
      </c>
    </row>
    <row r="1088" spans="1:15" x14ac:dyDescent="0.2">
      <c r="A1088" s="6">
        <v>45842</v>
      </c>
      <c r="B1088" t="s">
        <v>15</v>
      </c>
      <c r="C1088" t="s">
        <v>16</v>
      </c>
      <c r="D1088" s="1">
        <v>45855</v>
      </c>
      <c r="E1088" t="s">
        <v>19</v>
      </c>
      <c r="F1088">
        <v>4650</v>
      </c>
      <c r="G1088">
        <v>7.6</v>
      </c>
      <c r="H1088">
        <v>8</v>
      </c>
      <c r="I1088">
        <v>7.3</v>
      </c>
      <c r="J1088">
        <v>7.7</v>
      </c>
      <c r="K1088">
        <v>7.1</v>
      </c>
      <c r="L1088">
        <v>23</v>
      </c>
      <c r="M1088" t="s">
        <v>221</v>
      </c>
      <c r="N1088">
        <v>107.13</v>
      </c>
      <c r="O1088">
        <v>2</v>
      </c>
    </row>
    <row r="1089" spans="1:15" x14ac:dyDescent="0.2">
      <c r="A1089" s="6">
        <v>45842</v>
      </c>
      <c r="B1089" t="s">
        <v>15</v>
      </c>
      <c r="C1089" t="s">
        <v>16</v>
      </c>
      <c r="D1089" s="1">
        <v>45855</v>
      </c>
      <c r="E1089" t="s">
        <v>17</v>
      </c>
      <c r="F1089">
        <v>4550</v>
      </c>
      <c r="J1089">
        <v>1137.8</v>
      </c>
      <c r="K1089">
        <v>1171.7</v>
      </c>
      <c r="L1089">
        <v>0</v>
      </c>
      <c r="M1089" t="s">
        <v>18</v>
      </c>
      <c r="N1089">
        <v>0</v>
      </c>
      <c r="O1089">
        <v>0</v>
      </c>
    </row>
    <row r="1090" spans="1:15" x14ac:dyDescent="0.2">
      <c r="A1090" s="6">
        <v>45842</v>
      </c>
      <c r="B1090" t="s">
        <v>15</v>
      </c>
      <c r="C1090" t="s">
        <v>16</v>
      </c>
      <c r="D1090" s="1">
        <v>45855</v>
      </c>
      <c r="E1090" t="s">
        <v>17</v>
      </c>
      <c r="F1090">
        <v>5800</v>
      </c>
      <c r="G1090">
        <v>119.9</v>
      </c>
      <c r="H1090">
        <v>127.3</v>
      </c>
      <c r="I1090">
        <v>88</v>
      </c>
      <c r="J1090">
        <v>99.3</v>
      </c>
      <c r="K1090">
        <v>126.4</v>
      </c>
      <c r="L1090">
        <v>79723</v>
      </c>
      <c r="M1090" t="s">
        <v>561</v>
      </c>
      <c r="N1090">
        <v>470974.27</v>
      </c>
      <c r="O1090">
        <v>7732</v>
      </c>
    </row>
    <row r="1091" spans="1:15" x14ac:dyDescent="0.2">
      <c r="A1091" s="6">
        <v>45842</v>
      </c>
      <c r="B1091" t="s">
        <v>15</v>
      </c>
      <c r="C1091" t="s">
        <v>16</v>
      </c>
      <c r="D1091" s="1">
        <v>45855</v>
      </c>
      <c r="E1091" t="s">
        <v>17</v>
      </c>
      <c r="F1091">
        <v>4000</v>
      </c>
      <c r="J1091">
        <v>1686.4</v>
      </c>
      <c r="K1091">
        <v>1720</v>
      </c>
      <c r="L1091">
        <v>0</v>
      </c>
      <c r="M1091" t="s">
        <v>18</v>
      </c>
      <c r="N1091">
        <v>0</v>
      </c>
      <c r="O1091">
        <v>0</v>
      </c>
    </row>
    <row r="1092" spans="1:15" x14ac:dyDescent="0.2">
      <c r="A1092" s="6">
        <v>45842</v>
      </c>
      <c r="B1092" t="s">
        <v>15</v>
      </c>
      <c r="C1092" t="s">
        <v>16</v>
      </c>
      <c r="D1092" s="1">
        <v>45855</v>
      </c>
      <c r="E1092" t="s">
        <v>17</v>
      </c>
      <c r="F1092">
        <v>4050</v>
      </c>
      <c r="J1092">
        <v>1636.5</v>
      </c>
      <c r="K1092">
        <v>1670.2</v>
      </c>
      <c r="L1092">
        <v>0</v>
      </c>
      <c r="M1092" t="s">
        <v>18</v>
      </c>
      <c r="N1092">
        <v>0</v>
      </c>
      <c r="O1092">
        <v>0</v>
      </c>
    </row>
    <row r="1093" spans="1:15" x14ac:dyDescent="0.2">
      <c r="A1093" s="6">
        <v>45842</v>
      </c>
      <c r="B1093" t="s">
        <v>15</v>
      </c>
      <c r="C1093" t="s">
        <v>16</v>
      </c>
      <c r="D1093" s="1">
        <v>45855</v>
      </c>
      <c r="E1093" t="s">
        <v>17</v>
      </c>
      <c r="F1093">
        <v>6350</v>
      </c>
      <c r="G1093">
        <v>31.2</v>
      </c>
      <c r="H1093">
        <v>31.2</v>
      </c>
      <c r="I1093">
        <v>21.2</v>
      </c>
      <c r="J1093">
        <v>23.9</v>
      </c>
      <c r="K1093">
        <v>32.1</v>
      </c>
      <c r="L1093">
        <v>1494</v>
      </c>
      <c r="M1093" t="s">
        <v>562</v>
      </c>
      <c r="N1093">
        <v>9526.1299999999992</v>
      </c>
      <c r="O1093">
        <v>1387</v>
      </c>
    </row>
    <row r="1094" spans="1:15" x14ac:dyDescent="0.2">
      <c r="A1094" s="6">
        <v>45842</v>
      </c>
      <c r="B1094" t="s">
        <v>15</v>
      </c>
      <c r="C1094" t="s">
        <v>16</v>
      </c>
      <c r="D1094" s="1">
        <v>45855</v>
      </c>
      <c r="E1094" t="s">
        <v>17</v>
      </c>
      <c r="F1094">
        <v>7000</v>
      </c>
      <c r="G1094">
        <v>13.5</v>
      </c>
      <c r="H1094">
        <v>16.3</v>
      </c>
      <c r="I1094">
        <v>11</v>
      </c>
      <c r="J1094">
        <v>11.9</v>
      </c>
      <c r="K1094">
        <v>16.3</v>
      </c>
      <c r="L1094">
        <v>3538</v>
      </c>
      <c r="M1094" t="s">
        <v>563</v>
      </c>
      <c r="N1094">
        <v>24814.19</v>
      </c>
      <c r="O1094">
        <v>5068</v>
      </c>
    </row>
    <row r="1095" spans="1:15" x14ac:dyDescent="0.2">
      <c r="A1095" s="6">
        <v>45842</v>
      </c>
      <c r="B1095" t="s">
        <v>15</v>
      </c>
      <c r="C1095" t="s">
        <v>16</v>
      </c>
      <c r="D1095" s="1">
        <v>45855</v>
      </c>
      <c r="E1095" t="s">
        <v>17</v>
      </c>
      <c r="F1095">
        <v>4250</v>
      </c>
      <c r="J1095">
        <v>1436.9</v>
      </c>
      <c r="K1095">
        <v>1470.6</v>
      </c>
      <c r="L1095">
        <v>0</v>
      </c>
      <c r="M1095" t="s">
        <v>18</v>
      </c>
      <c r="N1095">
        <v>0</v>
      </c>
      <c r="O1095">
        <v>0</v>
      </c>
    </row>
    <row r="1096" spans="1:15" x14ac:dyDescent="0.2">
      <c r="A1096" s="6">
        <v>45842</v>
      </c>
      <c r="B1096" t="s">
        <v>15</v>
      </c>
      <c r="C1096" t="s">
        <v>16</v>
      </c>
      <c r="D1096" s="1">
        <v>45855</v>
      </c>
      <c r="E1096" t="s">
        <v>19</v>
      </c>
      <c r="F1096">
        <v>7350</v>
      </c>
      <c r="J1096">
        <v>1656.5</v>
      </c>
      <c r="K1096">
        <v>1622.5</v>
      </c>
      <c r="L1096">
        <v>0</v>
      </c>
      <c r="M1096" t="s">
        <v>18</v>
      </c>
      <c r="N1096">
        <v>0</v>
      </c>
      <c r="O1096">
        <v>0</v>
      </c>
    </row>
    <row r="1097" spans="1:15" x14ac:dyDescent="0.2">
      <c r="A1097" s="6">
        <v>45842</v>
      </c>
      <c r="B1097" t="s">
        <v>15</v>
      </c>
      <c r="C1097" t="s">
        <v>16</v>
      </c>
      <c r="D1097" s="1">
        <v>45855</v>
      </c>
      <c r="E1097" t="s">
        <v>17</v>
      </c>
      <c r="F1097">
        <v>7050</v>
      </c>
      <c r="G1097">
        <v>14.3</v>
      </c>
      <c r="H1097">
        <v>18</v>
      </c>
      <c r="I1097">
        <v>11.3</v>
      </c>
      <c r="J1097">
        <v>12.4</v>
      </c>
      <c r="K1097">
        <v>15.8</v>
      </c>
      <c r="L1097">
        <v>118</v>
      </c>
      <c r="M1097" t="s">
        <v>564</v>
      </c>
      <c r="N1097">
        <v>833.62</v>
      </c>
      <c r="O1097">
        <v>170</v>
      </c>
    </row>
    <row r="1098" spans="1:15" x14ac:dyDescent="0.2">
      <c r="A1098" s="6">
        <v>45842</v>
      </c>
      <c r="B1098" t="s">
        <v>15</v>
      </c>
      <c r="C1098" t="s">
        <v>16</v>
      </c>
      <c r="D1098" s="1">
        <v>45855</v>
      </c>
      <c r="E1098" t="s">
        <v>19</v>
      </c>
      <c r="F1098">
        <v>6850</v>
      </c>
      <c r="J1098">
        <v>1159</v>
      </c>
      <c r="K1098">
        <v>1126.3</v>
      </c>
      <c r="L1098">
        <v>0</v>
      </c>
      <c r="M1098" t="s">
        <v>18</v>
      </c>
      <c r="N1098">
        <v>0</v>
      </c>
      <c r="O1098">
        <v>18</v>
      </c>
    </row>
    <row r="1099" spans="1:15" x14ac:dyDescent="0.2">
      <c r="A1099" s="6">
        <v>45842</v>
      </c>
      <c r="B1099" t="s">
        <v>15</v>
      </c>
      <c r="C1099" t="s">
        <v>16</v>
      </c>
      <c r="D1099" s="1">
        <v>45855</v>
      </c>
      <c r="E1099" t="s">
        <v>19</v>
      </c>
      <c r="F1099">
        <v>4500</v>
      </c>
      <c r="G1099">
        <v>5.8</v>
      </c>
      <c r="H1099">
        <v>8</v>
      </c>
      <c r="I1099">
        <v>5.3</v>
      </c>
      <c r="J1099">
        <v>5.7</v>
      </c>
      <c r="K1099">
        <v>5.8</v>
      </c>
      <c r="L1099">
        <v>2022</v>
      </c>
      <c r="M1099" t="s">
        <v>565</v>
      </c>
      <c r="N1099">
        <v>9112.14</v>
      </c>
      <c r="O1099">
        <v>1019</v>
      </c>
    </row>
    <row r="1100" spans="1:15" x14ac:dyDescent="0.2">
      <c r="A1100" s="6">
        <v>45842</v>
      </c>
      <c r="B1100" t="s">
        <v>15</v>
      </c>
      <c r="C1100" t="s">
        <v>16</v>
      </c>
      <c r="D1100" s="1">
        <v>45855</v>
      </c>
      <c r="E1100" t="s">
        <v>19</v>
      </c>
      <c r="F1100">
        <v>4400</v>
      </c>
      <c r="J1100">
        <v>0.1</v>
      </c>
      <c r="K1100">
        <v>0.1</v>
      </c>
      <c r="L1100">
        <v>0</v>
      </c>
      <c r="M1100" t="s">
        <v>18</v>
      </c>
      <c r="N1100">
        <v>0</v>
      </c>
      <c r="O1100">
        <v>1</v>
      </c>
    </row>
    <row r="1101" spans="1:15" x14ac:dyDescent="0.2">
      <c r="A1101" s="6">
        <v>45842</v>
      </c>
      <c r="B1101" t="s">
        <v>15</v>
      </c>
      <c r="C1101" t="s">
        <v>16</v>
      </c>
      <c r="D1101" s="1">
        <v>45855</v>
      </c>
      <c r="E1101" t="s">
        <v>19</v>
      </c>
      <c r="F1101">
        <v>5000</v>
      </c>
      <c r="G1101">
        <v>10.5</v>
      </c>
      <c r="H1101">
        <v>14.2</v>
      </c>
      <c r="I1101">
        <v>10.5</v>
      </c>
      <c r="J1101">
        <v>11.2</v>
      </c>
      <c r="K1101">
        <v>11.8</v>
      </c>
      <c r="L1101">
        <v>4266</v>
      </c>
      <c r="M1101" t="s">
        <v>566</v>
      </c>
      <c r="N1101">
        <v>21384.71</v>
      </c>
      <c r="O1101">
        <v>3414</v>
      </c>
    </row>
    <row r="1102" spans="1:15" x14ac:dyDescent="0.2">
      <c r="A1102" s="6">
        <v>45842</v>
      </c>
      <c r="B1102" t="s">
        <v>15</v>
      </c>
      <c r="C1102" t="s">
        <v>16</v>
      </c>
      <c r="D1102" s="1">
        <v>45855</v>
      </c>
      <c r="E1102" t="s">
        <v>19</v>
      </c>
      <c r="F1102">
        <v>5350</v>
      </c>
      <c r="G1102">
        <v>38.299999999999997</v>
      </c>
      <c r="H1102">
        <v>48.1</v>
      </c>
      <c r="I1102">
        <v>31.9</v>
      </c>
      <c r="J1102">
        <v>36.1</v>
      </c>
      <c r="K1102">
        <v>36.6</v>
      </c>
      <c r="L1102">
        <v>5159</v>
      </c>
      <c r="M1102" t="s">
        <v>567</v>
      </c>
      <c r="N1102">
        <v>27815.85</v>
      </c>
      <c r="O1102">
        <v>647</v>
      </c>
    </row>
    <row r="1103" spans="1:15" x14ac:dyDescent="0.2">
      <c r="A1103" s="6">
        <v>45842</v>
      </c>
      <c r="B1103" t="s">
        <v>15</v>
      </c>
      <c r="C1103" t="s">
        <v>16</v>
      </c>
      <c r="D1103" s="1">
        <v>45855</v>
      </c>
      <c r="E1103" t="s">
        <v>19</v>
      </c>
      <c r="F1103">
        <v>5950</v>
      </c>
      <c r="G1103">
        <v>308</v>
      </c>
      <c r="H1103">
        <v>348.4</v>
      </c>
      <c r="I1103">
        <v>295.2</v>
      </c>
      <c r="J1103">
        <v>317.3</v>
      </c>
      <c r="K1103">
        <v>303.8</v>
      </c>
      <c r="L1103">
        <v>727</v>
      </c>
      <c r="M1103" t="s">
        <v>498</v>
      </c>
      <c r="N1103">
        <v>4561.2</v>
      </c>
      <c r="O1103">
        <v>73</v>
      </c>
    </row>
    <row r="1104" spans="1:15" x14ac:dyDescent="0.2">
      <c r="A1104" s="6">
        <v>45842</v>
      </c>
      <c r="B1104" t="s">
        <v>15</v>
      </c>
      <c r="C1104" t="s">
        <v>16</v>
      </c>
      <c r="D1104" s="1">
        <v>45855</v>
      </c>
      <c r="E1104" t="s">
        <v>17</v>
      </c>
      <c r="F1104">
        <v>6000</v>
      </c>
      <c r="G1104">
        <v>67</v>
      </c>
      <c r="H1104">
        <v>67.8</v>
      </c>
      <c r="I1104">
        <v>41.1</v>
      </c>
      <c r="J1104">
        <v>48.3</v>
      </c>
      <c r="K1104">
        <v>67.8</v>
      </c>
      <c r="L1104">
        <v>41767</v>
      </c>
      <c r="M1104" t="s">
        <v>568</v>
      </c>
      <c r="N1104">
        <v>252914.03</v>
      </c>
      <c r="O1104">
        <v>7906</v>
      </c>
    </row>
    <row r="1105" spans="1:15" x14ac:dyDescent="0.2">
      <c r="A1105" s="6">
        <v>45842</v>
      </c>
      <c r="B1105" t="s">
        <v>15</v>
      </c>
      <c r="C1105" t="s">
        <v>16</v>
      </c>
      <c r="D1105" s="1">
        <v>45855</v>
      </c>
      <c r="E1105" t="s">
        <v>17</v>
      </c>
      <c r="F1105">
        <v>6300</v>
      </c>
      <c r="G1105">
        <v>28.3</v>
      </c>
      <c r="H1105">
        <v>33</v>
      </c>
      <c r="I1105">
        <v>21.2</v>
      </c>
      <c r="J1105">
        <v>24</v>
      </c>
      <c r="K1105">
        <v>34</v>
      </c>
      <c r="L1105">
        <v>6421</v>
      </c>
      <c r="M1105" t="s">
        <v>569</v>
      </c>
      <c r="N1105">
        <v>40629.599999999999</v>
      </c>
      <c r="O1105">
        <v>3653</v>
      </c>
    </row>
    <row r="1106" spans="1:15" x14ac:dyDescent="0.2">
      <c r="A1106" s="6">
        <v>45842</v>
      </c>
      <c r="B1106" t="s">
        <v>15</v>
      </c>
      <c r="C1106" t="s">
        <v>16</v>
      </c>
      <c r="D1106" s="1">
        <v>45855</v>
      </c>
      <c r="E1106" t="s">
        <v>19</v>
      </c>
      <c r="F1106">
        <v>4050</v>
      </c>
      <c r="J1106">
        <v>0.1</v>
      </c>
      <c r="K1106">
        <v>0.1</v>
      </c>
      <c r="L1106">
        <v>0</v>
      </c>
      <c r="M1106" t="s">
        <v>18</v>
      </c>
      <c r="N1106">
        <v>0</v>
      </c>
      <c r="O1106">
        <v>0</v>
      </c>
    </row>
    <row r="1107" spans="1:15" x14ac:dyDescent="0.2">
      <c r="A1107" s="6">
        <v>45842</v>
      </c>
      <c r="B1107" t="s">
        <v>15</v>
      </c>
      <c r="C1107" t="s">
        <v>16</v>
      </c>
      <c r="D1107" s="1">
        <v>45855</v>
      </c>
      <c r="E1107" t="s">
        <v>19</v>
      </c>
      <c r="F1107">
        <v>4100</v>
      </c>
      <c r="J1107">
        <v>0.1</v>
      </c>
      <c r="K1107">
        <v>0.1</v>
      </c>
      <c r="L1107">
        <v>0</v>
      </c>
      <c r="M1107" t="s">
        <v>18</v>
      </c>
      <c r="N1107">
        <v>0</v>
      </c>
      <c r="O1107">
        <v>0</v>
      </c>
    </row>
    <row r="1108" spans="1:15" x14ac:dyDescent="0.2">
      <c r="A1108" s="6">
        <v>45842</v>
      </c>
      <c r="B1108" t="s">
        <v>15</v>
      </c>
      <c r="C1108" t="s">
        <v>16</v>
      </c>
      <c r="D1108" s="1">
        <v>45855</v>
      </c>
      <c r="E1108" t="s">
        <v>17</v>
      </c>
      <c r="F1108">
        <v>6450</v>
      </c>
      <c r="G1108">
        <v>28</v>
      </c>
      <c r="H1108">
        <v>28</v>
      </c>
      <c r="I1108">
        <v>19.3</v>
      </c>
      <c r="J1108">
        <v>20.399999999999999</v>
      </c>
      <c r="K1108">
        <v>27.9</v>
      </c>
      <c r="L1108">
        <v>942</v>
      </c>
      <c r="M1108" t="s">
        <v>570</v>
      </c>
      <c r="N1108">
        <v>6098.49</v>
      </c>
      <c r="O1108">
        <v>1604</v>
      </c>
    </row>
    <row r="1109" spans="1:15" x14ac:dyDescent="0.2">
      <c r="A1109" s="6">
        <v>45842</v>
      </c>
      <c r="B1109" t="s">
        <v>15</v>
      </c>
      <c r="C1109" t="s">
        <v>16</v>
      </c>
      <c r="D1109" s="1">
        <v>45855</v>
      </c>
      <c r="E1109" t="s">
        <v>17</v>
      </c>
      <c r="F1109">
        <v>3650</v>
      </c>
      <c r="J1109">
        <v>2035.7</v>
      </c>
      <c r="K1109">
        <v>2069.1999999999998</v>
      </c>
      <c r="L1109">
        <v>0</v>
      </c>
      <c r="M1109" t="s">
        <v>18</v>
      </c>
      <c r="N1109">
        <v>0</v>
      </c>
      <c r="O1109">
        <v>0</v>
      </c>
    </row>
    <row r="1110" spans="1:15" x14ac:dyDescent="0.2">
      <c r="A1110" s="6">
        <v>45842</v>
      </c>
      <c r="B1110" t="s">
        <v>15</v>
      </c>
      <c r="C1110" t="s">
        <v>16</v>
      </c>
      <c r="D1110" s="1">
        <v>45855</v>
      </c>
      <c r="E1110" t="s">
        <v>17</v>
      </c>
      <c r="F1110">
        <v>3600</v>
      </c>
      <c r="J1110">
        <v>2085.6</v>
      </c>
      <c r="K1110">
        <v>2119.1</v>
      </c>
      <c r="L1110">
        <v>0</v>
      </c>
      <c r="M1110" t="s">
        <v>18</v>
      </c>
      <c r="N1110">
        <v>0</v>
      </c>
      <c r="O1110">
        <v>0</v>
      </c>
    </row>
    <row r="1111" spans="1:15" x14ac:dyDescent="0.2">
      <c r="A1111" s="6">
        <v>45842</v>
      </c>
      <c r="B1111" t="s">
        <v>15</v>
      </c>
      <c r="C1111" t="s">
        <v>16</v>
      </c>
      <c r="D1111" s="1">
        <v>45855</v>
      </c>
      <c r="E1111" t="s">
        <v>19</v>
      </c>
      <c r="F1111">
        <v>6900</v>
      </c>
      <c r="J1111">
        <v>1208.5</v>
      </c>
      <c r="K1111">
        <v>1175.5999999999999</v>
      </c>
      <c r="L1111">
        <v>0</v>
      </c>
      <c r="M1111" t="s">
        <v>18</v>
      </c>
      <c r="N1111">
        <v>0</v>
      </c>
      <c r="O1111">
        <v>40</v>
      </c>
    </row>
    <row r="1112" spans="1:15" x14ac:dyDescent="0.2">
      <c r="A1112" s="6">
        <v>45842</v>
      </c>
      <c r="B1112" t="s">
        <v>15</v>
      </c>
      <c r="C1112" t="s">
        <v>16</v>
      </c>
      <c r="D1112" s="1">
        <v>45855</v>
      </c>
      <c r="E1112" t="s">
        <v>19</v>
      </c>
      <c r="F1112">
        <v>7400</v>
      </c>
      <c r="J1112">
        <v>1706.4</v>
      </c>
      <c r="K1112">
        <v>1672.3</v>
      </c>
      <c r="L1112">
        <v>0</v>
      </c>
      <c r="M1112" t="s">
        <v>18</v>
      </c>
      <c r="N1112">
        <v>0</v>
      </c>
      <c r="O1112">
        <v>0</v>
      </c>
    </row>
    <row r="1113" spans="1:15" x14ac:dyDescent="0.2">
      <c r="A1113" s="6">
        <v>45842</v>
      </c>
      <c r="B1113" t="s">
        <v>15</v>
      </c>
      <c r="C1113" t="s">
        <v>16</v>
      </c>
      <c r="D1113" s="1">
        <v>45855</v>
      </c>
      <c r="E1113" t="s">
        <v>19</v>
      </c>
      <c r="F1113">
        <v>6700</v>
      </c>
      <c r="J1113">
        <v>1011</v>
      </c>
      <c r="K1113">
        <v>979.7</v>
      </c>
      <c r="L1113">
        <v>0</v>
      </c>
      <c r="M1113" t="s">
        <v>18</v>
      </c>
      <c r="N1113">
        <v>0</v>
      </c>
      <c r="O1113">
        <v>189</v>
      </c>
    </row>
    <row r="1114" spans="1:15" x14ac:dyDescent="0.2">
      <c r="A1114" s="6">
        <v>45842</v>
      </c>
      <c r="B1114" t="s">
        <v>15</v>
      </c>
      <c r="C1114" t="s">
        <v>16</v>
      </c>
      <c r="D1114" s="1">
        <v>45855</v>
      </c>
      <c r="E1114" t="s">
        <v>19</v>
      </c>
      <c r="F1114">
        <v>3650</v>
      </c>
      <c r="J1114">
        <v>0.1</v>
      </c>
      <c r="K1114">
        <v>0.1</v>
      </c>
      <c r="L1114">
        <v>0</v>
      </c>
      <c r="M1114" t="s">
        <v>18</v>
      </c>
      <c r="N1114">
        <v>0</v>
      </c>
      <c r="O1114">
        <v>0</v>
      </c>
    </row>
    <row r="1115" spans="1:15" x14ac:dyDescent="0.2">
      <c r="A1115" s="6">
        <v>45842</v>
      </c>
      <c r="B1115" t="s">
        <v>15</v>
      </c>
      <c r="C1115" t="s">
        <v>16</v>
      </c>
      <c r="D1115" s="1">
        <v>45855</v>
      </c>
      <c r="E1115" t="s">
        <v>17</v>
      </c>
      <c r="F1115">
        <v>7200</v>
      </c>
      <c r="G1115">
        <v>14.5</v>
      </c>
      <c r="H1115">
        <v>15.4</v>
      </c>
      <c r="I1115">
        <v>10.3</v>
      </c>
      <c r="J1115">
        <v>10.9</v>
      </c>
      <c r="K1115">
        <v>14.8</v>
      </c>
      <c r="L1115">
        <v>1230</v>
      </c>
      <c r="M1115" t="s">
        <v>571</v>
      </c>
      <c r="N1115">
        <v>8871.7199999999993</v>
      </c>
      <c r="O1115">
        <v>972</v>
      </c>
    </row>
    <row r="1116" spans="1:15" x14ac:dyDescent="0.2">
      <c r="A1116" s="6">
        <v>45842</v>
      </c>
      <c r="B1116" t="s">
        <v>15</v>
      </c>
      <c r="C1116" t="s">
        <v>16</v>
      </c>
      <c r="D1116" s="1">
        <v>45855</v>
      </c>
      <c r="E1116" t="s">
        <v>19</v>
      </c>
      <c r="F1116">
        <v>7100</v>
      </c>
      <c r="J1116">
        <v>1407.3</v>
      </c>
      <c r="K1116">
        <v>1373.7</v>
      </c>
      <c r="L1116">
        <v>0</v>
      </c>
      <c r="M1116" t="s">
        <v>18</v>
      </c>
      <c r="N1116">
        <v>0</v>
      </c>
      <c r="O1116">
        <v>0</v>
      </c>
    </row>
    <row r="1117" spans="1:15" x14ac:dyDescent="0.2">
      <c r="A1117" s="6">
        <v>45842</v>
      </c>
      <c r="B1117" t="s">
        <v>15</v>
      </c>
      <c r="C1117" t="s">
        <v>16</v>
      </c>
      <c r="D1117" s="1">
        <v>45855</v>
      </c>
      <c r="E1117" t="s">
        <v>17</v>
      </c>
      <c r="F1117">
        <v>5350</v>
      </c>
      <c r="G1117">
        <v>396.2</v>
      </c>
      <c r="H1117">
        <v>403.7</v>
      </c>
      <c r="I1117">
        <v>361.1</v>
      </c>
      <c r="J1117">
        <v>372.3</v>
      </c>
      <c r="K1117">
        <v>405</v>
      </c>
      <c r="L1117">
        <v>60</v>
      </c>
      <c r="M1117" t="s">
        <v>539</v>
      </c>
      <c r="N1117">
        <v>343.61</v>
      </c>
      <c r="O1117">
        <v>25</v>
      </c>
    </row>
    <row r="1118" spans="1:15" x14ac:dyDescent="0.2">
      <c r="A1118" s="6">
        <v>45842</v>
      </c>
      <c r="B1118" t="s">
        <v>15</v>
      </c>
      <c r="C1118" t="s">
        <v>16</v>
      </c>
      <c r="D1118" s="1">
        <v>45855</v>
      </c>
      <c r="E1118" t="s">
        <v>17</v>
      </c>
      <c r="F1118">
        <v>6100</v>
      </c>
      <c r="G1118">
        <v>45.4</v>
      </c>
      <c r="H1118">
        <v>49.6</v>
      </c>
      <c r="I1118">
        <v>28.7</v>
      </c>
      <c r="J1118">
        <v>35.1</v>
      </c>
      <c r="K1118">
        <v>50.9</v>
      </c>
      <c r="L1118">
        <v>13398</v>
      </c>
      <c r="M1118" t="s">
        <v>572</v>
      </c>
      <c r="N1118">
        <v>82289.240000000005</v>
      </c>
      <c r="O1118">
        <v>3335</v>
      </c>
    </row>
    <row r="1119" spans="1:15" x14ac:dyDescent="0.2">
      <c r="A1119" s="6">
        <v>45842</v>
      </c>
      <c r="B1119" t="s">
        <v>15</v>
      </c>
      <c r="C1119" t="s">
        <v>16</v>
      </c>
      <c r="D1119" s="1">
        <v>45855</v>
      </c>
      <c r="E1119" t="s">
        <v>19</v>
      </c>
      <c r="F1119">
        <v>4850</v>
      </c>
      <c r="G1119">
        <v>9.3000000000000007</v>
      </c>
      <c r="H1119">
        <v>11.9</v>
      </c>
      <c r="I1119">
        <v>8.5</v>
      </c>
      <c r="J1119">
        <v>9.3000000000000007</v>
      </c>
      <c r="K1119">
        <v>9.5</v>
      </c>
      <c r="L1119">
        <v>205</v>
      </c>
      <c r="M1119" t="s">
        <v>573</v>
      </c>
      <c r="N1119">
        <v>996.34</v>
      </c>
      <c r="O1119">
        <v>126</v>
      </c>
    </row>
    <row r="1120" spans="1:15" x14ac:dyDescent="0.2">
      <c r="A1120" s="6">
        <v>45842</v>
      </c>
      <c r="B1120" t="s">
        <v>15</v>
      </c>
      <c r="C1120" t="s">
        <v>16</v>
      </c>
      <c r="D1120" s="1">
        <v>45855</v>
      </c>
      <c r="E1120" t="s">
        <v>19</v>
      </c>
      <c r="F1120">
        <v>4000</v>
      </c>
      <c r="G1120">
        <v>3.4</v>
      </c>
      <c r="H1120">
        <v>4.5999999999999996</v>
      </c>
      <c r="I1120">
        <v>2.6</v>
      </c>
      <c r="J1120">
        <v>2.9</v>
      </c>
      <c r="K1120">
        <v>3.6</v>
      </c>
      <c r="L1120">
        <v>979</v>
      </c>
      <c r="M1120" t="s">
        <v>574</v>
      </c>
      <c r="N1120">
        <v>3919.57</v>
      </c>
      <c r="O1120">
        <v>1723</v>
      </c>
    </row>
    <row r="1121" spans="1:15" x14ac:dyDescent="0.2">
      <c r="A1121" s="6">
        <v>45842</v>
      </c>
      <c r="B1121" t="s">
        <v>15</v>
      </c>
      <c r="C1121" t="s">
        <v>16</v>
      </c>
      <c r="D1121" s="1">
        <v>45855</v>
      </c>
      <c r="E1121" t="s">
        <v>19</v>
      </c>
      <c r="F1121">
        <v>5600</v>
      </c>
      <c r="G1121">
        <v>101.6</v>
      </c>
      <c r="H1121">
        <v>127.5</v>
      </c>
      <c r="I1121">
        <v>91.4</v>
      </c>
      <c r="J1121">
        <v>104.4</v>
      </c>
      <c r="K1121">
        <v>102.4</v>
      </c>
      <c r="L1121">
        <v>80118</v>
      </c>
      <c r="M1121" t="s">
        <v>575</v>
      </c>
      <c r="N1121">
        <v>457924.72</v>
      </c>
      <c r="O1121">
        <v>6167</v>
      </c>
    </row>
    <row r="1122" spans="1:15" x14ac:dyDescent="0.2">
      <c r="A1122" s="6">
        <v>45842</v>
      </c>
      <c r="B1122" t="s">
        <v>15</v>
      </c>
      <c r="C1122" t="s">
        <v>16</v>
      </c>
      <c r="D1122" s="1">
        <v>45855</v>
      </c>
      <c r="E1122" t="s">
        <v>19</v>
      </c>
      <c r="F1122">
        <v>6350</v>
      </c>
      <c r="J1122">
        <v>675.6</v>
      </c>
      <c r="K1122">
        <v>665.1</v>
      </c>
      <c r="L1122">
        <v>0</v>
      </c>
      <c r="M1122" t="s">
        <v>18</v>
      </c>
      <c r="N1122">
        <v>0</v>
      </c>
      <c r="O1122">
        <v>78</v>
      </c>
    </row>
    <row r="1123" spans="1:15" x14ac:dyDescent="0.2">
      <c r="A1123" s="6">
        <v>45842</v>
      </c>
      <c r="B1123" t="s">
        <v>15</v>
      </c>
      <c r="C1123" t="s">
        <v>16</v>
      </c>
      <c r="D1123" s="1">
        <v>45855</v>
      </c>
      <c r="E1123" t="s">
        <v>19</v>
      </c>
      <c r="F1123">
        <v>5650</v>
      </c>
      <c r="G1123">
        <v>123.9</v>
      </c>
      <c r="H1123">
        <v>151.1</v>
      </c>
      <c r="I1123">
        <v>113</v>
      </c>
      <c r="J1123">
        <v>125</v>
      </c>
      <c r="K1123">
        <v>122</v>
      </c>
      <c r="L1123">
        <v>46653</v>
      </c>
      <c r="M1123" t="s">
        <v>576</v>
      </c>
      <c r="N1123">
        <v>270039.39</v>
      </c>
      <c r="O1123">
        <v>3147</v>
      </c>
    </row>
    <row r="1124" spans="1:15" x14ac:dyDescent="0.2">
      <c r="A1124" s="6">
        <v>45842</v>
      </c>
      <c r="B1124" t="s">
        <v>15</v>
      </c>
      <c r="C1124" t="s">
        <v>16</v>
      </c>
      <c r="D1124" s="1">
        <v>45855</v>
      </c>
      <c r="E1124" t="s">
        <v>17</v>
      </c>
      <c r="F1124">
        <v>7550</v>
      </c>
      <c r="G1124">
        <v>12.6</v>
      </c>
      <c r="H1124">
        <v>12.8</v>
      </c>
      <c r="I1124">
        <v>7.6</v>
      </c>
      <c r="J1124">
        <v>10.1</v>
      </c>
      <c r="K1124">
        <v>13.9</v>
      </c>
      <c r="L1124">
        <v>49</v>
      </c>
      <c r="M1124" t="s">
        <v>151</v>
      </c>
      <c r="N1124">
        <v>370.45</v>
      </c>
      <c r="O1124">
        <v>194</v>
      </c>
    </row>
    <row r="1125" spans="1:15" x14ac:dyDescent="0.2">
      <c r="A1125" s="6">
        <v>45842</v>
      </c>
      <c r="B1125" t="s">
        <v>15</v>
      </c>
      <c r="C1125" t="s">
        <v>16</v>
      </c>
      <c r="D1125" s="1">
        <v>45855</v>
      </c>
      <c r="E1125" t="s">
        <v>17</v>
      </c>
      <c r="F1125">
        <v>3950</v>
      </c>
      <c r="J1125">
        <v>1736.3</v>
      </c>
      <c r="K1125">
        <v>1769.9</v>
      </c>
      <c r="L1125">
        <v>0</v>
      </c>
      <c r="M1125" t="s">
        <v>18</v>
      </c>
      <c r="N1125">
        <v>0</v>
      </c>
      <c r="O1125">
        <v>0</v>
      </c>
    </row>
    <row r="1126" spans="1:15" x14ac:dyDescent="0.2">
      <c r="A1126" s="6">
        <v>45842</v>
      </c>
      <c r="B1126" t="s">
        <v>15</v>
      </c>
      <c r="C1126" t="s">
        <v>16</v>
      </c>
      <c r="D1126" s="1">
        <v>45855</v>
      </c>
      <c r="E1126" t="s">
        <v>19</v>
      </c>
      <c r="F1126">
        <v>7450</v>
      </c>
      <c r="J1126">
        <v>1756.3</v>
      </c>
      <c r="K1126">
        <v>1722.2</v>
      </c>
      <c r="L1126">
        <v>0</v>
      </c>
      <c r="M1126" t="s">
        <v>18</v>
      </c>
      <c r="N1126">
        <v>0</v>
      </c>
      <c r="O1126">
        <v>0</v>
      </c>
    </row>
    <row r="1127" spans="1:15" x14ac:dyDescent="0.2">
      <c r="A1127" s="6">
        <v>45842</v>
      </c>
      <c r="B1127" t="s">
        <v>15</v>
      </c>
      <c r="C1127" t="s">
        <v>16</v>
      </c>
      <c r="D1127" s="1">
        <v>45855</v>
      </c>
      <c r="E1127" t="s">
        <v>17</v>
      </c>
      <c r="F1127">
        <v>5650</v>
      </c>
      <c r="G1127">
        <v>189.4</v>
      </c>
      <c r="H1127">
        <v>200.6</v>
      </c>
      <c r="I1127">
        <v>154</v>
      </c>
      <c r="J1127">
        <v>164.5</v>
      </c>
      <c r="K1127">
        <v>196.2</v>
      </c>
      <c r="L1127">
        <v>35761</v>
      </c>
      <c r="M1127" t="s">
        <v>577</v>
      </c>
      <c r="N1127">
        <v>208231.99</v>
      </c>
      <c r="O1127">
        <v>1371</v>
      </c>
    </row>
    <row r="1128" spans="1:15" x14ac:dyDescent="0.2">
      <c r="A1128" s="6">
        <v>45842</v>
      </c>
      <c r="B1128" t="s">
        <v>15</v>
      </c>
      <c r="C1128" t="s">
        <v>16</v>
      </c>
      <c r="D1128" s="1">
        <v>45855</v>
      </c>
      <c r="E1128" t="s">
        <v>19</v>
      </c>
      <c r="F1128">
        <v>5750</v>
      </c>
      <c r="G1128">
        <v>172.3</v>
      </c>
      <c r="H1128">
        <v>207.1</v>
      </c>
      <c r="I1128">
        <v>162.1</v>
      </c>
      <c r="J1128">
        <v>177</v>
      </c>
      <c r="K1128">
        <v>171.5</v>
      </c>
      <c r="L1128">
        <v>30046</v>
      </c>
      <c r="M1128" t="s">
        <v>578</v>
      </c>
      <c r="N1128">
        <v>178455.8</v>
      </c>
      <c r="O1128">
        <v>1643</v>
      </c>
    </row>
    <row r="1129" spans="1:15" x14ac:dyDescent="0.2">
      <c r="A1129" s="6">
        <v>45842</v>
      </c>
      <c r="B1129" t="s">
        <v>15</v>
      </c>
      <c r="C1129" t="s">
        <v>16</v>
      </c>
      <c r="D1129" s="1">
        <v>45855</v>
      </c>
      <c r="E1129" t="s">
        <v>19</v>
      </c>
      <c r="F1129">
        <v>5500</v>
      </c>
      <c r="G1129">
        <v>67.599999999999994</v>
      </c>
      <c r="H1129">
        <v>87</v>
      </c>
      <c r="I1129">
        <v>58</v>
      </c>
      <c r="J1129">
        <v>68.599999999999994</v>
      </c>
      <c r="K1129">
        <v>68.099999999999994</v>
      </c>
      <c r="L1129">
        <v>59450</v>
      </c>
      <c r="M1129" t="s">
        <v>579</v>
      </c>
      <c r="N1129">
        <v>331596.53000000003</v>
      </c>
      <c r="O1129">
        <v>7833</v>
      </c>
    </row>
    <row r="1130" spans="1:15" x14ac:dyDescent="0.2">
      <c r="A1130" s="6">
        <v>45842</v>
      </c>
      <c r="B1130" t="s">
        <v>15</v>
      </c>
      <c r="C1130" t="s">
        <v>16</v>
      </c>
      <c r="D1130" s="1">
        <v>45855</v>
      </c>
      <c r="E1130" t="s">
        <v>19</v>
      </c>
      <c r="F1130">
        <v>6100</v>
      </c>
      <c r="G1130">
        <v>434.6</v>
      </c>
      <c r="H1130">
        <v>478.1</v>
      </c>
      <c r="I1130">
        <v>417.5</v>
      </c>
      <c r="J1130">
        <v>445.7</v>
      </c>
      <c r="K1130">
        <v>424.9</v>
      </c>
      <c r="L1130">
        <v>118</v>
      </c>
      <c r="M1130" t="s">
        <v>564</v>
      </c>
      <c r="N1130">
        <v>773.31</v>
      </c>
      <c r="O1130">
        <v>338</v>
      </c>
    </row>
    <row r="1131" spans="1:15" x14ac:dyDescent="0.2">
      <c r="A1131" s="6">
        <v>45842</v>
      </c>
      <c r="B1131" t="s">
        <v>15</v>
      </c>
      <c r="C1131" t="s">
        <v>16</v>
      </c>
      <c r="D1131" s="1">
        <v>45855</v>
      </c>
      <c r="E1131" t="s">
        <v>19</v>
      </c>
      <c r="F1131">
        <v>3800</v>
      </c>
      <c r="J1131">
        <v>0.1</v>
      </c>
      <c r="K1131">
        <v>0.1</v>
      </c>
      <c r="L1131">
        <v>0</v>
      </c>
      <c r="M1131" t="s">
        <v>18</v>
      </c>
      <c r="N1131">
        <v>0</v>
      </c>
      <c r="O1131">
        <v>0</v>
      </c>
    </row>
    <row r="1132" spans="1:15" x14ac:dyDescent="0.2">
      <c r="A1132" s="6">
        <v>45842</v>
      </c>
      <c r="B1132" t="s">
        <v>15</v>
      </c>
      <c r="C1132" t="s">
        <v>16</v>
      </c>
      <c r="D1132" s="1">
        <v>45855</v>
      </c>
      <c r="E1132" t="s">
        <v>17</v>
      </c>
      <c r="F1132">
        <v>4300</v>
      </c>
      <c r="J1132">
        <v>1387.1</v>
      </c>
      <c r="K1132">
        <v>1420.8</v>
      </c>
      <c r="L1132">
        <v>0</v>
      </c>
      <c r="M1132" t="s">
        <v>18</v>
      </c>
      <c r="N1132">
        <v>0</v>
      </c>
      <c r="O1132">
        <v>0</v>
      </c>
    </row>
    <row r="1133" spans="1:15" x14ac:dyDescent="0.2">
      <c r="A1133" s="6">
        <v>45842</v>
      </c>
      <c r="B1133" t="s">
        <v>15</v>
      </c>
      <c r="C1133" t="s">
        <v>16</v>
      </c>
      <c r="D1133" s="1">
        <v>45855</v>
      </c>
      <c r="E1133" t="s">
        <v>19</v>
      </c>
      <c r="F1133">
        <v>7300</v>
      </c>
      <c r="J1133">
        <v>1606.7</v>
      </c>
      <c r="K1133">
        <v>1572.7</v>
      </c>
      <c r="L1133">
        <v>0</v>
      </c>
      <c r="M1133" t="s">
        <v>18</v>
      </c>
      <c r="N1133">
        <v>0</v>
      </c>
      <c r="O1133">
        <v>0</v>
      </c>
    </row>
    <row r="1134" spans="1:15" x14ac:dyDescent="0.2">
      <c r="A1134" s="6">
        <v>45842</v>
      </c>
      <c r="B1134" t="s">
        <v>15</v>
      </c>
      <c r="C1134" t="s">
        <v>16</v>
      </c>
      <c r="D1134" s="1">
        <v>45855</v>
      </c>
      <c r="E1134" t="s">
        <v>19</v>
      </c>
      <c r="F1134">
        <v>4150</v>
      </c>
      <c r="J1134">
        <v>0.1</v>
      </c>
      <c r="K1134">
        <v>0.1</v>
      </c>
      <c r="L1134">
        <v>0</v>
      </c>
      <c r="M1134" t="s">
        <v>18</v>
      </c>
      <c r="N1134">
        <v>0</v>
      </c>
      <c r="O1134">
        <v>0</v>
      </c>
    </row>
    <row r="1135" spans="1:15" x14ac:dyDescent="0.2">
      <c r="A1135" s="6">
        <v>45842</v>
      </c>
      <c r="B1135" t="s">
        <v>15</v>
      </c>
      <c r="C1135" t="s">
        <v>16</v>
      </c>
      <c r="D1135" s="1">
        <v>45855</v>
      </c>
      <c r="E1135" t="s">
        <v>17</v>
      </c>
      <c r="F1135">
        <v>7100</v>
      </c>
      <c r="G1135">
        <v>14.6</v>
      </c>
      <c r="H1135">
        <v>15.3</v>
      </c>
      <c r="I1135">
        <v>10</v>
      </c>
      <c r="J1135">
        <v>11.6</v>
      </c>
      <c r="K1135">
        <v>15.5</v>
      </c>
      <c r="L1135">
        <v>337</v>
      </c>
      <c r="M1135" t="s">
        <v>580</v>
      </c>
      <c r="N1135">
        <v>2397.04</v>
      </c>
      <c r="O1135">
        <v>374</v>
      </c>
    </row>
    <row r="1136" spans="1:15" x14ac:dyDescent="0.2">
      <c r="A1136" s="6">
        <v>45842</v>
      </c>
      <c r="B1136" t="s">
        <v>15</v>
      </c>
      <c r="C1136" t="s">
        <v>16</v>
      </c>
      <c r="D1136" s="1">
        <v>45855</v>
      </c>
      <c r="E1136" t="s">
        <v>17</v>
      </c>
      <c r="F1136">
        <v>4700</v>
      </c>
      <c r="J1136">
        <v>988.8</v>
      </c>
      <c r="K1136">
        <v>1023</v>
      </c>
      <c r="L1136">
        <v>0</v>
      </c>
      <c r="M1136" t="s">
        <v>18</v>
      </c>
      <c r="N1136">
        <v>0</v>
      </c>
      <c r="O1136">
        <v>0</v>
      </c>
    </row>
    <row r="1137" spans="1:15" x14ac:dyDescent="0.2">
      <c r="A1137" s="6">
        <v>45842</v>
      </c>
      <c r="B1137" t="s">
        <v>15</v>
      </c>
      <c r="C1137" t="s">
        <v>16</v>
      </c>
      <c r="D1137" s="1">
        <v>45855</v>
      </c>
      <c r="E1137" t="s">
        <v>19</v>
      </c>
      <c r="F1137">
        <v>7000</v>
      </c>
      <c r="J1137">
        <v>1307.8</v>
      </c>
      <c r="K1137">
        <v>1271</v>
      </c>
      <c r="L1137">
        <v>0</v>
      </c>
      <c r="M1137" t="s">
        <v>18</v>
      </c>
      <c r="N1137">
        <v>0</v>
      </c>
      <c r="O1137">
        <v>12</v>
      </c>
    </row>
    <row r="1138" spans="1:15" x14ac:dyDescent="0.2">
      <c r="A1138" s="6">
        <v>45842</v>
      </c>
      <c r="B1138" t="s">
        <v>15</v>
      </c>
      <c r="C1138" t="s">
        <v>16</v>
      </c>
      <c r="D1138" s="1">
        <v>45855</v>
      </c>
      <c r="E1138" t="s">
        <v>19</v>
      </c>
      <c r="F1138">
        <v>6450</v>
      </c>
      <c r="G1138">
        <v>804.2</v>
      </c>
      <c r="H1138">
        <v>804.2</v>
      </c>
      <c r="I1138">
        <v>780</v>
      </c>
      <c r="J1138">
        <v>792.7</v>
      </c>
      <c r="K1138">
        <v>734.7</v>
      </c>
      <c r="L1138">
        <v>6</v>
      </c>
      <c r="M1138" t="s">
        <v>132</v>
      </c>
      <c r="N1138">
        <v>43.46</v>
      </c>
      <c r="O1138">
        <v>837</v>
      </c>
    </row>
    <row r="1139" spans="1:15" x14ac:dyDescent="0.2">
      <c r="A1139" s="6">
        <v>45842</v>
      </c>
      <c r="B1139" t="s">
        <v>15</v>
      </c>
      <c r="C1139" t="s">
        <v>16</v>
      </c>
      <c r="D1139" s="1">
        <v>45855</v>
      </c>
      <c r="E1139" t="s">
        <v>19</v>
      </c>
      <c r="F1139">
        <v>6600</v>
      </c>
      <c r="J1139">
        <v>913.3</v>
      </c>
      <c r="K1139">
        <v>883.2</v>
      </c>
      <c r="L1139">
        <v>0</v>
      </c>
      <c r="M1139" t="s">
        <v>18</v>
      </c>
      <c r="N1139">
        <v>0</v>
      </c>
      <c r="O1139">
        <v>163</v>
      </c>
    </row>
    <row r="1140" spans="1:15" x14ac:dyDescent="0.2">
      <c r="A1140" s="6">
        <v>45842</v>
      </c>
      <c r="B1140" t="s">
        <v>15</v>
      </c>
      <c r="C1140" t="s">
        <v>16</v>
      </c>
      <c r="D1140" s="1">
        <v>45855</v>
      </c>
      <c r="E1140" t="s">
        <v>17</v>
      </c>
      <c r="F1140">
        <v>7700</v>
      </c>
      <c r="G1140">
        <v>9</v>
      </c>
      <c r="H1140">
        <v>10.199999999999999</v>
      </c>
      <c r="I1140">
        <v>8</v>
      </c>
      <c r="J1140">
        <v>8.3000000000000007</v>
      </c>
      <c r="K1140">
        <v>9.4</v>
      </c>
      <c r="L1140">
        <v>744</v>
      </c>
      <c r="M1140" t="s">
        <v>581</v>
      </c>
      <c r="N1140">
        <v>5735.31</v>
      </c>
      <c r="O1140">
        <v>2693</v>
      </c>
    </row>
    <row r="1141" spans="1:15" x14ac:dyDescent="0.2">
      <c r="A1141" s="6">
        <v>45842</v>
      </c>
      <c r="B1141" t="s">
        <v>15</v>
      </c>
      <c r="C1141" t="s">
        <v>16</v>
      </c>
      <c r="D1141" s="1">
        <v>45855</v>
      </c>
      <c r="E1141" t="s">
        <v>19</v>
      </c>
      <c r="F1141">
        <v>4300</v>
      </c>
      <c r="J1141">
        <v>0.1</v>
      </c>
      <c r="K1141">
        <v>0.1</v>
      </c>
      <c r="L1141">
        <v>0</v>
      </c>
      <c r="M1141" t="s">
        <v>18</v>
      </c>
      <c r="N1141">
        <v>0</v>
      </c>
      <c r="O1141">
        <v>0</v>
      </c>
    </row>
    <row r="1142" spans="1:15" x14ac:dyDescent="0.2">
      <c r="A1142" s="6">
        <v>45842</v>
      </c>
      <c r="B1142" t="s">
        <v>15</v>
      </c>
      <c r="C1142" t="s">
        <v>16</v>
      </c>
      <c r="D1142" s="1">
        <v>45855</v>
      </c>
      <c r="E1142" t="s">
        <v>17</v>
      </c>
      <c r="F1142">
        <v>5400</v>
      </c>
      <c r="G1142">
        <v>349.2</v>
      </c>
      <c r="H1142">
        <v>373.5</v>
      </c>
      <c r="I1142">
        <v>310</v>
      </c>
      <c r="J1142">
        <v>329.3</v>
      </c>
      <c r="K1142">
        <v>366.6</v>
      </c>
      <c r="L1142">
        <v>1609</v>
      </c>
      <c r="M1142" t="s">
        <v>582</v>
      </c>
      <c r="N1142">
        <v>9226.16</v>
      </c>
      <c r="O1142">
        <v>632</v>
      </c>
    </row>
    <row r="1143" spans="1:15" x14ac:dyDescent="0.2">
      <c r="A1143" s="6">
        <v>45842</v>
      </c>
      <c r="B1143" t="s">
        <v>15</v>
      </c>
      <c r="C1143" t="s">
        <v>16</v>
      </c>
      <c r="D1143" s="1">
        <v>45855</v>
      </c>
      <c r="E1143" t="s">
        <v>17</v>
      </c>
      <c r="F1143">
        <v>7400</v>
      </c>
      <c r="G1143">
        <v>11.5</v>
      </c>
      <c r="H1143">
        <v>13.2</v>
      </c>
      <c r="I1143">
        <v>8.6999999999999993</v>
      </c>
      <c r="J1143">
        <v>9.1</v>
      </c>
      <c r="K1143">
        <v>12.7</v>
      </c>
      <c r="L1143">
        <v>620</v>
      </c>
      <c r="M1143" t="s">
        <v>583</v>
      </c>
      <c r="N1143">
        <v>4594.3500000000004</v>
      </c>
      <c r="O1143">
        <v>1635</v>
      </c>
    </row>
    <row r="1144" spans="1:15" x14ac:dyDescent="0.2">
      <c r="A1144" s="6">
        <v>45842</v>
      </c>
      <c r="B1144" t="s">
        <v>15</v>
      </c>
      <c r="C1144" t="s">
        <v>16</v>
      </c>
      <c r="D1144" s="1">
        <v>45855</v>
      </c>
      <c r="E1144" t="s">
        <v>17</v>
      </c>
      <c r="F1144">
        <v>6150</v>
      </c>
      <c r="G1144">
        <v>38.700000000000003</v>
      </c>
      <c r="H1144">
        <v>43.9</v>
      </c>
      <c r="I1144">
        <v>26.5</v>
      </c>
      <c r="J1144">
        <v>30.8</v>
      </c>
      <c r="K1144">
        <v>45.6</v>
      </c>
      <c r="L1144">
        <v>3035</v>
      </c>
      <c r="M1144" t="s">
        <v>584</v>
      </c>
      <c r="N1144">
        <v>18776.09</v>
      </c>
      <c r="O1144">
        <v>816</v>
      </c>
    </row>
    <row r="1145" spans="1:15" x14ac:dyDescent="0.2">
      <c r="A1145" s="6">
        <v>45842</v>
      </c>
      <c r="B1145" t="s">
        <v>15</v>
      </c>
      <c r="C1145" t="s">
        <v>16</v>
      </c>
      <c r="D1145" s="1">
        <v>45855</v>
      </c>
      <c r="E1145" t="s">
        <v>19</v>
      </c>
      <c r="F1145">
        <v>4750</v>
      </c>
      <c r="G1145">
        <v>8.4</v>
      </c>
      <c r="H1145">
        <v>8.4</v>
      </c>
      <c r="I1145">
        <v>8</v>
      </c>
      <c r="J1145">
        <v>8.1</v>
      </c>
      <c r="K1145">
        <v>8.9</v>
      </c>
      <c r="L1145">
        <v>3</v>
      </c>
      <c r="M1145" t="s">
        <v>34</v>
      </c>
      <c r="N1145">
        <v>14.27</v>
      </c>
      <c r="O1145">
        <v>9</v>
      </c>
    </row>
    <row r="1146" spans="1:15" x14ac:dyDescent="0.2">
      <c r="A1146" s="6">
        <v>45842</v>
      </c>
      <c r="B1146" t="s">
        <v>15</v>
      </c>
      <c r="C1146" t="s">
        <v>16</v>
      </c>
      <c r="D1146" s="1">
        <v>45855</v>
      </c>
      <c r="E1146" t="s">
        <v>19</v>
      </c>
      <c r="F1146">
        <v>4350</v>
      </c>
      <c r="J1146">
        <v>0.1</v>
      </c>
      <c r="K1146">
        <v>0.1</v>
      </c>
      <c r="L1146">
        <v>0</v>
      </c>
      <c r="M1146" t="s">
        <v>18</v>
      </c>
      <c r="N1146">
        <v>0</v>
      </c>
      <c r="O1146">
        <v>0</v>
      </c>
    </row>
    <row r="1147" spans="1:15" x14ac:dyDescent="0.2">
      <c r="A1147" s="6">
        <v>45842</v>
      </c>
      <c r="B1147" t="s">
        <v>15</v>
      </c>
      <c r="C1147" t="s">
        <v>16</v>
      </c>
      <c r="D1147" s="1">
        <v>45855</v>
      </c>
      <c r="E1147" t="s">
        <v>19</v>
      </c>
      <c r="F1147">
        <v>7650</v>
      </c>
      <c r="J1147">
        <v>1955.8</v>
      </c>
      <c r="K1147">
        <v>1921.6</v>
      </c>
      <c r="L1147">
        <v>0</v>
      </c>
      <c r="M1147" t="s">
        <v>18</v>
      </c>
      <c r="N1147">
        <v>0</v>
      </c>
      <c r="O1147">
        <v>0</v>
      </c>
    </row>
    <row r="1148" spans="1:15" x14ac:dyDescent="0.2">
      <c r="A1148" s="6">
        <v>45842</v>
      </c>
      <c r="B1148" t="s">
        <v>15</v>
      </c>
      <c r="C1148" t="s">
        <v>16</v>
      </c>
      <c r="D1148" s="1">
        <v>45855</v>
      </c>
      <c r="E1148" t="s">
        <v>19</v>
      </c>
      <c r="F1148">
        <v>7050</v>
      </c>
      <c r="J1148">
        <v>1357.6</v>
      </c>
      <c r="K1148">
        <v>1324</v>
      </c>
      <c r="L1148">
        <v>0</v>
      </c>
      <c r="M1148" t="s">
        <v>18</v>
      </c>
      <c r="N1148">
        <v>0</v>
      </c>
      <c r="O1148">
        <v>0</v>
      </c>
    </row>
    <row r="1149" spans="1:15" x14ac:dyDescent="0.2">
      <c r="A1149" s="6">
        <v>45842</v>
      </c>
      <c r="B1149" t="s">
        <v>15</v>
      </c>
      <c r="C1149" t="s">
        <v>16</v>
      </c>
      <c r="D1149" s="1">
        <v>45855</v>
      </c>
      <c r="E1149" t="s">
        <v>17</v>
      </c>
      <c r="F1149">
        <v>5850</v>
      </c>
      <c r="G1149">
        <v>100.1</v>
      </c>
      <c r="H1149">
        <v>108.2</v>
      </c>
      <c r="I1149">
        <v>71.099999999999994</v>
      </c>
      <c r="J1149">
        <v>82.3</v>
      </c>
      <c r="K1149">
        <v>107.5</v>
      </c>
      <c r="L1149">
        <v>28759</v>
      </c>
      <c r="M1149" t="s">
        <v>585</v>
      </c>
      <c r="N1149">
        <v>170840.97</v>
      </c>
      <c r="O1149">
        <v>2936</v>
      </c>
    </row>
    <row r="1150" spans="1:15" x14ac:dyDescent="0.2">
      <c r="A1150" s="6">
        <v>45842</v>
      </c>
      <c r="B1150" t="s">
        <v>15</v>
      </c>
      <c r="C1150" t="s">
        <v>16</v>
      </c>
      <c r="D1150" s="1">
        <v>45855</v>
      </c>
      <c r="E1150" t="s">
        <v>19</v>
      </c>
      <c r="F1150">
        <v>6300</v>
      </c>
      <c r="G1150">
        <v>620.5</v>
      </c>
      <c r="H1150">
        <v>655.4</v>
      </c>
      <c r="I1150">
        <v>620.5</v>
      </c>
      <c r="J1150">
        <v>641.1</v>
      </c>
      <c r="K1150">
        <v>620.79999999999995</v>
      </c>
      <c r="L1150">
        <v>8</v>
      </c>
      <c r="M1150" t="s">
        <v>71</v>
      </c>
      <c r="N1150">
        <v>55.53</v>
      </c>
      <c r="O1150">
        <v>571</v>
      </c>
    </row>
    <row r="1151" spans="1:15" x14ac:dyDescent="0.2">
      <c r="A1151" s="6">
        <v>45842</v>
      </c>
      <c r="B1151" t="s">
        <v>15</v>
      </c>
      <c r="C1151" t="s">
        <v>16</v>
      </c>
      <c r="D1151" s="1">
        <v>45855</v>
      </c>
      <c r="E1151" t="s">
        <v>17</v>
      </c>
      <c r="F1151">
        <v>3900</v>
      </c>
      <c r="J1151">
        <v>1786.2</v>
      </c>
      <c r="K1151">
        <v>1819.8</v>
      </c>
      <c r="L1151">
        <v>0</v>
      </c>
      <c r="M1151" t="s">
        <v>18</v>
      </c>
      <c r="N1151">
        <v>0</v>
      </c>
      <c r="O1151">
        <v>0</v>
      </c>
    </row>
    <row r="1152" spans="1:15" x14ac:dyDescent="0.2">
      <c r="A1152" s="6">
        <v>45842</v>
      </c>
      <c r="B1152" t="s">
        <v>15</v>
      </c>
      <c r="C1152" t="s">
        <v>16</v>
      </c>
      <c r="D1152" s="1">
        <v>45855</v>
      </c>
      <c r="E1152" t="s">
        <v>19</v>
      </c>
      <c r="F1152">
        <v>5850</v>
      </c>
      <c r="G1152">
        <v>237.6</v>
      </c>
      <c r="H1152">
        <v>274.39999999999998</v>
      </c>
      <c r="I1152">
        <v>220</v>
      </c>
      <c r="J1152">
        <v>242.4</v>
      </c>
      <c r="K1152">
        <v>231.8</v>
      </c>
      <c r="L1152">
        <v>3555</v>
      </c>
      <c r="M1152" t="s">
        <v>586</v>
      </c>
      <c r="N1152">
        <v>21691.59</v>
      </c>
      <c r="O1152">
        <v>151</v>
      </c>
    </row>
    <row r="1153" spans="1:15" x14ac:dyDescent="0.2">
      <c r="A1153" s="6">
        <v>45842</v>
      </c>
      <c r="B1153" t="s">
        <v>15</v>
      </c>
      <c r="C1153" t="s">
        <v>16</v>
      </c>
      <c r="D1153" s="1">
        <v>45855</v>
      </c>
      <c r="E1153" t="s">
        <v>19</v>
      </c>
      <c r="F1153">
        <v>6500</v>
      </c>
      <c r="G1153">
        <v>819</v>
      </c>
      <c r="H1153">
        <v>857</v>
      </c>
      <c r="I1153">
        <v>787.8</v>
      </c>
      <c r="J1153">
        <v>831.1</v>
      </c>
      <c r="K1153">
        <v>783.6</v>
      </c>
      <c r="L1153">
        <v>6</v>
      </c>
      <c r="M1153" t="s">
        <v>132</v>
      </c>
      <c r="N1153">
        <v>43.99</v>
      </c>
      <c r="O1153">
        <v>737</v>
      </c>
    </row>
    <row r="1154" spans="1:15" x14ac:dyDescent="0.2">
      <c r="A1154" s="6">
        <v>45842</v>
      </c>
      <c r="B1154" t="s">
        <v>15</v>
      </c>
      <c r="C1154" t="s">
        <v>16</v>
      </c>
      <c r="D1154" s="1">
        <v>45855</v>
      </c>
      <c r="E1154" t="s">
        <v>19</v>
      </c>
      <c r="F1154">
        <v>4800</v>
      </c>
      <c r="G1154">
        <v>8.1999999999999993</v>
      </c>
      <c r="H1154">
        <v>12</v>
      </c>
      <c r="I1154">
        <v>6.1</v>
      </c>
      <c r="J1154">
        <v>8.5</v>
      </c>
      <c r="K1154">
        <v>8.5</v>
      </c>
      <c r="L1154">
        <v>1398</v>
      </c>
      <c r="M1154" t="s">
        <v>587</v>
      </c>
      <c r="N1154">
        <v>6723.91</v>
      </c>
      <c r="O1154">
        <v>642</v>
      </c>
    </row>
    <row r="1155" spans="1:15" x14ac:dyDescent="0.2">
      <c r="A1155" s="6">
        <v>45842</v>
      </c>
      <c r="B1155" t="s">
        <v>15</v>
      </c>
      <c r="C1155" t="s">
        <v>16</v>
      </c>
      <c r="D1155" s="1">
        <v>45855</v>
      </c>
      <c r="E1155" t="s">
        <v>17</v>
      </c>
      <c r="F1155">
        <v>6600</v>
      </c>
      <c r="G1155">
        <v>21.9</v>
      </c>
      <c r="H1155">
        <v>22.1</v>
      </c>
      <c r="I1155">
        <v>15.2</v>
      </c>
      <c r="J1155">
        <v>16.2</v>
      </c>
      <c r="K1155">
        <v>22.5</v>
      </c>
      <c r="L1155">
        <v>3608</v>
      </c>
      <c r="M1155" t="s">
        <v>588</v>
      </c>
      <c r="N1155">
        <v>23879.81</v>
      </c>
      <c r="O1155">
        <v>5078</v>
      </c>
    </row>
    <row r="1156" spans="1:15" x14ac:dyDescent="0.2">
      <c r="A1156" s="6">
        <v>45842</v>
      </c>
      <c r="B1156" t="s">
        <v>15</v>
      </c>
      <c r="C1156" t="s">
        <v>16</v>
      </c>
      <c r="D1156" s="1">
        <v>45855</v>
      </c>
      <c r="E1156" t="s">
        <v>19</v>
      </c>
      <c r="F1156">
        <v>5550</v>
      </c>
      <c r="G1156">
        <v>86.9</v>
      </c>
      <c r="H1156">
        <v>106</v>
      </c>
      <c r="I1156">
        <v>75</v>
      </c>
      <c r="J1156">
        <v>85.8</v>
      </c>
      <c r="K1156">
        <v>84.3</v>
      </c>
      <c r="L1156">
        <v>25612</v>
      </c>
      <c r="M1156" t="s">
        <v>589</v>
      </c>
      <c r="N1156">
        <v>144607.14000000001</v>
      </c>
      <c r="O1156">
        <v>2078</v>
      </c>
    </row>
    <row r="1157" spans="1:15" x14ac:dyDescent="0.2">
      <c r="A1157" s="6">
        <v>45842</v>
      </c>
      <c r="B1157" t="s">
        <v>15</v>
      </c>
      <c r="C1157" t="s">
        <v>16</v>
      </c>
      <c r="D1157" s="1">
        <v>45855</v>
      </c>
      <c r="E1157" t="s">
        <v>19</v>
      </c>
      <c r="F1157">
        <v>3850</v>
      </c>
      <c r="J1157">
        <v>0.1</v>
      </c>
      <c r="K1157">
        <v>0.1</v>
      </c>
      <c r="L1157">
        <v>0</v>
      </c>
      <c r="M1157" t="s">
        <v>18</v>
      </c>
      <c r="N1157">
        <v>0</v>
      </c>
      <c r="O1157">
        <v>0</v>
      </c>
    </row>
    <row r="1158" spans="1:15" x14ac:dyDescent="0.2">
      <c r="A1158" s="6">
        <v>45842</v>
      </c>
      <c r="B1158" t="s">
        <v>15</v>
      </c>
      <c r="C1158" t="s">
        <v>16</v>
      </c>
      <c r="D1158" s="1">
        <v>45855</v>
      </c>
      <c r="E1158" t="s">
        <v>17</v>
      </c>
      <c r="F1158">
        <v>7600</v>
      </c>
      <c r="G1158">
        <v>11</v>
      </c>
      <c r="H1158">
        <v>12.8</v>
      </c>
      <c r="I1158">
        <v>8.5</v>
      </c>
      <c r="J1158">
        <v>8.8000000000000007</v>
      </c>
      <c r="K1158">
        <v>10.7</v>
      </c>
      <c r="L1158">
        <v>358</v>
      </c>
      <c r="M1158" t="s">
        <v>224</v>
      </c>
      <c r="N1158">
        <v>2724.36</v>
      </c>
      <c r="O1158">
        <v>1203</v>
      </c>
    </row>
    <row r="1159" spans="1:15" x14ac:dyDescent="0.2">
      <c r="A1159" s="6">
        <v>45842</v>
      </c>
      <c r="B1159" t="s">
        <v>15</v>
      </c>
      <c r="C1159" t="s">
        <v>16</v>
      </c>
      <c r="D1159" s="1">
        <v>45855</v>
      </c>
      <c r="E1159" t="s">
        <v>19</v>
      </c>
      <c r="F1159">
        <v>6000</v>
      </c>
      <c r="G1159">
        <v>345.4</v>
      </c>
      <c r="H1159">
        <v>393</v>
      </c>
      <c r="I1159">
        <v>330.8</v>
      </c>
      <c r="J1159">
        <v>358</v>
      </c>
      <c r="K1159">
        <v>340.8</v>
      </c>
      <c r="L1159">
        <v>1858</v>
      </c>
      <c r="M1159" t="s">
        <v>590</v>
      </c>
      <c r="N1159">
        <v>11820.6</v>
      </c>
      <c r="O1159">
        <v>2119</v>
      </c>
    </row>
    <row r="1160" spans="1:15" x14ac:dyDescent="0.2">
      <c r="A1160" s="6">
        <v>45842</v>
      </c>
      <c r="B1160" t="s">
        <v>15</v>
      </c>
      <c r="C1160" t="s">
        <v>16</v>
      </c>
      <c r="D1160" s="1">
        <v>45855</v>
      </c>
      <c r="E1160" t="s">
        <v>17</v>
      </c>
      <c r="F1160">
        <v>6400</v>
      </c>
      <c r="G1160">
        <v>27.7</v>
      </c>
      <c r="H1160">
        <v>27.9</v>
      </c>
      <c r="I1160">
        <v>19.600000000000001</v>
      </c>
      <c r="J1160">
        <v>21.5</v>
      </c>
      <c r="K1160">
        <v>28.9</v>
      </c>
      <c r="L1160">
        <v>8226</v>
      </c>
      <c r="M1160" t="s">
        <v>591</v>
      </c>
      <c r="N1160">
        <v>52841.8</v>
      </c>
      <c r="O1160">
        <v>6140</v>
      </c>
    </row>
    <row r="1161" spans="1:15" x14ac:dyDescent="0.2">
      <c r="A1161" s="6">
        <v>45842</v>
      </c>
      <c r="B1161" t="s">
        <v>15</v>
      </c>
      <c r="C1161" t="s">
        <v>16</v>
      </c>
      <c r="D1161" s="1">
        <v>45855</v>
      </c>
      <c r="E1161" t="s">
        <v>19</v>
      </c>
      <c r="F1161">
        <v>3950</v>
      </c>
      <c r="J1161">
        <v>0.1</v>
      </c>
      <c r="K1161">
        <v>0.1</v>
      </c>
      <c r="L1161">
        <v>0</v>
      </c>
      <c r="M1161" t="s">
        <v>18</v>
      </c>
      <c r="N1161">
        <v>0</v>
      </c>
      <c r="O1161">
        <v>0</v>
      </c>
    </row>
    <row r="1162" spans="1:15" x14ac:dyDescent="0.2">
      <c r="A1162" s="6">
        <v>45842</v>
      </c>
      <c r="B1162" t="s">
        <v>15</v>
      </c>
      <c r="C1162" t="s">
        <v>16</v>
      </c>
      <c r="D1162" s="1">
        <v>45855</v>
      </c>
      <c r="E1162" t="s">
        <v>19</v>
      </c>
      <c r="F1162">
        <v>7550</v>
      </c>
      <c r="J1162">
        <v>1856.1</v>
      </c>
      <c r="K1162">
        <v>1821.9</v>
      </c>
      <c r="L1162">
        <v>0</v>
      </c>
      <c r="M1162" t="s">
        <v>18</v>
      </c>
      <c r="N1162">
        <v>0</v>
      </c>
      <c r="O1162">
        <v>0</v>
      </c>
    </row>
    <row r="1163" spans="1:15" x14ac:dyDescent="0.2">
      <c r="A1163" s="6">
        <v>45842</v>
      </c>
      <c r="B1163" t="s">
        <v>15</v>
      </c>
      <c r="C1163" t="s">
        <v>16</v>
      </c>
      <c r="D1163" s="1">
        <v>45855</v>
      </c>
      <c r="E1163" t="s">
        <v>17</v>
      </c>
      <c r="F1163">
        <v>5550</v>
      </c>
      <c r="G1163">
        <v>251.5</v>
      </c>
      <c r="H1163">
        <v>262.2</v>
      </c>
      <c r="I1163">
        <v>209.3</v>
      </c>
      <c r="J1163">
        <v>223.3</v>
      </c>
      <c r="K1163">
        <v>256.8</v>
      </c>
      <c r="L1163">
        <v>6525</v>
      </c>
      <c r="M1163" t="s">
        <v>592</v>
      </c>
      <c r="N1163">
        <v>37718</v>
      </c>
      <c r="O1163">
        <v>312</v>
      </c>
    </row>
    <row r="1164" spans="1:15" x14ac:dyDescent="0.2">
      <c r="A1164" s="6">
        <v>45841</v>
      </c>
      <c r="B1164" t="s">
        <v>15</v>
      </c>
      <c r="C1164" t="s">
        <v>16</v>
      </c>
      <c r="D1164" s="1">
        <v>45855</v>
      </c>
      <c r="E1164" t="s">
        <v>17</v>
      </c>
      <c r="F1164">
        <v>4850</v>
      </c>
      <c r="J1164">
        <v>875.9</v>
      </c>
      <c r="K1164">
        <v>905.7</v>
      </c>
      <c r="L1164">
        <v>0</v>
      </c>
      <c r="M1164" t="s">
        <v>18</v>
      </c>
      <c r="N1164">
        <v>0</v>
      </c>
      <c r="O1164">
        <v>0</v>
      </c>
    </row>
    <row r="1165" spans="1:15" x14ac:dyDescent="0.2">
      <c r="A1165" s="6">
        <v>45841</v>
      </c>
      <c r="B1165" t="s">
        <v>15</v>
      </c>
      <c r="C1165" t="s">
        <v>16</v>
      </c>
      <c r="D1165" s="1">
        <v>45855</v>
      </c>
      <c r="E1165" t="s">
        <v>19</v>
      </c>
      <c r="F1165">
        <v>5250</v>
      </c>
      <c r="G1165">
        <v>26</v>
      </c>
      <c r="H1165">
        <v>30.1</v>
      </c>
      <c r="I1165">
        <v>21.9</v>
      </c>
      <c r="J1165">
        <v>24.2</v>
      </c>
      <c r="K1165">
        <v>27.3</v>
      </c>
      <c r="L1165">
        <v>3915</v>
      </c>
      <c r="M1165" t="s">
        <v>593</v>
      </c>
      <c r="N1165">
        <v>20653.36</v>
      </c>
      <c r="O1165">
        <v>595</v>
      </c>
    </row>
    <row r="1166" spans="1:15" x14ac:dyDescent="0.2">
      <c r="A1166" s="6">
        <v>45841</v>
      </c>
      <c r="B1166" t="s">
        <v>15</v>
      </c>
      <c r="C1166" t="s">
        <v>16</v>
      </c>
      <c r="D1166" s="1">
        <v>45855</v>
      </c>
      <c r="E1166" t="s">
        <v>17</v>
      </c>
      <c r="F1166">
        <v>5950</v>
      </c>
      <c r="G1166">
        <v>90</v>
      </c>
      <c r="H1166">
        <v>104.8</v>
      </c>
      <c r="I1166">
        <v>70</v>
      </c>
      <c r="J1166">
        <v>79.099999999999994</v>
      </c>
      <c r="K1166">
        <v>104.1</v>
      </c>
      <c r="L1166">
        <v>31758</v>
      </c>
      <c r="M1166" t="s">
        <v>594</v>
      </c>
      <c r="N1166">
        <v>191718.28</v>
      </c>
      <c r="O1166">
        <v>1598</v>
      </c>
    </row>
    <row r="1167" spans="1:15" x14ac:dyDescent="0.2">
      <c r="A1167" s="6">
        <v>45841</v>
      </c>
      <c r="B1167" t="s">
        <v>15</v>
      </c>
      <c r="C1167" t="s">
        <v>16</v>
      </c>
      <c r="D1167" s="1">
        <v>45855</v>
      </c>
      <c r="E1167" t="s">
        <v>19</v>
      </c>
      <c r="F1167">
        <v>5200</v>
      </c>
      <c r="G1167">
        <v>21.7</v>
      </c>
      <c r="H1167">
        <v>24.8</v>
      </c>
      <c r="I1167">
        <v>17.399999999999999</v>
      </c>
      <c r="J1167">
        <v>19</v>
      </c>
      <c r="K1167">
        <v>21.7</v>
      </c>
      <c r="L1167">
        <v>25552</v>
      </c>
      <c r="M1167" t="s">
        <v>595</v>
      </c>
      <c r="N1167">
        <v>133376.01</v>
      </c>
      <c r="O1167">
        <v>4800</v>
      </c>
    </row>
    <row r="1168" spans="1:15" x14ac:dyDescent="0.2">
      <c r="A1168" s="6">
        <v>45841</v>
      </c>
      <c r="B1168" t="s">
        <v>15</v>
      </c>
      <c r="C1168" t="s">
        <v>16</v>
      </c>
      <c r="D1168" s="1">
        <v>45855</v>
      </c>
      <c r="E1168" t="s">
        <v>17</v>
      </c>
      <c r="F1168">
        <v>7450</v>
      </c>
      <c r="G1168">
        <v>15.4</v>
      </c>
      <c r="H1168">
        <v>19</v>
      </c>
      <c r="I1168">
        <v>13.1</v>
      </c>
      <c r="J1168">
        <v>14.7</v>
      </c>
      <c r="K1168">
        <v>15.4</v>
      </c>
      <c r="L1168">
        <v>38</v>
      </c>
      <c r="M1168" t="s">
        <v>205</v>
      </c>
      <c r="N1168">
        <v>283.64999999999998</v>
      </c>
      <c r="O1168">
        <v>88</v>
      </c>
    </row>
    <row r="1169" spans="1:15" x14ac:dyDescent="0.2">
      <c r="A1169" s="6">
        <v>45841</v>
      </c>
      <c r="B1169" t="s">
        <v>15</v>
      </c>
      <c r="C1169" t="s">
        <v>16</v>
      </c>
      <c r="D1169" s="1">
        <v>45855</v>
      </c>
      <c r="E1169" t="s">
        <v>19</v>
      </c>
      <c r="F1169">
        <v>6150</v>
      </c>
      <c r="G1169">
        <v>460.5</v>
      </c>
      <c r="H1169">
        <v>499.6</v>
      </c>
      <c r="I1169">
        <v>380.4</v>
      </c>
      <c r="J1169">
        <v>459.4</v>
      </c>
      <c r="K1169">
        <v>527.29999999999995</v>
      </c>
      <c r="L1169">
        <v>133</v>
      </c>
      <c r="M1169" t="s">
        <v>596</v>
      </c>
      <c r="N1169">
        <v>880.36</v>
      </c>
      <c r="O1169">
        <v>115</v>
      </c>
    </row>
    <row r="1170" spans="1:15" x14ac:dyDescent="0.2">
      <c r="A1170" s="6">
        <v>45841</v>
      </c>
      <c r="B1170" t="s">
        <v>15</v>
      </c>
      <c r="C1170" t="s">
        <v>16</v>
      </c>
      <c r="D1170" s="1">
        <v>45855</v>
      </c>
      <c r="E1170" t="s">
        <v>17</v>
      </c>
      <c r="F1170">
        <v>4350</v>
      </c>
      <c r="J1170">
        <v>1370.9</v>
      </c>
      <c r="K1170">
        <v>1399.6</v>
      </c>
      <c r="L1170">
        <v>0</v>
      </c>
      <c r="M1170" t="s">
        <v>18</v>
      </c>
      <c r="N1170">
        <v>0</v>
      </c>
      <c r="O1170">
        <v>0</v>
      </c>
    </row>
    <row r="1171" spans="1:15" x14ac:dyDescent="0.2">
      <c r="A1171" s="6">
        <v>45841</v>
      </c>
      <c r="B1171" t="s">
        <v>15</v>
      </c>
      <c r="C1171" t="s">
        <v>16</v>
      </c>
      <c r="D1171" s="1">
        <v>45855</v>
      </c>
      <c r="E1171" t="s">
        <v>17</v>
      </c>
      <c r="F1171">
        <v>3700</v>
      </c>
      <c r="J1171">
        <v>2019.4</v>
      </c>
      <c r="K1171">
        <v>2047.9</v>
      </c>
      <c r="L1171">
        <v>0</v>
      </c>
      <c r="M1171" t="s">
        <v>18</v>
      </c>
      <c r="N1171">
        <v>0</v>
      </c>
      <c r="O1171">
        <v>0</v>
      </c>
    </row>
    <row r="1172" spans="1:15" x14ac:dyDescent="0.2">
      <c r="A1172" s="6">
        <v>45841</v>
      </c>
      <c r="B1172" t="s">
        <v>15</v>
      </c>
      <c r="C1172" t="s">
        <v>16</v>
      </c>
      <c r="D1172" s="1">
        <v>45855</v>
      </c>
      <c r="E1172" t="s">
        <v>17</v>
      </c>
      <c r="F1172">
        <v>5150</v>
      </c>
      <c r="J1172">
        <v>594.79999999999995</v>
      </c>
      <c r="K1172">
        <v>626.20000000000005</v>
      </c>
      <c r="L1172">
        <v>0</v>
      </c>
      <c r="M1172" t="s">
        <v>18</v>
      </c>
      <c r="N1172">
        <v>0</v>
      </c>
      <c r="O1172">
        <v>3</v>
      </c>
    </row>
    <row r="1173" spans="1:15" x14ac:dyDescent="0.2">
      <c r="A1173" s="6">
        <v>45841</v>
      </c>
      <c r="B1173" t="s">
        <v>15</v>
      </c>
      <c r="C1173" t="s">
        <v>16</v>
      </c>
      <c r="D1173" s="1">
        <v>45855</v>
      </c>
      <c r="E1173" t="s">
        <v>17</v>
      </c>
      <c r="F1173">
        <v>5000</v>
      </c>
      <c r="G1173">
        <v>745</v>
      </c>
      <c r="H1173">
        <v>773</v>
      </c>
      <c r="I1173">
        <v>730</v>
      </c>
      <c r="J1173">
        <v>750.5</v>
      </c>
      <c r="K1173">
        <v>748.5</v>
      </c>
      <c r="L1173">
        <v>15</v>
      </c>
      <c r="M1173" t="s">
        <v>278</v>
      </c>
      <c r="N1173">
        <v>86.23</v>
      </c>
      <c r="O1173">
        <v>17</v>
      </c>
    </row>
    <row r="1174" spans="1:15" x14ac:dyDescent="0.2">
      <c r="A1174" s="6">
        <v>45841</v>
      </c>
      <c r="B1174" t="s">
        <v>15</v>
      </c>
      <c r="C1174" t="s">
        <v>16</v>
      </c>
      <c r="D1174" s="1">
        <v>45855</v>
      </c>
      <c r="E1174" t="s">
        <v>17</v>
      </c>
      <c r="F1174">
        <v>4100</v>
      </c>
      <c r="J1174">
        <v>1620.3</v>
      </c>
      <c r="K1174">
        <v>1648.9</v>
      </c>
      <c r="L1174">
        <v>0</v>
      </c>
      <c r="M1174" t="s">
        <v>18</v>
      </c>
      <c r="N1174">
        <v>0</v>
      </c>
      <c r="O1174">
        <v>0</v>
      </c>
    </row>
    <row r="1175" spans="1:15" x14ac:dyDescent="0.2">
      <c r="A1175" s="6">
        <v>45841</v>
      </c>
      <c r="B1175" t="s">
        <v>15</v>
      </c>
      <c r="C1175" t="s">
        <v>16</v>
      </c>
      <c r="D1175" s="1">
        <v>45855</v>
      </c>
      <c r="E1175" t="s">
        <v>17</v>
      </c>
      <c r="F1175">
        <v>4400</v>
      </c>
      <c r="J1175">
        <v>1321.1</v>
      </c>
      <c r="K1175">
        <v>1349.8</v>
      </c>
      <c r="L1175">
        <v>0</v>
      </c>
      <c r="M1175" t="s">
        <v>18</v>
      </c>
      <c r="N1175">
        <v>0</v>
      </c>
      <c r="O1175">
        <v>0</v>
      </c>
    </row>
    <row r="1176" spans="1:15" x14ac:dyDescent="0.2">
      <c r="A1176" s="6">
        <v>45841</v>
      </c>
      <c r="B1176" t="s">
        <v>15</v>
      </c>
      <c r="C1176" t="s">
        <v>16</v>
      </c>
      <c r="D1176" s="1">
        <v>45855</v>
      </c>
      <c r="E1176" t="s">
        <v>17</v>
      </c>
      <c r="F1176">
        <v>4450</v>
      </c>
      <c r="J1176">
        <v>1271.2</v>
      </c>
      <c r="K1176">
        <v>1300</v>
      </c>
      <c r="L1176">
        <v>0</v>
      </c>
      <c r="M1176" t="s">
        <v>18</v>
      </c>
      <c r="N1176">
        <v>0</v>
      </c>
      <c r="O1176">
        <v>0</v>
      </c>
    </row>
    <row r="1177" spans="1:15" x14ac:dyDescent="0.2">
      <c r="A1177" s="6">
        <v>45841</v>
      </c>
      <c r="B1177" t="s">
        <v>15</v>
      </c>
      <c r="C1177" t="s">
        <v>16</v>
      </c>
      <c r="D1177" s="1">
        <v>45855</v>
      </c>
      <c r="E1177" t="s">
        <v>19</v>
      </c>
      <c r="F1177">
        <v>6950</v>
      </c>
      <c r="J1177">
        <v>1225</v>
      </c>
      <c r="K1177">
        <v>1197.4000000000001</v>
      </c>
      <c r="L1177">
        <v>0</v>
      </c>
      <c r="M1177" t="s">
        <v>18</v>
      </c>
      <c r="N1177">
        <v>0</v>
      </c>
      <c r="O1177">
        <v>15</v>
      </c>
    </row>
    <row r="1178" spans="1:15" x14ac:dyDescent="0.2">
      <c r="A1178" s="6">
        <v>45841</v>
      </c>
      <c r="B1178" t="s">
        <v>15</v>
      </c>
      <c r="C1178" t="s">
        <v>16</v>
      </c>
      <c r="D1178" s="1">
        <v>45855</v>
      </c>
      <c r="E1178" t="s">
        <v>17</v>
      </c>
      <c r="F1178">
        <v>6200</v>
      </c>
      <c r="G1178">
        <v>45.2</v>
      </c>
      <c r="H1178">
        <v>55.9</v>
      </c>
      <c r="I1178">
        <v>36.6</v>
      </c>
      <c r="J1178">
        <v>40.299999999999997</v>
      </c>
      <c r="K1178">
        <v>62</v>
      </c>
      <c r="L1178">
        <v>33886</v>
      </c>
      <c r="M1178" t="s">
        <v>597</v>
      </c>
      <c r="N1178">
        <v>211632.83</v>
      </c>
      <c r="O1178">
        <v>3855</v>
      </c>
    </row>
    <row r="1179" spans="1:15" x14ac:dyDescent="0.2">
      <c r="A1179" s="6">
        <v>45841</v>
      </c>
      <c r="B1179" t="s">
        <v>15</v>
      </c>
      <c r="C1179" t="s">
        <v>16</v>
      </c>
      <c r="D1179" s="1">
        <v>45855</v>
      </c>
      <c r="E1179" t="s">
        <v>17</v>
      </c>
      <c r="F1179">
        <v>5200</v>
      </c>
      <c r="G1179">
        <v>565</v>
      </c>
      <c r="H1179">
        <v>590</v>
      </c>
      <c r="I1179">
        <v>515.9</v>
      </c>
      <c r="J1179">
        <v>537.6</v>
      </c>
      <c r="K1179">
        <v>575.20000000000005</v>
      </c>
      <c r="L1179">
        <v>187</v>
      </c>
      <c r="M1179" t="s">
        <v>598</v>
      </c>
      <c r="N1179">
        <v>1075.05</v>
      </c>
      <c r="O1179">
        <v>99</v>
      </c>
    </row>
    <row r="1180" spans="1:15" x14ac:dyDescent="0.2">
      <c r="A1180" s="6">
        <v>45841</v>
      </c>
      <c r="B1180" t="s">
        <v>15</v>
      </c>
      <c r="C1180" t="s">
        <v>16</v>
      </c>
      <c r="D1180" s="1">
        <v>45855</v>
      </c>
      <c r="E1180" t="s">
        <v>17</v>
      </c>
      <c r="F1180">
        <v>5700</v>
      </c>
      <c r="G1180">
        <v>177.7</v>
      </c>
      <c r="H1180">
        <v>209.8</v>
      </c>
      <c r="I1180">
        <v>154.1</v>
      </c>
      <c r="J1180">
        <v>170.8</v>
      </c>
      <c r="K1180">
        <v>199.6</v>
      </c>
      <c r="L1180">
        <v>143263</v>
      </c>
      <c r="M1180" t="s">
        <v>599</v>
      </c>
      <c r="N1180">
        <v>842325.56</v>
      </c>
      <c r="O1180">
        <v>8234</v>
      </c>
    </row>
    <row r="1181" spans="1:15" x14ac:dyDescent="0.2">
      <c r="A1181" s="6">
        <v>45841</v>
      </c>
      <c r="B1181" t="s">
        <v>15</v>
      </c>
      <c r="C1181" t="s">
        <v>16</v>
      </c>
      <c r="D1181" s="1">
        <v>45855</v>
      </c>
      <c r="E1181" t="s">
        <v>19</v>
      </c>
      <c r="F1181">
        <v>3900</v>
      </c>
      <c r="J1181">
        <v>0.1</v>
      </c>
      <c r="K1181">
        <v>0.1</v>
      </c>
      <c r="L1181">
        <v>0</v>
      </c>
      <c r="M1181" t="s">
        <v>18</v>
      </c>
      <c r="N1181">
        <v>0</v>
      </c>
      <c r="O1181">
        <v>0</v>
      </c>
    </row>
    <row r="1182" spans="1:15" x14ac:dyDescent="0.2">
      <c r="A1182" s="6">
        <v>45841</v>
      </c>
      <c r="B1182" t="s">
        <v>15</v>
      </c>
      <c r="C1182" t="s">
        <v>16</v>
      </c>
      <c r="D1182" s="1">
        <v>45855</v>
      </c>
      <c r="E1182" t="s">
        <v>17</v>
      </c>
      <c r="F1182">
        <v>4750</v>
      </c>
      <c r="J1182">
        <v>973.7</v>
      </c>
      <c r="K1182">
        <v>1003.1</v>
      </c>
      <c r="L1182">
        <v>0</v>
      </c>
      <c r="M1182" t="s">
        <v>18</v>
      </c>
      <c r="N1182">
        <v>0</v>
      </c>
      <c r="O1182">
        <v>0</v>
      </c>
    </row>
    <row r="1183" spans="1:15" x14ac:dyDescent="0.2">
      <c r="A1183" s="6">
        <v>45841</v>
      </c>
      <c r="B1183" t="s">
        <v>15</v>
      </c>
      <c r="C1183" t="s">
        <v>16</v>
      </c>
      <c r="D1183" s="1">
        <v>45855</v>
      </c>
      <c r="E1183" t="s">
        <v>19</v>
      </c>
      <c r="F1183">
        <v>4200</v>
      </c>
      <c r="J1183">
        <v>0.1</v>
      </c>
      <c r="K1183">
        <v>0.1</v>
      </c>
      <c r="L1183">
        <v>0</v>
      </c>
      <c r="M1183" t="s">
        <v>18</v>
      </c>
      <c r="N1183">
        <v>0</v>
      </c>
      <c r="O1183">
        <v>0</v>
      </c>
    </row>
    <row r="1184" spans="1:15" x14ac:dyDescent="0.2">
      <c r="A1184" s="6">
        <v>45841</v>
      </c>
      <c r="B1184" t="s">
        <v>15</v>
      </c>
      <c r="C1184" t="s">
        <v>16</v>
      </c>
      <c r="D1184" s="1">
        <v>45855</v>
      </c>
      <c r="E1184" t="s">
        <v>17</v>
      </c>
      <c r="F1184">
        <v>7300</v>
      </c>
      <c r="G1184">
        <v>14.6</v>
      </c>
      <c r="H1184">
        <v>18</v>
      </c>
      <c r="I1184">
        <v>12.2</v>
      </c>
      <c r="J1184">
        <v>13.5</v>
      </c>
      <c r="K1184">
        <v>24.5</v>
      </c>
      <c r="L1184">
        <v>799</v>
      </c>
      <c r="M1184" t="s">
        <v>600</v>
      </c>
      <c r="N1184">
        <v>5844.63</v>
      </c>
      <c r="O1184">
        <v>808</v>
      </c>
    </row>
    <row r="1185" spans="1:15" x14ac:dyDescent="0.2">
      <c r="A1185" s="6">
        <v>45841</v>
      </c>
      <c r="B1185" t="s">
        <v>15</v>
      </c>
      <c r="C1185" t="s">
        <v>16</v>
      </c>
      <c r="D1185" s="1">
        <v>45855</v>
      </c>
      <c r="E1185" t="s">
        <v>19</v>
      </c>
      <c r="F1185">
        <v>7200</v>
      </c>
      <c r="J1185">
        <v>1473.1</v>
      </c>
      <c r="K1185">
        <v>1444.5</v>
      </c>
      <c r="L1185">
        <v>0</v>
      </c>
      <c r="M1185" t="s">
        <v>18</v>
      </c>
      <c r="N1185">
        <v>0</v>
      </c>
      <c r="O1185">
        <v>0</v>
      </c>
    </row>
    <row r="1186" spans="1:15" x14ac:dyDescent="0.2">
      <c r="A1186" s="6">
        <v>45841</v>
      </c>
      <c r="B1186" t="s">
        <v>15</v>
      </c>
      <c r="C1186" t="s">
        <v>16</v>
      </c>
      <c r="D1186" s="1">
        <v>45855</v>
      </c>
      <c r="E1186" t="s">
        <v>19</v>
      </c>
      <c r="F1186">
        <v>3600</v>
      </c>
      <c r="J1186">
        <v>0.1</v>
      </c>
      <c r="K1186">
        <v>0.1</v>
      </c>
      <c r="L1186">
        <v>0</v>
      </c>
      <c r="M1186" t="s">
        <v>18</v>
      </c>
      <c r="N1186">
        <v>0</v>
      </c>
      <c r="O1186">
        <v>0</v>
      </c>
    </row>
    <row r="1187" spans="1:15" x14ac:dyDescent="0.2">
      <c r="A1187" s="6">
        <v>45841</v>
      </c>
      <c r="B1187" t="s">
        <v>15</v>
      </c>
      <c r="C1187" t="s">
        <v>16</v>
      </c>
      <c r="D1187" s="1">
        <v>45855</v>
      </c>
      <c r="E1187" t="s">
        <v>17</v>
      </c>
      <c r="F1187">
        <v>4950</v>
      </c>
      <c r="J1187">
        <v>779.6</v>
      </c>
      <c r="K1187">
        <v>809.9</v>
      </c>
      <c r="L1187">
        <v>0</v>
      </c>
      <c r="M1187" t="s">
        <v>18</v>
      </c>
      <c r="N1187">
        <v>0</v>
      </c>
      <c r="O1187">
        <v>0</v>
      </c>
    </row>
    <row r="1188" spans="1:15" x14ac:dyDescent="0.2">
      <c r="A1188" s="6">
        <v>45841</v>
      </c>
      <c r="B1188" t="s">
        <v>15</v>
      </c>
      <c r="C1188" t="s">
        <v>16</v>
      </c>
      <c r="D1188" s="1">
        <v>45855</v>
      </c>
      <c r="E1188" t="s">
        <v>17</v>
      </c>
      <c r="F1188">
        <v>5300</v>
      </c>
      <c r="G1188">
        <v>467</v>
      </c>
      <c r="H1188">
        <v>500</v>
      </c>
      <c r="I1188">
        <v>423.8</v>
      </c>
      <c r="J1188">
        <v>452.3</v>
      </c>
      <c r="K1188">
        <v>482.3</v>
      </c>
      <c r="L1188">
        <v>385</v>
      </c>
      <c r="M1188" t="s">
        <v>601</v>
      </c>
      <c r="N1188">
        <v>2217.04</v>
      </c>
      <c r="O1188">
        <v>72</v>
      </c>
    </row>
    <row r="1189" spans="1:15" x14ac:dyDescent="0.2">
      <c r="A1189" s="6">
        <v>45841</v>
      </c>
      <c r="B1189" t="s">
        <v>15</v>
      </c>
      <c r="C1189" t="s">
        <v>16</v>
      </c>
      <c r="D1189" s="1">
        <v>45855</v>
      </c>
      <c r="E1189" t="s">
        <v>19</v>
      </c>
      <c r="F1189">
        <v>4900</v>
      </c>
      <c r="G1189">
        <v>6.9</v>
      </c>
      <c r="H1189">
        <v>11.5</v>
      </c>
      <c r="I1189">
        <v>6.3</v>
      </c>
      <c r="J1189">
        <v>9</v>
      </c>
      <c r="K1189">
        <v>8.6</v>
      </c>
      <c r="L1189">
        <v>1649</v>
      </c>
      <c r="M1189" t="s">
        <v>602</v>
      </c>
      <c r="N1189">
        <v>8095.77</v>
      </c>
      <c r="O1189">
        <v>1074</v>
      </c>
    </row>
    <row r="1190" spans="1:15" x14ac:dyDescent="0.2">
      <c r="A1190" s="6">
        <v>45841</v>
      </c>
      <c r="B1190" t="s">
        <v>15</v>
      </c>
      <c r="C1190" t="s">
        <v>16</v>
      </c>
      <c r="D1190" s="1">
        <v>45855</v>
      </c>
      <c r="E1190" t="s">
        <v>19</v>
      </c>
      <c r="F1190">
        <v>6050</v>
      </c>
      <c r="G1190">
        <v>373.9</v>
      </c>
      <c r="H1190">
        <v>410.7</v>
      </c>
      <c r="I1190">
        <v>354.1</v>
      </c>
      <c r="J1190">
        <v>387.5</v>
      </c>
      <c r="K1190">
        <v>416</v>
      </c>
      <c r="L1190">
        <v>117</v>
      </c>
      <c r="M1190" t="s">
        <v>603</v>
      </c>
      <c r="N1190">
        <v>752.55</v>
      </c>
      <c r="O1190">
        <v>97</v>
      </c>
    </row>
    <row r="1191" spans="1:15" x14ac:dyDescent="0.2">
      <c r="A1191" s="6">
        <v>45841</v>
      </c>
      <c r="B1191" t="s">
        <v>15</v>
      </c>
      <c r="C1191" t="s">
        <v>16</v>
      </c>
      <c r="D1191" s="1">
        <v>45855</v>
      </c>
      <c r="E1191" t="s">
        <v>17</v>
      </c>
      <c r="F1191">
        <v>4800</v>
      </c>
      <c r="J1191">
        <v>924.6</v>
      </c>
      <c r="K1191">
        <v>954.3</v>
      </c>
      <c r="L1191">
        <v>0</v>
      </c>
      <c r="M1191" t="s">
        <v>18</v>
      </c>
      <c r="N1191">
        <v>0</v>
      </c>
      <c r="O1191">
        <v>0</v>
      </c>
    </row>
    <row r="1192" spans="1:15" x14ac:dyDescent="0.2">
      <c r="A1192" s="6">
        <v>45841</v>
      </c>
      <c r="B1192" t="s">
        <v>15</v>
      </c>
      <c r="C1192" t="s">
        <v>16</v>
      </c>
      <c r="D1192" s="1">
        <v>45855</v>
      </c>
      <c r="E1192" t="s">
        <v>17</v>
      </c>
      <c r="F1192">
        <v>4200</v>
      </c>
      <c r="J1192">
        <v>1520.5</v>
      </c>
      <c r="K1192">
        <v>1549.2</v>
      </c>
      <c r="L1192">
        <v>0</v>
      </c>
      <c r="M1192" t="s">
        <v>18</v>
      </c>
      <c r="N1192">
        <v>0</v>
      </c>
      <c r="O1192">
        <v>0</v>
      </c>
    </row>
    <row r="1193" spans="1:15" x14ac:dyDescent="0.2">
      <c r="A1193" s="6">
        <v>45841</v>
      </c>
      <c r="B1193" t="s">
        <v>15</v>
      </c>
      <c r="C1193" t="s">
        <v>16</v>
      </c>
      <c r="D1193" s="1">
        <v>45855</v>
      </c>
      <c r="E1193" t="s">
        <v>17</v>
      </c>
      <c r="F1193">
        <v>4900</v>
      </c>
      <c r="J1193">
        <v>827.5</v>
      </c>
      <c r="K1193">
        <v>857.6</v>
      </c>
      <c r="L1193">
        <v>0</v>
      </c>
      <c r="M1193" t="s">
        <v>18</v>
      </c>
      <c r="N1193">
        <v>0</v>
      </c>
      <c r="O1193">
        <v>0</v>
      </c>
    </row>
    <row r="1194" spans="1:15" x14ac:dyDescent="0.2">
      <c r="A1194" s="6">
        <v>45841</v>
      </c>
      <c r="B1194" t="s">
        <v>15</v>
      </c>
      <c r="C1194" t="s">
        <v>16</v>
      </c>
      <c r="D1194" s="1">
        <v>45855</v>
      </c>
      <c r="E1194" t="s">
        <v>17</v>
      </c>
      <c r="F1194">
        <v>5250</v>
      </c>
      <c r="G1194">
        <v>501.4</v>
      </c>
      <c r="H1194">
        <v>501.4</v>
      </c>
      <c r="I1194">
        <v>501.4</v>
      </c>
      <c r="J1194">
        <v>501.4</v>
      </c>
      <c r="K1194">
        <v>420</v>
      </c>
      <c r="L1194">
        <v>1</v>
      </c>
      <c r="M1194" t="s">
        <v>155</v>
      </c>
      <c r="N1194">
        <v>5.75</v>
      </c>
      <c r="O1194">
        <v>20</v>
      </c>
    </row>
    <row r="1195" spans="1:15" x14ac:dyDescent="0.2">
      <c r="A1195" s="6">
        <v>45841</v>
      </c>
      <c r="B1195" t="s">
        <v>15</v>
      </c>
      <c r="C1195" t="s">
        <v>16</v>
      </c>
      <c r="D1195" s="1">
        <v>45855</v>
      </c>
      <c r="E1195" t="s">
        <v>19</v>
      </c>
      <c r="F1195">
        <v>6650</v>
      </c>
      <c r="G1195">
        <v>912</v>
      </c>
      <c r="H1195">
        <v>950</v>
      </c>
      <c r="I1195">
        <v>912</v>
      </c>
      <c r="J1195">
        <v>937.3</v>
      </c>
      <c r="K1195">
        <v>1018.8</v>
      </c>
      <c r="L1195">
        <v>3</v>
      </c>
      <c r="M1195" t="s">
        <v>34</v>
      </c>
      <c r="N1195">
        <v>22.76</v>
      </c>
      <c r="O1195">
        <v>21</v>
      </c>
    </row>
    <row r="1196" spans="1:15" x14ac:dyDescent="0.2">
      <c r="A1196" s="6">
        <v>45841</v>
      </c>
      <c r="B1196" t="s">
        <v>15</v>
      </c>
      <c r="C1196" t="s">
        <v>16</v>
      </c>
      <c r="D1196" s="1">
        <v>45855</v>
      </c>
      <c r="E1196" t="s">
        <v>17</v>
      </c>
      <c r="F1196">
        <v>5100</v>
      </c>
      <c r="G1196">
        <v>676.4</v>
      </c>
      <c r="H1196">
        <v>676.4</v>
      </c>
      <c r="I1196">
        <v>676.4</v>
      </c>
      <c r="J1196">
        <v>676.4</v>
      </c>
      <c r="K1196">
        <v>589.4</v>
      </c>
      <c r="L1196">
        <v>1</v>
      </c>
      <c r="M1196" t="s">
        <v>155</v>
      </c>
      <c r="N1196">
        <v>5.78</v>
      </c>
      <c r="O1196">
        <v>8</v>
      </c>
    </row>
    <row r="1197" spans="1:15" x14ac:dyDescent="0.2">
      <c r="A1197" s="6">
        <v>45841</v>
      </c>
      <c r="B1197" t="s">
        <v>15</v>
      </c>
      <c r="C1197" t="s">
        <v>16</v>
      </c>
      <c r="D1197" s="1">
        <v>45855</v>
      </c>
      <c r="E1197" t="s">
        <v>17</v>
      </c>
      <c r="F1197">
        <v>4650</v>
      </c>
      <c r="J1197">
        <v>1072.4000000000001</v>
      </c>
      <c r="K1197">
        <v>1101.5999999999999</v>
      </c>
      <c r="L1197">
        <v>0</v>
      </c>
      <c r="M1197" t="s">
        <v>18</v>
      </c>
      <c r="N1197">
        <v>0</v>
      </c>
      <c r="O1197">
        <v>0</v>
      </c>
    </row>
    <row r="1198" spans="1:15" x14ac:dyDescent="0.2">
      <c r="A1198" s="6">
        <v>45841</v>
      </c>
      <c r="B1198" t="s">
        <v>15</v>
      </c>
      <c r="C1198" t="s">
        <v>16</v>
      </c>
      <c r="D1198" s="1">
        <v>45855</v>
      </c>
      <c r="E1198" t="s">
        <v>19</v>
      </c>
      <c r="F1198">
        <v>5100</v>
      </c>
      <c r="G1198">
        <v>14.2</v>
      </c>
      <c r="H1198">
        <v>17.399999999999999</v>
      </c>
      <c r="I1198">
        <v>13</v>
      </c>
      <c r="J1198">
        <v>13.9</v>
      </c>
      <c r="K1198">
        <v>14.4</v>
      </c>
      <c r="L1198">
        <v>10171</v>
      </c>
      <c r="M1198" t="s">
        <v>604</v>
      </c>
      <c r="N1198">
        <v>52017.72</v>
      </c>
      <c r="O1198">
        <v>1949</v>
      </c>
    </row>
    <row r="1199" spans="1:15" x14ac:dyDescent="0.2">
      <c r="A1199" s="6">
        <v>45841</v>
      </c>
      <c r="B1199" t="s">
        <v>15</v>
      </c>
      <c r="C1199" t="s">
        <v>16</v>
      </c>
      <c r="D1199" s="1">
        <v>45855</v>
      </c>
      <c r="E1199" t="s">
        <v>19</v>
      </c>
      <c r="F1199">
        <v>5800</v>
      </c>
      <c r="G1199">
        <v>203</v>
      </c>
      <c r="H1199">
        <v>224.9</v>
      </c>
      <c r="I1199">
        <v>180.3</v>
      </c>
      <c r="J1199">
        <v>200.3</v>
      </c>
      <c r="K1199">
        <v>198.6</v>
      </c>
      <c r="L1199">
        <v>70606</v>
      </c>
      <c r="M1199" t="s">
        <v>605</v>
      </c>
      <c r="N1199">
        <v>423726.76</v>
      </c>
      <c r="O1199">
        <v>2370</v>
      </c>
    </row>
    <row r="1200" spans="1:15" x14ac:dyDescent="0.2">
      <c r="A1200" s="6">
        <v>45841</v>
      </c>
      <c r="B1200" t="s">
        <v>15</v>
      </c>
      <c r="C1200" t="s">
        <v>16</v>
      </c>
      <c r="D1200" s="1">
        <v>45855</v>
      </c>
      <c r="E1200" t="s">
        <v>17</v>
      </c>
      <c r="F1200">
        <v>6900</v>
      </c>
      <c r="G1200">
        <v>19.8</v>
      </c>
      <c r="H1200">
        <v>23</v>
      </c>
      <c r="I1200">
        <v>16.5</v>
      </c>
      <c r="J1200">
        <v>18.399999999999999</v>
      </c>
      <c r="K1200">
        <v>33.1</v>
      </c>
      <c r="L1200">
        <v>1755</v>
      </c>
      <c r="M1200" t="s">
        <v>437</v>
      </c>
      <c r="N1200">
        <v>12143.16</v>
      </c>
      <c r="O1200">
        <v>1053</v>
      </c>
    </row>
    <row r="1201" spans="1:15" x14ac:dyDescent="0.2">
      <c r="A1201" s="6">
        <v>45841</v>
      </c>
      <c r="B1201" t="s">
        <v>15</v>
      </c>
      <c r="C1201" t="s">
        <v>16</v>
      </c>
      <c r="D1201" s="1">
        <v>45855</v>
      </c>
      <c r="E1201" t="s">
        <v>17</v>
      </c>
      <c r="F1201">
        <v>7500</v>
      </c>
      <c r="G1201">
        <v>16.5</v>
      </c>
      <c r="H1201">
        <v>19.5</v>
      </c>
      <c r="I1201">
        <v>11.1</v>
      </c>
      <c r="J1201">
        <v>12.3</v>
      </c>
      <c r="K1201">
        <v>22.3</v>
      </c>
      <c r="L1201">
        <v>3978</v>
      </c>
      <c r="M1201" t="s">
        <v>606</v>
      </c>
      <c r="N1201">
        <v>29892.22</v>
      </c>
      <c r="O1201">
        <v>2681</v>
      </c>
    </row>
    <row r="1202" spans="1:15" x14ac:dyDescent="0.2">
      <c r="A1202" s="6">
        <v>45841</v>
      </c>
      <c r="B1202" t="s">
        <v>15</v>
      </c>
      <c r="C1202" t="s">
        <v>16</v>
      </c>
      <c r="D1202" s="1">
        <v>45855</v>
      </c>
      <c r="E1202" t="s">
        <v>19</v>
      </c>
      <c r="F1202">
        <v>7150</v>
      </c>
      <c r="J1202">
        <v>1423.4</v>
      </c>
      <c r="K1202">
        <v>1394.9</v>
      </c>
      <c r="L1202">
        <v>0</v>
      </c>
      <c r="M1202" t="s">
        <v>18</v>
      </c>
      <c r="N1202">
        <v>0</v>
      </c>
      <c r="O1202">
        <v>0</v>
      </c>
    </row>
    <row r="1203" spans="1:15" x14ac:dyDescent="0.2">
      <c r="A1203" s="6">
        <v>45841</v>
      </c>
      <c r="B1203" t="s">
        <v>15</v>
      </c>
      <c r="C1203" t="s">
        <v>16</v>
      </c>
      <c r="D1203" s="1">
        <v>45855</v>
      </c>
      <c r="E1203" t="s">
        <v>17</v>
      </c>
      <c r="F1203">
        <v>6700</v>
      </c>
      <c r="G1203">
        <v>35</v>
      </c>
      <c r="H1203">
        <v>35</v>
      </c>
      <c r="I1203">
        <v>19.3</v>
      </c>
      <c r="J1203">
        <v>21</v>
      </c>
      <c r="K1203">
        <v>37.1</v>
      </c>
      <c r="L1203">
        <v>3184</v>
      </c>
      <c r="M1203" t="s">
        <v>203</v>
      </c>
      <c r="N1203">
        <v>21406.799999999999</v>
      </c>
      <c r="O1203">
        <v>1638</v>
      </c>
    </row>
    <row r="1204" spans="1:15" x14ac:dyDescent="0.2">
      <c r="A1204" s="6">
        <v>45841</v>
      </c>
      <c r="B1204" t="s">
        <v>15</v>
      </c>
      <c r="C1204" t="s">
        <v>16</v>
      </c>
      <c r="D1204" s="1">
        <v>45855</v>
      </c>
      <c r="E1204" t="s">
        <v>17</v>
      </c>
      <c r="F1204">
        <v>6800</v>
      </c>
      <c r="G1204">
        <v>26.3</v>
      </c>
      <c r="H1204">
        <v>26.3</v>
      </c>
      <c r="I1204">
        <v>15.7</v>
      </c>
      <c r="J1204">
        <v>19.600000000000001</v>
      </c>
      <c r="K1204">
        <v>34.9</v>
      </c>
      <c r="L1204">
        <v>3513</v>
      </c>
      <c r="M1204" t="s">
        <v>607</v>
      </c>
      <c r="N1204">
        <v>23961.84</v>
      </c>
      <c r="O1204">
        <v>1232</v>
      </c>
    </row>
    <row r="1205" spans="1:15" x14ac:dyDescent="0.2">
      <c r="A1205" s="6">
        <v>45841</v>
      </c>
      <c r="B1205" t="s">
        <v>15</v>
      </c>
      <c r="C1205" t="s">
        <v>16</v>
      </c>
      <c r="D1205" s="1">
        <v>45855</v>
      </c>
      <c r="E1205" t="s">
        <v>19</v>
      </c>
      <c r="F1205">
        <v>4550</v>
      </c>
      <c r="G1205">
        <v>6</v>
      </c>
      <c r="H1205">
        <v>7.8</v>
      </c>
      <c r="I1205">
        <v>6</v>
      </c>
      <c r="J1205">
        <v>7.2</v>
      </c>
      <c r="K1205">
        <v>0.6</v>
      </c>
      <c r="L1205">
        <v>36</v>
      </c>
      <c r="M1205" t="s">
        <v>146</v>
      </c>
      <c r="N1205">
        <v>164.05</v>
      </c>
      <c r="O1205">
        <v>17</v>
      </c>
    </row>
    <row r="1206" spans="1:15" x14ac:dyDescent="0.2">
      <c r="A1206" s="6">
        <v>45841</v>
      </c>
      <c r="B1206" t="s">
        <v>15</v>
      </c>
      <c r="C1206" t="s">
        <v>16</v>
      </c>
      <c r="D1206" s="1">
        <v>45855</v>
      </c>
      <c r="E1206" t="s">
        <v>17</v>
      </c>
      <c r="F1206">
        <v>7350</v>
      </c>
      <c r="G1206">
        <v>23.1</v>
      </c>
      <c r="H1206">
        <v>23.1</v>
      </c>
      <c r="I1206">
        <v>13.6</v>
      </c>
      <c r="J1206">
        <v>16.8</v>
      </c>
      <c r="K1206">
        <v>20</v>
      </c>
      <c r="L1206">
        <v>92</v>
      </c>
      <c r="M1206" t="s">
        <v>608</v>
      </c>
      <c r="N1206">
        <v>677.82</v>
      </c>
      <c r="O1206">
        <v>240</v>
      </c>
    </row>
    <row r="1207" spans="1:15" x14ac:dyDescent="0.2">
      <c r="A1207" s="6">
        <v>45841</v>
      </c>
      <c r="B1207" t="s">
        <v>15</v>
      </c>
      <c r="C1207" t="s">
        <v>16</v>
      </c>
      <c r="D1207" s="1">
        <v>45855</v>
      </c>
      <c r="E1207" t="s">
        <v>17</v>
      </c>
      <c r="F1207">
        <v>6850</v>
      </c>
      <c r="G1207">
        <v>17.7</v>
      </c>
      <c r="H1207">
        <v>23.5</v>
      </c>
      <c r="I1207">
        <v>16.399999999999999</v>
      </c>
      <c r="J1207">
        <v>18.600000000000001</v>
      </c>
      <c r="K1207">
        <v>35.700000000000003</v>
      </c>
      <c r="L1207">
        <v>562</v>
      </c>
      <c r="M1207" t="s">
        <v>231</v>
      </c>
      <c r="N1207">
        <v>3860.69</v>
      </c>
      <c r="O1207">
        <v>323</v>
      </c>
    </row>
    <row r="1208" spans="1:15" x14ac:dyDescent="0.2">
      <c r="A1208" s="6">
        <v>45841</v>
      </c>
      <c r="B1208" t="s">
        <v>15</v>
      </c>
      <c r="C1208" t="s">
        <v>16</v>
      </c>
      <c r="D1208" s="1">
        <v>45855</v>
      </c>
      <c r="E1208" t="s">
        <v>19</v>
      </c>
      <c r="F1208">
        <v>4700</v>
      </c>
      <c r="G1208">
        <v>5.6</v>
      </c>
      <c r="H1208">
        <v>8.9</v>
      </c>
      <c r="I1208">
        <v>5.6</v>
      </c>
      <c r="J1208">
        <v>6.9</v>
      </c>
      <c r="K1208">
        <v>6.9</v>
      </c>
      <c r="L1208">
        <v>317</v>
      </c>
      <c r="M1208" t="s">
        <v>609</v>
      </c>
      <c r="N1208">
        <v>1492.32</v>
      </c>
      <c r="O1208">
        <v>169</v>
      </c>
    </row>
    <row r="1209" spans="1:15" x14ac:dyDescent="0.2">
      <c r="A1209" s="6">
        <v>45841</v>
      </c>
      <c r="B1209" t="s">
        <v>15</v>
      </c>
      <c r="C1209" t="s">
        <v>16</v>
      </c>
      <c r="D1209" s="1">
        <v>45855</v>
      </c>
      <c r="E1209" t="s">
        <v>19</v>
      </c>
      <c r="F1209">
        <v>3750</v>
      </c>
      <c r="J1209">
        <v>0.1</v>
      </c>
      <c r="K1209">
        <v>0.1</v>
      </c>
      <c r="L1209">
        <v>0</v>
      </c>
      <c r="M1209" t="s">
        <v>18</v>
      </c>
      <c r="N1209">
        <v>0</v>
      </c>
      <c r="O1209">
        <v>0</v>
      </c>
    </row>
    <row r="1210" spans="1:15" x14ac:dyDescent="0.2">
      <c r="A1210" s="6">
        <v>45841</v>
      </c>
      <c r="B1210" t="s">
        <v>15</v>
      </c>
      <c r="C1210" t="s">
        <v>16</v>
      </c>
      <c r="D1210" s="1">
        <v>45855</v>
      </c>
      <c r="E1210" t="s">
        <v>19</v>
      </c>
      <c r="F1210">
        <v>5450</v>
      </c>
      <c r="G1210">
        <v>58.1</v>
      </c>
      <c r="H1210">
        <v>67</v>
      </c>
      <c r="I1210">
        <v>49.1</v>
      </c>
      <c r="J1210">
        <v>55.3</v>
      </c>
      <c r="K1210">
        <v>59.5</v>
      </c>
      <c r="L1210">
        <v>17756</v>
      </c>
      <c r="M1210" t="s">
        <v>610</v>
      </c>
      <c r="N1210">
        <v>97791.11</v>
      </c>
      <c r="O1210">
        <v>1156</v>
      </c>
    </row>
    <row r="1211" spans="1:15" x14ac:dyDescent="0.2">
      <c r="A1211" s="6">
        <v>45841</v>
      </c>
      <c r="B1211" t="s">
        <v>15</v>
      </c>
      <c r="C1211" t="s">
        <v>16</v>
      </c>
      <c r="D1211" s="1">
        <v>45855</v>
      </c>
      <c r="E1211" t="s">
        <v>17</v>
      </c>
      <c r="F1211">
        <v>6650</v>
      </c>
      <c r="G1211">
        <v>21.8</v>
      </c>
      <c r="H1211">
        <v>29.6</v>
      </c>
      <c r="I1211">
        <v>20.100000000000001</v>
      </c>
      <c r="J1211">
        <v>22.7</v>
      </c>
      <c r="K1211">
        <v>41.9</v>
      </c>
      <c r="L1211">
        <v>993</v>
      </c>
      <c r="M1211" t="s">
        <v>611</v>
      </c>
      <c r="N1211">
        <v>6627.75</v>
      </c>
      <c r="O1211">
        <v>362</v>
      </c>
    </row>
    <row r="1212" spans="1:15" x14ac:dyDescent="0.2">
      <c r="A1212" s="6">
        <v>45841</v>
      </c>
      <c r="B1212" t="s">
        <v>15</v>
      </c>
      <c r="C1212" t="s">
        <v>16</v>
      </c>
      <c r="D1212" s="1">
        <v>45855</v>
      </c>
      <c r="E1212" t="s">
        <v>17</v>
      </c>
      <c r="F1212">
        <v>3750</v>
      </c>
      <c r="J1212">
        <v>1969.5</v>
      </c>
      <c r="K1212">
        <v>1998.1</v>
      </c>
      <c r="L1212">
        <v>0</v>
      </c>
      <c r="M1212" t="s">
        <v>18</v>
      </c>
      <c r="N1212">
        <v>0</v>
      </c>
      <c r="O1212">
        <v>0</v>
      </c>
    </row>
    <row r="1213" spans="1:15" x14ac:dyDescent="0.2">
      <c r="A1213" s="6">
        <v>45841</v>
      </c>
      <c r="B1213" t="s">
        <v>15</v>
      </c>
      <c r="C1213" t="s">
        <v>16</v>
      </c>
      <c r="D1213" s="1">
        <v>45855</v>
      </c>
      <c r="E1213" t="s">
        <v>17</v>
      </c>
      <c r="F1213">
        <v>7150</v>
      </c>
      <c r="G1213">
        <v>15.7</v>
      </c>
      <c r="H1213">
        <v>19.2</v>
      </c>
      <c r="I1213">
        <v>15.1</v>
      </c>
      <c r="J1213">
        <v>15.9</v>
      </c>
      <c r="K1213">
        <v>32.4</v>
      </c>
      <c r="L1213">
        <v>44</v>
      </c>
      <c r="M1213" t="s">
        <v>94</v>
      </c>
      <c r="N1213">
        <v>315.35000000000002</v>
      </c>
      <c r="O1213">
        <v>119</v>
      </c>
    </row>
    <row r="1214" spans="1:15" x14ac:dyDescent="0.2">
      <c r="A1214" s="6">
        <v>45841</v>
      </c>
      <c r="B1214" t="s">
        <v>15</v>
      </c>
      <c r="C1214" t="s">
        <v>16</v>
      </c>
      <c r="D1214" s="1">
        <v>45855</v>
      </c>
      <c r="E1214" t="s">
        <v>19</v>
      </c>
      <c r="F1214">
        <v>7700</v>
      </c>
      <c r="G1214">
        <v>2079.6</v>
      </c>
      <c r="H1214">
        <v>2079.6</v>
      </c>
      <c r="I1214">
        <v>2079.6</v>
      </c>
      <c r="J1214">
        <v>2079.6</v>
      </c>
      <c r="K1214">
        <v>1942.3</v>
      </c>
      <c r="L1214">
        <v>1</v>
      </c>
      <c r="M1214" t="s">
        <v>155</v>
      </c>
      <c r="N1214">
        <v>9.7799999999999994</v>
      </c>
      <c r="O1214">
        <v>1</v>
      </c>
    </row>
    <row r="1215" spans="1:15" x14ac:dyDescent="0.2">
      <c r="A1215" s="6">
        <v>45841</v>
      </c>
      <c r="B1215" t="s">
        <v>15</v>
      </c>
      <c r="C1215" t="s">
        <v>16</v>
      </c>
      <c r="D1215" s="1">
        <v>45855</v>
      </c>
      <c r="E1215" t="s">
        <v>19</v>
      </c>
      <c r="F1215">
        <v>6750</v>
      </c>
      <c r="J1215">
        <v>1028.3</v>
      </c>
      <c r="K1215">
        <v>1002.5</v>
      </c>
      <c r="L1215">
        <v>0</v>
      </c>
      <c r="M1215" t="s">
        <v>18</v>
      </c>
      <c r="N1215">
        <v>0</v>
      </c>
      <c r="O1215">
        <v>19</v>
      </c>
    </row>
    <row r="1216" spans="1:15" x14ac:dyDescent="0.2">
      <c r="A1216" s="6">
        <v>45841</v>
      </c>
      <c r="B1216" t="s">
        <v>15</v>
      </c>
      <c r="C1216" t="s">
        <v>16</v>
      </c>
      <c r="D1216" s="1">
        <v>45855</v>
      </c>
      <c r="E1216" t="s">
        <v>17</v>
      </c>
      <c r="F1216">
        <v>6050</v>
      </c>
      <c r="G1216">
        <v>65</v>
      </c>
      <c r="H1216">
        <v>79.3</v>
      </c>
      <c r="I1216">
        <v>52.2</v>
      </c>
      <c r="J1216">
        <v>58.4</v>
      </c>
      <c r="K1216">
        <v>83.3</v>
      </c>
      <c r="L1216">
        <v>14494</v>
      </c>
      <c r="M1216" t="s">
        <v>612</v>
      </c>
      <c r="N1216">
        <v>88641.66</v>
      </c>
      <c r="O1216">
        <v>1097</v>
      </c>
    </row>
    <row r="1217" spans="1:15" x14ac:dyDescent="0.2">
      <c r="A1217" s="6">
        <v>45841</v>
      </c>
      <c r="B1217" t="s">
        <v>15</v>
      </c>
      <c r="C1217" t="s">
        <v>16</v>
      </c>
      <c r="D1217" s="1">
        <v>45855</v>
      </c>
      <c r="E1217" t="s">
        <v>19</v>
      </c>
      <c r="F1217">
        <v>5300</v>
      </c>
      <c r="G1217">
        <v>31.6</v>
      </c>
      <c r="H1217">
        <v>36.700000000000003</v>
      </c>
      <c r="I1217">
        <v>26.2</v>
      </c>
      <c r="J1217">
        <v>29.6</v>
      </c>
      <c r="K1217">
        <v>33.200000000000003</v>
      </c>
      <c r="L1217">
        <v>23231</v>
      </c>
      <c r="M1217" t="s">
        <v>613</v>
      </c>
      <c r="N1217">
        <v>123834.33</v>
      </c>
      <c r="O1217">
        <v>2563</v>
      </c>
    </row>
    <row r="1218" spans="1:15" x14ac:dyDescent="0.2">
      <c r="A1218" s="6">
        <v>45841</v>
      </c>
      <c r="B1218" t="s">
        <v>15</v>
      </c>
      <c r="C1218" t="s">
        <v>16</v>
      </c>
      <c r="D1218" s="1">
        <v>45855</v>
      </c>
      <c r="E1218" t="s">
        <v>19</v>
      </c>
      <c r="F1218">
        <v>5400</v>
      </c>
      <c r="G1218">
        <v>49</v>
      </c>
      <c r="H1218">
        <v>54.4</v>
      </c>
      <c r="I1218">
        <v>39.299999999999997</v>
      </c>
      <c r="J1218">
        <v>44.9</v>
      </c>
      <c r="K1218">
        <v>48.4</v>
      </c>
      <c r="L1218">
        <v>40290</v>
      </c>
      <c r="M1218" t="s">
        <v>614</v>
      </c>
      <c r="N1218">
        <v>219409.46</v>
      </c>
      <c r="O1218">
        <v>4112</v>
      </c>
    </row>
    <row r="1219" spans="1:15" x14ac:dyDescent="0.2">
      <c r="A1219" s="6">
        <v>45841</v>
      </c>
      <c r="B1219" t="s">
        <v>15</v>
      </c>
      <c r="C1219" t="s">
        <v>16</v>
      </c>
      <c r="D1219" s="1">
        <v>45855</v>
      </c>
      <c r="E1219" t="s">
        <v>19</v>
      </c>
      <c r="F1219">
        <v>6400</v>
      </c>
      <c r="G1219">
        <v>689.5</v>
      </c>
      <c r="H1219">
        <v>729</v>
      </c>
      <c r="I1219">
        <v>689.5</v>
      </c>
      <c r="J1219">
        <v>709.5</v>
      </c>
      <c r="K1219">
        <v>730.8</v>
      </c>
      <c r="L1219">
        <v>16</v>
      </c>
      <c r="M1219" t="s">
        <v>259</v>
      </c>
      <c r="N1219">
        <v>113.73</v>
      </c>
      <c r="O1219">
        <v>802</v>
      </c>
    </row>
    <row r="1220" spans="1:15" x14ac:dyDescent="0.2">
      <c r="A1220" s="6">
        <v>45841</v>
      </c>
      <c r="B1220" t="s">
        <v>15</v>
      </c>
      <c r="C1220" t="s">
        <v>16</v>
      </c>
      <c r="D1220" s="1">
        <v>45855</v>
      </c>
      <c r="E1220" t="s">
        <v>17</v>
      </c>
      <c r="F1220">
        <v>6550</v>
      </c>
      <c r="G1220">
        <v>43.3</v>
      </c>
      <c r="H1220">
        <v>43.3</v>
      </c>
      <c r="I1220">
        <v>22.6</v>
      </c>
      <c r="J1220">
        <v>25.1</v>
      </c>
      <c r="K1220">
        <v>45.5</v>
      </c>
      <c r="L1220">
        <v>2393</v>
      </c>
      <c r="M1220" t="s">
        <v>615</v>
      </c>
      <c r="N1220">
        <v>15740.5</v>
      </c>
      <c r="O1220">
        <v>1119</v>
      </c>
    </row>
    <row r="1221" spans="1:15" x14ac:dyDescent="0.2">
      <c r="A1221" s="6">
        <v>45841</v>
      </c>
      <c r="B1221" t="s">
        <v>15</v>
      </c>
      <c r="C1221" t="s">
        <v>16</v>
      </c>
      <c r="D1221" s="1">
        <v>45855</v>
      </c>
      <c r="E1221" t="s">
        <v>19</v>
      </c>
      <c r="F1221">
        <v>5700</v>
      </c>
      <c r="G1221">
        <v>144.4</v>
      </c>
      <c r="H1221">
        <v>167</v>
      </c>
      <c r="I1221">
        <v>129.19999999999999</v>
      </c>
      <c r="J1221">
        <v>146.30000000000001</v>
      </c>
      <c r="K1221">
        <v>146.9</v>
      </c>
      <c r="L1221">
        <v>156452</v>
      </c>
      <c r="M1221" t="s">
        <v>616</v>
      </c>
      <c r="N1221">
        <v>914943.89</v>
      </c>
      <c r="O1221">
        <v>5777</v>
      </c>
    </row>
    <row r="1222" spans="1:15" x14ac:dyDescent="0.2">
      <c r="A1222" s="6">
        <v>45841</v>
      </c>
      <c r="B1222" t="s">
        <v>15</v>
      </c>
      <c r="C1222" t="s">
        <v>16</v>
      </c>
      <c r="D1222" s="1">
        <v>45855</v>
      </c>
      <c r="E1222" t="s">
        <v>19</v>
      </c>
      <c r="F1222">
        <v>3700</v>
      </c>
      <c r="G1222">
        <v>4.4000000000000004</v>
      </c>
      <c r="H1222">
        <v>4.4000000000000004</v>
      </c>
      <c r="I1222">
        <v>1.2</v>
      </c>
      <c r="J1222">
        <v>2.8</v>
      </c>
      <c r="K1222">
        <v>4.9000000000000004</v>
      </c>
      <c r="L1222">
        <v>10</v>
      </c>
      <c r="M1222" t="s">
        <v>69</v>
      </c>
      <c r="N1222">
        <v>37.03</v>
      </c>
      <c r="O1222">
        <v>10</v>
      </c>
    </row>
    <row r="1223" spans="1:15" x14ac:dyDescent="0.2">
      <c r="A1223" s="6">
        <v>45841</v>
      </c>
      <c r="B1223" t="s">
        <v>15</v>
      </c>
      <c r="C1223" t="s">
        <v>16</v>
      </c>
      <c r="D1223" s="1">
        <v>45855</v>
      </c>
      <c r="E1223" t="s">
        <v>19</v>
      </c>
      <c r="F1223">
        <v>4450</v>
      </c>
      <c r="J1223">
        <v>0.2</v>
      </c>
      <c r="K1223">
        <v>0.3</v>
      </c>
      <c r="L1223">
        <v>0</v>
      </c>
      <c r="M1223" t="s">
        <v>18</v>
      </c>
      <c r="N1223">
        <v>0</v>
      </c>
      <c r="O1223">
        <v>1</v>
      </c>
    </row>
    <row r="1224" spans="1:15" x14ac:dyDescent="0.2">
      <c r="A1224" s="6">
        <v>45841</v>
      </c>
      <c r="B1224" t="s">
        <v>15</v>
      </c>
      <c r="C1224" t="s">
        <v>16</v>
      </c>
      <c r="D1224" s="1">
        <v>45855</v>
      </c>
      <c r="E1224" t="s">
        <v>17</v>
      </c>
      <c r="F1224">
        <v>7650</v>
      </c>
      <c r="G1224">
        <v>17.3</v>
      </c>
      <c r="H1224">
        <v>20</v>
      </c>
      <c r="I1224">
        <v>9.4</v>
      </c>
      <c r="J1224">
        <v>10.199999999999999</v>
      </c>
      <c r="K1224">
        <v>18.2</v>
      </c>
      <c r="L1224">
        <v>712</v>
      </c>
      <c r="M1224" t="s">
        <v>617</v>
      </c>
      <c r="N1224">
        <v>5455.98</v>
      </c>
      <c r="O1224">
        <v>247</v>
      </c>
    </row>
    <row r="1225" spans="1:15" x14ac:dyDescent="0.2">
      <c r="A1225" s="6">
        <v>45841</v>
      </c>
      <c r="B1225" t="s">
        <v>15</v>
      </c>
      <c r="C1225" t="s">
        <v>16</v>
      </c>
      <c r="D1225" s="1">
        <v>45855</v>
      </c>
      <c r="E1225" t="s">
        <v>19</v>
      </c>
      <c r="F1225">
        <v>5050</v>
      </c>
      <c r="G1225">
        <v>11.9</v>
      </c>
      <c r="H1225">
        <v>16</v>
      </c>
      <c r="I1225">
        <v>11.9</v>
      </c>
      <c r="J1225">
        <v>13.3</v>
      </c>
      <c r="K1225">
        <v>13.2</v>
      </c>
      <c r="L1225">
        <v>599</v>
      </c>
      <c r="M1225" t="s">
        <v>618</v>
      </c>
      <c r="N1225">
        <v>3033.27</v>
      </c>
      <c r="O1225">
        <v>373</v>
      </c>
    </row>
    <row r="1226" spans="1:15" x14ac:dyDescent="0.2">
      <c r="A1226" s="6">
        <v>45841</v>
      </c>
      <c r="B1226" t="s">
        <v>15</v>
      </c>
      <c r="C1226" t="s">
        <v>16</v>
      </c>
      <c r="D1226" s="1">
        <v>45855</v>
      </c>
      <c r="E1226" t="s">
        <v>19</v>
      </c>
      <c r="F1226">
        <v>4950</v>
      </c>
      <c r="G1226">
        <v>9.4</v>
      </c>
      <c r="H1226">
        <v>13</v>
      </c>
      <c r="I1226">
        <v>9.4</v>
      </c>
      <c r="J1226">
        <v>10.9</v>
      </c>
      <c r="K1226">
        <v>10.4</v>
      </c>
      <c r="L1226">
        <v>445</v>
      </c>
      <c r="M1226" t="s">
        <v>156</v>
      </c>
      <c r="N1226">
        <v>2207.85</v>
      </c>
      <c r="O1226">
        <v>198</v>
      </c>
    </row>
    <row r="1227" spans="1:15" x14ac:dyDescent="0.2">
      <c r="A1227" s="6">
        <v>45841</v>
      </c>
      <c r="B1227" t="s">
        <v>15</v>
      </c>
      <c r="C1227" t="s">
        <v>16</v>
      </c>
      <c r="D1227" s="1">
        <v>45855</v>
      </c>
      <c r="E1227" t="s">
        <v>17</v>
      </c>
      <c r="F1227">
        <v>6750</v>
      </c>
      <c r="G1227">
        <v>30</v>
      </c>
      <c r="H1227">
        <v>30</v>
      </c>
      <c r="I1227">
        <v>18.5</v>
      </c>
      <c r="J1227">
        <v>20.399999999999999</v>
      </c>
      <c r="K1227">
        <v>39.299999999999997</v>
      </c>
      <c r="L1227">
        <v>511</v>
      </c>
      <c r="M1227" t="s">
        <v>619</v>
      </c>
      <c r="N1227">
        <v>3460.55</v>
      </c>
      <c r="O1227">
        <v>224</v>
      </c>
    </row>
    <row r="1228" spans="1:15" x14ac:dyDescent="0.2">
      <c r="A1228" s="6">
        <v>45841</v>
      </c>
      <c r="B1228" t="s">
        <v>15</v>
      </c>
      <c r="C1228" t="s">
        <v>16</v>
      </c>
      <c r="D1228" s="1">
        <v>45855</v>
      </c>
      <c r="E1228" t="s">
        <v>17</v>
      </c>
      <c r="F1228">
        <v>5600</v>
      </c>
      <c r="G1228">
        <v>235.1</v>
      </c>
      <c r="H1228">
        <v>268</v>
      </c>
      <c r="I1228">
        <v>205</v>
      </c>
      <c r="J1228">
        <v>224.9</v>
      </c>
      <c r="K1228">
        <v>254.4</v>
      </c>
      <c r="L1228">
        <v>43144</v>
      </c>
      <c r="M1228" t="s">
        <v>620</v>
      </c>
      <c r="N1228">
        <v>251679.3</v>
      </c>
      <c r="O1228">
        <v>4755</v>
      </c>
    </row>
    <row r="1229" spans="1:15" x14ac:dyDescent="0.2">
      <c r="A1229" s="6">
        <v>45841</v>
      </c>
      <c r="B1229" t="s">
        <v>15</v>
      </c>
      <c r="C1229" t="s">
        <v>16</v>
      </c>
      <c r="D1229" s="1">
        <v>45855</v>
      </c>
      <c r="E1229" t="s">
        <v>17</v>
      </c>
      <c r="F1229">
        <v>3850</v>
      </c>
      <c r="J1229">
        <v>1869.7</v>
      </c>
      <c r="K1229">
        <v>1898.3</v>
      </c>
      <c r="L1229">
        <v>0</v>
      </c>
      <c r="M1229" t="s">
        <v>18</v>
      </c>
      <c r="N1229">
        <v>0</v>
      </c>
      <c r="O1229">
        <v>0</v>
      </c>
    </row>
    <row r="1230" spans="1:15" x14ac:dyDescent="0.2">
      <c r="A1230" s="6">
        <v>45841</v>
      </c>
      <c r="B1230" t="s">
        <v>15</v>
      </c>
      <c r="C1230" t="s">
        <v>16</v>
      </c>
      <c r="D1230" s="1">
        <v>45855</v>
      </c>
      <c r="E1230" t="s">
        <v>19</v>
      </c>
      <c r="F1230">
        <v>4250</v>
      </c>
      <c r="J1230">
        <v>0.1</v>
      </c>
      <c r="K1230">
        <v>0.1</v>
      </c>
      <c r="L1230">
        <v>0</v>
      </c>
      <c r="M1230" t="s">
        <v>18</v>
      </c>
      <c r="N1230">
        <v>0</v>
      </c>
      <c r="O1230">
        <v>0</v>
      </c>
    </row>
    <row r="1231" spans="1:15" x14ac:dyDescent="0.2">
      <c r="A1231" s="6">
        <v>45841</v>
      </c>
      <c r="B1231" t="s">
        <v>15</v>
      </c>
      <c r="C1231" t="s">
        <v>16</v>
      </c>
      <c r="D1231" s="1">
        <v>45855</v>
      </c>
      <c r="E1231" t="s">
        <v>19</v>
      </c>
      <c r="F1231">
        <v>4600</v>
      </c>
      <c r="G1231">
        <v>5.3</v>
      </c>
      <c r="H1231">
        <v>9.4</v>
      </c>
      <c r="I1231">
        <v>5.3</v>
      </c>
      <c r="J1231">
        <v>7.9</v>
      </c>
      <c r="K1231">
        <v>6.6</v>
      </c>
      <c r="L1231">
        <v>235</v>
      </c>
      <c r="M1231" t="s">
        <v>621</v>
      </c>
      <c r="N1231">
        <v>1082.83</v>
      </c>
      <c r="O1231">
        <v>93</v>
      </c>
    </row>
    <row r="1232" spans="1:15" x14ac:dyDescent="0.2">
      <c r="A1232" s="6">
        <v>45841</v>
      </c>
      <c r="B1232" t="s">
        <v>15</v>
      </c>
      <c r="C1232" t="s">
        <v>16</v>
      </c>
      <c r="D1232" s="1">
        <v>45855</v>
      </c>
      <c r="E1232" t="s">
        <v>19</v>
      </c>
      <c r="F1232">
        <v>7600</v>
      </c>
      <c r="J1232">
        <v>1871.7</v>
      </c>
      <c r="K1232">
        <v>1842.6</v>
      </c>
      <c r="L1232">
        <v>0</v>
      </c>
      <c r="M1232" t="s">
        <v>18</v>
      </c>
      <c r="N1232">
        <v>0</v>
      </c>
      <c r="O1232">
        <v>0</v>
      </c>
    </row>
    <row r="1233" spans="1:15" x14ac:dyDescent="0.2">
      <c r="A1233" s="6">
        <v>45841</v>
      </c>
      <c r="B1233" t="s">
        <v>15</v>
      </c>
      <c r="C1233" t="s">
        <v>16</v>
      </c>
      <c r="D1233" s="1">
        <v>45855</v>
      </c>
      <c r="E1233" t="s">
        <v>19</v>
      </c>
      <c r="F1233">
        <v>5900</v>
      </c>
      <c r="G1233">
        <v>265</v>
      </c>
      <c r="H1233">
        <v>293.10000000000002</v>
      </c>
      <c r="I1233">
        <v>242</v>
      </c>
      <c r="J1233">
        <v>266.60000000000002</v>
      </c>
      <c r="K1233">
        <v>262.10000000000002</v>
      </c>
      <c r="L1233">
        <v>10157</v>
      </c>
      <c r="M1233" t="s">
        <v>622</v>
      </c>
      <c r="N1233">
        <v>62627.71</v>
      </c>
      <c r="O1233">
        <v>710</v>
      </c>
    </row>
    <row r="1234" spans="1:15" x14ac:dyDescent="0.2">
      <c r="A1234" s="6">
        <v>45841</v>
      </c>
      <c r="B1234" t="s">
        <v>15</v>
      </c>
      <c r="C1234" t="s">
        <v>16</v>
      </c>
      <c r="D1234" s="1">
        <v>45855</v>
      </c>
      <c r="E1234" t="s">
        <v>17</v>
      </c>
      <c r="F1234">
        <v>3800</v>
      </c>
      <c r="J1234">
        <v>1919.6</v>
      </c>
      <c r="K1234">
        <v>1948.2</v>
      </c>
      <c r="L1234">
        <v>0</v>
      </c>
      <c r="M1234" t="s">
        <v>18</v>
      </c>
      <c r="N1234">
        <v>0</v>
      </c>
      <c r="O1234">
        <v>0</v>
      </c>
    </row>
    <row r="1235" spans="1:15" x14ac:dyDescent="0.2">
      <c r="A1235" s="6">
        <v>45841</v>
      </c>
      <c r="B1235" t="s">
        <v>15</v>
      </c>
      <c r="C1235" t="s">
        <v>16</v>
      </c>
      <c r="D1235" s="1">
        <v>45855</v>
      </c>
      <c r="E1235" t="s">
        <v>17</v>
      </c>
      <c r="F1235">
        <v>7250</v>
      </c>
      <c r="G1235">
        <v>18.8</v>
      </c>
      <c r="H1235">
        <v>20.2</v>
      </c>
      <c r="I1235">
        <v>14.3</v>
      </c>
      <c r="J1235">
        <v>18</v>
      </c>
      <c r="K1235">
        <v>23.5</v>
      </c>
      <c r="L1235">
        <v>25</v>
      </c>
      <c r="M1235" t="s">
        <v>465</v>
      </c>
      <c r="N1235">
        <v>181.68</v>
      </c>
      <c r="O1235">
        <v>121</v>
      </c>
    </row>
    <row r="1236" spans="1:15" x14ac:dyDescent="0.2">
      <c r="A1236" s="6">
        <v>45841</v>
      </c>
      <c r="B1236" t="s">
        <v>15</v>
      </c>
      <c r="C1236" t="s">
        <v>16</v>
      </c>
      <c r="D1236" s="1">
        <v>45855</v>
      </c>
      <c r="E1236" t="s">
        <v>19</v>
      </c>
      <c r="F1236">
        <v>6200</v>
      </c>
      <c r="G1236">
        <v>503.5</v>
      </c>
      <c r="H1236">
        <v>542.5</v>
      </c>
      <c r="I1236">
        <v>478.3</v>
      </c>
      <c r="J1236">
        <v>520.1</v>
      </c>
      <c r="K1236">
        <v>503.4</v>
      </c>
      <c r="L1236">
        <v>139</v>
      </c>
      <c r="M1236" t="s">
        <v>475</v>
      </c>
      <c r="N1236">
        <v>932.35</v>
      </c>
      <c r="O1236">
        <v>687</v>
      </c>
    </row>
    <row r="1237" spans="1:15" x14ac:dyDescent="0.2">
      <c r="A1237" s="6">
        <v>45841</v>
      </c>
      <c r="B1237" t="s">
        <v>15</v>
      </c>
      <c r="C1237" t="s">
        <v>16</v>
      </c>
      <c r="D1237" s="1">
        <v>45855</v>
      </c>
      <c r="E1237" t="s">
        <v>19</v>
      </c>
      <c r="F1237">
        <v>6800</v>
      </c>
      <c r="G1237">
        <v>1097.3</v>
      </c>
      <c r="H1237">
        <v>1097.3</v>
      </c>
      <c r="I1237">
        <v>1050</v>
      </c>
      <c r="J1237">
        <v>1073.7</v>
      </c>
      <c r="K1237">
        <v>1050.9000000000001</v>
      </c>
      <c r="L1237">
        <v>2</v>
      </c>
      <c r="M1237" t="s">
        <v>28</v>
      </c>
      <c r="N1237">
        <v>15.75</v>
      </c>
      <c r="O1237">
        <v>92</v>
      </c>
    </row>
    <row r="1238" spans="1:15" x14ac:dyDescent="0.2">
      <c r="A1238" s="6">
        <v>45841</v>
      </c>
      <c r="B1238" t="s">
        <v>15</v>
      </c>
      <c r="C1238" t="s">
        <v>16</v>
      </c>
      <c r="D1238" s="1">
        <v>45855</v>
      </c>
      <c r="E1238" t="s">
        <v>17</v>
      </c>
      <c r="F1238">
        <v>5750</v>
      </c>
      <c r="G1238">
        <v>159</v>
      </c>
      <c r="H1238">
        <v>183.6</v>
      </c>
      <c r="I1238">
        <v>132.69999999999999</v>
      </c>
      <c r="J1238">
        <v>147.5</v>
      </c>
      <c r="K1238">
        <v>175.2</v>
      </c>
      <c r="L1238">
        <v>80733</v>
      </c>
      <c r="M1238" t="s">
        <v>623</v>
      </c>
      <c r="N1238">
        <v>476913.15</v>
      </c>
      <c r="O1238">
        <v>2525</v>
      </c>
    </row>
    <row r="1239" spans="1:15" x14ac:dyDescent="0.2">
      <c r="A1239" s="6">
        <v>45841</v>
      </c>
      <c r="B1239" t="s">
        <v>15</v>
      </c>
      <c r="C1239" t="s">
        <v>16</v>
      </c>
      <c r="D1239" s="1">
        <v>45855</v>
      </c>
      <c r="E1239" t="s">
        <v>17</v>
      </c>
      <c r="F1239">
        <v>6450</v>
      </c>
      <c r="G1239">
        <v>57</v>
      </c>
      <c r="H1239">
        <v>57</v>
      </c>
      <c r="I1239">
        <v>24.4</v>
      </c>
      <c r="J1239">
        <v>27.9</v>
      </c>
      <c r="K1239">
        <v>48.3</v>
      </c>
      <c r="L1239">
        <v>2400</v>
      </c>
      <c r="M1239" t="s">
        <v>624</v>
      </c>
      <c r="N1239">
        <v>15552.74</v>
      </c>
      <c r="O1239">
        <v>1548</v>
      </c>
    </row>
    <row r="1240" spans="1:15" x14ac:dyDescent="0.2">
      <c r="A1240" s="6">
        <v>45841</v>
      </c>
      <c r="B1240" t="s">
        <v>15</v>
      </c>
      <c r="C1240" t="s">
        <v>16</v>
      </c>
      <c r="D1240" s="1">
        <v>45855</v>
      </c>
      <c r="E1240" t="s">
        <v>19</v>
      </c>
      <c r="F1240">
        <v>4100</v>
      </c>
      <c r="J1240">
        <v>0.1</v>
      </c>
      <c r="K1240">
        <v>0.1</v>
      </c>
      <c r="L1240">
        <v>0</v>
      </c>
      <c r="M1240" t="s">
        <v>18</v>
      </c>
      <c r="N1240">
        <v>0</v>
      </c>
      <c r="O1240">
        <v>0</v>
      </c>
    </row>
    <row r="1241" spans="1:15" x14ac:dyDescent="0.2">
      <c r="A1241" s="6">
        <v>45841</v>
      </c>
      <c r="B1241" t="s">
        <v>15</v>
      </c>
      <c r="C1241" t="s">
        <v>16</v>
      </c>
      <c r="D1241" s="1">
        <v>45855</v>
      </c>
      <c r="E1241" t="s">
        <v>17</v>
      </c>
      <c r="F1241">
        <v>6000</v>
      </c>
      <c r="G1241">
        <v>72.8</v>
      </c>
      <c r="H1241">
        <v>90.6</v>
      </c>
      <c r="I1241">
        <v>60.1</v>
      </c>
      <c r="J1241">
        <v>67.8</v>
      </c>
      <c r="K1241">
        <v>92.3</v>
      </c>
      <c r="L1241">
        <v>79915</v>
      </c>
      <c r="M1241" t="s">
        <v>625</v>
      </c>
      <c r="N1241">
        <v>485455.91</v>
      </c>
      <c r="O1241">
        <v>7393</v>
      </c>
    </row>
    <row r="1242" spans="1:15" x14ac:dyDescent="0.2">
      <c r="A1242" s="6">
        <v>45841</v>
      </c>
      <c r="B1242" t="s">
        <v>15</v>
      </c>
      <c r="C1242" t="s">
        <v>16</v>
      </c>
      <c r="D1242" s="1">
        <v>45855</v>
      </c>
      <c r="E1242" t="s">
        <v>19</v>
      </c>
      <c r="F1242">
        <v>4050</v>
      </c>
      <c r="J1242">
        <v>0.1</v>
      </c>
      <c r="K1242">
        <v>0.1</v>
      </c>
      <c r="L1242">
        <v>0</v>
      </c>
      <c r="M1242" t="s">
        <v>18</v>
      </c>
      <c r="N1242">
        <v>0</v>
      </c>
      <c r="O1242">
        <v>0</v>
      </c>
    </row>
    <row r="1243" spans="1:15" x14ac:dyDescent="0.2">
      <c r="A1243" s="6">
        <v>45841</v>
      </c>
      <c r="B1243" t="s">
        <v>15</v>
      </c>
      <c r="C1243" t="s">
        <v>16</v>
      </c>
      <c r="D1243" s="1">
        <v>45855</v>
      </c>
      <c r="E1243" t="s">
        <v>17</v>
      </c>
      <c r="F1243">
        <v>6300</v>
      </c>
      <c r="G1243">
        <v>38.299999999999997</v>
      </c>
      <c r="H1243">
        <v>46.6</v>
      </c>
      <c r="I1243">
        <v>29.9</v>
      </c>
      <c r="J1243">
        <v>34</v>
      </c>
      <c r="K1243">
        <v>55.7</v>
      </c>
      <c r="L1243">
        <v>18719</v>
      </c>
      <c r="M1243" t="s">
        <v>626</v>
      </c>
      <c r="N1243">
        <v>118628.68</v>
      </c>
      <c r="O1243">
        <v>3536</v>
      </c>
    </row>
    <row r="1244" spans="1:15" x14ac:dyDescent="0.2">
      <c r="A1244" s="6">
        <v>45841</v>
      </c>
      <c r="B1244" t="s">
        <v>15</v>
      </c>
      <c r="C1244" t="s">
        <v>16</v>
      </c>
      <c r="D1244" s="1">
        <v>45855</v>
      </c>
      <c r="E1244" t="s">
        <v>19</v>
      </c>
      <c r="F1244">
        <v>5950</v>
      </c>
      <c r="G1244">
        <v>300.10000000000002</v>
      </c>
      <c r="H1244">
        <v>330.6</v>
      </c>
      <c r="I1244">
        <v>277.3</v>
      </c>
      <c r="J1244">
        <v>303.8</v>
      </c>
      <c r="K1244">
        <v>300.8</v>
      </c>
      <c r="L1244">
        <v>1448</v>
      </c>
      <c r="M1244" t="s">
        <v>627</v>
      </c>
      <c r="N1244">
        <v>9052.0499999999993</v>
      </c>
      <c r="O1244">
        <v>74</v>
      </c>
    </row>
    <row r="1245" spans="1:15" x14ac:dyDescent="0.2">
      <c r="A1245" s="6">
        <v>45841</v>
      </c>
      <c r="B1245" t="s">
        <v>15</v>
      </c>
      <c r="C1245" t="s">
        <v>16</v>
      </c>
      <c r="D1245" s="1">
        <v>45855</v>
      </c>
      <c r="E1245" t="s">
        <v>19</v>
      </c>
      <c r="F1245">
        <v>5350</v>
      </c>
      <c r="G1245">
        <v>35.9</v>
      </c>
      <c r="H1245">
        <v>44.1</v>
      </c>
      <c r="I1245">
        <v>32</v>
      </c>
      <c r="J1245">
        <v>36.6</v>
      </c>
      <c r="K1245">
        <v>39.4</v>
      </c>
      <c r="L1245">
        <v>6597</v>
      </c>
      <c r="M1245" t="s">
        <v>628</v>
      </c>
      <c r="N1245">
        <v>35545.269999999997</v>
      </c>
      <c r="O1245">
        <v>708</v>
      </c>
    </row>
    <row r="1246" spans="1:15" x14ac:dyDescent="0.2">
      <c r="A1246" s="6">
        <v>45841</v>
      </c>
      <c r="B1246" t="s">
        <v>15</v>
      </c>
      <c r="C1246" t="s">
        <v>16</v>
      </c>
      <c r="D1246" s="1">
        <v>45855</v>
      </c>
      <c r="E1246" t="s">
        <v>19</v>
      </c>
      <c r="F1246">
        <v>5000</v>
      </c>
      <c r="G1246">
        <v>10.7</v>
      </c>
      <c r="H1246">
        <v>14.3</v>
      </c>
      <c r="I1246">
        <v>9.6</v>
      </c>
      <c r="J1246">
        <v>11.8</v>
      </c>
      <c r="K1246">
        <v>10.7</v>
      </c>
      <c r="L1246">
        <v>9792</v>
      </c>
      <c r="M1246" t="s">
        <v>629</v>
      </c>
      <c r="N1246">
        <v>49075.15</v>
      </c>
      <c r="O1246">
        <v>3539</v>
      </c>
    </row>
    <row r="1247" spans="1:15" x14ac:dyDescent="0.2">
      <c r="A1247" s="6">
        <v>45841</v>
      </c>
      <c r="B1247" t="s">
        <v>15</v>
      </c>
      <c r="C1247" t="s">
        <v>16</v>
      </c>
      <c r="D1247" s="1">
        <v>45855</v>
      </c>
      <c r="E1247" t="s">
        <v>19</v>
      </c>
      <c r="F1247">
        <v>4500</v>
      </c>
      <c r="G1247">
        <v>6.4</v>
      </c>
      <c r="H1247">
        <v>6.8</v>
      </c>
      <c r="I1247">
        <v>5.2</v>
      </c>
      <c r="J1247">
        <v>5.8</v>
      </c>
      <c r="K1247">
        <v>6.1</v>
      </c>
      <c r="L1247">
        <v>1058</v>
      </c>
      <c r="M1247" t="s">
        <v>630</v>
      </c>
      <c r="N1247">
        <v>4767.68</v>
      </c>
      <c r="O1247">
        <v>806</v>
      </c>
    </row>
    <row r="1248" spans="1:15" x14ac:dyDescent="0.2">
      <c r="A1248" s="6">
        <v>45841</v>
      </c>
      <c r="B1248" t="s">
        <v>15</v>
      </c>
      <c r="C1248" t="s">
        <v>16</v>
      </c>
      <c r="D1248" s="1">
        <v>45855</v>
      </c>
      <c r="E1248" t="s">
        <v>19</v>
      </c>
      <c r="F1248">
        <v>6850</v>
      </c>
      <c r="J1248">
        <v>1126.3</v>
      </c>
      <c r="K1248">
        <v>1099.5</v>
      </c>
      <c r="L1248">
        <v>0</v>
      </c>
      <c r="M1248" t="s">
        <v>18</v>
      </c>
      <c r="N1248">
        <v>0</v>
      </c>
      <c r="O1248">
        <v>18</v>
      </c>
    </row>
    <row r="1249" spans="1:15" x14ac:dyDescent="0.2">
      <c r="A1249" s="6">
        <v>45841</v>
      </c>
      <c r="B1249" t="s">
        <v>15</v>
      </c>
      <c r="C1249" t="s">
        <v>16</v>
      </c>
      <c r="D1249" s="1">
        <v>45855</v>
      </c>
      <c r="E1249" t="s">
        <v>17</v>
      </c>
      <c r="F1249">
        <v>7050</v>
      </c>
      <c r="G1249">
        <v>20.9</v>
      </c>
      <c r="H1249">
        <v>25</v>
      </c>
      <c r="I1249">
        <v>14.7</v>
      </c>
      <c r="J1249">
        <v>15.8</v>
      </c>
      <c r="K1249">
        <v>26.4</v>
      </c>
      <c r="L1249">
        <v>476</v>
      </c>
      <c r="M1249" t="s">
        <v>631</v>
      </c>
      <c r="N1249">
        <v>3364.74</v>
      </c>
      <c r="O1249">
        <v>164</v>
      </c>
    </row>
    <row r="1250" spans="1:15" x14ac:dyDescent="0.2">
      <c r="A1250" s="6">
        <v>45841</v>
      </c>
      <c r="B1250" t="s">
        <v>15</v>
      </c>
      <c r="C1250" t="s">
        <v>16</v>
      </c>
      <c r="D1250" s="1">
        <v>45855</v>
      </c>
      <c r="E1250" t="s">
        <v>19</v>
      </c>
      <c r="F1250">
        <v>7350</v>
      </c>
      <c r="J1250">
        <v>1622.5</v>
      </c>
      <c r="K1250">
        <v>1593.6</v>
      </c>
      <c r="L1250">
        <v>0</v>
      </c>
      <c r="M1250" t="s">
        <v>18</v>
      </c>
      <c r="N1250">
        <v>0</v>
      </c>
      <c r="O1250">
        <v>0</v>
      </c>
    </row>
    <row r="1251" spans="1:15" x14ac:dyDescent="0.2">
      <c r="A1251" s="6">
        <v>45841</v>
      </c>
      <c r="B1251" t="s">
        <v>15</v>
      </c>
      <c r="C1251" t="s">
        <v>16</v>
      </c>
      <c r="D1251" s="1">
        <v>45855</v>
      </c>
      <c r="E1251" t="s">
        <v>17</v>
      </c>
      <c r="F1251">
        <v>7000</v>
      </c>
      <c r="G1251">
        <v>20.5</v>
      </c>
      <c r="H1251">
        <v>21.2</v>
      </c>
      <c r="I1251">
        <v>14.2</v>
      </c>
      <c r="J1251">
        <v>16.3</v>
      </c>
      <c r="K1251">
        <v>30.3</v>
      </c>
      <c r="L1251">
        <v>8339</v>
      </c>
      <c r="M1251" t="s">
        <v>632</v>
      </c>
      <c r="N1251">
        <v>58521.7</v>
      </c>
      <c r="O1251">
        <v>4623</v>
      </c>
    </row>
    <row r="1252" spans="1:15" x14ac:dyDescent="0.2">
      <c r="A1252" s="6">
        <v>45841</v>
      </c>
      <c r="B1252" t="s">
        <v>15</v>
      </c>
      <c r="C1252" t="s">
        <v>16</v>
      </c>
      <c r="D1252" s="1">
        <v>45855</v>
      </c>
      <c r="E1252" t="s">
        <v>17</v>
      </c>
      <c r="F1252">
        <v>6350</v>
      </c>
      <c r="G1252">
        <v>32.5</v>
      </c>
      <c r="H1252">
        <v>43.5</v>
      </c>
      <c r="I1252">
        <v>27.9</v>
      </c>
      <c r="J1252">
        <v>32.1</v>
      </c>
      <c r="K1252">
        <v>53.8</v>
      </c>
      <c r="L1252">
        <v>3457</v>
      </c>
      <c r="M1252" t="s">
        <v>633</v>
      </c>
      <c r="N1252">
        <v>22073.63</v>
      </c>
      <c r="O1252">
        <v>1291</v>
      </c>
    </row>
    <row r="1253" spans="1:15" x14ac:dyDescent="0.2">
      <c r="A1253" s="6">
        <v>45841</v>
      </c>
      <c r="B1253" t="s">
        <v>15</v>
      </c>
      <c r="C1253" t="s">
        <v>16</v>
      </c>
      <c r="D1253" s="1">
        <v>45855</v>
      </c>
      <c r="E1253" t="s">
        <v>17</v>
      </c>
      <c r="F1253">
        <v>4000</v>
      </c>
      <c r="J1253">
        <v>1720</v>
      </c>
      <c r="K1253">
        <v>1748.7</v>
      </c>
      <c r="L1253">
        <v>0</v>
      </c>
      <c r="M1253" t="s">
        <v>18</v>
      </c>
      <c r="N1253">
        <v>0</v>
      </c>
      <c r="O1253">
        <v>0</v>
      </c>
    </row>
    <row r="1254" spans="1:15" x14ac:dyDescent="0.2">
      <c r="A1254" s="6">
        <v>45841</v>
      </c>
      <c r="B1254" t="s">
        <v>15</v>
      </c>
      <c r="C1254" t="s">
        <v>16</v>
      </c>
      <c r="D1254" s="1">
        <v>45855</v>
      </c>
      <c r="E1254" t="s">
        <v>17</v>
      </c>
      <c r="F1254">
        <v>4050</v>
      </c>
      <c r="J1254">
        <v>1670.2</v>
      </c>
      <c r="K1254">
        <v>1698.8</v>
      </c>
      <c r="L1254">
        <v>0</v>
      </c>
      <c r="M1254" t="s">
        <v>18</v>
      </c>
      <c r="N1254">
        <v>0</v>
      </c>
      <c r="O1254">
        <v>0</v>
      </c>
    </row>
    <row r="1255" spans="1:15" x14ac:dyDescent="0.2">
      <c r="A1255" s="6">
        <v>45841</v>
      </c>
      <c r="B1255" t="s">
        <v>15</v>
      </c>
      <c r="C1255" t="s">
        <v>16</v>
      </c>
      <c r="D1255" s="1">
        <v>45855</v>
      </c>
      <c r="E1255" t="s">
        <v>19</v>
      </c>
      <c r="F1255">
        <v>4400</v>
      </c>
      <c r="J1255">
        <v>0.1</v>
      </c>
      <c r="K1255">
        <v>7.5</v>
      </c>
      <c r="L1255">
        <v>0</v>
      </c>
      <c r="M1255" t="s">
        <v>18</v>
      </c>
      <c r="N1255">
        <v>0</v>
      </c>
      <c r="O1255">
        <v>1</v>
      </c>
    </row>
    <row r="1256" spans="1:15" x14ac:dyDescent="0.2">
      <c r="A1256" s="6">
        <v>45841</v>
      </c>
      <c r="B1256" t="s">
        <v>15</v>
      </c>
      <c r="C1256" t="s">
        <v>16</v>
      </c>
      <c r="D1256" s="1">
        <v>45855</v>
      </c>
      <c r="E1256" t="s">
        <v>19</v>
      </c>
      <c r="F1256">
        <v>6550</v>
      </c>
      <c r="G1256">
        <v>870.6</v>
      </c>
      <c r="H1256">
        <v>870.6</v>
      </c>
      <c r="I1256">
        <v>841.4</v>
      </c>
      <c r="J1256">
        <v>856</v>
      </c>
      <c r="K1256">
        <v>895</v>
      </c>
      <c r="L1256">
        <v>2</v>
      </c>
      <c r="M1256" t="s">
        <v>28</v>
      </c>
      <c r="N1256">
        <v>14.81</v>
      </c>
      <c r="O1256">
        <v>56</v>
      </c>
    </row>
    <row r="1257" spans="1:15" x14ac:dyDescent="0.2">
      <c r="A1257" s="6">
        <v>45841</v>
      </c>
      <c r="B1257" t="s">
        <v>15</v>
      </c>
      <c r="C1257" t="s">
        <v>16</v>
      </c>
      <c r="D1257" s="1">
        <v>45855</v>
      </c>
      <c r="E1257" t="s">
        <v>17</v>
      </c>
      <c r="F1257">
        <v>5800</v>
      </c>
      <c r="G1257">
        <v>135</v>
      </c>
      <c r="H1257">
        <v>160.4</v>
      </c>
      <c r="I1257">
        <v>112.4</v>
      </c>
      <c r="J1257">
        <v>126.4</v>
      </c>
      <c r="K1257">
        <v>154</v>
      </c>
      <c r="L1257">
        <v>151068</v>
      </c>
      <c r="M1257" t="s">
        <v>634</v>
      </c>
      <c r="N1257">
        <v>896700.96</v>
      </c>
      <c r="O1257">
        <v>7219</v>
      </c>
    </row>
    <row r="1258" spans="1:15" x14ac:dyDescent="0.2">
      <c r="A1258" s="6">
        <v>45841</v>
      </c>
      <c r="B1258" t="s">
        <v>15</v>
      </c>
      <c r="C1258" t="s">
        <v>16</v>
      </c>
      <c r="D1258" s="1">
        <v>45855</v>
      </c>
      <c r="E1258" t="s">
        <v>17</v>
      </c>
      <c r="F1258">
        <v>4550</v>
      </c>
      <c r="J1258">
        <v>1171.7</v>
      </c>
      <c r="K1258">
        <v>1200.5999999999999</v>
      </c>
      <c r="L1258">
        <v>0</v>
      </c>
      <c r="M1258" t="s">
        <v>18</v>
      </c>
      <c r="N1258">
        <v>0</v>
      </c>
      <c r="O1258">
        <v>0</v>
      </c>
    </row>
    <row r="1259" spans="1:15" x14ac:dyDescent="0.2">
      <c r="A1259" s="6">
        <v>45841</v>
      </c>
      <c r="B1259" t="s">
        <v>15</v>
      </c>
      <c r="C1259" t="s">
        <v>16</v>
      </c>
      <c r="D1259" s="1">
        <v>45855</v>
      </c>
      <c r="E1259" t="s">
        <v>19</v>
      </c>
      <c r="F1259">
        <v>4650</v>
      </c>
      <c r="G1259">
        <v>6.6</v>
      </c>
      <c r="H1259">
        <v>9</v>
      </c>
      <c r="I1259">
        <v>6.6</v>
      </c>
      <c r="J1259">
        <v>7.1</v>
      </c>
      <c r="K1259">
        <v>8.8000000000000007</v>
      </c>
      <c r="L1259">
        <v>13</v>
      </c>
      <c r="M1259" t="s">
        <v>121</v>
      </c>
      <c r="N1259">
        <v>60.54</v>
      </c>
      <c r="O1259">
        <v>12</v>
      </c>
    </row>
    <row r="1260" spans="1:15" x14ac:dyDescent="0.2">
      <c r="A1260" s="6">
        <v>45841</v>
      </c>
      <c r="B1260" t="s">
        <v>15</v>
      </c>
      <c r="C1260" t="s">
        <v>16</v>
      </c>
      <c r="D1260" s="1">
        <v>45855</v>
      </c>
      <c r="E1260" t="s">
        <v>17</v>
      </c>
      <c r="F1260">
        <v>5450</v>
      </c>
      <c r="G1260">
        <v>352.3</v>
      </c>
      <c r="H1260">
        <v>374.6</v>
      </c>
      <c r="I1260">
        <v>304.5</v>
      </c>
      <c r="J1260">
        <v>329.5</v>
      </c>
      <c r="K1260">
        <v>361.4</v>
      </c>
      <c r="L1260">
        <v>460</v>
      </c>
      <c r="M1260" t="s">
        <v>474</v>
      </c>
      <c r="N1260">
        <v>2659.8</v>
      </c>
      <c r="O1260">
        <v>60</v>
      </c>
    </row>
    <row r="1261" spans="1:15" x14ac:dyDescent="0.2">
      <c r="A1261" s="6">
        <v>45841</v>
      </c>
      <c r="B1261" t="s">
        <v>15</v>
      </c>
      <c r="C1261" t="s">
        <v>16</v>
      </c>
      <c r="D1261" s="1">
        <v>45855</v>
      </c>
      <c r="E1261" t="s">
        <v>19</v>
      </c>
      <c r="F1261">
        <v>7500</v>
      </c>
      <c r="J1261">
        <v>1772</v>
      </c>
      <c r="K1261">
        <v>1742.9</v>
      </c>
      <c r="L1261">
        <v>0</v>
      </c>
      <c r="M1261" t="s">
        <v>18</v>
      </c>
      <c r="N1261">
        <v>0</v>
      </c>
      <c r="O1261">
        <v>0</v>
      </c>
    </row>
    <row r="1262" spans="1:15" x14ac:dyDescent="0.2">
      <c r="A1262" s="6">
        <v>45841</v>
      </c>
      <c r="B1262" t="s">
        <v>15</v>
      </c>
      <c r="C1262" t="s">
        <v>16</v>
      </c>
      <c r="D1262" s="1">
        <v>45855</v>
      </c>
      <c r="E1262" t="s">
        <v>17</v>
      </c>
      <c r="F1262">
        <v>6250</v>
      </c>
      <c r="G1262">
        <v>40</v>
      </c>
      <c r="H1262">
        <v>51.3</v>
      </c>
      <c r="I1262">
        <v>33</v>
      </c>
      <c r="J1262">
        <v>37.5</v>
      </c>
      <c r="K1262">
        <v>59.8</v>
      </c>
      <c r="L1262">
        <v>6586</v>
      </c>
      <c r="M1262" t="s">
        <v>635</v>
      </c>
      <c r="N1262">
        <v>41442.46</v>
      </c>
      <c r="O1262">
        <v>1524</v>
      </c>
    </row>
    <row r="1263" spans="1:15" x14ac:dyDescent="0.2">
      <c r="A1263" s="6">
        <v>45841</v>
      </c>
      <c r="B1263" t="s">
        <v>15</v>
      </c>
      <c r="C1263" t="s">
        <v>16</v>
      </c>
      <c r="D1263" s="1">
        <v>45855</v>
      </c>
      <c r="E1263" t="s">
        <v>17</v>
      </c>
      <c r="F1263">
        <v>5050</v>
      </c>
      <c r="J1263">
        <v>685.6</v>
      </c>
      <c r="K1263">
        <v>716.5</v>
      </c>
      <c r="L1263">
        <v>0</v>
      </c>
      <c r="M1263" t="s">
        <v>18</v>
      </c>
      <c r="N1263">
        <v>0</v>
      </c>
      <c r="O1263">
        <v>0</v>
      </c>
    </row>
    <row r="1264" spans="1:15" x14ac:dyDescent="0.2">
      <c r="A1264" s="6">
        <v>45841</v>
      </c>
      <c r="B1264" t="s">
        <v>15</v>
      </c>
      <c r="C1264" t="s">
        <v>16</v>
      </c>
      <c r="D1264" s="1">
        <v>45855</v>
      </c>
      <c r="E1264" t="s">
        <v>19</v>
      </c>
      <c r="F1264">
        <v>5150</v>
      </c>
      <c r="G1264">
        <v>16.600000000000001</v>
      </c>
      <c r="H1264">
        <v>21.1</v>
      </c>
      <c r="I1264">
        <v>15.8</v>
      </c>
      <c r="J1264">
        <v>16.8</v>
      </c>
      <c r="K1264">
        <v>18.399999999999999</v>
      </c>
      <c r="L1264">
        <v>1257</v>
      </c>
      <c r="M1264" t="s">
        <v>636</v>
      </c>
      <c r="N1264">
        <v>6495.91</v>
      </c>
      <c r="O1264">
        <v>296</v>
      </c>
    </row>
    <row r="1265" spans="1:15" x14ac:dyDescent="0.2">
      <c r="A1265" s="6">
        <v>45841</v>
      </c>
      <c r="B1265" t="s">
        <v>15</v>
      </c>
      <c r="C1265" t="s">
        <v>16</v>
      </c>
      <c r="D1265" s="1">
        <v>45855</v>
      </c>
      <c r="E1265" t="s">
        <v>17</v>
      </c>
      <c r="F1265">
        <v>6500</v>
      </c>
      <c r="G1265">
        <v>37.9</v>
      </c>
      <c r="H1265">
        <v>37.9</v>
      </c>
      <c r="I1265">
        <v>22.8</v>
      </c>
      <c r="J1265">
        <v>26.1</v>
      </c>
      <c r="K1265">
        <v>45.5</v>
      </c>
      <c r="L1265">
        <v>16300</v>
      </c>
      <c r="M1265" t="s">
        <v>637</v>
      </c>
      <c r="N1265">
        <v>106409.27</v>
      </c>
      <c r="O1265">
        <v>11179</v>
      </c>
    </row>
    <row r="1266" spans="1:15" x14ac:dyDescent="0.2">
      <c r="A1266" s="6">
        <v>45841</v>
      </c>
      <c r="B1266" t="s">
        <v>15</v>
      </c>
      <c r="C1266" t="s">
        <v>16</v>
      </c>
      <c r="D1266" s="1">
        <v>45855</v>
      </c>
      <c r="E1266" t="s">
        <v>19</v>
      </c>
      <c r="F1266">
        <v>7250</v>
      </c>
      <c r="J1266">
        <v>1522.9</v>
      </c>
      <c r="K1266">
        <v>1494.1</v>
      </c>
      <c r="L1266">
        <v>0</v>
      </c>
      <c r="M1266" t="s">
        <v>18</v>
      </c>
      <c r="N1266">
        <v>0</v>
      </c>
      <c r="O1266">
        <v>0</v>
      </c>
    </row>
    <row r="1267" spans="1:15" x14ac:dyDescent="0.2">
      <c r="A1267" s="6">
        <v>45841</v>
      </c>
      <c r="B1267" t="s">
        <v>15</v>
      </c>
      <c r="C1267" t="s">
        <v>16</v>
      </c>
      <c r="D1267" s="1">
        <v>45855</v>
      </c>
      <c r="E1267" t="s">
        <v>19</v>
      </c>
      <c r="F1267">
        <v>6250</v>
      </c>
      <c r="G1267">
        <v>561.20000000000005</v>
      </c>
      <c r="H1267">
        <v>575.29999999999995</v>
      </c>
      <c r="I1267">
        <v>540</v>
      </c>
      <c r="J1267">
        <v>557</v>
      </c>
      <c r="K1267">
        <v>546.20000000000005</v>
      </c>
      <c r="L1267">
        <v>10</v>
      </c>
      <c r="M1267" t="s">
        <v>69</v>
      </c>
      <c r="N1267">
        <v>68.069999999999993</v>
      </c>
      <c r="O1267">
        <v>92</v>
      </c>
    </row>
    <row r="1268" spans="1:15" x14ac:dyDescent="0.2">
      <c r="A1268" s="6">
        <v>45841</v>
      </c>
      <c r="B1268" t="s">
        <v>15</v>
      </c>
      <c r="C1268" t="s">
        <v>16</v>
      </c>
      <c r="D1268" s="1">
        <v>45855</v>
      </c>
      <c r="E1268" t="s">
        <v>17</v>
      </c>
      <c r="F1268">
        <v>5500</v>
      </c>
      <c r="G1268">
        <v>299.10000000000002</v>
      </c>
      <c r="H1268">
        <v>336.5</v>
      </c>
      <c r="I1268">
        <v>266.5</v>
      </c>
      <c r="J1268">
        <v>289.5</v>
      </c>
      <c r="K1268">
        <v>323.8</v>
      </c>
      <c r="L1268">
        <v>8544</v>
      </c>
      <c r="M1268" t="s">
        <v>638</v>
      </c>
      <c r="N1268">
        <v>49536.2</v>
      </c>
      <c r="O1268">
        <v>1695</v>
      </c>
    </row>
    <row r="1269" spans="1:15" x14ac:dyDescent="0.2">
      <c r="A1269" s="6">
        <v>45841</v>
      </c>
      <c r="B1269" t="s">
        <v>15</v>
      </c>
      <c r="C1269" t="s">
        <v>16</v>
      </c>
      <c r="D1269" s="1">
        <v>45855</v>
      </c>
      <c r="E1269" t="s">
        <v>17</v>
      </c>
      <c r="F1269">
        <v>4500</v>
      </c>
      <c r="J1269">
        <v>1221.4000000000001</v>
      </c>
      <c r="K1269">
        <v>1250.3</v>
      </c>
      <c r="L1269">
        <v>0</v>
      </c>
      <c r="M1269" t="s">
        <v>18</v>
      </c>
      <c r="N1269">
        <v>0</v>
      </c>
      <c r="O1269">
        <v>0</v>
      </c>
    </row>
    <row r="1270" spans="1:15" x14ac:dyDescent="0.2">
      <c r="A1270" s="6">
        <v>45841</v>
      </c>
      <c r="B1270" t="s">
        <v>15</v>
      </c>
      <c r="C1270" t="s">
        <v>16</v>
      </c>
      <c r="D1270" s="1">
        <v>45855</v>
      </c>
      <c r="E1270" t="s">
        <v>17</v>
      </c>
      <c r="F1270">
        <v>4150</v>
      </c>
      <c r="J1270">
        <v>1570.4</v>
      </c>
      <c r="K1270">
        <v>1599.1</v>
      </c>
      <c r="L1270">
        <v>0</v>
      </c>
      <c r="M1270" t="s">
        <v>18</v>
      </c>
      <c r="N1270">
        <v>0</v>
      </c>
      <c r="O1270">
        <v>0</v>
      </c>
    </row>
    <row r="1271" spans="1:15" x14ac:dyDescent="0.2">
      <c r="A1271" s="6">
        <v>45841</v>
      </c>
      <c r="B1271" t="s">
        <v>15</v>
      </c>
      <c r="C1271" t="s">
        <v>16</v>
      </c>
      <c r="D1271" s="1">
        <v>45855</v>
      </c>
      <c r="E1271" t="s">
        <v>17</v>
      </c>
      <c r="F1271">
        <v>5900</v>
      </c>
      <c r="G1271">
        <v>98</v>
      </c>
      <c r="H1271">
        <v>120.5</v>
      </c>
      <c r="I1271">
        <v>81.599999999999994</v>
      </c>
      <c r="J1271">
        <v>91.7</v>
      </c>
      <c r="K1271">
        <v>118.1</v>
      </c>
      <c r="L1271">
        <v>76979</v>
      </c>
      <c r="M1271" t="s">
        <v>639</v>
      </c>
      <c r="N1271">
        <v>461843.75</v>
      </c>
      <c r="O1271">
        <v>3941</v>
      </c>
    </row>
    <row r="1272" spans="1:15" x14ac:dyDescent="0.2">
      <c r="A1272" s="6">
        <v>45841</v>
      </c>
      <c r="B1272" t="s">
        <v>15</v>
      </c>
      <c r="C1272" t="s">
        <v>16</v>
      </c>
      <c r="D1272" s="1">
        <v>45855</v>
      </c>
      <c r="E1272" t="s">
        <v>17</v>
      </c>
      <c r="F1272">
        <v>6950</v>
      </c>
      <c r="G1272">
        <v>18.100000000000001</v>
      </c>
      <c r="H1272">
        <v>21.6</v>
      </c>
      <c r="I1272">
        <v>15.6</v>
      </c>
      <c r="J1272">
        <v>18</v>
      </c>
      <c r="K1272">
        <v>32.299999999999997</v>
      </c>
      <c r="L1272">
        <v>456</v>
      </c>
      <c r="M1272" t="s">
        <v>640</v>
      </c>
      <c r="N1272">
        <v>3177.52</v>
      </c>
      <c r="O1272">
        <v>323</v>
      </c>
    </row>
    <row r="1273" spans="1:15" x14ac:dyDescent="0.2">
      <c r="A1273" s="6">
        <v>45841</v>
      </c>
      <c r="B1273" t="s">
        <v>15</v>
      </c>
      <c r="C1273" t="s">
        <v>16</v>
      </c>
      <c r="D1273" s="1">
        <v>45855</v>
      </c>
      <c r="E1273" t="s">
        <v>17</v>
      </c>
      <c r="F1273">
        <v>4250</v>
      </c>
      <c r="J1273">
        <v>1470.6</v>
      </c>
      <c r="K1273">
        <v>1499.3</v>
      </c>
      <c r="L1273">
        <v>0</v>
      </c>
      <c r="M1273" t="s">
        <v>18</v>
      </c>
      <c r="N1273">
        <v>0</v>
      </c>
      <c r="O1273">
        <v>0</v>
      </c>
    </row>
    <row r="1274" spans="1:15" x14ac:dyDescent="0.2">
      <c r="A1274" s="6">
        <v>45841</v>
      </c>
      <c r="B1274" t="s">
        <v>15</v>
      </c>
      <c r="C1274" t="s">
        <v>16</v>
      </c>
      <c r="D1274" s="1">
        <v>45855</v>
      </c>
      <c r="E1274" t="s">
        <v>19</v>
      </c>
      <c r="F1274">
        <v>7450</v>
      </c>
      <c r="J1274">
        <v>1722.2</v>
      </c>
      <c r="K1274">
        <v>1693.1</v>
      </c>
      <c r="L1274">
        <v>0</v>
      </c>
      <c r="M1274" t="s">
        <v>18</v>
      </c>
      <c r="N1274">
        <v>0</v>
      </c>
      <c r="O1274">
        <v>0</v>
      </c>
    </row>
    <row r="1275" spans="1:15" x14ac:dyDescent="0.2">
      <c r="A1275" s="6">
        <v>45841</v>
      </c>
      <c r="B1275" t="s">
        <v>15</v>
      </c>
      <c r="C1275" t="s">
        <v>16</v>
      </c>
      <c r="D1275" s="1">
        <v>45855</v>
      </c>
      <c r="E1275" t="s">
        <v>17</v>
      </c>
      <c r="F1275">
        <v>7550</v>
      </c>
      <c r="G1275">
        <v>11.5</v>
      </c>
      <c r="H1275">
        <v>16</v>
      </c>
      <c r="I1275">
        <v>11.5</v>
      </c>
      <c r="J1275">
        <v>13.9</v>
      </c>
      <c r="K1275">
        <v>18.399999999999999</v>
      </c>
      <c r="L1275">
        <v>54</v>
      </c>
      <c r="M1275" t="s">
        <v>161</v>
      </c>
      <c r="N1275">
        <v>408.43</v>
      </c>
      <c r="O1275">
        <v>179</v>
      </c>
    </row>
    <row r="1276" spans="1:15" x14ac:dyDescent="0.2">
      <c r="A1276" s="6">
        <v>45841</v>
      </c>
      <c r="B1276" t="s">
        <v>15</v>
      </c>
      <c r="C1276" t="s">
        <v>16</v>
      </c>
      <c r="D1276" s="1">
        <v>45855</v>
      </c>
      <c r="E1276" t="s">
        <v>17</v>
      </c>
      <c r="F1276">
        <v>3950</v>
      </c>
      <c r="J1276">
        <v>1769.9</v>
      </c>
      <c r="K1276">
        <v>1798.6</v>
      </c>
      <c r="L1276">
        <v>0</v>
      </c>
      <c r="M1276" t="s">
        <v>18</v>
      </c>
      <c r="N1276">
        <v>0</v>
      </c>
      <c r="O1276">
        <v>0</v>
      </c>
    </row>
    <row r="1277" spans="1:15" x14ac:dyDescent="0.2">
      <c r="A1277" s="6">
        <v>45841</v>
      </c>
      <c r="B1277" t="s">
        <v>15</v>
      </c>
      <c r="C1277" t="s">
        <v>16</v>
      </c>
      <c r="D1277" s="1">
        <v>45855</v>
      </c>
      <c r="E1277" t="s">
        <v>19</v>
      </c>
      <c r="F1277">
        <v>5650</v>
      </c>
      <c r="G1277">
        <v>124.1</v>
      </c>
      <c r="H1277">
        <v>141.6</v>
      </c>
      <c r="I1277">
        <v>109</v>
      </c>
      <c r="J1277">
        <v>122</v>
      </c>
      <c r="K1277">
        <v>124</v>
      </c>
      <c r="L1277">
        <v>42797</v>
      </c>
      <c r="M1277" t="s">
        <v>641</v>
      </c>
      <c r="N1277">
        <v>247128.21</v>
      </c>
      <c r="O1277">
        <v>2583</v>
      </c>
    </row>
    <row r="1278" spans="1:15" x14ac:dyDescent="0.2">
      <c r="A1278" s="6">
        <v>45841</v>
      </c>
      <c r="B1278" t="s">
        <v>15</v>
      </c>
      <c r="C1278" t="s">
        <v>16</v>
      </c>
      <c r="D1278" s="1">
        <v>45855</v>
      </c>
      <c r="E1278" t="s">
        <v>19</v>
      </c>
      <c r="F1278">
        <v>6350</v>
      </c>
      <c r="G1278">
        <v>655.7</v>
      </c>
      <c r="H1278">
        <v>674.5</v>
      </c>
      <c r="I1278">
        <v>655.7</v>
      </c>
      <c r="J1278">
        <v>665.1</v>
      </c>
      <c r="K1278">
        <v>703.9</v>
      </c>
      <c r="L1278">
        <v>2</v>
      </c>
      <c r="M1278" t="s">
        <v>28</v>
      </c>
      <c r="N1278">
        <v>14.03</v>
      </c>
      <c r="O1278">
        <v>78</v>
      </c>
    </row>
    <row r="1279" spans="1:15" x14ac:dyDescent="0.2">
      <c r="A1279" s="6">
        <v>45841</v>
      </c>
      <c r="B1279" t="s">
        <v>15</v>
      </c>
      <c r="C1279" t="s">
        <v>16</v>
      </c>
      <c r="D1279" s="1">
        <v>45855</v>
      </c>
      <c r="E1279" t="s">
        <v>19</v>
      </c>
      <c r="F1279">
        <v>5600</v>
      </c>
      <c r="G1279">
        <v>102.9</v>
      </c>
      <c r="H1279">
        <v>119.3</v>
      </c>
      <c r="I1279">
        <v>89.8</v>
      </c>
      <c r="J1279">
        <v>102.4</v>
      </c>
      <c r="K1279">
        <v>104.1</v>
      </c>
      <c r="L1279">
        <v>95274</v>
      </c>
      <c r="M1279" t="s">
        <v>642</v>
      </c>
      <c r="N1279">
        <v>543472.68999999994</v>
      </c>
      <c r="O1279">
        <v>6511</v>
      </c>
    </row>
    <row r="1280" spans="1:15" x14ac:dyDescent="0.2">
      <c r="A1280" s="6">
        <v>45841</v>
      </c>
      <c r="B1280" t="s">
        <v>15</v>
      </c>
      <c r="C1280" t="s">
        <v>16</v>
      </c>
      <c r="D1280" s="1">
        <v>45855</v>
      </c>
      <c r="E1280" t="s">
        <v>19</v>
      </c>
      <c r="F1280">
        <v>4000</v>
      </c>
      <c r="G1280">
        <v>3.7</v>
      </c>
      <c r="H1280">
        <v>4.4000000000000004</v>
      </c>
      <c r="I1280">
        <v>3.2</v>
      </c>
      <c r="J1280">
        <v>3.6</v>
      </c>
      <c r="K1280">
        <v>4.3</v>
      </c>
      <c r="L1280">
        <v>515</v>
      </c>
      <c r="M1280" t="s">
        <v>643</v>
      </c>
      <c r="N1280">
        <v>2061.9699999999998</v>
      </c>
      <c r="O1280">
        <v>1355</v>
      </c>
    </row>
    <row r="1281" spans="1:15" x14ac:dyDescent="0.2">
      <c r="A1281" s="6">
        <v>45841</v>
      </c>
      <c r="B1281" t="s">
        <v>15</v>
      </c>
      <c r="C1281" t="s">
        <v>16</v>
      </c>
      <c r="D1281" s="1">
        <v>45855</v>
      </c>
      <c r="E1281" t="s">
        <v>19</v>
      </c>
      <c r="F1281">
        <v>4850</v>
      </c>
      <c r="G1281">
        <v>7.7</v>
      </c>
      <c r="H1281">
        <v>12.3</v>
      </c>
      <c r="I1281">
        <v>7.2</v>
      </c>
      <c r="J1281">
        <v>9.5</v>
      </c>
      <c r="K1281">
        <v>9.6</v>
      </c>
      <c r="L1281">
        <v>331</v>
      </c>
      <c r="M1281" t="s">
        <v>644</v>
      </c>
      <c r="N1281">
        <v>1608.79</v>
      </c>
      <c r="O1281">
        <v>114</v>
      </c>
    </row>
    <row r="1282" spans="1:15" x14ac:dyDescent="0.2">
      <c r="A1282" s="6">
        <v>45841</v>
      </c>
      <c r="B1282" t="s">
        <v>15</v>
      </c>
      <c r="C1282" t="s">
        <v>16</v>
      </c>
      <c r="D1282" s="1">
        <v>45855</v>
      </c>
      <c r="E1282" t="s">
        <v>17</v>
      </c>
      <c r="F1282">
        <v>6100</v>
      </c>
      <c r="G1282">
        <v>60</v>
      </c>
      <c r="H1282">
        <v>69.8</v>
      </c>
      <c r="I1282">
        <v>45.8</v>
      </c>
      <c r="J1282">
        <v>50.9</v>
      </c>
      <c r="K1282">
        <v>75.3</v>
      </c>
      <c r="L1282">
        <v>37550</v>
      </c>
      <c r="M1282" t="s">
        <v>645</v>
      </c>
      <c r="N1282">
        <v>231172.45</v>
      </c>
      <c r="O1282">
        <v>3193</v>
      </c>
    </row>
    <row r="1283" spans="1:15" x14ac:dyDescent="0.2">
      <c r="A1283" s="6">
        <v>45841</v>
      </c>
      <c r="B1283" t="s">
        <v>15</v>
      </c>
      <c r="C1283" t="s">
        <v>16</v>
      </c>
      <c r="D1283" s="1">
        <v>45855</v>
      </c>
      <c r="E1283" t="s">
        <v>17</v>
      </c>
      <c r="F1283">
        <v>5350</v>
      </c>
      <c r="G1283">
        <v>429.7</v>
      </c>
      <c r="H1283">
        <v>429.7</v>
      </c>
      <c r="I1283">
        <v>392.8</v>
      </c>
      <c r="J1283">
        <v>405</v>
      </c>
      <c r="K1283">
        <v>445.1</v>
      </c>
      <c r="L1283">
        <v>64</v>
      </c>
      <c r="M1283" t="s">
        <v>646</v>
      </c>
      <c r="N1283">
        <v>368.59</v>
      </c>
      <c r="O1283">
        <v>18</v>
      </c>
    </row>
    <row r="1284" spans="1:15" x14ac:dyDescent="0.2">
      <c r="A1284" s="6">
        <v>45841</v>
      </c>
      <c r="B1284" t="s">
        <v>15</v>
      </c>
      <c r="C1284" t="s">
        <v>16</v>
      </c>
      <c r="D1284" s="1">
        <v>45855</v>
      </c>
      <c r="E1284" t="s">
        <v>19</v>
      </c>
      <c r="F1284">
        <v>7100</v>
      </c>
      <c r="J1284">
        <v>1373.7</v>
      </c>
      <c r="K1284">
        <v>1345.4</v>
      </c>
      <c r="L1284">
        <v>0</v>
      </c>
      <c r="M1284" t="s">
        <v>18</v>
      </c>
      <c r="N1284">
        <v>0</v>
      </c>
      <c r="O1284">
        <v>0</v>
      </c>
    </row>
    <row r="1285" spans="1:15" x14ac:dyDescent="0.2">
      <c r="A1285" s="6">
        <v>45841</v>
      </c>
      <c r="B1285" t="s">
        <v>15</v>
      </c>
      <c r="C1285" t="s">
        <v>16</v>
      </c>
      <c r="D1285" s="1">
        <v>45855</v>
      </c>
      <c r="E1285" t="s">
        <v>17</v>
      </c>
      <c r="F1285">
        <v>7200</v>
      </c>
      <c r="G1285">
        <v>16.399999999999999</v>
      </c>
      <c r="H1285">
        <v>19.2</v>
      </c>
      <c r="I1285">
        <v>14</v>
      </c>
      <c r="J1285">
        <v>14.8</v>
      </c>
      <c r="K1285">
        <v>26.4</v>
      </c>
      <c r="L1285">
        <v>1488</v>
      </c>
      <c r="M1285" t="s">
        <v>647</v>
      </c>
      <c r="N1285">
        <v>10738.13</v>
      </c>
      <c r="O1285">
        <v>928</v>
      </c>
    </row>
    <row r="1286" spans="1:15" x14ac:dyDescent="0.2">
      <c r="A1286" s="6">
        <v>45841</v>
      </c>
      <c r="B1286" t="s">
        <v>15</v>
      </c>
      <c r="C1286" t="s">
        <v>16</v>
      </c>
      <c r="D1286" s="1">
        <v>45855</v>
      </c>
      <c r="E1286" t="s">
        <v>17</v>
      </c>
      <c r="F1286">
        <v>4600</v>
      </c>
      <c r="J1286">
        <v>1122</v>
      </c>
      <c r="K1286">
        <v>1151</v>
      </c>
      <c r="L1286">
        <v>0</v>
      </c>
      <c r="M1286" t="s">
        <v>18</v>
      </c>
      <c r="N1286">
        <v>0</v>
      </c>
      <c r="O1286">
        <v>0</v>
      </c>
    </row>
    <row r="1287" spans="1:15" x14ac:dyDescent="0.2">
      <c r="A1287" s="6">
        <v>45841</v>
      </c>
      <c r="B1287" t="s">
        <v>15</v>
      </c>
      <c r="C1287" t="s">
        <v>16</v>
      </c>
      <c r="D1287" s="1">
        <v>45855</v>
      </c>
      <c r="E1287" t="s">
        <v>19</v>
      </c>
      <c r="F1287">
        <v>3650</v>
      </c>
      <c r="J1287">
        <v>0.1</v>
      </c>
      <c r="K1287">
        <v>0.1</v>
      </c>
      <c r="L1287">
        <v>0</v>
      </c>
      <c r="M1287" t="s">
        <v>18</v>
      </c>
      <c r="N1287">
        <v>0</v>
      </c>
      <c r="O1287">
        <v>0</v>
      </c>
    </row>
    <row r="1288" spans="1:15" x14ac:dyDescent="0.2">
      <c r="A1288" s="6">
        <v>45841</v>
      </c>
      <c r="B1288" t="s">
        <v>15</v>
      </c>
      <c r="C1288" t="s">
        <v>16</v>
      </c>
      <c r="D1288" s="1">
        <v>45855</v>
      </c>
      <c r="E1288" t="s">
        <v>19</v>
      </c>
      <c r="F1288">
        <v>6700</v>
      </c>
      <c r="J1288">
        <v>979.7</v>
      </c>
      <c r="K1288">
        <v>1093.8</v>
      </c>
      <c r="L1288">
        <v>0</v>
      </c>
      <c r="M1288" t="s">
        <v>18</v>
      </c>
      <c r="N1288">
        <v>0</v>
      </c>
      <c r="O1288">
        <v>189</v>
      </c>
    </row>
    <row r="1289" spans="1:15" x14ac:dyDescent="0.2">
      <c r="A1289" s="6">
        <v>45841</v>
      </c>
      <c r="B1289" t="s">
        <v>15</v>
      </c>
      <c r="C1289" t="s">
        <v>16</v>
      </c>
      <c r="D1289" s="1">
        <v>45855</v>
      </c>
      <c r="E1289" t="s">
        <v>19</v>
      </c>
      <c r="F1289">
        <v>7400</v>
      </c>
      <c r="J1289">
        <v>1672.3</v>
      </c>
      <c r="K1289">
        <v>1643.3</v>
      </c>
      <c r="L1289">
        <v>0</v>
      </c>
      <c r="M1289" t="s">
        <v>18</v>
      </c>
      <c r="N1289">
        <v>0</v>
      </c>
      <c r="O1289">
        <v>0</v>
      </c>
    </row>
    <row r="1290" spans="1:15" x14ac:dyDescent="0.2">
      <c r="A1290" s="6">
        <v>45841</v>
      </c>
      <c r="B1290" t="s">
        <v>15</v>
      </c>
      <c r="C1290" t="s">
        <v>16</v>
      </c>
      <c r="D1290" s="1">
        <v>45855</v>
      </c>
      <c r="E1290" t="s">
        <v>19</v>
      </c>
      <c r="F1290">
        <v>6900</v>
      </c>
      <c r="J1290">
        <v>1175.5999999999999</v>
      </c>
      <c r="K1290">
        <v>1148.4000000000001</v>
      </c>
      <c r="L1290">
        <v>0</v>
      </c>
      <c r="M1290" t="s">
        <v>18</v>
      </c>
      <c r="N1290">
        <v>0</v>
      </c>
      <c r="O1290">
        <v>40</v>
      </c>
    </row>
    <row r="1291" spans="1:15" x14ac:dyDescent="0.2">
      <c r="A1291" s="6">
        <v>45841</v>
      </c>
      <c r="B1291" t="s">
        <v>15</v>
      </c>
      <c r="C1291" t="s">
        <v>16</v>
      </c>
      <c r="D1291" s="1">
        <v>45855</v>
      </c>
      <c r="E1291" t="s">
        <v>17</v>
      </c>
      <c r="F1291">
        <v>3600</v>
      </c>
      <c r="J1291">
        <v>2119.1</v>
      </c>
      <c r="K1291">
        <v>2147.6999999999998</v>
      </c>
      <c r="L1291">
        <v>0</v>
      </c>
      <c r="M1291" t="s">
        <v>18</v>
      </c>
      <c r="N1291">
        <v>0</v>
      </c>
      <c r="O1291">
        <v>0</v>
      </c>
    </row>
    <row r="1292" spans="1:15" x14ac:dyDescent="0.2">
      <c r="A1292" s="6">
        <v>45841</v>
      </c>
      <c r="B1292" t="s">
        <v>15</v>
      </c>
      <c r="C1292" t="s">
        <v>16</v>
      </c>
      <c r="D1292" s="1">
        <v>45855</v>
      </c>
      <c r="E1292" t="s">
        <v>17</v>
      </c>
      <c r="F1292">
        <v>3650</v>
      </c>
      <c r="J1292">
        <v>2069.1999999999998</v>
      </c>
      <c r="K1292">
        <v>2097.8000000000002</v>
      </c>
      <c r="L1292">
        <v>0</v>
      </c>
      <c r="M1292" t="s">
        <v>18</v>
      </c>
      <c r="N1292">
        <v>0</v>
      </c>
      <c r="O1292">
        <v>0</v>
      </c>
    </row>
    <row r="1293" spans="1:15" x14ac:dyDescent="0.2">
      <c r="A1293" s="6">
        <v>45841</v>
      </c>
      <c r="B1293" t="s">
        <v>15</v>
      </c>
      <c r="C1293" t="s">
        <v>16</v>
      </c>
      <c r="D1293" s="1">
        <v>45855</v>
      </c>
      <c r="E1293" t="s">
        <v>19</v>
      </c>
      <c r="F1293">
        <v>7550</v>
      </c>
      <c r="J1293">
        <v>1821.9</v>
      </c>
      <c r="K1293">
        <v>1792.8</v>
      </c>
      <c r="L1293">
        <v>0</v>
      </c>
      <c r="M1293" t="s">
        <v>18</v>
      </c>
      <c r="N1293">
        <v>0</v>
      </c>
      <c r="O1293">
        <v>0</v>
      </c>
    </row>
    <row r="1294" spans="1:15" x14ac:dyDescent="0.2">
      <c r="A1294" s="6">
        <v>45841</v>
      </c>
      <c r="B1294" t="s">
        <v>15</v>
      </c>
      <c r="C1294" t="s">
        <v>16</v>
      </c>
      <c r="D1294" s="1">
        <v>45855</v>
      </c>
      <c r="E1294" t="s">
        <v>17</v>
      </c>
      <c r="F1294">
        <v>5550</v>
      </c>
      <c r="G1294">
        <v>275</v>
      </c>
      <c r="H1294">
        <v>302</v>
      </c>
      <c r="I1294">
        <v>235.3</v>
      </c>
      <c r="J1294">
        <v>256.8</v>
      </c>
      <c r="K1294">
        <v>286.2</v>
      </c>
      <c r="L1294">
        <v>5608</v>
      </c>
      <c r="M1294" t="s">
        <v>648</v>
      </c>
      <c r="N1294">
        <v>32603.74</v>
      </c>
      <c r="O1294">
        <v>238</v>
      </c>
    </row>
    <row r="1295" spans="1:15" x14ac:dyDescent="0.2">
      <c r="A1295" s="6">
        <v>45841</v>
      </c>
      <c r="B1295" t="s">
        <v>15</v>
      </c>
      <c r="C1295" t="s">
        <v>16</v>
      </c>
      <c r="D1295" s="1">
        <v>45855</v>
      </c>
      <c r="E1295" t="s">
        <v>17</v>
      </c>
      <c r="F1295">
        <v>6400</v>
      </c>
      <c r="G1295">
        <v>49.2</v>
      </c>
      <c r="H1295">
        <v>60</v>
      </c>
      <c r="I1295">
        <v>25.6</v>
      </c>
      <c r="J1295">
        <v>28.9</v>
      </c>
      <c r="K1295">
        <v>49.2</v>
      </c>
      <c r="L1295">
        <v>19624</v>
      </c>
      <c r="M1295" t="s">
        <v>649</v>
      </c>
      <c r="N1295">
        <v>126224.2</v>
      </c>
      <c r="O1295">
        <v>6190</v>
      </c>
    </row>
    <row r="1296" spans="1:15" x14ac:dyDescent="0.2">
      <c r="A1296" s="6">
        <v>45841</v>
      </c>
      <c r="B1296" t="s">
        <v>15</v>
      </c>
      <c r="C1296" t="s">
        <v>16</v>
      </c>
      <c r="D1296" s="1">
        <v>45855</v>
      </c>
      <c r="E1296" t="s">
        <v>19</v>
      </c>
      <c r="F1296">
        <v>3950</v>
      </c>
      <c r="J1296">
        <v>0.1</v>
      </c>
      <c r="K1296">
        <v>0.1</v>
      </c>
      <c r="L1296">
        <v>0</v>
      </c>
      <c r="M1296" t="s">
        <v>18</v>
      </c>
      <c r="N1296">
        <v>0</v>
      </c>
      <c r="O1296">
        <v>0</v>
      </c>
    </row>
    <row r="1297" spans="1:15" x14ac:dyDescent="0.2">
      <c r="A1297" s="6">
        <v>45841</v>
      </c>
      <c r="B1297" t="s">
        <v>15</v>
      </c>
      <c r="C1297" t="s">
        <v>16</v>
      </c>
      <c r="D1297" s="1">
        <v>45855</v>
      </c>
      <c r="E1297" t="s">
        <v>17</v>
      </c>
      <c r="F1297">
        <v>7600</v>
      </c>
      <c r="G1297">
        <v>19.3</v>
      </c>
      <c r="H1297">
        <v>19.3</v>
      </c>
      <c r="I1297">
        <v>9.1999999999999993</v>
      </c>
      <c r="J1297">
        <v>10.7</v>
      </c>
      <c r="K1297">
        <v>19.3</v>
      </c>
      <c r="L1297">
        <v>1312</v>
      </c>
      <c r="M1297" t="s">
        <v>650</v>
      </c>
      <c r="N1297">
        <v>9988.99</v>
      </c>
      <c r="O1297">
        <v>1130</v>
      </c>
    </row>
    <row r="1298" spans="1:15" x14ac:dyDescent="0.2">
      <c r="A1298" s="6">
        <v>45841</v>
      </c>
      <c r="B1298" t="s">
        <v>15</v>
      </c>
      <c r="C1298" t="s">
        <v>16</v>
      </c>
      <c r="D1298" s="1">
        <v>45855</v>
      </c>
      <c r="E1298" t="s">
        <v>19</v>
      </c>
      <c r="F1298">
        <v>6000</v>
      </c>
      <c r="G1298">
        <v>341</v>
      </c>
      <c r="H1298">
        <v>369</v>
      </c>
      <c r="I1298">
        <v>310</v>
      </c>
      <c r="J1298">
        <v>340.8</v>
      </c>
      <c r="K1298">
        <v>337.6</v>
      </c>
      <c r="L1298">
        <v>5161</v>
      </c>
      <c r="M1298" t="s">
        <v>651</v>
      </c>
      <c r="N1298">
        <v>32707.59</v>
      </c>
      <c r="O1298">
        <v>2115</v>
      </c>
    </row>
    <row r="1299" spans="1:15" x14ac:dyDescent="0.2">
      <c r="A1299" s="6">
        <v>45841</v>
      </c>
      <c r="B1299" t="s">
        <v>15</v>
      </c>
      <c r="C1299" t="s">
        <v>16</v>
      </c>
      <c r="D1299" s="1">
        <v>45855</v>
      </c>
      <c r="E1299" t="s">
        <v>19</v>
      </c>
      <c r="F1299">
        <v>3850</v>
      </c>
      <c r="J1299">
        <v>0.1</v>
      </c>
      <c r="K1299">
        <v>0.1</v>
      </c>
      <c r="L1299">
        <v>0</v>
      </c>
      <c r="M1299" t="s">
        <v>18</v>
      </c>
      <c r="N1299">
        <v>0</v>
      </c>
      <c r="O1299">
        <v>0</v>
      </c>
    </row>
    <row r="1300" spans="1:15" x14ac:dyDescent="0.2">
      <c r="A1300" s="6">
        <v>45841</v>
      </c>
      <c r="B1300" t="s">
        <v>15</v>
      </c>
      <c r="C1300" t="s">
        <v>16</v>
      </c>
      <c r="D1300" s="1">
        <v>45855</v>
      </c>
      <c r="E1300" t="s">
        <v>17</v>
      </c>
      <c r="F1300">
        <v>6600</v>
      </c>
      <c r="G1300">
        <v>38.700000000000003</v>
      </c>
      <c r="H1300">
        <v>38.700000000000003</v>
      </c>
      <c r="I1300">
        <v>20</v>
      </c>
      <c r="J1300">
        <v>22.5</v>
      </c>
      <c r="K1300">
        <v>42.2</v>
      </c>
      <c r="L1300">
        <v>9468</v>
      </c>
      <c r="M1300" t="s">
        <v>652</v>
      </c>
      <c r="N1300">
        <v>62718</v>
      </c>
      <c r="O1300">
        <v>4200</v>
      </c>
    </row>
    <row r="1301" spans="1:15" x14ac:dyDescent="0.2">
      <c r="A1301" s="6">
        <v>45841</v>
      </c>
      <c r="B1301" t="s">
        <v>15</v>
      </c>
      <c r="C1301" t="s">
        <v>16</v>
      </c>
      <c r="D1301" s="1">
        <v>45855</v>
      </c>
      <c r="E1301" t="s">
        <v>19</v>
      </c>
      <c r="F1301">
        <v>4800</v>
      </c>
      <c r="G1301">
        <v>6.7</v>
      </c>
      <c r="H1301">
        <v>10.5</v>
      </c>
      <c r="I1301">
        <v>6.5</v>
      </c>
      <c r="J1301">
        <v>8.5</v>
      </c>
      <c r="K1301">
        <v>8.3000000000000007</v>
      </c>
      <c r="L1301">
        <v>1213</v>
      </c>
      <c r="M1301" t="s">
        <v>653</v>
      </c>
      <c r="N1301">
        <v>5832.77</v>
      </c>
      <c r="O1301">
        <v>612</v>
      </c>
    </row>
    <row r="1302" spans="1:15" x14ac:dyDescent="0.2">
      <c r="A1302" s="6">
        <v>45841</v>
      </c>
      <c r="B1302" t="s">
        <v>15</v>
      </c>
      <c r="C1302" t="s">
        <v>16</v>
      </c>
      <c r="D1302" s="1">
        <v>45855</v>
      </c>
      <c r="E1302" t="s">
        <v>19</v>
      </c>
      <c r="F1302">
        <v>6500</v>
      </c>
      <c r="G1302">
        <v>792.2</v>
      </c>
      <c r="H1302">
        <v>830</v>
      </c>
      <c r="I1302">
        <v>763.1</v>
      </c>
      <c r="J1302">
        <v>783.6</v>
      </c>
      <c r="K1302">
        <v>833.8</v>
      </c>
      <c r="L1302">
        <v>9</v>
      </c>
      <c r="M1302" t="s">
        <v>343</v>
      </c>
      <c r="N1302">
        <v>65.55</v>
      </c>
      <c r="O1302">
        <v>738</v>
      </c>
    </row>
    <row r="1303" spans="1:15" x14ac:dyDescent="0.2">
      <c r="A1303" s="6">
        <v>45841</v>
      </c>
      <c r="B1303" t="s">
        <v>15</v>
      </c>
      <c r="C1303" t="s">
        <v>16</v>
      </c>
      <c r="D1303" s="1">
        <v>45855</v>
      </c>
      <c r="E1303" t="s">
        <v>19</v>
      </c>
      <c r="F1303">
        <v>5850</v>
      </c>
      <c r="G1303">
        <v>229.8</v>
      </c>
      <c r="H1303">
        <v>258.7</v>
      </c>
      <c r="I1303">
        <v>210.5</v>
      </c>
      <c r="J1303">
        <v>231.8</v>
      </c>
      <c r="K1303">
        <v>229.8</v>
      </c>
      <c r="L1303">
        <v>9985</v>
      </c>
      <c r="M1303" t="s">
        <v>654</v>
      </c>
      <c r="N1303">
        <v>60726.14</v>
      </c>
      <c r="O1303">
        <v>140</v>
      </c>
    </row>
    <row r="1304" spans="1:15" x14ac:dyDescent="0.2">
      <c r="A1304" s="6">
        <v>45841</v>
      </c>
      <c r="B1304" t="s">
        <v>15</v>
      </c>
      <c r="C1304" t="s">
        <v>16</v>
      </c>
      <c r="D1304" s="1">
        <v>45855</v>
      </c>
      <c r="E1304" t="s">
        <v>19</v>
      </c>
      <c r="F1304">
        <v>6300</v>
      </c>
      <c r="G1304">
        <v>633</v>
      </c>
      <c r="H1304">
        <v>633</v>
      </c>
      <c r="I1304">
        <v>582.20000000000005</v>
      </c>
      <c r="J1304">
        <v>620.79999999999995</v>
      </c>
      <c r="K1304">
        <v>650.79999999999995</v>
      </c>
      <c r="L1304">
        <v>20</v>
      </c>
      <c r="M1304" t="s">
        <v>258</v>
      </c>
      <c r="N1304">
        <v>138.29</v>
      </c>
      <c r="O1304">
        <v>574</v>
      </c>
    </row>
    <row r="1305" spans="1:15" x14ac:dyDescent="0.2">
      <c r="A1305" s="6">
        <v>45841</v>
      </c>
      <c r="B1305" t="s">
        <v>15</v>
      </c>
      <c r="C1305" t="s">
        <v>16</v>
      </c>
      <c r="D1305" s="1">
        <v>45855</v>
      </c>
      <c r="E1305" t="s">
        <v>17</v>
      </c>
      <c r="F1305">
        <v>3900</v>
      </c>
      <c r="J1305">
        <v>1819.8</v>
      </c>
      <c r="K1305">
        <v>1848.4</v>
      </c>
      <c r="L1305">
        <v>0</v>
      </c>
      <c r="M1305" t="s">
        <v>18</v>
      </c>
      <c r="N1305">
        <v>0</v>
      </c>
      <c r="O1305">
        <v>0</v>
      </c>
    </row>
    <row r="1306" spans="1:15" x14ac:dyDescent="0.2">
      <c r="A1306" s="6">
        <v>45841</v>
      </c>
      <c r="B1306" t="s">
        <v>15</v>
      </c>
      <c r="C1306" t="s">
        <v>16</v>
      </c>
      <c r="D1306" s="1">
        <v>45855</v>
      </c>
      <c r="E1306" t="s">
        <v>17</v>
      </c>
      <c r="F1306">
        <v>5850</v>
      </c>
      <c r="G1306">
        <v>115.1</v>
      </c>
      <c r="H1306">
        <v>139.4</v>
      </c>
      <c r="I1306">
        <v>95.9</v>
      </c>
      <c r="J1306">
        <v>107.5</v>
      </c>
      <c r="K1306">
        <v>135.69999999999999</v>
      </c>
      <c r="L1306">
        <v>43244</v>
      </c>
      <c r="M1306" t="s">
        <v>655</v>
      </c>
      <c r="N1306">
        <v>258022.22</v>
      </c>
      <c r="O1306">
        <v>1713</v>
      </c>
    </row>
    <row r="1307" spans="1:15" x14ac:dyDescent="0.2">
      <c r="A1307" s="6">
        <v>45841</v>
      </c>
      <c r="B1307" t="s">
        <v>15</v>
      </c>
      <c r="C1307" t="s">
        <v>16</v>
      </c>
      <c r="D1307" s="1">
        <v>45855</v>
      </c>
      <c r="E1307" t="s">
        <v>19</v>
      </c>
      <c r="F1307">
        <v>7050</v>
      </c>
      <c r="J1307">
        <v>1324</v>
      </c>
      <c r="K1307">
        <v>1296</v>
      </c>
      <c r="L1307">
        <v>0</v>
      </c>
      <c r="M1307" t="s">
        <v>18</v>
      </c>
      <c r="N1307">
        <v>0</v>
      </c>
      <c r="O1307">
        <v>0</v>
      </c>
    </row>
    <row r="1308" spans="1:15" x14ac:dyDescent="0.2">
      <c r="A1308" s="6">
        <v>45841</v>
      </c>
      <c r="B1308" t="s">
        <v>15</v>
      </c>
      <c r="C1308" t="s">
        <v>16</v>
      </c>
      <c r="D1308" s="1">
        <v>45855</v>
      </c>
      <c r="E1308" t="s">
        <v>19</v>
      </c>
      <c r="F1308">
        <v>7650</v>
      </c>
      <c r="J1308">
        <v>1921.6</v>
      </c>
      <c r="K1308">
        <v>1892.4</v>
      </c>
      <c r="L1308">
        <v>0</v>
      </c>
      <c r="M1308" t="s">
        <v>18</v>
      </c>
      <c r="N1308">
        <v>0</v>
      </c>
      <c r="O1308">
        <v>0</v>
      </c>
    </row>
    <row r="1309" spans="1:15" x14ac:dyDescent="0.2">
      <c r="A1309" s="6">
        <v>45841</v>
      </c>
      <c r="B1309" t="s">
        <v>15</v>
      </c>
      <c r="C1309" t="s">
        <v>16</v>
      </c>
      <c r="D1309" s="1">
        <v>45855</v>
      </c>
      <c r="E1309" t="s">
        <v>19</v>
      </c>
      <c r="F1309">
        <v>5550</v>
      </c>
      <c r="G1309">
        <v>87</v>
      </c>
      <c r="H1309">
        <v>99.4</v>
      </c>
      <c r="I1309">
        <v>74</v>
      </c>
      <c r="J1309">
        <v>84.3</v>
      </c>
      <c r="K1309">
        <v>87.1</v>
      </c>
      <c r="L1309">
        <v>32462</v>
      </c>
      <c r="M1309" t="s">
        <v>656</v>
      </c>
      <c r="N1309">
        <v>182968.14</v>
      </c>
      <c r="O1309">
        <v>2030</v>
      </c>
    </row>
    <row r="1310" spans="1:15" x14ac:dyDescent="0.2">
      <c r="A1310" s="6">
        <v>45841</v>
      </c>
      <c r="B1310" t="s">
        <v>15</v>
      </c>
      <c r="C1310" t="s">
        <v>16</v>
      </c>
      <c r="D1310" s="1">
        <v>45855</v>
      </c>
      <c r="E1310" t="s">
        <v>19</v>
      </c>
      <c r="F1310">
        <v>4350</v>
      </c>
      <c r="J1310">
        <v>0.1</v>
      </c>
      <c r="K1310">
        <v>0.1</v>
      </c>
      <c r="L1310">
        <v>0</v>
      </c>
      <c r="M1310" t="s">
        <v>18</v>
      </c>
      <c r="N1310">
        <v>0</v>
      </c>
      <c r="O1310">
        <v>0</v>
      </c>
    </row>
    <row r="1311" spans="1:15" x14ac:dyDescent="0.2">
      <c r="A1311" s="6">
        <v>45841</v>
      </c>
      <c r="B1311" t="s">
        <v>15</v>
      </c>
      <c r="C1311" t="s">
        <v>16</v>
      </c>
      <c r="D1311" s="1">
        <v>45855</v>
      </c>
      <c r="E1311" t="s">
        <v>17</v>
      </c>
      <c r="F1311">
        <v>6150</v>
      </c>
      <c r="G1311">
        <v>47.8</v>
      </c>
      <c r="H1311">
        <v>62.3</v>
      </c>
      <c r="I1311">
        <v>40.9</v>
      </c>
      <c r="J1311">
        <v>45.6</v>
      </c>
      <c r="K1311">
        <v>69.400000000000006</v>
      </c>
      <c r="L1311">
        <v>7181</v>
      </c>
      <c r="M1311" t="s">
        <v>657</v>
      </c>
      <c r="N1311">
        <v>44529.32</v>
      </c>
      <c r="O1311">
        <v>743</v>
      </c>
    </row>
    <row r="1312" spans="1:15" x14ac:dyDescent="0.2">
      <c r="A1312" s="6">
        <v>45841</v>
      </c>
      <c r="B1312" t="s">
        <v>15</v>
      </c>
      <c r="C1312" t="s">
        <v>16</v>
      </c>
      <c r="D1312" s="1">
        <v>45855</v>
      </c>
      <c r="E1312" t="s">
        <v>19</v>
      </c>
      <c r="F1312">
        <v>4750</v>
      </c>
      <c r="G1312">
        <v>7</v>
      </c>
      <c r="H1312">
        <v>9.4</v>
      </c>
      <c r="I1312">
        <v>7</v>
      </c>
      <c r="J1312">
        <v>8.9</v>
      </c>
      <c r="K1312">
        <v>6.8</v>
      </c>
      <c r="L1312">
        <v>20</v>
      </c>
      <c r="M1312" t="s">
        <v>258</v>
      </c>
      <c r="N1312">
        <v>95.17</v>
      </c>
      <c r="O1312">
        <v>10</v>
      </c>
    </row>
    <row r="1313" spans="1:15" x14ac:dyDescent="0.2">
      <c r="A1313" s="6">
        <v>45841</v>
      </c>
      <c r="B1313" t="s">
        <v>15</v>
      </c>
      <c r="C1313" t="s">
        <v>16</v>
      </c>
      <c r="D1313" s="1">
        <v>45855</v>
      </c>
      <c r="E1313" t="s">
        <v>17</v>
      </c>
      <c r="F1313">
        <v>7400</v>
      </c>
      <c r="G1313">
        <v>15.2</v>
      </c>
      <c r="H1313">
        <v>17.100000000000001</v>
      </c>
      <c r="I1313">
        <v>11.3</v>
      </c>
      <c r="J1313">
        <v>12.7</v>
      </c>
      <c r="K1313">
        <v>22.2</v>
      </c>
      <c r="L1313">
        <v>515</v>
      </c>
      <c r="M1313" t="s">
        <v>643</v>
      </c>
      <c r="N1313">
        <v>3818.55</v>
      </c>
      <c r="O1313">
        <v>1443</v>
      </c>
    </row>
    <row r="1314" spans="1:15" x14ac:dyDescent="0.2">
      <c r="A1314" s="6">
        <v>45841</v>
      </c>
      <c r="B1314" t="s">
        <v>15</v>
      </c>
      <c r="C1314" t="s">
        <v>16</v>
      </c>
      <c r="D1314" s="1">
        <v>45855</v>
      </c>
      <c r="E1314" t="s">
        <v>17</v>
      </c>
      <c r="F1314">
        <v>5400</v>
      </c>
      <c r="G1314">
        <v>385.1</v>
      </c>
      <c r="H1314">
        <v>413.3</v>
      </c>
      <c r="I1314">
        <v>342</v>
      </c>
      <c r="J1314">
        <v>366.6</v>
      </c>
      <c r="K1314">
        <v>397.1</v>
      </c>
      <c r="L1314">
        <v>2338</v>
      </c>
      <c r="M1314" t="s">
        <v>308</v>
      </c>
      <c r="N1314">
        <v>13498.33</v>
      </c>
      <c r="O1314">
        <v>551</v>
      </c>
    </row>
    <row r="1315" spans="1:15" x14ac:dyDescent="0.2">
      <c r="A1315" s="6">
        <v>45841</v>
      </c>
      <c r="B1315" t="s">
        <v>15</v>
      </c>
      <c r="C1315" t="s">
        <v>16</v>
      </c>
      <c r="D1315" s="1">
        <v>45855</v>
      </c>
      <c r="E1315" t="s">
        <v>17</v>
      </c>
      <c r="F1315">
        <v>7700</v>
      </c>
      <c r="G1315">
        <v>18.600000000000001</v>
      </c>
      <c r="H1315">
        <v>18.600000000000001</v>
      </c>
      <c r="I1315">
        <v>9</v>
      </c>
      <c r="J1315">
        <v>9.4</v>
      </c>
      <c r="K1315">
        <v>17</v>
      </c>
      <c r="L1315">
        <v>2453</v>
      </c>
      <c r="M1315" t="s">
        <v>658</v>
      </c>
      <c r="N1315">
        <v>18916.28</v>
      </c>
      <c r="O1315">
        <v>2547</v>
      </c>
    </row>
    <row r="1316" spans="1:15" x14ac:dyDescent="0.2">
      <c r="A1316" s="6">
        <v>45841</v>
      </c>
      <c r="B1316" t="s">
        <v>15</v>
      </c>
      <c r="C1316" t="s">
        <v>16</v>
      </c>
      <c r="D1316" s="1">
        <v>45855</v>
      </c>
      <c r="E1316" t="s">
        <v>19</v>
      </c>
      <c r="F1316">
        <v>6600</v>
      </c>
      <c r="J1316">
        <v>883.2</v>
      </c>
      <c r="K1316">
        <v>944.5</v>
      </c>
      <c r="L1316">
        <v>0</v>
      </c>
      <c r="M1316" t="s">
        <v>18</v>
      </c>
      <c r="N1316">
        <v>0</v>
      </c>
      <c r="O1316">
        <v>163</v>
      </c>
    </row>
    <row r="1317" spans="1:15" x14ac:dyDescent="0.2">
      <c r="A1317" s="6">
        <v>45841</v>
      </c>
      <c r="B1317" t="s">
        <v>15</v>
      </c>
      <c r="C1317" t="s">
        <v>16</v>
      </c>
      <c r="D1317" s="1">
        <v>45855</v>
      </c>
      <c r="E1317" t="s">
        <v>19</v>
      </c>
      <c r="F1317">
        <v>7000</v>
      </c>
      <c r="G1317">
        <v>1271</v>
      </c>
      <c r="H1317">
        <v>1271</v>
      </c>
      <c r="I1317">
        <v>1271</v>
      </c>
      <c r="J1317">
        <v>1271</v>
      </c>
      <c r="K1317">
        <v>1246.5999999999999</v>
      </c>
      <c r="L1317">
        <v>1</v>
      </c>
      <c r="M1317" t="s">
        <v>155</v>
      </c>
      <c r="N1317">
        <v>8.27</v>
      </c>
      <c r="O1317">
        <v>12</v>
      </c>
    </row>
    <row r="1318" spans="1:15" x14ac:dyDescent="0.2">
      <c r="A1318" s="6">
        <v>45841</v>
      </c>
      <c r="B1318" t="s">
        <v>15</v>
      </c>
      <c r="C1318" t="s">
        <v>16</v>
      </c>
      <c r="D1318" s="1">
        <v>45855</v>
      </c>
      <c r="E1318" t="s">
        <v>19</v>
      </c>
      <c r="F1318">
        <v>4300</v>
      </c>
      <c r="J1318">
        <v>0.1</v>
      </c>
      <c r="K1318">
        <v>0.1</v>
      </c>
      <c r="L1318">
        <v>0</v>
      </c>
      <c r="M1318" t="s">
        <v>18</v>
      </c>
      <c r="N1318">
        <v>0</v>
      </c>
      <c r="O1318">
        <v>0</v>
      </c>
    </row>
    <row r="1319" spans="1:15" x14ac:dyDescent="0.2">
      <c r="A1319" s="6">
        <v>45841</v>
      </c>
      <c r="B1319" t="s">
        <v>15</v>
      </c>
      <c r="C1319" t="s">
        <v>16</v>
      </c>
      <c r="D1319" s="1">
        <v>45855</v>
      </c>
      <c r="E1319" t="s">
        <v>19</v>
      </c>
      <c r="F1319">
        <v>6450</v>
      </c>
      <c r="G1319">
        <v>736.6</v>
      </c>
      <c r="H1319">
        <v>736.6</v>
      </c>
      <c r="I1319">
        <v>732.7</v>
      </c>
      <c r="J1319">
        <v>734.7</v>
      </c>
      <c r="K1319">
        <v>796</v>
      </c>
      <c r="L1319">
        <v>2</v>
      </c>
      <c r="M1319" t="s">
        <v>28</v>
      </c>
      <c r="N1319">
        <v>14.37</v>
      </c>
      <c r="O1319">
        <v>837</v>
      </c>
    </row>
    <row r="1320" spans="1:15" x14ac:dyDescent="0.2">
      <c r="A1320" s="6">
        <v>45841</v>
      </c>
      <c r="B1320" t="s">
        <v>15</v>
      </c>
      <c r="C1320" t="s">
        <v>16</v>
      </c>
      <c r="D1320" s="1">
        <v>45855</v>
      </c>
      <c r="E1320" t="s">
        <v>17</v>
      </c>
      <c r="F1320">
        <v>7100</v>
      </c>
      <c r="G1320">
        <v>20.8</v>
      </c>
      <c r="H1320">
        <v>27.9</v>
      </c>
      <c r="I1320">
        <v>14.2</v>
      </c>
      <c r="J1320">
        <v>15.5</v>
      </c>
      <c r="K1320">
        <v>29.8</v>
      </c>
      <c r="L1320">
        <v>1197</v>
      </c>
      <c r="M1320" t="s">
        <v>659</v>
      </c>
      <c r="N1320">
        <v>8519.67</v>
      </c>
      <c r="O1320">
        <v>397</v>
      </c>
    </row>
    <row r="1321" spans="1:15" x14ac:dyDescent="0.2">
      <c r="A1321" s="6">
        <v>45841</v>
      </c>
      <c r="B1321" t="s">
        <v>15</v>
      </c>
      <c r="C1321" t="s">
        <v>16</v>
      </c>
      <c r="D1321" s="1">
        <v>45855</v>
      </c>
      <c r="E1321" t="s">
        <v>19</v>
      </c>
      <c r="F1321">
        <v>4150</v>
      </c>
      <c r="J1321">
        <v>0.1</v>
      </c>
      <c r="K1321">
        <v>0.1</v>
      </c>
      <c r="L1321">
        <v>0</v>
      </c>
      <c r="M1321" t="s">
        <v>18</v>
      </c>
      <c r="N1321">
        <v>0</v>
      </c>
      <c r="O1321">
        <v>0</v>
      </c>
    </row>
    <row r="1322" spans="1:15" x14ac:dyDescent="0.2">
      <c r="A1322" s="6">
        <v>45841</v>
      </c>
      <c r="B1322" t="s">
        <v>15</v>
      </c>
      <c r="C1322" t="s">
        <v>16</v>
      </c>
      <c r="D1322" s="1">
        <v>45855</v>
      </c>
      <c r="E1322" t="s">
        <v>19</v>
      </c>
      <c r="F1322">
        <v>7300</v>
      </c>
      <c r="J1322">
        <v>1572.7</v>
      </c>
      <c r="K1322">
        <v>1543.8</v>
      </c>
      <c r="L1322">
        <v>0</v>
      </c>
      <c r="M1322" t="s">
        <v>18</v>
      </c>
      <c r="N1322">
        <v>0</v>
      </c>
      <c r="O1322">
        <v>0</v>
      </c>
    </row>
    <row r="1323" spans="1:15" x14ac:dyDescent="0.2">
      <c r="A1323" s="6">
        <v>45841</v>
      </c>
      <c r="B1323" t="s">
        <v>15</v>
      </c>
      <c r="C1323" t="s">
        <v>16</v>
      </c>
      <c r="D1323" s="1">
        <v>45855</v>
      </c>
      <c r="E1323" t="s">
        <v>17</v>
      </c>
      <c r="F1323">
        <v>4300</v>
      </c>
      <c r="J1323">
        <v>1420.8</v>
      </c>
      <c r="K1323">
        <v>1449.5</v>
      </c>
      <c r="L1323">
        <v>0</v>
      </c>
      <c r="M1323" t="s">
        <v>18</v>
      </c>
      <c r="N1323">
        <v>0</v>
      </c>
      <c r="O1323">
        <v>0</v>
      </c>
    </row>
    <row r="1324" spans="1:15" x14ac:dyDescent="0.2">
      <c r="A1324" s="6">
        <v>45841</v>
      </c>
      <c r="B1324" t="s">
        <v>15</v>
      </c>
      <c r="C1324" t="s">
        <v>16</v>
      </c>
      <c r="D1324" s="1">
        <v>45855</v>
      </c>
      <c r="E1324" t="s">
        <v>19</v>
      </c>
      <c r="F1324">
        <v>3800</v>
      </c>
      <c r="J1324">
        <v>0.1</v>
      </c>
      <c r="K1324">
        <v>0.1</v>
      </c>
      <c r="L1324">
        <v>0</v>
      </c>
      <c r="M1324" t="s">
        <v>18</v>
      </c>
      <c r="N1324">
        <v>0</v>
      </c>
      <c r="O1324">
        <v>0</v>
      </c>
    </row>
    <row r="1325" spans="1:15" x14ac:dyDescent="0.2">
      <c r="A1325" s="6">
        <v>45841</v>
      </c>
      <c r="B1325" t="s">
        <v>15</v>
      </c>
      <c r="C1325" t="s">
        <v>16</v>
      </c>
      <c r="D1325" s="1">
        <v>45855</v>
      </c>
      <c r="E1325" t="s">
        <v>19</v>
      </c>
      <c r="F1325">
        <v>6100</v>
      </c>
      <c r="G1325">
        <v>415.1</v>
      </c>
      <c r="H1325">
        <v>453.2</v>
      </c>
      <c r="I1325">
        <v>389.2</v>
      </c>
      <c r="J1325">
        <v>424.9</v>
      </c>
      <c r="K1325">
        <v>418.2</v>
      </c>
      <c r="L1325">
        <v>515</v>
      </c>
      <c r="M1325" t="s">
        <v>643</v>
      </c>
      <c r="N1325">
        <v>3354.64</v>
      </c>
      <c r="O1325">
        <v>351</v>
      </c>
    </row>
    <row r="1326" spans="1:15" x14ac:dyDescent="0.2">
      <c r="A1326" s="6">
        <v>45841</v>
      </c>
      <c r="B1326" t="s">
        <v>15</v>
      </c>
      <c r="C1326" t="s">
        <v>16</v>
      </c>
      <c r="D1326" s="1">
        <v>45855</v>
      </c>
      <c r="E1326" t="s">
        <v>19</v>
      </c>
      <c r="F1326">
        <v>5500</v>
      </c>
      <c r="G1326">
        <v>68.400000000000006</v>
      </c>
      <c r="H1326">
        <v>81.400000000000006</v>
      </c>
      <c r="I1326">
        <v>59.8</v>
      </c>
      <c r="J1326">
        <v>68.099999999999994</v>
      </c>
      <c r="K1326">
        <v>71.3</v>
      </c>
      <c r="L1326">
        <v>65946</v>
      </c>
      <c r="M1326" t="s">
        <v>660</v>
      </c>
      <c r="N1326">
        <v>367345.42</v>
      </c>
      <c r="O1326">
        <v>7402</v>
      </c>
    </row>
    <row r="1327" spans="1:15" x14ac:dyDescent="0.2">
      <c r="A1327" s="6">
        <v>45841</v>
      </c>
      <c r="B1327" t="s">
        <v>15</v>
      </c>
      <c r="C1327" t="s">
        <v>16</v>
      </c>
      <c r="D1327" s="1">
        <v>45855</v>
      </c>
      <c r="E1327" t="s">
        <v>19</v>
      </c>
      <c r="F1327">
        <v>5750</v>
      </c>
      <c r="G1327">
        <v>175.5</v>
      </c>
      <c r="H1327">
        <v>194.9</v>
      </c>
      <c r="I1327">
        <v>154.1</v>
      </c>
      <c r="J1327">
        <v>171.5</v>
      </c>
      <c r="K1327">
        <v>171.3</v>
      </c>
      <c r="L1327">
        <v>60580</v>
      </c>
      <c r="M1327" t="s">
        <v>661</v>
      </c>
      <c r="N1327">
        <v>358799.28</v>
      </c>
      <c r="O1327">
        <v>2361</v>
      </c>
    </row>
    <row r="1328" spans="1:15" x14ac:dyDescent="0.2">
      <c r="A1328" s="6">
        <v>45841</v>
      </c>
      <c r="B1328" t="s">
        <v>15</v>
      </c>
      <c r="C1328" t="s">
        <v>16</v>
      </c>
      <c r="D1328" s="1">
        <v>45855</v>
      </c>
      <c r="E1328" t="s">
        <v>17</v>
      </c>
      <c r="F1328">
        <v>5650</v>
      </c>
      <c r="G1328">
        <v>209</v>
      </c>
      <c r="H1328">
        <v>237</v>
      </c>
      <c r="I1328">
        <v>177.8</v>
      </c>
      <c r="J1328">
        <v>196.2</v>
      </c>
      <c r="K1328">
        <v>225</v>
      </c>
      <c r="L1328">
        <v>27960</v>
      </c>
      <c r="M1328" t="s">
        <v>662</v>
      </c>
      <c r="N1328">
        <v>163701.9</v>
      </c>
      <c r="O1328">
        <v>931</v>
      </c>
    </row>
    <row r="1329" spans="1:15" x14ac:dyDescent="0.2">
      <c r="A1329" s="6">
        <v>45841</v>
      </c>
      <c r="B1329" t="s">
        <v>15</v>
      </c>
      <c r="C1329" t="s">
        <v>16</v>
      </c>
      <c r="D1329" s="1">
        <v>45855</v>
      </c>
      <c r="E1329" t="s">
        <v>17</v>
      </c>
      <c r="F1329">
        <v>4700</v>
      </c>
      <c r="J1329">
        <v>1023</v>
      </c>
      <c r="K1329">
        <v>1052.2</v>
      </c>
      <c r="L1329">
        <v>0</v>
      </c>
      <c r="M1329" t="s">
        <v>18</v>
      </c>
      <c r="N1329">
        <v>0</v>
      </c>
      <c r="O1329">
        <v>0</v>
      </c>
    </row>
    <row r="1330" spans="1:15" x14ac:dyDescent="0.2">
      <c r="A1330" s="6">
        <v>45840</v>
      </c>
      <c r="B1330" t="s">
        <v>15</v>
      </c>
      <c r="C1330" t="s">
        <v>16</v>
      </c>
      <c r="D1330" s="1">
        <v>45855</v>
      </c>
      <c r="E1330" t="s">
        <v>17</v>
      </c>
      <c r="F1330">
        <v>5100</v>
      </c>
      <c r="G1330">
        <v>605.1</v>
      </c>
      <c r="H1330">
        <v>610</v>
      </c>
      <c r="I1330">
        <v>529.9</v>
      </c>
      <c r="J1330">
        <v>589.4</v>
      </c>
      <c r="K1330">
        <v>551.9</v>
      </c>
      <c r="L1330">
        <v>8</v>
      </c>
      <c r="M1330" t="s">
        <v>71</v>
      </c>
      <c r="N1330">
        <v>45.51</v>
      </c>
      <c r="O1330">
        <v>7</v>
      </c>
    </row>
    <row r="1331" spans="1:15" x14ac:dyDescent="0.2">
      <c r="A1331" s="6">
        <v>45840</v>
      </c>
      <c r="B1331" t="s">
        <v>15</v>
      </c>
      <c r="C1331" t="s">
        <v>16</v>
      </c>
      <c r="D1331" s="1">
        <v>45855</v>
      </c>
      <c r="E1331" t="s">
        <v>19</v>
      </c>
      <c r="F1331">
        <v>6650</v>
      </c>
      <c r="G1331">
        <v>1012.4</v>
      </c>
      <c r="H1331">
        <v>1025.0999999999999</v>
      </c>
      <c r="I1331">
        <v>1012.4</v>
      </c>
      <c r="J1331">
        <v>1018.8</v>
      </c>
      <c r="K1331">
        <v>1026.7</v>
      </c>
      <c r="L1331">
        <v>2</v>
      </c>
      <c r="M1331" t="s">
        <v>28</v>
      </c>
      <c r="N1331">
        <v>15.34</v>
      </c>
      <c r="O1331">
        <v>23</v>
      </c>
    </row>
    <row r="1332" spans="1:15" x14ac:dyDescent="0.2">
      <c r="A1332" s="6">
        <v>45840</v>
      </c>
      <c r="B1332" t="s">
        <v>15</v>
      </c>
      <c r="C1332" t="s">
        <v>16</v>
      </c>
      <c r="D1332" s="1">
        <v>45855</v>
      </c>
      <c r="E1332" t="s">
        <v>19</v>
      </c>
      <c r="F1332">
        <v>6050</v>
      </c>
      <c r="G1332">
        <v>475</v>
      </c>
      <c r="H1332">
        <v>475</v>
      </c>
      <c r="I1332">
        <v>388.6</v>
      </c>
      <c r="J1332">
        <v>416</v>
      </c>
      <c r="K1332">
        <v>516.9</v>
      </c>
      <c r="L1332">
        <v>57</v>
      </c>
      <c r="M1332" t="s">
        <v>663</v>
      </c>
      <c r="N1332">
        <v>369.62</v>
      </c>
      <c r="O1332">
        <v>117</v>
      </c>
    </row>
    <row r="1333" spans="1:15" x14ac:dyDescent="0.2">
      <c r="A1333" s="6">
        <v>45840</v>
      </c>
      <c r="B1333" t="s">
        <v>15</v>
      </c>
      <c r="C1333" t="s">
        <v>16</v>
      </c>
      <c r="D1333" s="1">
        <v>45855</v>
      </c>
      <c r="E1333" t="s">
        <v>17</v>
      </c>
      <c r="F1333">
        <v>5250</v>
      </c>
      <c r="G1333">
        <v>401.5</v>
      </c>
      <c r="H1333">
        <v>528.20000000000005</v>
      </c>
      <c r="I1333">
        <v>400.5</v>
      </c>
      <c r="J1333">
        <v>420</v>
      </c>
      <c r="K1333">
        <v>413.8</v>
      </c>
      <c r="L1333">
        <v>23</v>
      </c>
      <c r="M1333" t="s">
        <v>221</v>
      </c>
      <c r="N1333">
        <v>130.35</v>
      </c>
      <c r="O1333">
        <v>21</v>
      </c>
    </row>
    <row r="1334" spans="1:15" x14ac:dyDescent="0.2">
      <c r="A1334" s="6">
        <v>45840</v>
      </c>
      <c r="B1334" t="s">
        <v>15</v>
      </c>
      <c r="C1334" t="s">
        <v>16</v>
      </c>
      <c r="D1334" s="1">
        <v>45855</v>
      </c>
      <c r="E1334" t="s">
        <v>17</v>
      </c>
      <c r="F1334">
        <v>4200</v>
      </c>
      <c r="J1334">
        <v>1549.2</v>
      </c>
      <c r="K1334">
        <v>1411.4</v>
      </c>
      <c r="L1334">
        <v>0</v>
      </c>
      <c r="M1334" t="s">
        <v>18</v>
      </c>
      <c r="N1334">
        <v>0</v>
      </c>
      <c r="O1334">
        <v>0</v>
      </c>
    </row>
    <row r="1335" spans="1:15" x14ac:dyDescent="0.2">
      <c r="A1335" s="6">
        <v>45840</v>
      </c>
      <c r="B1335" t="s">
        <v>15</v>
      </c>
      <c r="C1335" t="s">
        <v>16</v>
      </c>
      <c r="D1335" s="1">
        <v>45855</v>
      </c>
      <c r="E1335" t="s">
        <v>17</v>
      </c>
      <c r="F1335">
        <v>4650</v>
      </c>
      <c r="J1335">
        <v>1101.5999999999999</v>
      </c>
      <c r="K1335">
        <v>966.1</v>
      </c>
      <c r="L1335">
        <v>0</v>
      </c>
      <c r="M1335" t="s">
        <v>18</v>
      </c>
      <c r="N1335">
        <v>0</v>
      </c>
      <c r="O1335">
        <v>0</v>
      </c>
    </row>
    <row r="1336" spans="1:15" x14ac:dyDescent="0.2">
      <c r="A1336" s="6">
        <v>45840</v>
      </c>
      <c r="B1336" t="s">
        <v>15</v>
      </c>
      <c r="C1336" t="s">
        <v>16</v>
      </c>
      <c r="D1336" s="1">
        <v>45855</v>
      </c>
      <c r="E1336" t="s">
        <v>19</v>
      </c>
      <c r="F1336">
        <v>5100</v>
      </c>
      <c r="G1336">
        <v>22.7</v>
      </c>
      <c r="H1336">
        <v>23.2</v>
      </c>
      <c r="I1336">
        <v>13.3</v>
      </c>
      <c r="J1336">
        <v>14.4</v>
      </c>
      <c r="K1336">
        <v>23.4</v>
      </c>
      <c r="L1336">
        <v>10397</v>
      </c>
      <c r="M1336" t="s">
        <v>664</v>
      </c>
      <c r="N1336">
        <v>53207.27</v>
      </c>
      <c r="O1336">
        <v>2036</v>
      </c>
    </row>
    <row r="1337" spans="1:15" x14ac:dyDescent="0.2">
      <c r="A1337" s="6">
        <v>45840</v>
      </c>
      <c r="B1337" t="s">
        <v>15</v>
      </c>
      <c r="C1337" t="s">
        <v>16</v>
      </c>
      <c r="D1337" s="1">
        <v>45855</v>
      </c>
      <c r="E1337" t="s">
        <v>17</v>
      </c>
      <c r="F1337">
        <v>4900</v>
      </c>
      <c r="J1337">
        <v>857.6</v>
      </c>
      <c r="K1337">
        <v>728.3</v>
      </c>
      <c r="L1337">
        <v>0</v>
      </c>
      <c r="M1337" t="s">
        <v>18</v>
      </c>
      <c r="N1337">
        <v>0</v>
      </c>
      <c r="O1337">
        <v>0</v>
      </c>
    </row>
    <row r="1338" spans="1:15" x14ac:dyDescent="0.2">
      <c r="A1338" s="6">
        <v>45840</v>
      </c>
      <c r="B1338" t="s">
        <v>15</v>
      </c>
      <c r="C1338" t="s">
        <v>16</v>
      </c>
      <c r="D1338" s="1">
        <v>45855</v>
      </c>
      <c r="E1338" t="s">
        <v>19</v>
      </c>
      <c r="F1338">
        <v>4200</v>
      </c>
      <c r="J1338">
        <v>0.1</v>
      </c>
      <c r="K1338">
        <v>0.1</v>
      </c>
      <c r="L1338">
        <v>0</v>
      </c>
      <c r="M1338" t="s">
        <v>18</v>
      </c>
      <c r="N1338">
        <v>0</v>
      </c>
      <c r="O1338">
        <v>0</v>
      </c>
    </row>
    <row r="1339" spans="1:15" x14ac:dyDescent="0.2">
      <c r="A1339" s="6">
        <v>45840</v>
      </c>
      <c r="B1339" t="s">
        <v>15</v>
      </c>
      <c r="C1339" t="s">
        <v>16</v>
      </c>
      <c r="D1339" s="1">
        <v>45855</v>
      </c>
      <c r="E1339" t="s">
        <v>17</v>
      </c>
      <c r="F1339">
        <v>5700</v>
      </c>
      <c r="G1339">
        <v>123.6</v>
      </c>
      <c r="H1339">
        <v>223.8</v>
      </c>
      <c r="I1339">
        <v>113.2</v>
      </c>
      <c r="J1339">
        <v>199.6</v>
      </c>
      <c r="K1339">
        <v>123.8</v>
      </c>
      <c r="L1339">
        <v>182581</v>
      </c>
      <c r="M1339" t="s">
        <v>665</v>
      </c>
      <c r="N1339">
        <v>1067819.46</v>
      </c>
      <c r="O1339">
        <v>8515</v>
      </c>
    </row>
    <row r="1340" spans="1:15" x14ac:dyDescent="0.2">
      <c r="A1340" s="6">
        <v>45840</v>
      </c>
      <c r="B1340" t="s">
        <v>15</v>
      </c>
      <c r="C1340" t="s">
        <v>16</v>
      </c>
      <c r="D1340" s="1">
        <v>45855</v>
      </c>
      <c r="E1340" t="s">
        <v>17</v>
      </c>
      <c r="F1340">
        <v>5300</v>
      </c>
      <c r="G1340">
        <v>360.3</v>
      </c>
      <c r="H1340">
        <v>504</v>
      </c>
      <c r="I1340">
        <v>350</v>
      </c>
      <c r="J1340">
        <v>482.3</v>
      </c>
      <c r="K1340">
        <v>364.1</v>
      </c>
      <c r="L1340">
        <v>1223</v>
      </c>
      <c r="M1340" t="s">
        <v>666</v>
      </c>
      <c r="N1340">
        <v>6962.71</v>
      </c>
      <c r="O1340">
        <v>141</v>
      </c>
    </row>
    <row r="1341" spans="1:15" x14ac:dyDescent="0.2">
      <c r="A1341" s="6">
        <v>45840</v>
      </c>
      <c r="B1341" t="s">
        <v>15</v>
      </c>
      <c r="C1341" t="s">
        <v>16</v>
      </c>
      <c r="D1341" s="1">
        <v>45855</v>
      </c>
      <c r="E1341" t="s">
        <v>17</v>
      </c>
      <c r="F1341">
        <v>4950</v>
      </c>
      <c r="J1341">
        <v>809.9</v>
      </c>
      <c r="K1341">
        <v>682.7</v>
      </c>
      <c r="L1341">
        <v>0</v>
      </c>
      <c r="M1341" t="s">
        <v>18</v>
      </c>
      <c r="N1341">
        <v>0</v>
      </c>
      <c r="O1341">
        <v>0</v>
      </c>
    </row>
    <row r="1342" spans="1:15" x14ac:dyDescent="0.2">
      <c r="A1342" s="6">
        <v>45840</v>
      </c>
      <c r="B1342" t="s">
        <v>15</v>
      </c>
      <c r="C1342" t="s">
        <v>16</v>
      </c>
      <c r="D1342" s="1">
        <v>45855</v>
      </c>
      <c r="E1342" t="s">
        <v>19</v>
      </c>
      <c r="F1342">
        <v>7200</v>
      </c>
      <c r="J1342">
        <v>1444.5</v>
      </c>
      <c r="K1342">
        <v>1581.5</v>
      </c>
      <c r="L1342">
        <v>0</v>
      </c>
      <c r="M1342" t="s">
        <v>18</v>
      </c>
      <c r="N1342">
        <v>0</v>
      </c>
      <c r="O1342">
        <v>0</v>
      </c>
    </row>
    <row r="1343" spans="1:15" x14ac:dyDescent="0.2">
      <c r="A1343" s="6">
        <v>45840</v>
      </c>
      <c r="B1343" t="s">
        <v>15</v>
      </c>
      <c r="C1343" t="s">
        <v>16</v>
      </c>
      <c r="D1343" s="1">
        <v>45855</v>
      </c>
      <c r="E1343" t="s">
        <v>17</v>
      </c>
      <c r="F1343">
        <v>7300</v>
      </c>
      <c r="G1343">
        <v>9.1</v>
      </c>
      <c r="H1343">
        <v>29</v>
      </c>
      <c r="I1343">
        <v>8</v>
      </c>
      <c r="J1343">
        <v>24.5</v>
      </c>
      <c r="K1343">
        <v>9.1</v>
      </c>
      <c r="L1343">
        <v>1277</v>
      </c>
      <c r="M1343" t="s">
        <v>667</v>
      </c>
      <c r="N1343">
        <v>9341.0499999999993</v>
      </c>
      <c r="O1343">
        <v>852</v>
      </c>
    </row>
    <row r="1344" spans="1:15" x14ac:dyDescent="0.2">
      <c r="A1344" s="6">
        <v>45840</v>
      </c>
      <c r="B1344" t="s">
        <v>15</v>
      </c>
      <c r="C1344" t="s">
        <v>16</v>
      </c>
      <c r="D1344" s="1">
        <v>45855</v>
      </c>
      <c r="E1344" t="s">
        <v>19</v>
      </c>
      <c r="F1344">
        <v>5250</v>
      </c>
      <c r="G1344">
        <v>40.1</v>
      </c>
      <c r="H1344">
        <v>41.9</v>
      </c>
      <c r="I1344">
        <v>25.8</v>
      </c>
      <c r="J1344">
        <v>27.3</v>
      </c>
      <c r="K1344">
        <v>41.6</v>
      </c>
      <c r="L1344">
        <v>9320</v>
      </c>
      <c r="M1344" t="s">
        <v>668</v>
      </c>
      <c r="N1344">
        <v>49228.82</v>
      </c>
      <c r="O1344">
        <v>757</v>
      </c>
    </row>
    <row r="1345" spans="1:15" x14ac:dyDescent="0.2">
      <c r="A1345" s="6">
        <v>45840</v>
      </c>
      <c r="B1345" t="s">
        <v>15</v>
      </c>
      <c r="C1345" t="s">
        <v>16</v>
      </c>
      <c r="D1345" s="1">
        <v>45855</v>
      </c>
      <c r="E1345" t="s">
        <v>17</v>
      </c>
      <c r="F1345">
        <v>4450</v>
      </c>
      <c r="J1345">
        <v>1300</v>
      </c>
      <c r="K1345">
        <v>1162.8</v>
      </c>
      <c r="L1345">
        <v>0</v>
      </c>
      <c r="M1345" t="s">
        <v>18</v>
      </c>
      <c r="N1345">
        <v>0</v>
      </c>
      <c r="O1345">
        <v>0</v>
      </c>
    </row>
    <row r="1346" spans="1:15" x14ac:dyDescent="0.2">
      <c r="A1346" s="6">
        <v>45840</v>
      </c>
      <c r="B1346" t="s">
        <v>15</v>
      </c>
      <c r="C1346" t="s">
        <v>16</v>
      </c>
      <c r="D1346" s="1">
        <v>45855</v>
      </c>
      <c r="E1346" t="s">
        <v>17</v>
      </c>
      <c r="F1346">
        <v>4800</v>
      </c>
      <c r="J1346">
        <v>954.3</v>
      </c>
      <c r="K1346">
        <v>821.8</v>
      </c>
      <c r="L1346">
        <v>0</v>
      </c>
      <c r="M1346" t="s">
        <v>18</v>
      </c>
      <c r="N1346">
        <v>0</v>
      </c>
      <c r="O1346">
        <v>0</v>
      </c>
    </row>
    <row r="1347" spans="1:15" x14ac:dyDescent="0.2">
      <c r="A1347" s="6">
        <v>45840</v>
      </c>
      <c r="B1347" t="s">
        <v>15</v>
      </c>
      <c r="C1347" t="s">
        <v>16</v>
      </c>
      <c r="D1347" s="1">
        <v>45855</v>
      </c>
      <c r="E1347" t="s">
        <v>17</v>
      </c>
      <c r="F1347">
        <v>4750</v>
      </c>
      <c r="J1347">
        <v>1003.1</v>
      </c>
      <c r="K1347">
        <v>869.4</v>
      </c>
      <c r="L1347">
        <v>0</v>
      </c>
      <c r="M1347" t="s">
        <v>18</v>
      </c>
      <c r="N1347">
        <v>0</v>
      </c>
      <c r="O1347">
        <v>0</v>
      </c>
    </row>
    <row r="1348" spans="1:15" x14ac:dyDescent="0.2">
      <c r="A1348" s="6">
        <v>45840</v>
      </c>
      <c r="B1348" t="s">
        <v>15</v>
      </c>
      <c r="C1348" t="s">
        <v>16</v>
      </c>
      <c r="D1348" s="1">
        <v>45855</v>
      </c>
      <c r="E1348" t="s">
        <v>19</v>
      </c>
      <c r="F1348">
        <v>6550</v>
      </c>
      <c r="G1348">
        <v>935.2</v>
      </c>
      <c r="H1348">
        <v>935.2</v>
      </c>
      <c r="I1348">
        <v>830.7</v>
      </c>
      <c r="J1348">
        <v>895</v>
      </c>
      <c r="K1348">
        <v>949.5</v>
      </c>
      <c r="L1348">
        <v>7</v>
      </c>
      <c r="M1348" t="s">
        <v>23</v>
      </c>
      <c r="N1348">
        <v>52.12</v>
      </c>
      <c r="O1348">
        <v>56</v>
      </c>
    </row>
    <row r="1349" spans="1:15" x14ac:dyDescent="0.2">
      <c r="A1349" s="6">
        <v>45840</v>
      </c>
      <c r="B1349" t="s">
        <v>15</v>
      </c>
      <c r="C1349" t="s">
        <v>16</v>
      </c>
      <c r="D1349" s="1">
        <v>45855</v>
      </c>
      <c r="E1349" t="s">
        <v>17</v>
      </c>
      <c r="F1349">
        <v>5200</v>
      </c>
      <c r="G1349">
        <v>447.5</v>
      </c>
      <c r="H1349">
        <v>590</v>
      </c>
      <c r="I1349">
        <v>435.6</v>
      </c>
      <c r="J1349">
        <v>575.20000000000005</v>
      </c>
      <c r="K1349">
        <v>447.5</v>
      </c>
      <c r="L1349">
        <v>196</v>
      </c>
      <c r="M1349" t="s">
        <v>669</v>
      </c>
      <c r="N1349">
        <v>1114.43</v>
      </c>
      <c r="O1349">
        <v>64</v>
      </c>
    </row>
    <row r="1350" spans="1:15" x14ac:dyDescent="0.2">
      <c r="A1350" s="6">
        <v>45840</v>
      </c>
      <c r="B1350" t="s">
        <v>15</v>
      </c>
      <c r="C1350" t="s">
        <v>16</v>
      </c>
      <c r="D1350" s="1">
        <v>45855</v>
      </c>
      <c r="E1350" t="s">
        <v>19</v>
      </c>
      <c r="F1350">
        <v>4900</v>
      </c>
      <c r="G1350">
        <v>13.6</v>
      </c>
      <c r="H1350">
        <v>13.9</v>
      </c>
      <c r="I1350">
        <v>7.9</v>
      </c>
      <c r="J1350">
        <v>8.6</v>
      </c>
      <c r="K1350">
        <v>13.9</v>
      </c>
      <c r="L1350">
        <v>1684</v>
      </c>
      <c r="M1350" t="s">
        <v>670</v>
      </c>
      <c r="N1350">
        <v>8269.59</v>
      </c>
      <c r="O1350">
        <v>1064</v>
      </c>
    </row>
    <row r="1351" spans="1:15" x14ac:dyDescent="0.2">
      <c r="A1351" s="6">
        <v>45840</v>
      </c>
      <c r="B1351" t="s">
        <v>15</v>
      </c>
      <c r="C1351" t="s">
        <v>16</v>
      </c>
      <c r="D1351" s="1">
        <v>45855</v>
      </c>
      <c r="E1351" t="s">
        <v>19</v>
      </c>
      <c r="F1351">
        <v>6950</v>
      </c>
      <c r="J1351">
        <v>1197.4000000000001</v>
      </c>
      <c r="K1351">
        <v>1333.6</v>
      </c>
      <c r="L1351">
        <v>0</v>
      </c>
      <c r="M1351" t="s">
        <v>18</v>
      </c>
      <c r="N1351">
        <v>0</v>
      </c>
      <c r="O1351">
        <v>15</v>
      </c>
    </row>
    <row r="1352" spans="1:15" x14ac:dyDescent="0.2">
      <c r="A1352" s="6">
        <v>45840</v>
      </c>
      <c r="B1352" t="s">
        <v>15</v>
      </c>
      <c r="C1352" t="s">
        <v>16</v>
      </c>
      <c r="D1352" s="1">
        <v>45855</v>
      </c>
      <c r="E1352" t="s">
        <v>19</v>
      </c>
      <c r="F1352">
        <v>3600</v>
      </c>
      <c r="J1352">
        <v>0.1</v>
      </c>
      <c r="K1352">
        <v>0.1</v>
      </c>
      <c r="L1352">
        <v>0</v>
      </c>
      <c r="M1352" t="s">
        <v>18</v>
      </c>
      <c r="N1352">
        <v>0</v>
      </c>
      <c r="O1352">
        <v>0</v>
      </c>
    </row>
    <row r="1353" spans="1:15" x14ac:dyDescent="0.2">
      <c r="A1353" s="6">
        <v>45840</v>
      </c>
      <c r="B1353" t="s">
        <v>15</v>
      </c>
      <c r="C1353" t="s">
        <v>16</v>
      </c>
      <c r="D1353" s="1">
        <v>45855</v>
      </c>
      <c r="E1353" t="s">
        <v>17</v>
      </c>
      <c r="F1353">
        <v>4100</v>
      </c>
      <c r="J1353">
        <v>1648.9</v>
      </c>
      <c r="K1353">
        <v>1511</v>
      </c>
      <c r="L1353">
        <v>0</v>
      </c>
      <c r="M1353" t="s">
        <v>18</v>
      </c>
      <c r="N1353">
        <v>0</v>
      </c>
      <c r="O1353">
        <v>0</v>
      </c>
    </row>
    <row r="1354" spans="1:15" x14ac:dyDescent="0.2">
      <c r="A1354" s="6">
        <v>45840</v>
      </c>
      <c r="B1354" t="s">
        <v>15</v>
      </c>
      <c r="C1354" t="s">
        <v>16</v>
      </c>
      <c r="D1354" s="1">
        <v>45855</v>
      </c>
      <c r="E1354" t="s">
        <v>17</v>
      </c>
      <c r="F1354">
        <v>4400</v>
      </c>
      <c r="J1354">
        <v>1349.8</v>
      </c>
      <c r="K1354">
        <v>1212.4000000000001</v>
      </c>
      <c r="L1354">
        <v>0</v>
      </c>
      <c r="M1354" t="s">
        <v>18</v>
      </c>
      <c r="N1354">
        <v>0</v>
      </c>
      <c r="O1354">
        <v>0</v>
      </c>
    </row>
    <row r="1355" spans="1:15" x14ac:dyDescent="0.2">
      <c r="A1355" s="6">
        <v>45840</v>
      </c>
      <c r="B1355" t="s">
        <v>15</v>
      </c>
      <c r="C1355" t="s">
        <v>16</v>
      </c>
      <c r="D1355" s="1">
        <v>45855</v>
      </c>
      <c r="E1355" t="s">
        <v>17</v>
      </c>
      <c r="F1355">
        <v>5000</v>
      </c>
      <c r="G1355">
        <v>632.5</v>
      </c>
      <c r="H1355">
        <v>764.1</v>
      </c>
      <c r="I1355">
        <v>620</v>
      </c>
      <c r="J1355">
        <v>748.5</v>
      </c>
      <c r="K1355">
        <v>610</v>
      </c>
      <c r="L1355">
        <v>39</v>
      </c>
      <c r="M1355" t="s">
        <v>141</v>
      </c>
      <c r="N1355">
        <v>221.4</v>
      </c>
      <c r="O1355">
        <v>16</v>
      </c>
    </row>
    <row r="1356" spans="1:15" x14ac:dyDescent="0.2">
      <c r="A1356" s="6">
        <v>45840</v>
      </c>
      <c r="B1356" t="s">
        <v>15</v>
      </c>
      <c r="C1356" t="s">
        <v>16</v>
      </c>
      <c r="D1356" s="1">
        <v>45855</v>
      </c>
      <c r="E1356" t="s">
        <v>17</v>
      </c>
      <c r="F1356">
        <v>5150</v>
      </c>
      <c r="J1356">
        <v>626.20000000000005</v>
      </c>
      <c r="K1356">
        <v>446.3</v>
      </c>
      <c r="L1356">
        <v>0</v>
      </c>
      <c r="M1356" t="s">
        <v>18</v>
      </c>
      <c r="N1356">
        <v>0</v>
      </c>
      <c r="O1356">
        <v>3</v>
      </c>
    </row>
    <row r="1357" spans="1:15" x14ac:dyDescent="0.2">
      <c r="A1357" s="6">
        <v>45840</v>
      </c>
      <c r="B1357" t="s">
        <v>15</v>
      </c>
      <c r="C1357" t="s">
        <v>16</v>
      </c>
      <c r="D1357" s="1">
        <v>45855</v>
      </c>
      <c r="E1357" t="s">
        <v>17</v>
      </c>
      <c r="F1357">
        <v>3700</v>
      </c>
      <c r="J1357">
        <v>2047.9</v>
      </c>
      <c r="K1357">
        <v>1910</v>
      </c>
      <c r="L1357">
        <v>0</v>
      </c>
      <c r="M1357" t="s">
        <v>18</v>
      </c>
      <c r="N1357">
        <v>0</v>
      </c>
      <c r="O1357">
        <v>0</v>
      </c>
    </row>
    <row r="1358" spans="1:15" x14ac:dyDescent="0.2">
      <c r="A1358" s="6">
        <v>45840</v>
      </c>
      <c r="B1358" t="s">
        <v>15</v>
      </c>
      <c r="C1358" t="s">
        <v>16</v>
      </c>
      <c r="D1358" s="1">
        <v>45855</v>
      </c>
      <c r="E1358" t="s">
        <v>17</v>
      </c>
      <c r="F1358">
        <v>4350</v>
      </c>
      <c r="J1358">
        <v>1399.6</v>
      </c>
      <c r="K1358">
        <v>1262.0999999999999</v>
      </c>
      <c r="L1358">
        <v>0</v>
      </c>
      <c r="M1358" t="s">
        <v>18</v>
      </c>
      <c r="N1358">
        <v>0</v>
      </c>
      <c r="O1358">
        <v>0</v>
      </c>
    </row>
    <row r="1359" spans="1:15" x14ac:dyDescent="0.2">
      <c r="A1359" s="6">
        <v>45840</v>
      </c>
      <c r="B1359" t="s">
        <v>15</v>
      </c>
      <c r="C1359" t="s">
        <v>16</v>
      </c>
      <c r="D1359" s="1">
        <v>45855</v>
      </c>
      <c r="E1359" t="s">
        <v>17</v>
      </c>
      <c r="F1359">
        <v>4500</v>
      </c>
      <c r="J1359">
        <v>1250.3</v>
      </c>
      <c r="K1359">
        <v>1113.4000000000001</v>
      </c>
      <c r="L1359">
        <v>0</v>
      </c>
      <c r="M1359" t="s">
        <v>18</v>
      </c>
      <c r="N1359">
        <v>0</v>
      </c>
      <c r="O1359">
        <v>0</v>
      </c>
    </row>
    <row r="1360" spans="1:15" x14ac:dyDescent="0.2">
      <c r="A1360" s="6">
        <v>45840</v>
      </c>
      <c r="B1360" t="s">
        <v>15</v>
      </c>
      <c r="C1360" t="s">
        <v>16</v>
      </c>
      <c r="D1360" s="1">
        <v>45855</v>
      </c>
      <c r="E1360" t="s">
        <v>19</v>
      </c>
      <c r="F1360">
        <v>6150</v>
      </c>
      <c r="G1360">
        <v>560</v>
      </c>
      <c r="H1360">
        <v>560</v>
      </c>
      <c r="I1360">
        <v>474.3</v>
      </c>
      <c r="J1360">
        <v>527.29999999999995</v>
      </c>
      <c r="K1360">
        <v>618.4</v>
      </c>
      <c r="L1360">
        <v>6</v>
      </c>
      <c r="M1360" t="s">
        <v>132</v>
      </c>
      <c r="N1360">
        <v>40.06</v>
      </c>
      <c r="O1360">
        <v>135</v>
      </c>
    </row>
    <row r="1361" spans="1:15" x14ac:dyDescent="0.2">
      <c r="A1361" s="6">
        <v>45840</v>
      </c>
      <c r="B1361" t="s">
        <v>15</v>
      </c>
      <c r="C1361" t="s">
        <v>16</v>
      </c>
      <c r="D1361" s="1">
        <v>45855</v>
      </c>
      <c r="E1361" t="s">
        <v>17</v>
      </c>
      <c r="F1361">
        <v>7450</v>
      </c>
      <c r="G1361">
        <v>9.6</v>
      </c>
      <c r="H1361">
        <v>20.6</v>
      </c>
      <c r="I1361">
        <v>9.6</v>
      </c>
      <c r="J1361">
        <v>15.4</v>
      </c>
      <c r="K1361">
        <v>10.6</v>
      </c>
      <c r="L1361">
        <v>47</v>
      </c>
      <c r="M1361" t="s">
        <v>230</v>
      </c>
      <c r="N1361">
        <v>350.72</v>
      </c>
      <c r="O1361">
        <v>95</v>
      </c>
    </row>
    <row r="1362" spans="1:15" x14ac:dyDescent="0.2">
      <c r="A1362" s="6">
        <v>45840</v>
      </c>
      <c r="B1362" t="s">
        <v>15</v>
      </c>
      <c r="C1362" t="s">
        <v>16</v>
      </c>
      <c r="D1362" s="1">
        <v>45855</v>
      </c>
      <c r="E1362" t="s">
        <v>17</v>
      </c>
      <c r="F1362">
        <v>5950</v>
      </c>
      <c r="G1362">
        <v>51.7</v>
      </c>
      <c r="H1362">
        <v>121.3</v>
      </c>
      <c r="I1362">
        <v>46.3</v>
      </c>
      <c r="J1362">
        <v>104.1</v>
      </c>
      <c r="K1362">
        <v>53.3</v>
      </c>
      <c r="L1362">
        <v>19346</v>
      </c>
      <c r="M1362" t="s">
        <v>671</v>
      </c>
      <c r="N1362">
        <v>116501.4</v>
      </c>
      <c r="O1362">
        <v>713</v>
      </c>
    </row>
    <row r="1363" spans="1:15" x14ac:dyDescent="0.2">
      <c r="A1363" s="6">
        <v>45840</v>
      </c>
      <c r="B1363" t="s">
        <v>15</v>
      </c>
      <c r="C1363" t="s">
        <v>16</v>
      </c>
      <c r="D1363" s="1">
        <v>45855</v>
      </c>
      <c r="E1363" t="s">
        <v>17</v>
      </c>
      <c r="F1363">
        <v>4850</v>
      </c>
      <c r="J1363">
        <v>905.7</v>
      </c>
      <c r="K1363">
        <v>774.7</v>
      </c>
      <c r="L1363">
        <v>0</v>
      </c>
      <c r="M1363" t="s">
        <v>18</v>
      </c>
      <c r="N1363">
        <v>0</v>
      </c>
      <c r="O1363">
        <v>0</v>
      </c>
    </row>
    <row r="1364" spans="1:15" x14ac:dyDescent="0.2">
      <c r="A1364" s="6">
        <v>45840</v>
      </c>
      <c r="B1364" t="s">
        <v>15</v>
      </c>
      <c r="C1364" t="s">
        <v>16</v>
      </c>
      <c r="D1364" s="1">
        <v>45855</v>
      </c>
      <c r="E1364" t="s">
        <v>17</v>
      </c>
      <c r="F1364">
        <v>6400</v>
      </c>
      <c r="G1364">
        <v>22.3</v>
      </c>
      <c r="H1364">
        <v>58.8</v>
      </c>
      <c r="I1364">
        <v>19.5</v>
      </c>
      <c r="J1364">
        <v>49.2</v>
      </c>
      <c r="K1364">
        <v>22.2</v>
      </c>
      <c r="L1364">
        <v>6488</v>
      </c>
      <c r="M1364" t="s">
        <v>672</v>
      </c>
      <c r="N1364">
        <v>41727.279999999999</v>
      </c>
      <c r="O1364">
        <v>4693</v>
      </c>
    </row>
    <row r="1365" spans="1:15" x14ac:dyDescent="0.2">
      <c r="A1365" s="6">
        <v>45840</v>
      </c>
      <c r="B1365" t="s">
        <v>15</v>
      </c>
      <c r="C1365" t="s">
        <v>16</v>
      </c>
      <c r="D1365" s="1">
        <v>45855</v>
      </c>
      <c r="E1365" t="s">
        <v>19</v>
      </c>
      <c r="F1365">
        <v>6800</v>
      </c>
      <c r="J1365">
        <v>1050.9000000000001</v>
      </c>
      <c r="K1365">
        <v>1185.9000000000001</v>
      </c>
      <c r="L1365">
        <v>0</v>
      </c>
      <c r="M1365" t="s">
        <v>18</v>
      </c>
      <c r="N1365">
        <v>0</v>
      </c>
      <c r="O1365">
        <v>93</v>
      </c>
    </row>
    <row r="1366" spans="1:15" x14ac:dyDescent="0.2">
      <c r="A1366" s="6">
        <v>45840</v>
      </c>
      <c r="B1366" t="s">
        <v>15</v>
      </c>
      <c r="C1366" t="s">
        <v>16</v>
      </c>
      <c r="D1366" s="1">
        <v>45855</v>
      </c>
      <c r="E1366" t="s">
        <v>19</v>
      </c>
      <c r="F1366">
        <v>6200</v>
      </c>
      <c r="G1366">
        <v>607.4</v>
      </c>
      <c r="H1366">
        <v>607.4</v>
      </c>
      <c r="I1366">
        <v>486.8</v>
      </c>
      <c r="J1366">
        <v>503.4</v>
      </c>
      <c r="K1366">
        <v>612.29999999999995</v>
      </c>
      <c r="L1366">
        <v>68</v>
      </c>
      <c r="M1366" t="s">
        <v>673</v>
      </c>
      <c r="N1366">
        <v>457.82</v>
      </c>
      <c r="O1366">
        <v>695</v>
      </c>
    </row>
    <row r="1367" spans="1:15" x14ac:dyDescent="0.2">
      <c r="A1367" s="6">
        <v>45840</v>
      </c>
      <c r="B1367" t="s">
        <v>15</v>
      </c>
      <c r="C1367" t="s">
        <v>16</v>
      </c>
      <c r="D1367" s="1">
        <v>45855</v>
      </c>
      <c r="E1367" t="s">
        <v>17</v>
      </c>
      <c r="F1367">
        <v>7250</v>
      </c>
      <c r="G1367">
        <v>11</v>
      </c>
      <c r="H1367">
        <v>29.8</v>
      </c>
      <c r="I1367">
        <v>9.9</v>
      </c>
      <c r="J1367">
        <v>23.5</v>
      </c>
      <c r="K1367">
        <v>12.2</v>
      </c>
      <c r="L1367">
        <v>49</v>
      </c>
      <c r="M1367" t="s">
        <v>151</v>
      </c>
      <c r="N1367">
        <v>356.11</v>
      </c>
      <c r="O1367">
        <v>116</v>
      </c>
    </row>
    <row r="1368" spans="1:15" x14ac:dyDescent="0.2">
      <c r="A1368" s="6">
        <v>45840</v>
      </c>
      <c r="B1368" t="s">
        <v>15</v>
      </c>
      <c r="C1368" t="s">
        <v>16</v>
      </c>
      <c r="D1368" s="1">
        <v>45855</v>
      </c>
      <c r="E1368" t="s">
        <v>19</v>
      </c>
      <c r="F1368">
        <v>7600</v>
      </c>
      <c r="J1368">
        <v>1842.6</v>
      </c>
      <c r="K1368">
        <v>1979.9</v>
      </c>
      <c r="L1368">
        <v>0</v>
      </c>
      <c r="M1368" t="s">
        <v>18</v>
      </c>
      <c r="N1368">
        <v>0</v>
      </c>
      <c r="O1368">
        <v>0</v>
      </c>
    </row>
    <row r="1369" spans="1:15" x14ac:dyDescent="0.2">
      <c r="A1369" s="6">
        <v>45840</v>
      </c>
      <c r="B1369" t="s">
        <v>15</v>
      </c>
      <c r="C1369" t="s">
        <v>16</v>
      </c>
      <c r="D1369" s="1">
        <v>45855</v>
      </c>
      <c r="E1369" t="s">
        <v>17</v>
      </c>
      <c r="F1369">
        <v>3800</v>
      </c>
      <c r="J1369">
        <v>1948.2</v>
      </c>
      <c r="K1369">
        <v>1810.2</v>
      </c>
      <c r="L1369">
        <v>0</v>
      </c>
      <c r="M1369" t="s">
        <v>18</v>
      </c>
      <c r="N1369">
        <v>0</v>
      </c>
      <c r="O1369">
        <v>0</v>
      </c>
    </row>
    <row r="1370" spans="1:15" x14ac:dyDescent="0.2">
      <c r="A1370" s="6">
        <v>45840</v>
      </c>
      <c r="B1370" t="s">
        <v>15</v>
      </c>
      <c r="C1370" t="s">
        <v>16</v>
      </c>
      <c r="D1370" s="1">
        <v>45855</v>
      </c>
      <c r="E1370" t="s">
        <v>19</v>
      </c>
      <c r="F1370">
        <v>4600</v>
      </c>
      <c r="G1370">
        <v>10.7</v>
      </c>
      <c r="H1370">
        <v>10.9</v>
      </c>
      <c r="I1370">
        <v>4.5</v>
      </c>
      <c r="J1370">
        <v>6.6</v>
      </c>
      <c r="K1370">
        <v>10.8</v>
      </c>
      <c r="L1370">
        <v>182</v>
      </c>
      <c r="M1370" t="s">
        <v>194</v>
      </c>
      <c r="N1370">
        <v>838.6</v>
      </c>
      <c r="O1370">
        <v>73</v>
      </c>
    </row>
    <row r="1371" spans="1:15" x14ac:dyDescent="0.2">
      <c r="A1371" s="6">
        <v>45840</v>
      </c>
      <c r="B1371" t="s">
        <v>15</v>
      </c>
      <c r="C1371" t="s">
        <v>16</v>
      </c>
      <c r="D1371" s="1">
        <v>45855</v>
      </c>
      <c r="E1371" t="s">
        <v>17</v>
      </c>
      <c r="F1371">
        <v>5750</v>
      </c>
      <c r="G1371">
        <v>99.1</v>
      </c>
      <c r="H1371">
        <v>200</v>
      </c>
      <c r="I1371">
        <v>95.9</v>
      </c>
      <c r="J1371">
        <v>175.2</v>
      </c>
      <c r="K1371">
        <v>105.3</v>
      </c>
      <c r="L1371">
        <v>52870</v>
      </c>
      <c r="M1371" t="s">
        <v>674</v>
      </c>
      <c r="N1371">
        <v>310816.86</v>
      </c>
      <c r="O1371">
        <v>1084</v>
      </c>
    </row>
    <row r="1372" spans="1:15" x14ac:dyDescent="0.2">
      <c r="A1372" s="6">
        <v>45840</v>
      </c>
      <c r="B1372" t="s">
        <v>15</v>
      </c>
      <c r="C1372" t="s">
        <v>16</v>
      </c>
      <c r="D1372" s="1">
        <v>45855</v>
      </c>
      <c r="E1372" t="s">
        <v>19</v>
      </c>
      <c r="F1372">
        <v>4250</v>
      </c>
      <c r="J1372">
        <v>0.1</v>
      </c>
      <c r="K1372">
        <v>0.2</v>
      </c>
      <c r="L1372">
        <v>0</v>
      </c>
      <c r="M1372" t="s">
        <v>18</v>
      </c>
      <c r="N1372">
        <v>0</v>
      </c>
      <c r="O1372">
        <v>0</v>
      </c>
    </row>
    <row r="1373" spans="1:15" x14ac:dyDescent="0.2">
      <c r="A1373" s="6">
        <v>45840</v>
      </c>
      <c r="B1373" t="s">
        <v>15</v>
      </c>
      <c r="C1373" t="s">
        <v>16</v>
      </c>
      <c r="D1373" s="1">
        <v>45855</v>
      </c>
      <c r="E1373" t="s">
        <v>17</v>
      </c>
      <c r="F1373">
        <v>3850</v>
      </c>
      <c r="J1373">
        <v>1898.3</v>
      </c>
      <c r="K1373">
        <v>1760.4</v>
      </c>
      <c r="L1373">
        <v>0</v>
      </c>
      <c r="M1373" t="s">
        <v>18</v>
      </c>
      <c r="N1373">
        <v>0</v>
      </c>
      <c r="O1373">
        <v>0</v>
      </c>
    </row>
    <row r="1374" spans="1:15" x14ac:dyDescent="0.2">
      <c r="A1374" s="6">
        <v>45840</v>
      </c>
      <c r="B1374" t="s">
        <v>15</v>
      </c>
      <c r="C1374" t="s">
        <v>16</v>
      </c>
      <c r="D1374" s="1">
        <v>45855</v>
      </c>
      <c r="E1374" t="s">
        <v>17</v>
      </c>
      <c r="F1374">
        <v>5600</v>
      </c>
      <c r="G1374">
        <v>164.2</v>
      </c>
      <c r="H1374">
        <v>282.5</v>
      </c>
      <c r="I1374">
        <v>157.6</v>
      </c>
      <c r="J1374">
        <v>254.4</v>
      </c>
      <c r="K1374">
        <v>170</v>
      </c>
      <c r="L1374">
        <v>158828</v>
      </c>
      <c r="M1374" t="s">
        <v>675</v>
      </c>
      <c r="N1374">
        <v>919952.83</v>
      </c>
      <c r="O1374">
        <v>4988</v>
      </c>
    </row>
    <row r="1375" spans="1:15" x14ac:dyDescent="0.2">
      <c r="A1375" s="6">
        <v>45840</v>
      </c>
      <c r="B1375" t="s">
        <v>15</v>
      </c>
      <c r="C1375" t="s">
        <v>16</v>
      </c>
      <c r="D1375" s="1">
        <v>45855</v>
      </c>
      <c r="E1375" t="s">
        <v>17</v>
      </c>
      <c r="F1375">
        <v>6750</v>
      </c>
      <c r="G1375">
        <v>14</v>
      </c>
      <c r="H1375">
        <v>44</v>
      </c>
      <c r="I1375">
        <v>14</v>
      </c>
      <c r="J1375">
        <v>39.299999999999997</v>
      </c>
      <c r="K1375">
        <v>15.5</v>
      </c>
      <c r="L1375">
        <v>317</v>
      </c>
      <c r="M1375" t="s">
        <v>609</v>
      </c>
      <c r="N1375">
        <v>2148.09</v>
      </c>
      <c r="O1375">
        <v>210</v>
      </c>
    </row>
    <row r="1376" spans="1:15" x14ac:dyDescent="0.2">
      <c r="A1376" s="6">
        <v>45840</v>
      </c>
      <c r="B1376" t="s">
        <v>15</v>
      </c>
      <c r="C1376" t="s">
        <v>16</v>
      </c>
      <c r="D1376" s="1">
        <v>45855</v>
      </c>
      <c r="E1376" t="s">
        <v>19</v>
      </c>
      <c r="F1376">
        <v>4950</v>
      </c>
      <c r="G1376">
        <v>15.7</v>
      </c>
      <c r="H1376">
        <v>15.7</v>
      </c>
      <c r="I1376">
        <v>9.4</v>
      </c>
      <c r="J1376">
        <v>10.4</v>
      </c>
      <c r="K1376">
        <v>16</v>
      </c>
      <c r="L1376">
        <v>428</v>
      </c>
      <c r="M1376" t="s">
        <v>676</v>
      </c>
      <c r="N1376">
        <v>2123.6999999999998</v>
      </c>
      <c r="O1376">
        <v>251</v>
      </c>
    </row>
    <row r="1377" spans="1:15" x14ac:dyDescent="0.2">
      <c r="A1377" s="6">
        <v>45840</v>
      </c>
      <c r="B1377" t="s">
        <v>15</v>
      </c>
      <c r="C1377" t="s">
        <v>16</v>
      </c>
      <c r="D1377" s="1">
        <v>45855</v>
      </c>
      <c r="E1377" t="s">
        <v>19</v>
      </c>
      <c r="F1377">
        <v>5050</v>
      </c>
      <c r="G1377">
        <v>18.5</v>
      </c>
      <c r="H1377">
        <v>20.7</v>
      </c>
      <c r="I1377">
        <v>12.8</v>
      </c>
      <c r="J1377">
        <v>13.2</v>
      </c>
      <c r="K1377">
        <v>20.7</v>
      </c>
      <c r="L1377">
        <v>655</v>
      </c>
      <c r="M1377" t="s">
        <v>677</v>
      </c>
      <c r="N1377">
        <v>3317.94</v>
      </c>
      <c r="O1377">
        <v>433</v>
      </c>
    </row>
    <row r="1378" spans="1:15" x14ac:dyDescent="0.2">
      <c r="A1378" s="6">
        <v>45840</v>
      </c>
      <c r="B1378" t="s">
        <v>15</v>
      </c>
      <c r="C1378" t="s">
        <v>16</v>
      </c>
      <c r="D1378" s="1">
        <v>45855</v>
      </c>
      <c r="E1378" t="s">
        <v>19</v>
      </c>
      <c r="F1378">
        <v>5900</v>
      </c>
      <c r="G1378">
        <v>345.8</v>
      </c>
      <c r="H1378">
        <v>352.9</v>
      </c>
      <c r="I1378">
        <v>244</v>
      </c>
      <c r="J1378">
        <v>262.10000000000002</v>
      </c>
      <c r="K1378">
        <v>343.3</v>
      </c>
      <c r="L1378">
        <v>4630</v>
      </c>
      <c r="M1378" t="s">
        <v>678</v>
      </c>
      <c r="N1378">
        <v>28667.07</v>
      </c>
      <c r="O1378">
        <v>774</v>
      </c>
    </row>
    <row r="1379" spans="1:15" x14ac:dyDescent="0.2">
      <c r="A1379" s="6">
        <v>45840</v>
      </c>
      <c r="B1379" t="s">
        <v>15</v>
      </c>
      <c r="C1379" t="s">
        <v>16</v>
      </c>
      <c r="D1379" s="1">
        <v>45855</v>
      </c>
      <c r="E1379" t="s">
        <v>17</v>
      </c>
      <c r="F1379">
        <v>7650</v>
      </c>
      <c r="G1379">
        <v>6.4</v>
      </c>
      <c r="H1379">
        <v>21.4</v>
      </c>
      <c r="I1379">
        <v>6.4</v>
      </c>
      <c r="J1379">
        <v>18.2</v>
      </c>
      <c r="K1379">
        <v>7.8</v>
      </c>
      <c r="L1379">
        <v>595</v>
      </c>
      <c r="M1379" t="s">
        <v>679</v>
      </c>
      <c r="N1379">
        <v>4558.88</v>
      </c>
      <c r="O1379">
        <v>243</v>
      </c>
    </row>
    <row r="1380" spans="1:15" x14ac:dyDescent="0.2">
      <c r="A1380" s="6">
        <v>45840</v>
      </c>
      <c r="B1380" t="s">
        <v>15</v>
      </c>
      <c r="C1380" t="s">
        <v>16</v>
      </c>
      <c r="D1380" s="1">
        <v>45855</v>
      </c>
      <c r="E1380" t="s">
        <v>19</v>
      </c>
      <c r="F1380">
        <v>7700</v>
      </c>
      <c r="J1380">
        <v>1942.3</v>
      </c>
      <c r="K1380">
        <v>2079.6</v>
      </c>
      <c r="L1380">
        <v>0</v>
      </c>
      <c r="M1380" t="s">
        <v>18</v>
      </c>
      <c r="N1380">
        <v>0</v>
      </c>
      <c r="O1380">
        <v>0</v>
      </c>
    </row>
    <row r="1381" spans="1:15" x14ac:dyDescent="0.2">
      <c r="A1381" s="6">
        <v>45840</v>
      </c>
      <c r="B1381" t="s">
        <v>15</v>
      </c>
      <c r="C1381" t="s">
        <v>16</v>
      </c>
      <c r="D1381" s="1">
        <v>45855</v>
      </c>
      <c r="E1381" t="s">
        <v>19</v>
      </c>
      <c r="F1381">
        <v>4450</v>
      </c>
      <c r="J1381">
        <v>0.3</v>
      </c>
      <c r="K1381">
        <v>0.9</v>
      </c>
      <c r="L1381">
        <v>0</v>
      </c>
      <c r="M1381" t="s">
        <v>18</v>
      </c>
      <c r="N1381">
        <v>0</v>
      </c>
      <c r="O1381">
        <v>1</v>
      </c>
    </row>
    <row r="1382" spans="1:15" x14ac:dyDescent="0.2">
      <c r="A1382" s="6">
        <v>45840</v>
      </c>
      <c r="B1382" t="s">
        <v>15</v>
      </c>
      <c r="C1382" t="s">
        <v>16</v>
      </c>
      <c r="D1382" s="1">
        <v>45855</v>
      </c>
      <c r="E1382" t="s">
        <v>19</v>
      </c>
      <c r="F1382">
        <v>5700</v>
      </c>
      <c r="G1382">
        <v>205.1</v>
      </c>
      <c r="H1382">
        <v>214.6</v>
      </c>
      <c r="I1382">
        <v>137.6</v>
      </c>
      <c r="J1382">
        <v>146.9</v>
      </c>
      <c r="K1382">
        <v>207.1</v>
      </c>
      <c r="L1382">
        <v>126631</v>
      </c>
      <c r="M1382" t="s">
        <v>680</v>
      </c>
      <c r="N1382">
        <v>743641.24</v>
      </c>
      <c r="O1382">
        <v>6933</v>
      </c>
    </row>
    <row r="1383" spans="1:15" x14ac:dyDescent="0.2">
      <c r="A1383" s="6">
        <v>45840</v>
      </c>
      <c r="B1383" t="s">
        <v>15</v>
      </c>
      <c r="C1383" t="s">
        <v>16</v>
      </c>
      <c r="D1383" s="1">
        <v>45855</v>
      </c>
      <c r="E1383" t="s">
        <v>17</v>
      </c>
      <c r="F1383">
        <v>6550</v>
      </c>
      <c r="G1383">
        <v>20.2</v>
      </c>
      <c r="H1383">
        <v>54.4</v>
      </c>
      <c r="I1383">
        <v>17.3</v>
      </c>
      <c r="J1383">
        <v>45.5</v>
      </c>
      <c r="K1383">
        <v>18.399999999999999</v>
      </c>
      <c r="L1383">
        <v>1206</v>
      </c>
      <c r="M1383" t="s">
        <v>681</v>
      </c>
      <c r="N1383">
        <v>7939.06</v>
      </c>
      <c r="O1383">
        <v>1024</v>
      </c>
    </row>
    <row r="1384" spans="1:15" x14ac:dyDescent="0.2">
      <c r="A1384" s="6">
        <v>45840</v>
      </c>
      <c r="B1384" t="s">
        <v>15</v>
      </c>
      <c r="C1384" t="s">
        <v>16</v>
      </c>
      <c r="D1384" s="1">
        <v>45855</v>
      </c>
      <c r="E1384" t="s">
        <v>19</v>
      </c>
      <c r="F1384">
        <v>6400</v>
      </c>
      <c r="G1384">
        <v>807.9</v>
      </c>
      <c r="H1384">
        <v>811.8</v>
      </c>
      <c r="I1384">
        <v>695</v>
      </c>
      <c r="J1384">
        <v>730.8</v>
      </c>
      <c r="K1384">
        <v>805.9</v>
      </c>
      <c r="L1384">
        <v>74</v>
      </c>
      <c r="M1384" t="s">
        <v>95</v>
      </c>
      <c r="N1384">
        <v>531.16</v>
      </c>
      <c r="O1384">
        <v>808</v>
      </c>
    </row>
    <row r="1385" spans="1:15" x14ac:dyDescent="0.2">
      <c r="A1385" s="6">
        <v>45840</v>
      </c>
      <c r="B1385" t="s">
        <v>15</v>
      </c>
      <c r="C1385" t="s">
        <v>16</v>
      </c>
      <c r="D1385" s="1">
        <v>45855</v>
      </c>
      <c r="E1385" t="s">
        <v>19</v>
      </c>
      <c r="F1385">
        <v>5400</v>
      </c>
      <c r="G1385">
        <v>74.099999999999994</v>
      </c>
      <c r="H1385">
        <v>77</v>
      </c>
      <c r="I1385">
        <v>45.5</v>
      </c>
      <c r="J1385">
        <v>48.4</v>
      </c>
      <c r="K1385">
        <v>74.400000000000006</v>
      </c>
      <c r="L1385">
        <v>52867</v>
      </c>
      <c r="M1385" t="s">
        <v>682</v>
      </c>
      <c r="N1385">
        <v>288558.78000000003</v>
      </c>
      <c r="O1385">
        <v>3795</v>
      </c>
    </row>
    <row r="1386" spans="1:15" x14ac:dyDescent="0.2">
      <c r="A1386" s="6">
        <v>45840</v>
      </c>
      <c r="B1386" t="s">
        <v>15</v>
      </c>
      <c r="C1386" t="s">
        <v>16</v>
      </c>
      <c r="D1386" s="1">
        <v>45855</v>
      </c>
      <c r="E1386" t="s">
        <v>19</v>
      </c>
      <c r="F1386">
        <v>5300</v>
      </c>
      <c r="G1386">
        <v>47.6</v>
      </c>
      <c r="H1386">
        <v>50.8</v>
      </c>
      <c r="I1386">
        <v>30.9</v>
      </c>
      <c r="J1386">
        <v>33.200000000000003</v>
      </c>
      <c r="K1386">
        <v>50.2</v>
      </c>
      <c r="L1386">
        <v>38938</v>
      </c>
      <c r="M1386" t="s">
        <v>683</v>
      </c>
      <c r="N1386">
        <v>207860.06</v>
      </c>
      <c r="O1386">
        <v>2136</v>
      </c>
    </row>
    <row r="1387" spans="1:15" x14ac:dyDescent="0.2">
      <c r="A1387" s="6">
        <v>45840</v>
      </c>
      <c r="B1387" t="s">
        <v>15</v>
      </c>
      <c r="C1387" t="s">
        <v>16</v>
      </c>
      <c r="D1387" s="1">
        <v>45855</v>
      </c>
      <c r="E1387" t="s">
        <v>19</v>
      </c>
      <c r="F1387">
        <v>3700</v>
      </c>
      <c r="G1387">
        <v>5.4</v>
      </c>
      <c r="H1387">
        <v>5.4</v>
      </c>
      <c r="I1387">
        <v>3.6</v>
      </c>
      <c r="J1387">
        <v>4.9000000000000004</v>
      </c>
      <c r="K1387">
        <v>5.0999999999999996</v>
      </c>
      <c r="L1387">
        <v>7</v>
      </c>
      <c r="M1387" t="s">
        <v>23</v>
      </c>
      <c r="N1387">
        <v>25.93</v>
      </c>
      <c r="O1387">
        <v>15</v>
      </c>
    </row>
    <row r="1388" spans="1:15" x14ac:dyDescent="0.2">
      <c r="A1388" s="6">
        <v>45840</v>
      </c>
      <c r="B1388" t="s">
        <v>15</v>
      </c>
      <c r="C1388" t="s">
        <v>16</v>
      </c>
      <c r="D1388" s="1">
        <v>45855</v>
      </c>
      <c r="E1388" t="s">
        <v>17</v>
      </c>
      <c r="F1388">
        <v>6050</v>
      </c>
      <c r="G1388">
        <v>39.4</v>
      </c>
      <c r="H1388">
        <v>96</v>
      </c>
      <c r="I1388">
        <v>35.1</v>
      </c>
      <c r="J1388">
        <v>83.3</v>
      </c>
      <c r="K1388">
        <v>39.5</v>
      </c>
      <c r="L1388">
        <v>8362</v>
      </c>
      <c r="M1388" t="s">
        <v>684</v>
      </c>
      <c r="N1388">
        <v>51058.07</v>
      </c>
      <c r="O1388">
        <v>599</v>
      </c>
    </row>
    <row r="1389" spans="1:15" x14ac:dyDescent="0.2">
      <c r="A1389" s="6">
        <v>45840</v>
      </c>
      <c r="B1389" t="s">
        <v>15</v>
      </c>
      <c r="C1389" t="s">
        <v>16</v>
      </c>
      <c r="D1389" s="1">
        <v>45855</v>
      </c>
      <c r="E1389" t="s">
        <v>17</v>
      </c>
      <c r="F1389">
        <v>7150</v>
      </c>
      <c r="G1389">
        <v>12.1</v>
      </c>
      <c r="H1389">
        <v>34.9</v>
      </c>
      <c r="I1389">
        <v>10.9</v>
      </c>
      <c r="J1389">
        <v>32.4</v>
      </c>
      <c r="K1389">
        <v>13.5</v>
      </c>
      <c r="L1389">
        <v>86</v>
      </c>
      <c r="M1389" t="s">
        <v>153</v>
      </c>
      <c r="N1389">
        <v>616.17999999999995</v>
      </c>
      <c r="O1389">
        <v>114</v>
      </c>
    </row>
    <row r="1390" spans="1:15" x14ac:dyDescent="0.2">
      <c r="A1390" s="6">
        <v>45840</v>
      </c>
      <c r="B1390" t="s">
        <v>15</v>
      </c>
      <c r="C1390" t="s">
        <v>16</v>
      </c>
      <c r="D1390" s="1">
        <v>45855</v>
      </c>
      <c r="E1390" t="s">
        <v>19</v>
      </c>
      <c r="F1390">
        <v>6750</v>
      </c>
      <c r="J1390">
        <v>1002.5</v>
      </c>
      <c r="K1390">
        <v>1187.2</v>
      </c>
      <c r="L1390">
        <v>0</v>
      </c>
      <c r="M1390" t="s">
        <v>18</v>
      </c>
      <c r="N1390">
        <v>0</v>
      </c>
      <c r="O1390">
        <v>19</v>
      </c>
    </row>
    <row r="1391" spans="1:15" x14ac:dyDescent="0.2">
      <c r="A1391" s="6">
        <v>45840</v>
      </c>
      <c r="B1391" t="s">
        <v>15</v>
      </c>
      <c r="C1391" t="s">
        <v>16</v>
      </c>
      <c r="D1391" s="1">
        <v>45855</v>
      </c>
      <c r="E1391" t="s">
        <v>17</v>
      </c>
      <c r="F1391">
        <v>3750</v>
      </c>
      <c r="J1391">
        <v>1998.1</v>
      </c>
      <c r="K1391">
        <v>1860.1</v>
      </c>
      <c r="L1391">
        <v>0</v>
      </c>
      <c r="M1391" t="s">
        <v>18</v>
      </c>
      <c r="N1391">
        <v>0</v>
      </c>
      <c r="O1391">
        <v>0</v>
      </c>
    </row>
    <row r="1392" spans="1:15" x14ac:dyDescent="0.2">
      <c r="A1392" s="6">
        <v>45840</v>
      </c>
      <c r="B1392" t="s">
        <v>15</v>
      </c>
      <c r="C1392" t="s">
        <v>16</v>
      </c>
      <c r="D1392" s="1">
        <v>45855</v>
      </c>
      <c r="E1392" t="s">
        <v>17</v>
      </c>
      <c r="F1392">
        <v>6650</v>
      </c>
      <c r="G1392">
        <v>18.5</v>
      </c>
      <c r="H1392">
        <v>51.5</v>
      </c>
      <c r="I1392">
        <v>16.399999999999999</v>
      </c>
      <c r="J1392">
        <v>41.9</v>
      </c>
      <c r="K1392">
        <v>17.5</v>
      </c>
      <c r="L1392">
        <v>681</v>
      </c>
      <c r="M1392" t="s">
        <v>685</v>
      </c>
      <c r="N1392">
        <v>4549.46</v>
      </c>
      <c r="O1392">
        <v>348</v>
      </c>
    </row>
    <row r="1393" spans="1:15" x14ac:dyDescent="0.2">
      <c r="A1393" s="6">
        <v>45840</v>
      </c>
      <c r="B1393" t="s">
        <v>15</v>
      </c>
      <c r="C1393" t="s">
        <v>16</v>
      </c>
      <c r="D1393" s="1">
        <v>45855</v>
      </c>
      <c r="E1393" t="s">
        <v>19</v>
      </c>
      <c r="F1393">
        <v>5450</v>
      </c>
      <c r="G1393">
        <v>90.5</v>
      </c>
      <c r="H1393">
        <v>94</v>
      </c>
      <c r="I1393">
        <v>56.2</v>
      </c>
      <c r="J1393">
        <v>59.5</v>
      </c>
      <c r="K1393">
        <v>90.5</v>
      </c>
      <c r="L1393">
        <v>25682</v>
      </c>
      <c r="M1393" t="s">
        <v>686</v>
      </c>
      <c r="N1393">
        <v>141856.4</v>
      </c>
      <c r="O1393">
        <v>1138</v>
      </c>
    </row>
    <row r="1394" spans="1:15" x14ac:dyDescent="0.2">
      <c r="A1394" s="6">
        <v>45840</v>
      </c>
      <c r="B1394" t="s">
        <v>15</v>
      </c>
      <c r="C1394" t="s">
        <v>16</v>
      </c>
      <c r="D1394" s="1">
        <v>45855</v>
      </c>
      <c r="E1394" t="s">
        <v>19</v>
      </c>
      <c r="F1394">
        <v>3750</v>
      </c>
      <c r="J1394">
        <v>0.1</v>
      </c>
      <c r="K1394">
        <v>0.1</v>
      </c>
      <c r="L1394">
        <v>0</v>
      </c>
      <c r="M1394" t="s">
        <v>18</v>
      </c>
      <c r="N1394">
        <v>0</v>
      </c>
      <c r="O1394">
        <v>0</v>
      </c>
    </row>
    <row r="1395" spans="1:15" x14ac:dyDescent="0.2">
      <c r="A1395" s="6">
        <v>45840</v>
      </c>
      <c r="B1395" t="s">
        <v>15</v>
      </c>
      <c r="C1395" t="s">
        <v>16</v>
      </c>
      <c r="D1395" s="1">
        <v>45855</v>
      </c>
      <c r="E1395" t="s">
        <v>19</v>
      </c>
      <c r="F1395">
        <v>4700</v>
      </c>
      <c r="G1395">
        <v>10.9</v>
      </c>
      <c r="H1395">
        <v>11</v>
      </c>
      <c r="I1395">
        <v>6.1</v>
      </c>
      <c r="J1395">
        <v>6.9</v>
      </c>
      <c r="K1395">
        <v>11.2</v>
      </c>
      <c r="L1395">
        <v>541</v>
      </c>
      <c r="M1395" t="s">
        <v>687</v>
      </c>
      <c r="N1395">
        <v>2547.2600000000002</v>
      </c>
      <c r="O1395">
        <v>187</v>
      </c>
    </row>
    <row r="1396" spans="1:15" x14ac:dyDescent="0.2">
      <c r="A1396" s="6">
        <v>45840</v>
      </c>
      <c r="B1396" t="s">
        <v>15</v>
      </c>
      <c r="C1396" t="s">
        <v>16</v>
      </c>
      <c r="D1396" s="1">
        <v>45855</v>
      </c>
      <c r="E1396" t="s">
        <v>17</v>
      </c>
      <c r="F1396">
        <v>6850</v>
      </c>
      <c r="G1396">
        <v>12.3</v>
      </c>
      <c r="H1396">
        <v>42.5</v>
      </c>
      <c r="I1396">
        <v>12.3</v>
      </c>
      <c r="J1396">
        <v>35.700000000000003</v>
      </c>
      <c r="K1396">
        <v>13.6</v>
      </c>
      <c r="L1396">
        <v>441</v>
      </c>
      <c r="M1396" t="s">
        <v>688</v>
      </c>
      <c r="N1396">
        <v>3031.95</v>
      </c>
      <c r="O1396">
        <v>334</v>
      </c>
    </row>
    <row r="1397" spans="1:15" x14ac:dyDescent="0.2">
      <c r="A1397" s="6">
        <v>45840</v>
      </c>
      <c r="B1397" t="s">
        <v>15</v>
      </c>
      <c r="C1397" t="s">
        <v>16</v>
      </c>
      <c r="D1397" s="1">
        <v>45855</v>
      </c>
      <c r="E1397" t="s">
        <v>17</v>
      </c>
      <c r="F1397">
        <v>7350</v>
      </c>
      <c r="G1397">
        <v>12.1</v>
      </c>
      <c r="H1397">
        <v>23</v>
      </c>
      <c r="I1397">
        <v>9</v>
      </c>
      <c r="J1397">
        <v>20</v>
      </c>
      <c r="K1397">
        <v>11.9</v>
      </c>
      <c r="L1397">
        <v>77</v>
      </c>
      <c r="M1397" t="s">
        <v>689</v>
      </c>
      <c r="N1397">
        <v>567.1</v>
      </c>
      <c r="O1397">
        <v>218</v>
      </c>
    </row>
    <row r="1398" spans="1:15" x14ac:dyDescent="0.2">
      <c r="A1398" s="6">
        <v>45840</v>
      </c>
      <c r="B1398" t="s">
        <v>15</v>
      </c>
      <c r="C1398" t="s">
        <v>16</v>
      </c>
      <c r="D1398" s="1">
        <v>45855</v>
      </c>
      <c r="E1398" t="s">
        <v>19</v>
      </c>
      <c r="F1398">
        <v>4550</v>
      </c>
      <c r="J1398">
        <v>0.6</v>
      </c>
      <c r="K1398">
        <v>9.6</v>
      </c>
      <c r="L1398">
        <v>0</v>
      </c>
      <c r="M1398" t="s">
        <v>18</v>
      </c>
      <c r="N1398">
        <v>0</v>
      </c>
      <c r="O1398">
        <v>4</v>
      </c>
    </row>
    <row r="1399" spans="1:15" x14ac:dyDescent="0.2">
      <c r="A1399" s="6">
        <v>45840</v>
      </c>
      <c r="B1399" t="s">
        <v>15</v>
      </c>
      <c r="C1399" t="s">
        <v>16</v>
      </c>
      <c r="D1399" s="1">
        <v>45855</v>
      </c>
      <c r="E1399" t="s">
        <v>17</v>
      </c>
      <c r="F1399">
        <v>6800</v>
      </c>
      <c r="G1399">
        <v>14.5</v>
      </c>
      <c r="H1399">
        <v>42.2</v>
      </c>
      <c r="I1399">
        <v>13.5</v>
      </c>
      <c r="J1399">
        <v>34.9</v>
      </c>
      <c r="K1399">
        <v>14.8</v>
      </c>
      <c r="L1399">
        <v>3073</v>
      </c>
      <c r="M1399" t="s">
        <v>690</v>
      </c>
      <c r="N1399">
        <v>20979.86</v>
      </c>
      <c r="O1399">
        <v>1481</v>
      </c>
    </row>
    <row r="1400" spans="1:15" x14ac:dyDescent="0.2">
      <c r="A1400" s="6">
        <v>45840</v>
      </c>
      <c r="B1400" t="s">
        <v>15</v>
      </c>
      <c r="C1400" t="s">
        <v>16</v>
      </c>
      <c r="D1400" s="1">
        <v>45855</v>
      </c>
      <c r="E1400" t="s">
        <v>17</v>
      </c>
      <c r="F1400">
        <v>6700</v>
      </c>
      <c r="G1400">
        <v>14.4</v>
      </c>
      <c r="H1400">
        <v>46.5</v>
      </c>
      <c r="I1400">
        <v>13</v>
      </c>
      <c r="J1400">
        <v>37.1</v>
      </c>
      <c r="K1400">
        <v>15.9</v>
      </c>
      <c r="L1400">
        <v>3030</v>
      </c>
      <c r="M1400" t="s">
        <v>691</v>
      </c>
      <c r="N1400">
        <v>20386.73</v>
      </c>
      <c r="O1400">
        <v>1618</v>
      </c>
    </row>
    <row r="1401" spans="1:15" x14ac:dyDescent="0.2">
      <c r="A1401" s="6">
        <v>45840</v>
      </c>
      <c r="B1401" t="s">
        <v>15</v>
      </c>
      <c r="C1401" t="s">
        <v>16</v>
      </c>
      <c r="D1401" s="1">
        <v>45855</v>
      </c>
      <c r="E1401" t="s">
        <v>19</v>
      </c>
      <c r="F1401">
        <v>7150</v>
      </c>
      <c r="J1401">
        <v>1394.9</v>
      </c>
      <c r="K1401">
        <v>1531.8</v>
      </c>
      <c r="L1401">
        <v>0</v>
      </c>
      <c r="M1401" t="s">
        <v>18</v>
      </c>
      <c r="N1401">
        <v>0</v>
      </c>
      <c r="O1401">
        <v>0</v>
      </c>
    </row>
    <row r="1402" spans="1:15" x14ac:dyDescent="0.2">
      <c r="A1402" s="6">
        <v>45840</v>
      </c>
      <c r="B1402" t="s">
        <v>15</v>
      </c>
      <c r="C1402" t="s">
        <v>16</v>
      </c>
      <c r="D1402" s="1">
        <v>45855</v>
      </c>
      <c r="E1402" t="s">
        <v>17</v>
      </c>
      <c r="F1402">
        <v>7500</v>
      </c>
      <c r="G1402">
        <v>9.5</v>
      </c>
      <c r="H1402">
        <v>25.1</v>
      </c>
      <c r="I1402">
        <v>8.6999999999999993</v>
      </c>
      <c r="J1402">
        <v>22.3</v>
      </c>
      <c r="K1402">
        <v>9.4</v>
      </c>
      <c r="L1402">
        <v>3473</v>
      </c>
      <c r="M1402" t="s">
        <v>692</v>
      </c>
      <c r="N1402">
        <v>26101.22</v>
      </c>
      <c r="O1402">
        <v>2356</v>
      </c>
    </row>
    <row r="1403" spans="1:15" x14ac:dyDescent="0.2">
      <c r="A1403" s="6">
        <v>45840</v>
      </c>
      <c r="B1403" t="s">
        <v>15</v>
      </c>
      <c r="C1403" t="s">
        <v>16</v>
      </c>
      <c r="D1403" s="1">
        <v>45855</v>
      </c>
      <c r="E1403" t="s">
        <v>17</v>
      </c>
      <c r="F1403">
        <v>6900</v>
      </c>
      <c r="G1403">
        <v>13.4</v>
      </c>
      <c r="H1403">
        <v>38.799999999999997</v>
      </c>
      <c r="I1403">
        <v>13</v>
      </c>
      <c r="J1403">
        <v>33.1</v>
      </c>
      <c r="K1403">
        <v>13.8</v>
      </c>
      <c r="L1403">
        <v>2484</v>
      </c>
      <c r="M1403" t="s">
        <v>693</v>
      </c>
      <c r="N1403">
        <v>17199.55</v>
      </c>
      <c r="O1403">
        <v>1074</v>
      </c>
    </row>
    <row r="1404" spans="1:15" x14ac:dyDescent="0.2">
      <c r="A1404" s="6">
        <v>45840</v>
      </c>
      <c r="B1404" t="s">
        <v>15</v>
      </c>
      <c r="C1404" t="s">
        <v>16</v>
      </c>
      <c r="D1404" s="1">
        <v>45855</v>
      </c>
      <c r="E1404" t="s">
        <v>19</v>
      </c>
      <c r="F1404">
        <v>6250</v>
      </c>
      <c r="J1404">
        <v>546.20000000000005</v>
      </c>
      <c r="K1404">
        <v>666.8</v>
      </c>
      <c r="L1404">
        <v>0</v>
      </c>
      <c r="M1404" t="s">
        <v>18</v>
      </c>
      <c r="N1404">
        <v>0</v>
      </c>
      <c r="O1404">
        <v>95</v>
      </c>
    </row>
    <row r="1405" spans="1:15" x14ac:dyDescent="0.2">
      <c r="A1405" s="6">
        <v>45840</v>
      </c>
      <c r="B1405" t="s">
        <v>15</v>
      </c>
      <c r="C1405" t="s">
        <v>16</v>
      </c>
      <c r="D1405" s="1">
        <v>45855</v>
      </c>
      <c r="E1405" t="s">
        <v>19</v>
      </c>
      <c r="F1405">
        <v>5200</v>
      </c>
      <c r="G1405">
        <v>33.299999999999997</v>
      </c>
      <c r="H1405">
        <v>33.5</v>
      </c>
      <c r="I1405">
        <v>20</v>
      </c>
      <c r="J1405">
        <v>21.7</v>
      </c>
      <c r="K1405">
        <v>33.200000000000003</v>
      </c>
      <c r="L1405">
        <v>32326</v>
      </c>
      <c r="M1405" t="s">
        <v>694</v>
      </c>
      <c r="N1405">
        <v>168897.56</v>
      </c>
      <c r="O1405">
        <v>3316</v>
      </c>
    </row>
    <row r="1406" spans="1:15" x14ac:dyDescent="0.2">
      <c r="A1406" s="6">
        <v>45840</v>
      </c>
      <c r="B1406" t="s">
        <v>15</v>
      </c>
      <c r="C1406" t="s">
        <v>16</v>
      </c>
      <c r="D1406" s="1">
        <v>45855</v>
      </c>
      <c r="E1406" t="s">
        <v>17</v>
      </c>
      <c r="F1406">
        <v>6950</v>
      </c>
      <c r="G1406">
        <v>12</v>
      </c>
      <c r="H1406">
        <v>38</v>
      </c>
      <c r="I1406">
        <v>11</v>
      </c>
      <c r="J1406">
        <v>32.299999999999997</v>
      </c>
      <c r="K1406">
        <v>12</v>
      </c>
      <c r="L1406">
        <v>419</v>
      </c>
      <c r="M1406" t="s">
        <v>79</v>
      </c>
      <c r="N1406">
        <v>2920.3</v>
      </c>
      <c r="O1406">
        <v>310</v>
      </c>
    </row>
    <row r="1407" spans="1:15" x14ac:dyDescent="0.2">
      <c r="A1407" s="6">
        <v>45840</v>
      </c>
      <c r="B1407" t="s">
        <v>15</v>
      </c>
      <c r="C1407" t="s">
        <v>16</v>
      </c>
      <c r="D1407" s="1">
        <v>45855</v>
      </c>
      <c r="E1407" t="s">
        <v>19</v>
      </c>
      <c r="F1407">
        <v>7250</v>
      </c>
      <c r="J1407">
        <v>1494.1</v>
      </c>
      <c r="K1407">
        <v>1631.2</v>
      </c>
      <c r="L1407">
        <v>0</v>
      </c>
      <c r="M1407" t="s">
        <v>18</v>
      </c>
      <c r="N1407">
        <v>0</v>
      </c>
      <c r="O1407">
        <v>0</v>
      </c>
    </row>
    <row r="1408" spans="1:15" x14ac:dyDescent="0.2">
      <c r="A1408" s="6">
        <v>45840</v>
      </c>
      <c r="B1408" t="s">
        <v>15</v>
      </c>
      <c r="C1408" t="s">
        <v>16</v>
      </c>
      <c r="D1408" s="1">
        <v>45855</v>
      </c>
      <c r="E1408" t="s">
        <v>19</v>
      </c>
      <c r="F1408">
        <v>3900</v>
      </c>
      <c r="J1408">
        <v>0.1</v>
      </c>
      <c r="K1408">
        <v>0.1</v>
      </c>
      <c r="L1408">
        <v>0</v>
      </c>
      <c r="M1408" t="s">
        <v>18</v>
      </c>
      <c r="N1408">
        <v>0</v>
      </c>
      <c r="O1408">
        <v>0</v>
      </c>
    </row>
    <row r="1409" spans="1:15" x14ac:dyDescent="0.2">
      <c r="A1409" s="6">
        <v>45840</v>
      </c>
      <c r="B1409" t="s">
        <v>15</v>
      </c>
      <c r="C1409" t="s">
        <v>16</v>
      </c>
      <c r="D1409" s="1">
        <v>45855</v>
      </c>
      <c r="E1409" t="s">
        <v>17</v>
      </c>
      <c r="F1409">
        <v>6500</v>
      </c>
      <c r="G1409">
        <v>19.600000000000001</v>
      </c>
      <c r="H1409">
        <v>54.6</v>
      </c>
      <c r="I1409">
        <v>17.399999999999999</v>
      </c>
      <c r="J1409">
        <v>45.5</v>
      </c>
      <c r="K1409">
        <v>20.100000000000001</v>
      </c>
      <c r="L1409">
        <v>14413</v>
      </c>
      <c r="M1409" t="s">
        <v>695</v>
      </c>
      <c r="N1409">
        <v>94109.78</v>
      </c>
      <c r="O1409">
        <v>10287</v>
      </c>
    </row>
    <row r="1410" spans="1:15" x14ac:dyDescent="0.2">
      <c r="A1410" s="6">
        <v>45840</v>
      </c>
      <c r="B1410" t="s">
        <v>15</v>
      </c>
      <c r="C1410" t="s">
        <v>16</v>
      </c>
      <c r="D1410" s="1">
        <v>45855</v>
      </c>
      <c r="E1410" t="s">
        <v>17</v>
      </c>
      <c r="F1410">
        <v>5900</v>
      </c>
      <c r="G1410">
        <v>62.4</v>
      </c>
      <c r="H1410">
        <v>136</v>
      </c>
      <c r="I1410">
        <v>55.6</v>
      </c>
      <c r="J1410">
        <v>118.1</v>
      </c>
      <c r="K1410">
        <v>62.4</v>
      </c>
      <c r="L1410">
        <v>66287</v>
      </c>
      <c r="M1410" t="s">
        <v>696</v>
      </c>
      <c r="N1410">
        <v>396363.27</v>
      </c>
      <c r="O1410">
        <v>3343</v>
      </c>
    </row>
    <row r="1411" spans="1:15" x14ac:dyDescent="0.2">
      <c r="A1411" s="6">
        <v>45840</v>
      </c>
      <c r="B1411" t="s">
        <v>15</v>
      </c>
      <c r="C1411" t="s">
        <v>16</v>
      </c>
      <c r="D1411" s="1">
        <v>45855</v>
      </c>
      <c r="E1411" t="s">
        <v>17</v>
      </c>
      <c r="F1411">
        <v>6200</v>
      </c>
      <c r="G1411">
        <v>26.8</v>
      </c>
      <c r="H1411">
        <v>72.8</v>
      </c>
      <c r="I1411">
        <v>24.3</v>
      </c>
      <c r="J1411">
        <v>62</v>
      </c>
      <c r="K1411">
        <v>27.3</v>
      </c>
      <c r="L1411">
        <v>19307</v>
      </c>
      <c r="M1411" t="s">
        <v>697</v>
      </c>
      <c r="N1411">
        <v>120495.89</v>
      </c>
      <c r="O1411">
        <v>4128</v>
      </c>
    </row>
    <row r="1412" spans="1:15" x14ac:dyDescent="0.2">
      <c r="A1412" s="6">
        <v>45840</v>
      </c>
      <c r="B1412" t="s">
        <v>15</v>
      </c>
      <c r="C1412" t="s">
        <v>16</v>
      </c>
      <c r="D1412" s="1">
        <v>45855</v>
      </c>
      <c r="E1412" t="s">
        <v>19</v>
      </c>
      <c r="F1412">
        <v>7500</v>
      </c>
      <c r="J1412">
        <v>1742.9</v>
      </c>
      <c r="K1412">
        <v>1880.2</v>
      </c>
      <c r="L1412">
        <v>0</v>
      </c>
      <c r="M1412" t="s">
        <v>18</v>
      </c>
      <c r="N1412">
        <v>0</v>
      </c>
      <c r="O1412">
        <v>0</v>
      </c>
    </row>
    <row r="1413" spans="1:15" x14ac:dyDescent="0.2">
      <c r="A1413" s="6">
        <v>45840</v>
      </c>
      <c r="B1413" t="s">
        <v>15</v>
      </c>
      <c r="C1413" t="s">
        <v>16</v>
      </c>
      <c r="D1413" s="1">
        <v>45855</v>
      </c>
      <c r="E1413" t="s">
        <v>17</v>
      </c>
      <c r="F1413">
        <v>6250</v>
      </c>
      <c r="G1413">
        <v>26.8</v>
      </c>
      <c r="H1413">
        <v>69.2</v>
      </c>
      <c r="I1413">
        <v>23.4</v>
      </c>
      <c r="J1413">
        <v>59.8</v>
      </c>
      <c r="K1413">
        <v>26.7</v>
      </c>
      <c r="L1413">
        <v>3531</v>
      </c>
      <c r="M1413" t="s">
        <v>698</v>
      </c>
      <c r="N1413">
        <v>22214.82</v>
      </c>
      <c r="O1413">
        <v>1336</v>
      </c>
    </row>
    <row r="1414" spans="1:15" x14ac:dyDescent="0.2">
      <c r="A1414" s="6">
        <v>45840</v>
      </c>
      <c r="B1414" t="s">
        <v>15</v>
      </c>
      <c r="C1414" t="s">
        <v>16</v>
      </c>
      <c r="D1414" s="1">
        <v>45855</v>
      </c>
      <c r="E1414" t="s">
        <v>17</v>
      </c>
      <c r="F1414">
        <v>5050</v>
      </c>
      <c r="J1414">
        <v>716.5</v>
      </c>
      <c r="K1414">
        <v>594.4</v>
      </c>
      <c r="L1414">
        <v>0</v>
      </c>
      <c r="M1414" t="s">
        <v>18</v>
      </c>
      <c r="N1414">
        <v>0</v>
      </c>
      <c r="O1414">
        <v>0</v>
      </c>
    </row>
    <row r="1415" spans="1:15" x14ac:dyDescent="0.2">
      <c r="A1415" s="6">
        <v>45840</v>
      </c>
      <c r="B1415" t="s">
        <v>15</v>
      </c>
      <c r="C1415" t="s">
        <v>16</v>
      </c>
      <c r="D1415" s="1">
        <v>45855</v>
      </c>
      <c r="E1415" t="s">
        <v>19</v>
      </c>
      <c r="F1415">
        <v>5150</v>
      </c>
      <c r="G1415">
        <v>26.6</v>
      </c>
      <c r="H1415">
        <v>28.6</v>
      </c>
      <c r="I1415">
        <v>17.3</v>
      </c>
      <c r="J1415">
        <v>18.399999999999999</v>
      </c>
      <c r="K1415">
        <v>28.5</v>
      </c>
      <c r="L1415">
        <v>1927</v>
      </c>
      <c r="M1415" t="s">
        <v>699</v>
      </c>
      <c r="N1415">
        <v>9965.6299999999992</v>
      </c>
      <c r="O1415">
        <v>299</v>
      </c>
    </row>
    <row r="1416" spans="1:15" x14ac:dyDescent="0.2">
      <c r="A1416" s="6">
        <v>45840</v>
      </c>
      <c r="B1416" t="s">
        <v>15</v>
      </c>
      <c r="C1416" t="s">
        <v>16</v>
      </c>
      <c r="D1416" s="1">
        <v>45855</v>
      </c>
      <c r="E1416" t="s">
        <v>17</v>
      </c>
      <c r="F1416">
        <v>4600</v>
      </c>
      <c r="J1416">
        <v>1151</v>
      </c>
      <c r="K1416">
        <v>1014.9</v>
      </c>
      <c r="L1416">
        <v>0</v>
      </c>
      <c r="M1416" t="s">
        <v>18</v>
      </c>
      <c r="N1416">
        <v>0</v>
      </c>
      <c r="O1416">
        <v>0</v>
      </c>
    </row>
    <row r="1417" spans="1:15" x14ac:dyDescent="0.2">
      <c r="A1417" s="6">
        <v>45840</v>
      </c>
      <c r="B1417" t="s">
        <v>15</v>
      </c>
      <c r="C1417" t="s">
        <v>16</v>
      </c>
      <c r="D1417" s="1">
        <v>45855</v>
      </c>
      <c r="E1417" t="s">
        <v>19</v>
      </c>
      <c r="F1417">
        <v>4650</v>
      </c>
      <c r="G1417">
        <v>10</v>
      </c>
      <c r="H1417">
        <v>16.3</v>
      </c>
      <c r="I1417">
        <v>7</v>
      </c>
      <c r="J1417">
        <v>8.8000000000000007</v>
      </c>
      <c r="K1417">
        <v>11.5</v>
      </c>
      <c r="L1417">
        <v>11</v>
      </c>
      <c r="M1417" t="s">
        <v>236</v>
      </c>
      <c r="N1417">
        <v>51.25</v>
      </c>
      <c r="O1417">
        <v>3</v>
      </c>
    </row>
    <row r="1418" spans="1:15" x14ac:dyDescent="0.2">
      <c r="A1418" s="6">
        <v>45840</v>
      </c>
      <c r="B1418" t="s">
        <v>15</v>
      </c>
      <c r="C1418" t="s">
        <v>16</v>
      </c>
      <c r="D1418" s="1">
        <v>45855</v>
      </c>
      <c r="E1418" t="s">
        <v>17</v>
      </c>
      <c r="F1418">
        <v>4150</v>
      </c>
      <c r="J1418">
        <v>1599.1</v>
      </c>
      <c r="K1418">
        <v>1461.2</v>
      </c>
      <c r="L1418">
        <v>0</v>
      </c>
      <c r="M1418" t="s">
        <v>18</v>
      </c>
      <c r="N1418">
        <v>0</v>
      </c>
      <c r="O1418">
        <v>0</v>
      </c>
    </row>
    <row r="1419" spans="1:15" x14ac:dyDescent="0.2">
      <c r="A1419" s="6">
        <v>45840</v>
      </c>
      <c r="B1419" t="s">
        <v>15</v>
      </c>
      <c r="C1419" t="s">
        <v>16</v>
      </c>
      <c r="D1419" s="1">
        <v>45855</v>
      </c>
      <c r="E1419" t="s">
        <v>17</v>
      </c>
      <c r="F1419">
        <v>6350</v>
      </c>
      <c r="G1419">
        <v>23.2</v>
      </c>
      <c r="H1419">
        <v>62.5</v>
      </c>
      <c r="I1419">
        <v>20</v>
      </c>
      <c r="J1419">
        <v>53.8</v>
      </c>
      <c r="K1419">
        <v>24</v>
      </c>
      <c r="L1419">
        <v>1582</v>
      </c>
      <c r="M1419" t="s">
        <v>700</v>
      </c>
      <c r="N1419">
        <v>10105.94</v>
      </c>
      <c r="O1419">
        <v>1202</v>
      </c>
    </row>
    <row r="1420" spans="1:15" x14ac:dyDescent="0.2">
      <c r="A1420" s="6">
        <v>45840</v>
      </c>
      <c r="B1420" t="s">
        <v>15</v>
      </c>
      <c r="C1420" t="s">
        <v>16</v>
      </c>
      <c r="D1420" s="1">
        <v>45855</v>
      </c>
      <c r="E1420" t="s">
        <v>17</v>
      </c>
      <c r="F1420">
        <v>5450</v>
      </c>
      <c r="G1420">
        <v>248</v>
      </c>
      <c r="H1420">
        <v>395.3</v>
      </c>
      <c r="I1420">
        <v>244.9</v>
      </c>
      <c r="J1420">
        <v>361.4</v>
      </c>
      <c r="K1420">
        <v>256.8</v>
      </c>
      <c r="L1420">
        <v>3193</v>
      </c>
      <c r="M1420" t="s">
        <v>701</v>
      </c>
      <c r="N1420">
        <v>18279.509999999998</v>
      </c>
      <c r="O1420">
        <v>78</v>
      </c>
    </row>
    <row r="1421" spans="1:15" x14ac:dyDescent="0.2">
      <c r="A1421" s="6">
        <v>45840</v>
      </c>
      <c r="B1421" t="s">
        <v>15</v>
      </c>
      <c r="C1421" t="s">
        <v>16</v>
      </c>
      <c r="D1421" s="1">
        <v>45855</v>
      </c>
      <c r="E1421" t="s">
        <v>17</v>
      </c>
      <c r="F1421">
        <v>5800</v>
      </c>
      <c r="G1421">
        <v>88.7</v>
      </c>
      <c r="H1421">
        <v>174.7</v>
      </c>
      <c r="I1421">
        <v>79.2</v>
      </c>
      <c r="J1421">
        <v>154</v>
      </c>
      <c r="K1421">
        <v>88.1</v>
      </c>
      <c r="L1421">
        <v>115386</v>
      </c>
      <c r="M1421" t="s">
        <v>702</v>
      </c>
      <c r="N1421">
        <v>681855.64</v>
      </c>
      <c r="O1421">
        <v>6259</v>
      </c>
    </row>
    <row r="1422" spans="1:15" x14ac:dyDescent="0.2">
      <c r="A1422" s="6">
        <v>45840</v>
      </c>
      <c r="B1422" t="s">
        <v>15</v>
      </c>
      <c r="C1422" t="s">
        <v>16</v>
      </c>
      <c r="D1422" s="1">
        <v>45855</v>
      </c>
      <c r="E1422" t="s">
        <v>17</v>
      </c>
      <c r="F1422">
        <v>7000</v>
      </c>
      <c r="G1422">
        <v>13.4</v>
      </c>
      <c r="H1422">
        <v>40</v>
      </c>
      <c r="I1422">
        <v>12</v>
      </c>
      <c r="J1422">
        <v>30.3</v>
      </c>
      <c r="K1422">
        <v>13.7</v>
      </c>
      <c r="L1422">
        <v>6197</v>
      </c>
      <c r="M1422" t="s">
        <v>703</v>
      </c>
      <c r="N1422">
        <v>43520.51</v>
      </c>
      <c r="O1422">
        <v>3880</v>
      </c>
    </row>
    <row r="1423" spans="1:15" x14ac:dyDescent="0.2">
      <c r="A1423" s="6">
        <v>45840</v>
      </c>
      <c r="B1423" t="s">
        <v>15</v>
      </c>
      <c r="C1423" t="s">
        <v>16</v>
      </c>
      <c r="D1423" s="1">
        <v>45855</v>
      </c>
      <c r="E1423" t="s">
        <v>17</v>
      </c>
      <c r="F1423">
        <v>4250</v>
      </c>
      <c r="J1423">
        <v>1499.3</v>
      </c>
      <c r="K1423">
        <v>1361.6</v>
      </c>
      <c r="L1423">
        <v>0</v>
      </c>
      <c r="M1423" t="s">
        <v>18</v>
      </c>
      <c r="N1423">
        <v>0</v>
      </c>
      <c r="O1423">
        <v>0</v>
      </c>
    </row>
    <row r="1424" spans="1:15" x14ac:dyDescent="0.2">
      <c r="A1424" s="6">
        <v>45840</v>
      </c>
      <c r="B1424" t="s">
        <v>15</v>
      </c>
      <c r="C1424" t="s">
        <v>16</v>
      </c>
      <c r="D1424" s="1">
        <v>45855</v>
      </c>
      <c r="E1424" t="s">
        <v>17</v>
      </c>
      <c r="F1424">
        <v>4000</v>
      </c>
      <c r="J1424">
        <v>1748.7</v>
      </c>
      <c r="K1424">
        <v>1610.8</v>
      </c>
      <c r="L1424">
        <v>0</v>
      </c>
      <c r="M1424" t="s">
        <v>18</v>
      </c>
      <c r="N1424">
        <v>0</v>
      </c>
      <c r="O1424">
        <v>0</v>
      </c>
    </row>
    <row r="1425" spans="1:15" x14ac:dyDescent="0.2">
      <c r="A1425" s="6">
        <v>45840</v>
      </c>
      <c r="B1425" t="s">
        <v>15</v>
      </c>
      <c r="C1425" t="s">
        <v>16</v>
      </c>
      <c r="D1425" s="1">
        <v>45855</v>
      </c>
      <c r="E1425" t="s">
        <v>19</v>
      </c>
      <c r="F1425">
        <v>7350</v>
      </c>
      <c r="J1425">
        <v>1593.6</v>
      </c>
      <c r="K1425">
        <v>1730.7</v>
      </c>
      <c r="L1425">
        <v>0</v>
      </c>
      <c r="M1425" t="s">
        <v>18</v>
      </c>
      <c r="N1425">
        <v>0</v>
      </c>
      <c r="O1425">
        <v>0</v>
      </c>
    </row>
    <row r="1426" spans="1:15" x14ac:dyDescent="0.2">
      <c r="A1426" s="6">
        <v>45840</v>
      </c>
      <c r="B1426" t="s">
        <v>15</v>
      </c>
      <c r="C1426" t="s">
        <v>16</v>
      </c>
      <c r="D1426" s="1">
        <v>45855</v>
      </c>
      <c r="E1426" t="s">
        <v>17</v>
      </c>
      <c r="F1426">
        <v>7050</v>
      </c>
      <c r="G1426">
        <v>11.2</v>
      </c>
      <c r="H1426">
        <v>31.5</v>
      </c>
      <c r="I1426">
        <v>11.2</v>
      </c>
      <c r="J1426">
        <v>26.4</v>
      </c>
      <c r="K1426">
        <v>11.8</v>
      </c>
      <c r="L1426">
        <v>60</v>
      </c>
      <c r="M1426" t="s">
        <v>539</v>
      </c>
      <c r="N1426">
        <v>424.01</v>
      </c>
      <c r="O1426">
        <v>156</v>
      </c>
    </row>
    <row r="1427" spans="1:15" x14ac:dyDescent="0.2">
      <c r="A1427" s="6">
        <v>45840</v>
      </c>
      <c r="B1427" t="s">
        <v>15</v>
      </c>
      <c r="C1427" t="s">
        <v>16</v>
      </c>
      <c r="D1427" s="1">
        <v>45855</v>
      </c>
      <c r="E1427" t="s">
        <v>19</v>
      </c>
      <c r="F1427">
        <v>6850</v>
      </c>
      <c r="J1427">
        <v>1099.5</v>
      </c>
      <c r="K1427">
        <v>1235</v>
      </c>
      <c r="L1427">
        <v>0</v>
      </c>
      <c r="M1427" t="s">
        <v>18</v>
      </c>
      <c r="N1427">
        <v>0</v>
      </c>
      <c r="O1427">
        <v>18</v>
      </c>
    </row>
    <row r="1428" spans="1:15" x14ac:dyDescent="0.2">
      <c r="A1428" s="6">
        <v>45840</v>
      </c>
      <c r="B1428" t="s">
        <v>15</v>
      </c>
      <c r="C1428" t="s">
        <v>16</v>
      </c>
      <c r="D1428" s="1">
        <v>45855</v>
      </c>
      <c r="E1428" t="s">
        <v>19</v>
      </c>
      <c r="F1428">
        <v>4500</v>
      </c>
      <c r="G1428">
        <v>7.9</v>
      </c>
      <c r="H1428">
        <v>8.4</v>
      </c>
      <c r="I1428">
        <v>4.5999999999999996</v>
      </c>
      <c r="J1428">
        <v>6.1</v>
      </c>
      <c r="K1428">
        <v>8.6999999999999993</v>
      </c>
      <c r="L1428">
        <v>1084</v>
      </c>
      <c r="M1428" t="s">
        <v>704</v>
      </c>
      <c r="N1428">
        <v>4885.1499999999996</v>
      </c>
      <c r="O1428">
        <v>795</v>
      </c>
    </row>
    <row r="1429" spans="1:15" x14ac:dyDescent="0.2">
      <c r="A1429" s="6">
        <v>45840</v>
      </c>
      <c r="B1429" t="s">
        <v>15</v>
      </c>
      <c r="C1429" t="s">
        <v>16</v>
      </c>
      <c r="D1429" s="1">
        <v>45855</v>
      </c>
      <c r="E1429" t="s">
        <v>19</v>
      </c>
      <c r="F1429">
        <v>4400</v>
      </c>
      <c r="G1429">
        <v>11.3</v>
      </c>
      <c r="H1429">
        <v>11.3</v>
      </c>
      <c r="I1429">
        <v>3.6</v>
      </c>
      <c r="J1429">
        <v>7.5</v>
      </c>
      <c r="K1429">
        <v>0.6</v>
      </c>
      <c r="L1429">
        <v>2</v>
      </c>
      <c r="M1429" t="s">
        <v>28</v>
      </c>
      <c r="N1429">
        <v>8.81</v>
      </c>
      <c r="O1429">
        <v>1</v>
      </c>
    </row>
    <row r="1430" spans="1:15" x14ac:dyDescent="0.2">
      <c r="A1430" s="6">
        <v>45840</v>
      </c>
      <c r="B1430" t="s">
        <v>15</v>
      </c>
      <c r="C1430" t="s">
        <v>16</v>
      </c>
      <c r="D1430" s="1">
        <v>45855</v>
      </c>
      <c r="E1430" t="s">
        <v>19</v>
      </c>
      <c r="F1430">
        <v>5000</v>
      </c>
      <c r="G1430">
        <v>16.7</v>
      </c>
      <c r="H1430">
        <v>17.2</v>
      </c>
      <c r="I1430">
        <v>10</v>
      </c>
      <c r="J1430">
        <v>10.7</v>
      </c>
      <c r="K1430">
        <v>17</v>
      </c>
      <c r="L1430">
        <v>11388</v>
      </c>
      <c r="M1430" t="s">
        <v>705</v>
      </c>
      <c r="N1430">
        <v>57091.01</v>
      </c>
      <c r="O1430">
        <v>5240</v>
      </c>
    </row>
    <row r="1431" spans="1:15" x14ac:dyDescent="0.2">
      <c r="A1431" s="6">
        <v>45840</v>
      </c>
      <c r="B1431" t="s">
        <v>15</v>
      </c>
      <c r="C1431" t="s">
        <v>16</v>
      </c>
      <c r="D1431" s="1">
        <v>45855</v>
      </c>
      <c r="E1431" t="s">
        <v>19</v>
      </c>
      <c r="F1431">
        <v>5350</v>
      </c>
      <c r="G1431">
        <v>59</v>
      </c>
      <c r="H1431">
        <v>63</v>
      </c>
      <c r="I1431">
        <v>37</v>
      </c>
      <c r="J1431">
        <v>39.4</v>
      </c>
      <c r="K1431">
        <v>61.2</v>
      </c>
      <c r="L1431">
        <v>14231</v>
      </c>
      <c r="M1431" t="s">
        <v>706</v>
      </c>
      <c r="N1431">
        <v>76825.25</v>
      </c>
      <c r="O1431">
        <v>943</v>
      </c>
    </row>
    <row r="1432" spans="1:15" x14ac:dyDescent="0.2">
      <c r="A1432" s="6">
        <v>45840</v>
      </c>
      <c r="B1432" t="s">
        <v>15</v>
      </c>
      <c r="C1432" t="s">
        <v>16</v>
      </c>
      <c r="D1432" s="1">
        <v>45855</v>
      </c>
      <c r="E1432" t="s">
        <v>19</v>
      </c>
      <c r="F1432">
        <v>5950</v>
      </c>
      <c r="G1432">
        <v>349.8</v>
      </c>
      <c r="H1432">
        <v>383.5</v>
      </c>
      <c r="I1432">
        <v>293.10000000000002</v>
      </c>
      <c r="J1432">
        <v>300.8</v>
      </c>
      <c r="K1432">
        <v>384</v>
      </c>
      <c r="L1432">
        <v>96</v>
      </c>
      <c r="M1432" t="s">
        <v>707</v>
      </c>
      <c r="N1432">
        <v>602.92999999999995</v>
      </c>
      <c r="O1432">
        <v>96</v>
      </c>
    </row>
    <row r="1433" spans="1:15" x14ac:dyDescent="0.2">
      <c r="A1433" s="6">
        <v>45840</v>
      </c>
      <c r="B1433" t="s">
        <v>15</v>
      </c>
      <c r="C1433" t="s">
        <v>16</v>
      </c>
      <c r="D1433" s="1">
        <v>45855</v>
      </c>
      <c r="E1433" t="s">
        <v>19</v>
      </c>
      <c r="F1433">
        <v>4050</v>
      </c>
      <c r="J1433">
        <v>0.1</v>
      </c>
      <c r="K1433">
        <v>0.1</v>
      </c>
      <c r="L1433">
        <v>0</v>
      </c>
      <c r="M1433" t="s">
        <v>18</v>
      </c>
      <c r="N1433">
        <v>0</v>
      </c>
      <c r="O1433">
        <v>0</v>
      </c>
    </row>
    <row r="1434" spans="1:15" x14ac:dyDescent="0.2">
      <c r="A1434" s="6">
        <v>45840</v>
      </c>
      <c r="B1434" t="s">
        <v>15</v>
      </c>
      <c r="C1434" t="s">
        <v>16</v>
      </c>
      <c r="D1434" s="1">
        <v>45855</v>
      </c>
      <c r="E1434" t="s">
        <v>17</v>
      </c>
      <c r="F1434">
        <v>6300</v>
      </c>
      <c r="G1434">
        <v>24.7</v>
      </c>
      <c r="H1434">
        <v>65</v>
      </c>
      <c r="I1434">
        <v>20.8</v>
      </c>
      <c r="J1434">
        <v>55.7</v>
      </c>
      <c r="K1434">
        <v>24.6</v>
      </c>
      <c r="L1434">
        <v>20326</v>
      </c>
      <c r="M1434" t="s">
        <v>708</v>
      </c>
      <c r="N1434">
        <v>128689.9</v>
      </c>
      <c r="O1434">
        <v>3987</v>
      </c>
    </row>
    <row r="1435" spans="1:15" x14ac:dyDescent="0.2">
      <c r="A1435" s="6">
        <v>45840</v>
      </c>
      <c r="B1435" t="s">
        <v>15</v>
      </c>
      <c r="C1435" t="s">
        <v>16</v>
      </c>
      <c r="D1435" s="1">
        <v>45855</v>
      </c>
      <c r="E1435" t="s">
        <v>17</v>
      </c>
      <c r="F1435">
        <v>6000</v>
      </c>
      <c r="G1435">
        <v>45.6</v>
      </c>
      <c r="H1435">
        <v>106.4</v>
      </c>
      <c r="I1435">
        <v>39.9</v>
      </c>
      <c r="J1435">
        <v>92.3</v>
      </c>
      <c r="K1435">
        <v>45.5</v>
      </c>
      <c r="L1435">
        <v>76169</v>
      </c>
      <c r="M1435" t="s">
        <v>709</v>
      </c>
      <c r="N1435">
        <v>461480.7</v>
      </c>
      <c r="O1435">
        <v>6643</v>
      </c>
    </row>
    <row r="1436" spans="1:15" x14ac:dyDescent="0.2">
      <c r="A1436" s="6">
        <v>45840</v>
      </c>
      <c r="B1436" t="s">
        <v>15</v>
      </c>
      <c r="C1436" t="s">
        <v>16</v>
      </c>
      <c r="D1436" s="1">
        <v>45855</v>
      </c>
      <c r="E1436" t="s">
        <v>19</v>
      </c>
      <c r="F1436">
        <v>4100</v>
      </c>
      <c r="J1436">
        <v>0.1</v>
      </c>
      <c r="K1436">
        <v>0.1</v>
      </c>
      <c r="L1436">
        <v>0</v>
      </c>
      <c r="M1436" t="s">
        <v>18</v>
      </c>
      <c r="N1436">
        <v>0</v>
      </c>
      <c r="O1436">
        <v>0</v>
      </c>
    </row>
    <row r="1437" spans="1:15" x14ac:dyDescent="0.2">
      <c r="A1437" s="6">
        <v>45840</v>
      </c>
      <c r="B1437" t="s">
        <v>15</v>
      </c>
      <c r="C1437" t="s">
        <v>16</v>
      </c>
      <c r="D1437" s="1">
        <v>45855</v>
      </c>
      <c r="E1437" t="s">
        <v>17</v>
      </c>
      <c r="F1437">
        <v>4550</v>
      </c>
      <c r="J1437">
        <v>1200.5999999999999</v>
      </c>
      <c r="K1437">
        <v>1064.0999999999999</v>
      </c>
      <c r="L1437">
        <v>0</v>
      </c>
      <c r="M1437" t="s">
        <v>18</v>
      </c>
      <c r="N1437">
        <v>0</v>
      </c>
      <c r="O1437">
        <v>0</v>
      </c>
    </row>
    <row r="1438" spans="1:15" x14ac:dyDescent="0.2">
      <c r="A1438" s="6">
        <v>45840</v>
      </c>
      <c r="B1438" t="s">
        <v>15</v>
      </c>
      <c r="C1438" t="s">
        <v>16</v>
      </c>
      <c r="D1438" s="1">
        <v>45855</v>
      </c>
      <c r="E1438" t="s">
        <v>17</v>
      </c>
      <c r="F1438">
        <v>5500</v>
      </c>
      <c r="G1438">
        <v>221.6</v>
      </c>
      <c r="H1438">
        <v>347.7</v>
      </c>
      <c r="I1438">
        <v>211.1</v>
      </c>
      <c r="J1438">
        <v>323.8</v>
      </c>
      <c r="K1438">
        <v>224.8</v>
      </c>
      <c r="L1438">
        <v>34358</v>
      </c>
      <c r="M1438" t="s">
        <v>710</v>
      </c>
      <c r="N1438">
        <v>197598.11</v>
      </c>
      <c r="O1438">
        <v>2085</v>
      </c>
    </row>
    <row r="1439" spans="1:15" x14ac:dyDescent="0.2">
      <c r="A1439" s="6">
        <v>45840</v>
      </c>
      <c r="B1439" t="s">
        <v>15</v>
      </c>
      <c r="C1439" t="s">
        <v>16</v>
      </c>
      <c r="D1439" s="1">
        <v>45855</v>
      </c>
      <c r="E1439" t="s">
        <v>17</v>
      </c>
      <c r="F1439">
        <v>6450</v>
      </c>
      <c r="G1439">
        <v>21.9</v>
      </c>
      <c r="H1439">
        <v>58</v>
      </c>
      <c r="I1439">
        <v>18.899999999999999</v>
      </c>
      <c r="J1439">
        <v>48.3</v>
      </c>
      <c r="K1439">
        <v>20.8</v>
      </c>
      <c r="L1439">
        <v>1415</v>
      </c>
      <c r="M1439" t="s">
        <v>711</v>
      </c>
      <c r="N1439">
        <v>9176.2800000000007</v>
      </c>
      <c r="O1439">
        <v>1451</v>
      </c>
    </row>
    <row r="1440" spans="1:15" x14ac:dyDescent="0.2">
      <c r="A1440" s="6">
        <v>45840</v>
      </c>
      <c r="B1440" t="s">
        <v>15</v>
      </c>
      <c r="C1440" t="s">
        <v>16</v>
      </c>
      <c r="D1440" s="1">
        <v>45855</v>
      </c>
      <c r="E1440" t="s">
        <v>17</v>
      </c>
      <c r="F1440">
        <v>5650</v>
      </c>
      <c r="G1440">
        <v>143.30000000000001</v>
      </c>
      <c r="H1440">
        <v>250</v>
      </c>
      <c r="I1440">
        <v>134.19999999999999</v>
      </c>
      <c r="J1440">
        <v>225</v>
      </c>
      <c r="K1440">
        <v>145.30000000000001</v>
      </c>
      <c r="L1440">
        <v>84368</v>
      </c>
      <c r="M1440" t="s">
        <v>712</v>
      </c>
      <c r="N1440">
        <v>490872.65</v>
      </c>
      <c r="O1440">
        <v>1278</v>
      </c>
    </row>
    <row r="1441" spans="1:15" x14ac:dyDescent="0.2">
      <c r="A1441" s="6">
        <v>45840</v>
      </c>
      <c r="B1441" t="s">
        <v>15</v>
      </c>
      <c r="C1441" t="s">
        <v>16</v>
      </c>
      <c r="D1441" s="1">
        <v>45855</v>
      </c>
      <c r="E1441" t="s">
        <v>17</v>
      </c>
      <c r="F1441">
        <v>3650</v>
      </c>
      <c r="J1441">
        <v>2097.8000000000002</v>
      </c>
      <c r="K1441">
        <v>1959.8</v>
      </c>
      <c r="L1441">
        <v>0</v>
      </c>
      <c r="M1441" t="s">
        <v>18</v>
      </c>
      <c r="N1441">
        <v>0</v>
      </c>
      <c r="O1441">
        <v>0</v>
      </c>
    </row>
    <row r="1442" spans="1:15" x14ac:dyDescent="0.2">
      <c r="A1442" s="6">
        <v>45840</v>
      </c>
      <c r="B1442" t="s">
        <v>15</v>
      </c>
      <c r="C1442" t="s">
        <v>16</v>
      </c>
      <c r="D1442" s="1">
        <v>45855</v>
      </c>
      <c r="E1442" t="s">
        <v>19</v>
      </c>
      <c r="F1442">
        <v>5800</v>
      </c>
      <c r="G1442">
        <v>269.8</v>
      </c>
      <c r="H1442">
        <v>279.89999999999998</v>
      </c>
      <c r="I1442">
        <v>186</v>
      </c>
      <c r="J1442">
        <v>198.6</v>
      </c>
      <c r="K1442">
        <v>270.39999999999998</v>
      </c>
      <c r="L1442">
        <v>30624</v>
      </c>
      <c r="M1442" t="s">
        <v>713</v>
      </c>
      <c r="N1442">
        <v>184533.63</v>
      </c>
      <c r="O1442">
        <v>3329</v>
      </c>
    </row>
    <row r="1443" spans="1:15" x14ac:dyDescent="0.2">
      <c r="A1443" s="6">
        <v>45840</v>
      </c>
      <c r="B1443" t="s">
        <v>15</v>
      </c>
      <c r="C1443" t="s">
        <v>16</v>
      </c>
      <c r="D1443" s="1">
        <v>45855</v>
      </c>
      <c r="E1443" t="s">
        <v>17</v>
      </c>
      <c r="F1443">
        <v>3600</v>
      </c>
      <c r="J1443">
        <v>2147.6999999999998</v>
      </c>
      <c r="K1443">
        <v>2009.7</v>
      </c>
      <c r="L1443">
        <v>0</v>
      </c>
      <c r="M1443" t="s">
        <v>18</v>
      </c>
      <c r="N1443">
        <v>0</v>
      </c>
      <c r="O1443">
        <v>0</v>
      </c>
    </row>
    <row r="1444" spans="1:15" x14ac:dyDescent="0.2">
      <c r="A1444" s="6">
        <v>45840</v>
      </c>
      <c r="B1444" t="s">
        <v>15</v>
      </c>
      <c r="C1444" t="s">
        <v>16</v>
      </c>
      <c r="D1444" s="1">
        <v>45855</v>
      </c>
      <c r="E1444" t="s">
        <v>19</v>
      </c>
      <c r="F1444">
        <v>7400</v>
      </c>
      <c r="J1444">
        <v>1643.3</v>
      </c>
      <c r="K1444">
        <v>1780.5</v>
      </c>
      <c r="L1444">
        <v>0</v>
      </c>
      <c r="M1444" t="s">
        <v>18</v>
      </c>
      <c r="N1444">
        <v>0</v>
      </c>
      <c r="O1444">
        <v>0</v>
      </c>
    </row>
    <row r="1445" spans="1:15" x14ac:dyDescent="0.2">
      <c r="A1445" s="6">
        <v>45840</v>
      </c>
      <c r="B1445" t="s">
        <v>15</v>
      </c>
      <c r="C1445" t="s">
        <v>16</v>
      </c>
      <c r="D1445" s="1">
        <v>45855</v>
      </c>
      <c r="E1445" t="s">
        <v>19</v>
      </c>
      <c r="F1445">
        <v>6700</v>
      </c>
      <c r="G1445">
        <v>1089.3</v>
      </c>
      <c r="H1445">
        <v>1098.3</v>
      </c>
      <c r="I1445">
        <v>1089.3</v>
      </c>
      <c r="J1445">
        <v>1093.8</v>
      </c>
      <c r="K1445">
        <v>1088.3</v>
      </c>
      <c r="L1445">
        <v>2</v>
      </c>
      <c r="M1445" t="s">
        <v>28</v>
      </c>
      <c r="N1445">
        <v>15.59</v>
      </c>
      <c r="O1445">
        <v>189</v>
      </c>
    </row>
    <row r="1446" spans="1:15" x14ac:dyDescent="0.2">
      <c r="A1446" s="6">
        <v>45840</v>
      </c>
      <c r="B1446" t="s">
        <v>15</v>
      </c>
      <c r="C1446" t="s">
        <v>16</v>
      </c>
      <c r="D1446" s="1">
        <v>45855</v>
      </c>
      <c r="E1446" t="s">
        <v>19</v>
      </c>
      <c r="F1446">
        <v>3650</v>
      </c>
      <c r="J1446">
        <v>0.1</v>
      </c>
      <c r="K1446">
        <v>0.1</v>
      </c>
      <c r="L1446">
        <v>0</v>
      </c>
      <c r="M1446" t="s">
        <v>18</v>
      </c>
      <c r="N1446">
        <v>0</v>
      </c>
      <c r="O1446">
        <v>0</v>
      </c>
    </row>
    <row r="1447" spans="1:15" x14ac:dyDescent="0.2">
      <c r="A1447" s="6">
        <v>45840</v>
      </c>
      <c r="B1447" t="s">
        <v>15</v>
      </c>
      <c r="C1447" t="s">
        <v>16</v>
      </c>
      <c r="D1447" s="1">
        <v>45855</v>
      </c>
      <c r="E1447" t="s">
        <v>19</v>
      </c>
      <c r="F1447">
        <v>6900</v>
      </c>
      <c r="J1447">
        <v>1148.4000000000001</v>
      </c>
      <c r="K1447">
        <v>1284.2</v>
      </c>
      <c r="L1447">
        <v>0</v>
      </c>
      <c r="M1447" t="s">
        <v>18</v>
      </c>
      <c r="N1447">
        <v>0</v>
      </c>
      <c r="O1447">
        <v>40</v>
      </c>
    </row>
    <row r="1448" spans="1:15" x14ac:dyDescent="0.2">
      <c r="A1448" s="6">
        <v>45840</v>
      </c>
      <c r="B1448" t="s">
        <v>15</v>
      </c>
      <c r="C1448" t="s">
        <v>16</v>
      </c>
      <c r="D1448" s="1">
        <v>45855</v>
      </c>
      <c r="E1448" t="s">
        <v>19</v>
      </c>
      <c r="F1448">
        <v>7100</v>
      </c>
      <c r="J1448">
        <v>1345.4</v>
      </c>
      <c r="K1448">
        <v>1482.1</v>
      </c>
      <c r="L1448">
        <v>0</v>
      </c>
      <c r="M1448" t="s">
        <v>18</v>
      </c>
      <c r="N1448">
        <v>0</v>
      </c>
      <c r="O1448">
        <v>0</v>
      </c>
    </row>
    <row r="1449" spans="1:15" x14ac:dyDescent="0.2">
      <c r="A1449" s="6">
        <v>45840</v>
      </c>
      <c r="B1449" t="s">
        <v>15</v>
      </c>
      <c r="C1449" t="s">
        <v>16</v>
      </c>
      <c r="D1449" s="1">
        <v>45855</v>
      </c>
      <c r="E1449" t="s">
        <v>17</v>
      </c>
      <c r="F1449">
        <v>7200</v>
      </c>
      <c r="G1449">
        <v>11.6</v>
      </c>
      <c r="H1449">
        <v>32.299999999999997</v>
      </c>
      <c r="I1449">
        <v>10.5</v>
      </c>
      <c r="J1449">
        <v>26.4</v>
      </c>
      <c r="K1449">
        <v>12.2</v>
      </c>
      <c r="L1449">
        <v>1117</v>
      </c>
      <c r="M1449" t="s">
        <v>714</v>
      </c>
      <c r="N1449">
        <v>8063.4</v>
      </c>
      <c r="O1449">
        <v>880</v>
      </c>
    </row>
    <row r="1450" spans="1:15" x14ac:dyDescent="0.2">
      <c r="A1450" s="6">
        <v>45840</v>
      </c>
      <c r="B1450" t="s">
        <v>15</v>
      </c>
      <c r="C1450" t="s">
        <v>16</v>
      </c>
      <c r="D1450" s="1">
        <v>45855</v>
      </c>
      <c r="E1450" t="s">
        <v>17</v>
      </c>
      <c r="F1450">
        <v>5350</v>
      </c>
      <c r="G1450">
        <v>323</v>
      </c>
      <c r="H1450">
        <v>465</v>
      </c>
      <c r="I1450">
        <v>318</v>
      </c>
      <c r="J1450">
        <v>445.1</v>
      </c>
      <c r="K1450">
        <v>327.60000000000002</v>
      </c>
      <c r="L1450">
        <v>362</v>
      </c>
      <c r="M1450" t="s">
        <v>715</v>
      </c>
      <c r="N1450">
        <v>2068.88</v>
      </c>
      <c r="O1450">
        <v>42</v>
      </c>
    </row>
    <row r="1451" spans="1:15" x14ac:dyDescent="0.2">
      <c r="A1451" s="6">
        <v>45840</v>
      </c>
      <c r="B1451" t="s">
        <v>15</v>
      </c>
      <c r="C1451" t="s">
        <v>16</v>
      </c>
      <c r="D1451" s="1">
        <v>45855</v>
      </c>
      <c r="E1451" t="s">
        <v>17</v>
      </c>
      <c r="F1451">
        <v>6100</v>
      </c>
      <c r="G1451">
        <v>32.9</v>
      </c>
      <c r="H1451">
        <v>87</v>
      </c>
      <c r="I1451">
        <v>29.6</v>
      </c>
      <c r="J1451">
        <v>75.3</v>
      </c>
      <c r="K1451">
        <v>34.4</v>
      </c>
      <c r="L1451">
        <v>25394</v>
      </c>
      <c r="M1451" t="s">
        <v>716</v>
      </c>
      <c r="N1451">
        <v>156053.03</v>
      </c>
      <c r="O1451">
        <v>1948</v>
      </c>
    </row>
    <row r="1452" spans="1:15" x14ac:dyDescent="0.2">
      <c r="A1452" s="6">
        <v>45840</v>
      </c>
      <c r="B1452" t="s">
        <v>15</v>
      </c>
      <c r="C1452" t="s">
        <v>16</v>
      </c>
      <c r="D1452" s="1">
        <v>45855</v>
      </c>
      <c r="E1452" t="s">
        <v>19</v>
      </c>
      <c r="F1452">
        <v>4850</v>
      </c>
      <c r="G1452">
        <v>17.5</v>
      </c>
      <c r="H1452">
        <v>17.5</v>
      </c>
      <c r="I1452">
        <v>8.8000000000000007</v>
      </c>
      <c r="J1452">
        <v>9.6</v>
      </c>
      <c r="K1452">
        <v>14</v>
      </c>
      <c r="L1452">
        <v>218</v>
      </c>
      <c r="M1452" t="s">
        <v>717</v>
      </c>
      <c r="N1452">
        <v>1059.68</v>
      </c>
      <c r="O1452">
        <v>113</v>
      </c>
    </row>
    <row r="1453" spans="1:15" x14ac:dyDescent="0.2">
      <c r="A1453" s="6">
        <v>45840</v>
      </c>
      <c r="B1453" t="s">
        <v>15</v>
      </c>
      <c r="C1453" t="s">
        <v>16</v>
      </c>
      <c r="D1453" s="1">
        <v>45855</v>
      </c>
      <c r="E1453" t="s">
        <v>19</v>
      </c>
      <c r="F1453">
        <v>4000</v>
      </c>
      <c r="G1453">
        <v>6.4</v>
      </c>
      <c r="H1453">
        <v>6.4</v>
      </c>
      <c r="I1453">
        <v>3.9</v>
      </c>
      <c r="J1453">
        <v>4.3</v>
      </c>
      <c r="K1453">
        <v>6.2</v>
      </c>
      <c r="L1453">
        <v>932</v>
      </c>
      <c r="M1453" t="s">
        <v>718</v>
      </c>
      <c r="N1453">
        <v>3732.68</v>
      </c>
      <c r="O1453">
        <v>1427</v>
      </c>
    </row>
    <row r="1454" spans="1:15" x14ac:dyDescent="0.2">
      <c r="A1454" s="6">
        <v>45840</v>
      </c>
      <c r="B1454" t="s">
        <v>15</v>
      </c>
      <c r="C1454" t="s">
        <v>16</v>
      </c>
      <c r="D1454" s="1">
        <v>45855</v>
      </c>
      <c r="E1454" t="s">
        <v>19</v>
      </c>
      <c r="F1454">
        <v>6350</v>
      </c>
      <c r="G1454">
        <v>703.9</v>
      </c>
      <c r="H1454">
        <v>703.9</v>
      </c>
      <c r="I1454">
        <v>703.9</v>
      </c>
      <c r="J1454">
        <v>703.9</v>
      </c>
      <c r="K1454">
        <v>772.1</v>
      </c>
      <c r="L1454">
        <v>1</v>
      </c>
      <c r="M1454" t="s">
        <v>155</v>
      </c>
      <c r="N1454">
        <v>7.05</v>
      </c>
      <c r="O1454">
        <v>78</v>
      </c>
    </row>
    <row r="1455" spans="1:15" x14ac:dyDescent="0.2">
      <c r="A1455" s="6">
        <v>45840</v>
      </c>
      <c r="B1455" t="s">
        <v>15</v>
      </c>
      <c r="C1455" t="s">
        <v>16</v>
      </c>
      <c r="D1455" s="1">
        <v>45855</v>
      </c>
      <c r="E1455" t="s">
        <v>19</v>
      </c>
      <c r="F1455">
        <v>5650</v>
      </c>
      <c r="G1455">
        <v>179.9</v>
      </c>
      <c r="H1455">
        <v>185.3</v>
      </c>
      <c r="I1455">
        <v>116</v>
      </c>
      <c r="J1455">
        <v>124</v>
      </c>
      <c r="K1455">
        <v>177.6</v>
      </c>
      <c r="L1455">
        <v>70185</v>
      </c>
      <c r="M1455" t="s">
        <v>719</v>
      </c>
      <c r="N1455">
        <v>407139.12</v>
      </c>
      <c r="O1455">
        <v>3210</v>
      </c>
    </row>
    <row r="1456" spans="1:15" x14ac:dyDescent="0.2">
      <c r="A1456" s="6">
        <v>45840</v>
      </c>
      <c r="B1456" t="s">
        <v>15</v>
      </c>
      <c r="C1456" t="s">
        <v>16</v>
      </c>
      <c r="D1456" s="1">
        <v>45855</v>
      </c>
      <c r="E1456" t="s">
        <v>19</v>
      </c>
      <c r="F1456">
        <v>5600</v>
      </c>
      <c r="G1456">
        <v>151.5</v>
      </c>
      <c r="H1456">
        <v>159.80000000000001</v>
      </c>
      <c r="I1456">
        <v>98.4</v>
      </c>
      <c r="J1456">
        <v>104.1</v>
      </c>
      <c r="K1456">
        <v>153.80000000000001</v>
      </c>
      <c r="L1456">
        <v>175619</v>
      </c>
      <c r="M1456" t="s">
        <v>720</v>
      </c>
      <c r="N1456">
        <v>1006027.19</v>
      </c>
      <c r="O1456">
        <v>9082</v>
      </c>
    </row>
    <row r="1457" spans="1:15" x14ac:dyDescent="0.2">
      <c r="A1457" s="6">
        <v>45840</v>
      </c>
      <c r="B1457" t="s">
        <v>15</v>
      </c>
      <c r="C1457" t="s">
        <v>16</v>
      </c>
      <c r="D1457" s="1">
        <v>45855</v>
      </c>
      <c r="E1457" t="s">
        <v>17</v>
      </c>
      <c r="F1457">
        <v>3950</v>
      </c>
      <c r="J1457">
        <v>1798.6</v>
      </c>
      <c r="K1457">
        <v>1660.6</v>
      </c>
      <c r="L1457">
        <v>0</v>
      </c>
      <c r="M1457" t="s">
        <v>18</v>
      </c>
      <c r="N1457">
        <v>0</v>
      </c>
      <c r="O1457">
        <v>0</v>
      </c>
    </row>
    <row r="1458" spans="1:15" x14ac:dyDescent="0.2">
      <c r="A1458" s="6">
        <v>45840</v>
      </c>
      <c r="B1458" t="s">
        <v>15</v>
      </c>
      <c r="C1458" t="s">
        <v>16</v>
      </c>
      <c r="D1458" s="1">
        <v>45855</v>
      </c>
      <c r="E1458" t="s">
        <v>17</v>
      </c>
      <c r="F1458">
        <v>7550</v>
      </c>
      <c r="G1458">
        <v>7.7</v>
      </c>
      <c r="H1458">
        <v>22.7</v>
      </c>
      <c r="I1458">
        <v>6.5</v>
      </c>
      <c r="J1458">
        <v>18.399999999999999</v>
      </c>
      <c r="K1458">
        <v>9.6</v>
      </c>
      <c r="L1458">
        <v>158</v>
      </c>
      <c r="M1458" t="s">
        <v>721</v>
      </c>
      <c r="N1458">
        <v>1194.74</v>
      </c>
      <c r="O1458">
        <v>203</v>
      </c>
    </row>
    <row r="1459" spans="1:15" x14ac:dyDescent="0.2">
      <c r="A1459" s="6">
        <v>45840</v>
      </c>
      <c r="B1459" t="s">
        <v>15</v>
      </c>
      <c r="C1459" t="s">
        <v>16</v>
      </c>
      <c r="D1459" s="1">
        <v>45855</v>
      </c>
      <c r="E1459" t="s">
        <v>19</v>
      </c>
      <c r="F1459">
        <v>7450</v>
      </c>
      <c r="J1459">
        <v>1693.1</v>
      </c>
      <c r="K1459">
        <v>1830.4</v>
      </c>
      <c r="L1459">
        <v>0</v>
      </c>
      <c r="M1459" t="s">
        <v>18</v>
      </c>
      <c r="N1459">
        <v>0</v>
      </c>
      <c r="O1459">
        <v>0</v>
      </c>
    </row>
    <row r="1460" spans="1:15" x14ac:dyDescent="0.2">
      <c r="A1460" s="6">
        <v>45840</v>
      </c>
      <c r="B1460" t="s">
        <v>15</v>
      </c>
      <c r="C1460" t="s">
        <v>16</v>
      </c>
      <c r="D1460" s="1">
        <v>45855</v>
      </c>
      <c r="E1460" t="s">
        <v>17</v>
      </c>
      <c r="F1460">
        <v>4700</v>
      </c>
      <c r="J1460">
        <v>1052.2</v>
      </c>
      <c r="K1460">
        <v>917.6</v>
      </c>
      <c r="L1460">
        <v>0</v>
      </c>
      <c r="M1460" t="s">
        <v>18</v>
      </c>
      <c r="N1460">
        <v>0</v>
      </c>
      <c r="O1460">
        <v>0</v>
      </c>
    </row>
    <row r="1461" spans="1:15" x14ac:dyDescent="0.2">
      <c r="A1461" s="6">
        <v>45840</v>
      </c>
      <c r="B1461" t="s">
        <v>15</v>
      </c>
      <c r="C1461" t="s">
        <v>16</v>
      </c>
      <c r="D1461" s="1">
        <v>45855</v>
      </c>
      <c r="E1461" t="s">
        <v>19</v>
      </c>
      <c r="F1461">
        <v>5500</v>
      </c>
      <c r="G1461">
        <v>105.5</v>
      </c>
      <c r="H1461">
        <v>113</v>
      </c>
      <c r="I1461">
        <v>67.599999999999994</v>
      </c>
      <c r="J1461">
        <v>71.3</v>
      </c>
      <c r="K1461">
        <v>108.2</v>
      </c>
      <c r="L1461">
        <v>107234</v>
      </c>
      <c r="M1461" t="s">
        <v>722</v>
      </c>
      <c r="N1461">
        <v>599195.76</v>
      </c>
      <c r="O1461">
        <v>8983</v>
      </c>
    </row>
    <row r="1462" spans="1:15" x14ac:dyDescent="0.2">
      <c r="A1462" s="6">
        <v>45840</v>
      </c>
      <c r="B1462" t="s">
        <v>15</v>
      </c>
      <c r="C1462" t="s">
        <v>16</v>
      </c>
      <c r="D1462" s="1">
        <v>45855</v>
      </c>
      <c r="E1462" t="s">
        <v>17</v>
      </c>
      <c r="F1462">
        <v>4300</v>
      </c>
      <c r="J1462">
        <v>1449.5</v>
      </c>
      <c r="K1462">
        <v>1311.8</v>
      </c>
      <c r="L1462">
        <v>0</v>
      </c>
      <c r="M1462" t="s">
        <v>18</v>
      </c>
      <c r="N1462">
        <v>0</v>
      </c>
      <c r="O1462">
        <v>0</v>
      </c>
    </row>
    <row r="1463" spans="1:15" x14ac:dyDescent="0.2">
      <c r="A1463" s="6">
        <v>45840</v>
      </c>
      <c r="B1463" t="s">
        <v>15</v>
      </c>
      <c r="C1463" t="s">
        <v>16</v>
      </c>
      <c r="D1463" s="1">
        <v>45855</v>
      </c>
      <c r="E1463" t="s">
        <v>19</v>
      </c>
      <c r="F1463">
        <v>3800</v>
      </c>
      <c r="J1463">
        <v>0.1</v>
      </c>
      <c r="K1463">
        <v>0.1</v>
      </c>
      <c r="L1463">
        <v>0</v>
      </c>
      <c r="M1463" t="s">
        <v>18</v>
      </c>
      <c r="N1463">
        <v>0</v>
      </c>
      <c r="O1463">
        <v>0</v>
      </c>
    </row>
    <row r="1464" spans="1:15" x14ac:dyDescent="0.2">
      <c r="A1464" s="6">
        <v>45840</v>
      </c>
      <c r="B1464" t="s">
        <v>15</v>
      </c>
      <c r="C1464" t="s">
        <v>16</v>
      </c>
      <c r="D1464" s="1">
        <v>45855</v>
      </c>
      <c r="E1464" t="s">
        <v>19</v>
      </c>
      <c r="F1464">
        <v>5750</v>
      </c>
      <c r="G1464">
        <v>236.6</v>
      </c>
      <c r="H1464">
        <v>245.6</v>
      </c>
      <c r="I1464">
        <v>160</v>
      </c>
      <c r="J1464">
        <v>171.3</v>
      </c>
      <c r="K1464">
        <v>236.5</v>
      </c>
      <c r="L1464">
        <v>22002</v>
      </c>
      <c r="M1464" t="s">
        <v>723</v>
      </c>
      <c r="N1464">
        <v>130897.65</v>
      </c>
      <c r="O1464">
        <v>1462</v>
      </c>
    </row>
    <row r="1465" spans="1:15" x14ac:dyDescent="0.2">
      <c r="A1465" s="6">
        <v>45840</v>
      </c>
      <c r="B1465" t="s">
        <v>15</v>
      </c>
      <c r="C1465" t="s">
        <v>16</v>
      </c>
      <c r="D1465" s="1">
        <v>45855</v>
      </c>
      <c r="E1465" t="s">
        <v>19</v>
      </c>
      <c r="F1465">
        <v>7300</v>
      </c>
      <c r="J1465">
        <v>1543.8</v>
      </c>
      <c r="K1465">
        <v>1681</v>
      </c>
      <c r="L1465">
        <v>0</v>
      </c>
      <c r="M1465" t="s">
        <v>18</v>
      </c>
      <c r="N1465">
        <v>0</v>
      </c>
      <c r="O1465">
        <v>0</v>
      </c>
    </row>
    <row r="1466" spans="1:15" x14ac:dyDescent="0.2">
      <c r="A1466" s="6">
        <v>45840</v>
      </c>
      <c r="B1466" t="s">
        <v>15</v>
      </c>
      <c r="C1466" t="s">
        <v>16</v>
      </c>
      <c r="D1466" s="1">
        <v>45855</v>
      </c>
      <c r="E1466" t="s">
        <v>17</v>
      </c>
      <c r="F1466">
        <v>7100</v>
      </c>
      <c r="G1466">
        <v>12.1</v>
      </c>
      <c r="H1466">
        <v>35.299999999999997</v>
      </c>
      <c r="I1466">
        <v>11.9</v>
      </c>
      <c r="J1466">
        <v>29.8</v>
      </c>
      <c r="K1466">
        <v>13</v>
      </c>
      <c r="L1466">
        <v>1052</v>
      </c>
      <c r="M1466" t="s">
        <v>724</v>
      </c>
      <c r="N1466">
        <v>7490.95</v>
      </c>
      <c r="O1466">
        <v>355</v>
      </c>
    </row>
    <row r="1467" spans="1:15" x14ac:dyDescent="0.2">
      <c r="A1467" s="6">
        <v>45840</v>
      </c>
      <c r="B1467" t="s">
        <v>15</v>
      </c>
      <c r="C1467" t="s">
        <v>16</v>
      </c>
      <c r="D1467" s="1">
        <v>45855</v>
      </c>
      <c r="E1467" t="s">
        <v>19</v>
      </c>
      <c r="F1467">
        <v>6100</v>
      </c>
      <c r="G1467">
        <v>519.29999999999995</v>
      </c>
      <c r="H1467">
        <v>520.29999999999995</v>
      </c>
      <c r="I1467">
        <v>405</v>
      </c>
      <c r="J1467">
        <v>418.2</v>
      </c>
      <c r="K1467">
        <v>517.20000000000005</v>
      </c>
      <c r="L1467">
        <v>183</v>
      </c>
      <c r="M1467" t="s">
        <v>725</v>
      </c>
      <c r="N1467">
        <v>1200.4000000000001</v>
      </c>
      <c r="O1467">
        <v>367</v>
      </c>
    </row>
    <row r="1468" spans="1:15" x14ac:dyDescent="0.2">
      <c r="A1468" s="6">
        <v>45840</v>
      </c>
      <c r="B1468" t="s">
        <v>15</v>
      </c>
      <c r="C1468" t="s">
        <v>16</v>
      </c>
      <c r="D1468" s="1">
        <v>45855</v>
      </c>
      <c r="E1468" t="s">
        <v>19</v>
      </c>
      <c r="F1468">
        <v>6450</v>
      </c>
      <c r="G1468">
        <v>849.7</v>
      </c>
      <c r="H1468">
        <v>849.7</v>
      </c>
      <c r="I1468">
        <v>711</v>
      </c>
      <c r="J1468">
        <v>796</v>
      </c>
      <c r="K1468">
        <v>851.4</v>
      </c>
      <c r="L1468">
        <v>65</v>
      </c>
      <c r="M1468" t="s">
        <v>77</v>
      </c>
      <c r="N1468">
        <v>472.1</v>
      </c>
      <c r="O1468">
        <v>837</v>
      </c>
    </row>
    <row r="1469" spans="1:15" x14ac:dyDescent="0.2">
      <c r="A1469" s="6">
        <v>45840</v>
      </c>
      <c r="B1469" t="s">
        <v>15</v>
      </c>
      <c r="C1469" t="s">
        <v>16</v>
      </c>
      <c r="D1469" s="1">
        <v>45855</v>
      </c>
      <c r="E1469" t="s">
        <v>19</v>
      </c>
      <c r="F1469">
        <v>7000</v>
      </c>
      <c r="J1469">
        <v>1246.5999999999999</v>
      </c>
      <c r="K1469">
        <v>1383</v>
      </c>
      <c r="L1469">
        <v>0</v>
      </c>
      <c r="M1469" t="s">
        <v>18</v>
      </c>
      <c r="N1469">
        <v>0</v>
      </c>
      <c r="O1469">
        <v>12</v>
      </c>
    </row>
    <row r="1470" spans="1:15" x14ac:dyDescent="0.2">
      <c r="A1470" s="6">
        <v>45840</v>
      </c>
      <c r="B1470" t="s">
        <v>15</v>
      </c>
      <c r="C1470" t="s">
        <v>16</v>
      </c>
      <c r="D1470" s="1">
        <v>45855</v>
      </c>
      <c r="E1470" t="s">
        <v>19</v>
      </c>
      <c r="F1470">
        <v>6600</v>
      </c>
      <c r="G1470">
        <v>954.8</v>
      </c>
      <c r="H1470">
        <v>971.7</v>
      </c>
      <c r="I1470">
        <v>907.1</v>
      </c>
      <c r="J1470">
        <v>944.5</v>
      </c>
      <c r="K1470">
        <v>1066.7</v>
      </c>
      <c r="L1470">
        <v>3</v>
      </c>
      <c r="M1470" t="s">
        <v>34</v>
      </c>
      <c r="N1470">
        <v>22.63</v>
      </c>
      <c r="O1470">
        <v>163</v>
      </c>
    </row>
    <row r="1471" spans="1:15" x14ac:dyDescent="0.2">
      <c r="A1471" s="6">
        <v>45840</v>
      </c>
      <c r="B1471" t="s">
        <v>15</v>
      </c>
      <c r="C1471" t="s">
        <v>16</v>
      </c>
      <c r="D1471" s="1">
        <v>45855</v>
      </c>
      <c r="E1471" t="s">
        <v>17</v>
      </c>
      <c r="F1471">
        <v>7700</v>
      </c>
      <c r="G1471">
        <v>8.5</v>
      </c>
      <c r="H1471">
        <v>19.100000000000001</v>
      </c>
      <c r="I1471">
        <v>6.7</v>
      </c>
      <c r="J1471">
        <v>17</v>
      </c>
      <c r="K1471">
        <v>8.1</v>
      </c>
      <c r="L1471">
        <v>2568</v>
      </c>
      <c r="M1471" t="s">
        <v>726</v>
      </c>
      <c r="N1471">
        <v>19804.560000000001</v>
      </c>
      <c r="O1471">
        <v>2372</v>
      </c>
    </row>
    <row r="1472" spans="1:15" x14ac:dyDescent="0.2">
      <c r="A1472" s="6">
        <v>45840</v>
      </c>
      <c r="B1472" t="s">
        <v>15</v>
      </c>
      <c r="C1472" t="s">
        <v>16</v>
      </c>
      <c r="D1472" s="1">
        <v>45855</v>
      </c>
      <c r="E1472" t="s">
        <v>17</v>
      </c>
      <c r="F1472">
        <v>7400</v>
      </c>
      <c r="G1472">
        <v>6</v>
      </c>
      <c r="H1472">
        <v>25.1</v>
      </c>
      <c r="I1472">
        <v>6</v>
      </c>
      <c r="J1472">
        <v>22.2</v>
      </c>
      <c r="K1472">
        <v>10</v>
      </c>
      <c r="L1472">
        <v>907</v>
      </c>
      <c r="M1472" t="s">
        <v>727</v>
      </c>
      <c r="N1472">
        <v>6725.14</v>
      </c>
      <c r="O1472">
        <v>1444</v>
      </c>
    </row>
    <row r="1473" spans="1:15" x14ac:dyDescent="0.2">
      <c r="A1473" s="6">
        <v>45840</v>
      </c>
      <c r="B1473" t="s">
        <v>15</v>
      </c>
      <c r="C1473" t="s">
        <v>16</v>
      </c>
      <c r="D1473" s="1">
        <v>45855</v>
      </c>
      <c r="E1473" t="s">
        <v>17</v>
      </c>
      <c r="F1473">
        <v>4050</v>
      </c>
      <c r="J1473">
        <v>1698.8</v>
      </c>
      <c r="K1473">
        <v>1560.9</v>
      </c>
      <c r="L1473">
        <v>0</v>
      </c>
      <c r="M1473" t="s">
        <v>18</v>
      </c>
      <c r="N1473">
        <v>0</v>
      </c>
      <c r="O1473">
        <v>0</v>
      </c>
    </row>
    <row r="1474" spans="1:15" x14ac:dyDescent="0.2">
      <c r="A1474" s="6">
        <v>45840</v>
      </c>
      <c r="B1474" t="s">
        <v>15</v>
      </c>
      <c r="C1474" t="s">
        <v>16</v>
      </c>
      <c r="D1474" s="1">
        <v>45855</v>
      </c>
      <c r="E1474" t="s">
        <v>19</v>
      </c>
      <c r="F1474">
        <v>4150</v>
      </c>
      <c r="J1474">
        <v>0.1</v>
      </c>
      <c r="K1474">
        <v>0.1</v>
      </c>
      <c r="L1474">
        <v>0</v>
      </c>
      <c r="M1474" t="s">
        <v>18</v>
      </c>
      <c r="N1474">
        <v>0</v>
      </c>
      <c r="O1474">
        <v>0</v>
      </c>
    </row>
    <row r="1475" spans="1:15" x14ac:dyDescent="0.2">
      <c r="A1475" s="6">
        <v>45840</v>
      </c>
      <c r="B1475" t="s">
        <v>15</v>
      </c>
      <c r="C1475" t="s">
        <v>16</v>
      </c>
      <c r="D1475" s="1">
        <v>45855</v>
      </c>
      <c r="E1475" t="s">
        <v>19</v>
      </c>
      <c r="F1475">
        <v>5550</v>
      </c>
      <c r="G1475">
        <v>128.19999999999999</v>
      </c>
      <c r="H1475">
        <v>135.4</v>
      </c>
      <c r="I1475">
        <v>83.1</v>
      </c>
      <c r="J1475">
        <v>87.1</v>
      </c>
      <c r="K1475">
        <v>129.69999999999999</v>
      </c>
      <c r="L1475">
        <v>52559</v>
      </c>
      <c r="M1475" t="s">
        <v>728</v>
      </c>
      <c r="N1475">
        <v>297364.95</v>
      </c>
      <c r="O1475">
        <v>2787</v>
      </c>
    </row>
    <row r="1476" spans="1:15" x14ac:dyDescent="0.2">
      <c r="A1476" s="6">
        <v>45840</v>
      </c>
      <c r="B1476" t="s">
        <v>15</v>
      </c>
      <c r="C1476" t="s">
        <v>16</v>
      </c>
      <c r="D1476" s="1">
        <v>45855</v>
      </c>
      <c r="E1476" t="s">
        <v>17</v>
      </c>
      <c r="F1476">
        <v>6150</v>
      </c>
      <c r="G1476">
        <v>29.9</v>
      </c>
      <c r="H1476">
        <v>79.900000000000006</v>
      </c>
      <c r="I1476">
        <v>27.7</v>
      </c>
      <c r="J1476">
        <v>69.400000000000006</v>
      </c>
      <c r="K1476">
        <v>31</v>
      </c>
      <c r="L1476">
        <v>3870</v>
      </c>
      <c r="M1476" t="s">
        <v>729</v>
      </c>
      <c r="N1476">
        <v>23985.31</v>
      </c>
      <c r="O1476">
        <v>611</v>
      </c>
    </row>
    <row r="1477" spans="1:15" x14ac:dyDescent="0.2">
      <c r="A1477" s="6">
        <v>45840</v>
      </c>
      <c r="B1477" t="s">
        <v>15</v>
      </c>
      <c r="C1477" t="s">
        <v>16</v>
      </c>
      <c r="D1477" s="1">
        <v>45855</v>
      </c>
      <c r="E1477" t="s">
        <v>19</v>
      </c>
      <c r="F1477">
        <v>7650</v>
      </c>
      <c r="J1477">
        <v>1892.4</v>
      </c>
      <c r="K1477">
        <v>2029.7</v>
      </c>
      <c r="L1477">
        <v>0</v>
      </c>
      <c r="M1477" t="s">
        <v>18</v>
      </c>
      <c r="N1477">
        <v>0</v>
      </c>
      <c r="O1477">
        <v>0</v>
      </c>
    </row>
    <row r="1478" spans="1:15" x14ac:dyDescent="0.2">
      <c r="A1478" s="6">
        <v>45840</v>
      </c>
      <c r="B1478" t="s">
        <v>15</v>
      </c>
      <c r="C1478" t="s">
        <v>16</v>
      </c>
      <c r="D1478" s="1">
        <v>45855</v>
      </c>
      <c r="E1478" t="s">
        <v>19</v>
      </c>
      <c r="F1478">
        <v>7050</v>
      </c>
      <c r="J1478">
        <v>1296</v>
      </c>
      <c r="K1478">
        <v>1432.5</v>
      </c>
      <c r="L1478">
        <v>0</v>
      </c>
      <c r="M1478" t="s">
        <v>18</v>
      </c>
      <c r="N1478">
        <v>0</v>
      </c>
      <c r="O1478">
        <v>0</v>
      </c>
    </row>
    <row r="1479" spans="1:15" x14ac:dyDescent="0.2">
      <c r="A1479" s="6">
        <v>45840</v>
      </c>
      <c r="B1479" t="s">
        <v>15</v>
      </c>
      <c r="C1479" t="s">
        <v>16</v>
      </c>
      <c r="D1479" s="1">
        <v>45855</v>
      </c>
      <c r="E1479" t="s">
        <v>19</v>
      </c>
      <c r="F1479">
        <v>4350</v>
      </c>
      <c r="J1479">
        <v>0.1</v>
      </c>
      <c r="K1479">
        <v>0.4</v>
      </c>
      <c r="L1479">
        <v>0</v>
      </c>
      <c r="M1479" t="s">
        <v>18</v>
      </c>
      <c r="N1479">
        <v>0</v>
      </c>
      <c r="O1479">
        <v>0</v>
      </c>
    </row>
    <row r="1480" spans="1:15" x14ac:dyDescent="0.2">
      <c r="A1480" s="6">
        <v>45840</v>
      </c>
      <c r="B1480" t="s">
        <v>15</v>
      </c>
      <c r="C1480" t="s">
        <v>16</v>
      </c>
      <c r="D1480" s="1">
        <v>45855</v>
      </c>
      <c r="E1480" t="s">
        <v>17</v>
      </c>
      <c r="F1480">
        <v>5400</v>
      </c>
      <c r="G1480">
        <v>288.3</v>
      </c>
      <c r="H1480">
        <v>422.9</v>
      </c>
      <c r="I1480">
        <v>276</v>
      </c>
      <c r="J1480">
        <v>397.1</v>
      </c>
      <c r="K1480">
        <v>290.39999999999998</v>
      </c>
      <c r="L1480">
        <v>5294</v>
      </c>
      <c r="M1480" t="s">
        <v>730</v>
      </c>
      <c r="N1480">
        <v>30256.27</v>
      </c>
      <c r="O1480">
        <v>649</v>
      </c>
    </row>
    <row r="1481" spans="1:15" x14ac:dyDescent="0.2">
      <c r="A1481" s="6">
        <v>45840</v>
      </c>
      <c r="B1481" t="s">
        <v>15</v>
      </c>
      <c r="C1481" t="s">
        <v>16</v>
      </c>
      <c r="D1481" s="1">
        <v>45855</v>
      </c>
      <c r="E1481" t="s">
        <v>17</v>
      </c>
      <c r="F1481">
        <v>3900</v>
      </c>
      <c r="J1481">
        <v>1848.4</v>
      </c>
      <c r="K1481">
        <v>1710.5</v>
      </c>
      <c r="L1481">
        <v>0</v>
      </c>
      <c r="M1481" t="s">
        <v>18</v>
      </c>
      <c r="N1481">
        <v>0</v>
      </c>
      <c r="O1481">
        <v>0</v>
      </c>
    </row>
    <row r="1482" spans="1:15" x14ac:dyDescent="0.2">
      <c r="A1482" s="6">
        <v>45840</v>
      </c>
      <c r="B1482" t="s">
        <v>15</v>
      </c>
      <c r="C1482" t="s">
        <v>16</v>
      </c>
      <c r="D1482" s="1">
        <v>45855</v>
      </c>
      <c r="E1482" t="s">
        <v>17</v>
      </c>
      <c r="F1482">
        <v>5850</v>
      </c>
      <c r="G1482">
        <v>72.2</v>
      </c>
      <c r="H1482">
        <v>153.30000000000001</v>
      </c>
      <c r="I1482">
        <v>67</v>
      </c>
      <c r="J1482">
        <v>135.69999999999999</v>
      </c>
      <c r="K1482">
        <v>74.400000000000006</v>
      </c>
      <c r="L1482">
        <v>34363</v>
      </c>
      <c r="M1482" t="s">
        <v>731</v>
      </c>
      <c r="N1482">
        <v>204207.09</v>
      </c>
      <c r="O1482">
        <v>1323</v>
      </c>
    </row>
    <row r="1483" spans="1:15" x14ac:dyDescent="0.2">
      <c r="A1483" s="6">
        <v>45840</v>
      </c>
      <c r="B1483" t="s">
        <v>15</v>
      </c>
      <c r="C1483" t="s">
        <v>16</v>
      </c>
      <c r="D1483" s="1">
        <v>45855</v>
      </c>
      <c r="E1483" t="s">
        <v>19</v>
      </c>
      <c r="F1483">
        <v>5850</v>
      </c>
      <c r="G1483">
        <v>309.60000000000002</v>
      </c>
      <c r="H1483">
        <v>314.8</v>
      </c>
      <c r="I1483">
        <v>210.6</v>
      </c>
      <c r="J1483">
        <v>229.8</v>
      </c>
      <c r="K1483">
        <v>306.5</v>
      </c>
      <c r="L1483">
        <v>2671</v>
      </c>
      <c r="M1483" t="s">
        <v>732</v>
      </c>
      <c r="N1483">
        <v>16307.27</v>
      </c>
      <c r="O1483">
        <v>362</v>
      </c>
    </row>
    <row r="1484" spans="1:15" x14ac:dyDescent="0.2">
      <c r="A1484" s="6">
        <v>45840</v>
      </c>
      <c r="B1484" t="s">
        <v>15</v>
      </c>
      <c r="C1484" t="s">
        <v>16</v>
      </c>
      <c r="D1484" s="1">
        <v>45855</v>
      </c>
      <c r="E1484" t="s">
        <v>19</v>
      </c>
      <c r="F1484">
        <v>6300</v>
      </c>
      <c r="G1484">
        <v>714.6</v>
      </c>
      <c r="H1484">
        <v>714.7</v>
      </c>
      <c r="I1484">
        <v>608</v>
      </c>
      <c r="J1484">
        <v>650.79999999999995</v>
      </c>
      <c r="K1484">
        <v>743.7</v>
      </c>
      <c r="L1484">
        <v>23</v>
      </c>
      <c r="M1484" t="s">
        <v>221</v>
      </c>
      <c r="N1484">
        <v>160.29</v>
      </c>
      <c r="O1484">
        <v>588</v>
      </c>
    </row>
    <row r="1485" spans="1:15" x14ac:dyDescent="0.2">
      <c r="A1485" s="6">
        <v>45840</v>
      </c>
      <c r="B1485" t="s">
        <v>15</v>
      </c>
      <c r="C1485" t="s">
        <v>16</v>
      </c>
      <c r="D1485" s="1">
        <v>45855</v>
      </c>
      <c r="E1485" t="s">
        <v>19</v>
      </c>
      <c r="F1485">
        <v>6500</v>
      </c>
      <c r="G1485">
        <v>829.1</v>
      </c>
      <c r="H1485">
        <v>881.1</v>
      </c>
      <c r="I1485">
        <v>793</v>
      </c>
      <c r="J1485">
        <v>833.8</v>
      </c>
      <c r="K1485">
        <v>906.8</v>
      </c>
      <c r="L1485">
        <v>11</v>
      </c>
      <c r="M1485" t="s">
        <v>236</v>
      </c>
      <c r="N1485">
        <v>80.67</v>
      </c>
      <c r="O1485">
        <v>741</v>
      </c>
    </row>
    <row r="1486" spans="1:15" x14ac:dyDescent="0.2">
      <c r="A1486" s="6">
        <v>45840</v>
      </c>
      <c r="B1486" t="s">
        <v>15</v>
      </c>
      <c r="C1486" t="s">
        <v>16</v>
      </c>
      <c r="D1486" s="1">
        <v>45855</v>
      </c>
      <c r="E1486" t="s">
        <v>19</v>
      </c>
      <c r="F1486">
        <v>4800</v>
      </c>
      <c r="G1486">
        <v>12.2</v>
      </c>
      <c r="H1486">
        <v>12.7</v>
      </c>
      <c r="I1486">
        <v>7.9</v>
      </c>
      <c r="J1486">
        <v>8.3000000000000007</v>
      </c>
      <c r="K1486">
        <v>13.1</v>
      </c>
      <c r="L1486">
        <v>1007</v>
      </c>
      <c r="M1486" t="s">
        <v>553</v>
      </c>
      <c r="N1486">
        <v>4843.3</v>
      </c>
      <c r="O1486">
        <v>635</v>
      </c>
    </row>
    <row r="1487" spans="1:15" x14ac:dyDescent="0.2">
      <c r="A1487" s="6">
        <v>45840</v>
      </c>
      <c r="B1487" t="s">
        <v>15</v>
      </c>
      <c r="C1487" t="s">
        <v>16</v>
      </c>
      <c r="D1487" s="1">
        <v>45855</v>
      </c>
      <c r="E1487" t="s">
        <v>17</v>
      </c>
      <c r="F1487">
        <v>6600</v>
      </c>
      <c r="G1487">
        <v>17.7</v>
      </c>
      <c r="H1487">
        <v>52.6</v>
      </c>
      <c r="I1487">
        <v>16</v>
      </c>
      <c r="J1487">
        <v>42.2</v>
      </c>
      <c r="K1487">
        <v>17.600000000000001</v>
      </c>
      <c r="L1487">
        <v>6354</v>
      </c>
      <c r="M1487" t="s">
        <v>733</v>
      </c>
      <c r="N1487">
        <v>42129.75</v>
      </c>
      <c r="O1487">
        <v>3210</v>
      </c>
    </row>
    <row r="1488" spans="1:15" x14ac:dyDescent="0.2">
      <c r="A1488" s="6">
        <v>45840</v>
      </c>
      <c r="B1488" t="s">
        <v>15</v>
      </c>
      <c r="C1488" t="s">
        <v>16</v>
      </c>
      <c r="D1488" s="1">
        <v>45855</v>
      </c>
      <c r="E1488" t="s">
        <v>19</v>
      </c>
      <c r="F1488">
        <v>4300</v>
      </c>
      <c r="J1488">
        <v>0.1</v>
      </c>
      <c r="K1488">
        <v>0.3</v>
      </c>
      <c r="L1488">
        <v>0</v>
      </c>
      <c r="M1488" t="s">
        <v>18</v>
      </c>
      <c r="N1488">
        <v>0</v>
      </c>
      <c r="O1488">
        <v>0</v>
      </c>
    </row>
    <row r="1489" spans="1:15" x14ac:dyDescent="0.2">
      <c r="A1489" s="6">
        <v>45840</v>
      </c>
      <c r="B1489" t="s">
        <v>15</v>
      </c>
      <c r="C1489" t="s">
        <v>16</v>
      </c>
      <c r="D1489" s="1">
        <v>45855</v>
      </c>
      <c r="E1489" t="s">
        <v>19</v>
      </c>
      <c r="F1489">
        <v>3850</v>
      </c>
      <c r="J1489">
        <v>0.1</v>
      </c>
      <c r="K1489">
        <v>0.1</v>
      </c>
      <c r="L1489">
        <v>0</v>
      </c>
      <c r="M1489" t="s">
        <v>18</v>
      </c>
      <c r="N1489">
        <v>0</v>
      </c>
      <c r="O1489">
        <v>0</v>
      </c>
    </row>
    <row r="1490" spans="1:15" x14ac:dyDescent="0.2">
      <c r="A1490" s="6">
        <v>45840</v>
      </c>
      <c r="B1490" t="s">
        <v>15</v>
      </c>
      <c r="C1490" t="s">
        <v>16</v>
      </c>
      <c r="D1490" s="1">
        <v>45855</v>
      </c>
      <c r="E1490" t="s">
        <v>17</v>
      </c>
      <c r="F1490">
        <v>7600</v>
      </c>
      <c r="G1490">
        <v>7.2</v>
      </c>
      <c r="H1490">
        <v>24.2</v>
      </c>
      <c r="I1490">
        <v>7.2</v>
      </c>
      <c r="J1490">
        <v>19.3</v>
      </c>
      <c r="K1490">
        <v>8.9</v>
      </c>
      <c r="L1490">
        <v>741</v>
      </c>
      <c r="M1490" t="s">
        <v>734</v>
      </c>
      <c r="N1490">
        <v>5641.39</v>
      </c>
      <c r="O1490">
        <v>1013</v>
      </c>
    </row>
    <row r="1491" spans="1:15" x14ac:dyDescent="0.2">
      <c r="A1491" s="6">
        <v>45840</v>
      </c>
      <c r="B1491" t="s">
        <v>15</v>
      </c>
      <c r="C1491" t="s">
        <v>16</v>
      </c>
      <c r="D1491" s="1">
        <v>45855</v>
      </c>
      <c r="E1491" t="s">
        <v>19</v>
      </c>
      <c r="F1491">
        <v>4750</v>
      </c>
      <c r="G1491">
        <v>6.8</v>
      </c>
      <c r="H1491">
        <v>6.8</v>
      </c>
      <c r="I1491">
        <v>6.8</v>
      </c>
      <c r="J1491">
        <v>6.8</v>
      </c>
      <c r="K1491">
        <v>12.5</v>
      </c>
      <c r="L1491">
        <v>1</v>
      </c>
      <c r="M1491" t="s">
        <v>155</v>
      </c>
      <c r="N1491">
        <v>4.76</v>
      </c>
      <c r="O1491">
        <v>10</v>
      </c>
    </row>
    <row r="1492" spans="1:15" x14ac:dyDescent="0.2">
      <c r="A1492" s="6">
        <v>45840</v>
      </c>
      <c r="B1492" t="s">
        <v>15</v>
      </c>
      <c r="C1492" t="s">
        <v>16</v>
      </c>
      <c r="D1492" s="1">
        <v>45855</v>
      </c>
      <c r="E1492" t="s">
        <v>19</v>
      </c>
      <c r="F1492">
        <v>3950</v>
      </c>
      <c r="J1492">
        <v>0.1</v>
      </c>
      <c r="K1492">
        <v>0.1</v>
      </c>
      <c r="L1492">
        <v>0</v>
      </c>
      <c r="M1492" t="s">
        <v>18</v>
      </c>
      <c r="N1492">
        <v>0</v>
      </c>
      <c r="O1492">
        <v>0</v>
      </c>
    </row>
    <row r="1493" spans="1:15" x14ac:dyDescent="0.2">
      <c r="A1493" s="6">
        <v>45840</v>
      </c>
      <c r="B1493" t="s">
        <v>15</v>
      </c>
      <c r="C1493" t="s">
        <v>16</v>
      </c>
      <c r="D1493" s="1">
        <v>45855</v>
      </c>
      <c r="E1493" t="s">
        <v>19</v>
      </c>
      <c r="F1493">
        <v>6000</v>
      </c>
      <c r="G1493">
        <v>427.9</v>
      </c>
      <c r="H1493">
        <v>436.6</v>
      </c>
      <c r="I1493">
        <v>318</v>
      </c>
      <c r="J1493">
        <v>337.6</v>
      </c>
      <c r="K1493">
        <v>424.6</v>
      </c>
      <c r="L1493">
        <v>3584</v>
      </c>
      <c r="M1493" t="s">
        <v>735</v>
      </c>
      <c r="N1493">
        <v>22823.34</v>
      </c>
      <c r="O1493">
        <v>2245</v>
      </c>
    </row>
    <row r="1494" spans="1:15" x14ac:dyDescent="0.2">
      <c r="A1494" s="6">
        <v>45840</v>
      </c>
      <c r="B1494" t="s">
        <v>15</v>
      </c>
      <c r="C1494" t="s">
        <v>16</v>
      </c>
      <c r="D1494" s="1">
        <v>45855</v>
      </c>
      <c r="E1494" t="s">
        <v>19</v>
      </c>
      <c r="F1494">
        <v>7550</v>
      </c>
      <c r="J1494">
        <v>1792.8</v>
      </c>
      <c r="K1494">
        <v>1930</v>
      </c>
      <c r="L1494">
        <v>0</v>
      </c>
      <c r="M1494" t="s">
        <v>18</v>
      </c>
      <c r="N1494">
        <v>0</v>
      </c>
      <c r="O1494">
        <v>0</v>
      </c>
    </row>
    <row r="1495" spans="1:15" x14ac:dyDescent="0.2">
      <c r="A1495" s="6">
        <v>45840</v>
      </c>
      <c r="B1495" t="s">
        <v>15</v>
      </c>
      <c r="C1495" t="s">
        <v>16</v>
      </c>
      <c r="D1495" s="1">
        <v>45855</v>
      </c>
      <c r="E1495" t="s">
        <v>17</v>
      </c>
      <c r="F1495">
        <v>5550</v>
      </c>
      <c r="G1495">
        <v>191.5</v>
      </c>
      <c r="H1495">
        <v>320.89999999999998</v>
      </c>
      <c r="I1495">
        <v>185</v>
      </c>
      <c r="J1495">
        <v>286.2</v>
      </c>
      <c r="K1495">
        <v>196.5</v>
      </c>
      <c r="L1495">
        <v>22460</v>
      </c>
      <c r="M1495" t="s">
        <v>736</v>
      </c>
      <c r="N1495">
        <v>129597.13</v>
      </c>
      <c r="O1495">
        <v>381</v>
      </c>
    </row>
    <row r="1496" spans="1:15" x14ac:dyDescent="0.2">
      <c r="A1496" s="6">
        <v>45839</v>
      </c>
      <c r="B1496" t="s">
        <v>15</v>
      </c>
      <c r="C1496" t="s">
        <v>16</v>
      </c>
      <c r="D1496" s="1">
        <v>45855</v>
      </c>
      <c r="E1496" t="s">
        <v>17</v>
      </c>
      <c r="F1496">
        <v>5950</v>
      </c>
      <c r="G1496">
        <v>48.3</v>
      </c>
      <c r="H1496">
        <v>62.8</v>
      </c>
      <c r="I1496">
        <v>46.8</v>
      </c>
      <c r="J1496">
        <v>53.3</v>
      </c>
      <c r="K1496">
        <v>53.5</v>
      </c>
      <c r="L1496">
        <v>7096</v>
      </c>
      <c r="M1496" t="s">
        <v>737</v>
      </c>
      <c r="N1496">
        <v>42602.43</v>
      </c>
      <c r="O1496">
        <v>1036</v>
      </c>
    </row>
    <row r="1497" spans="1:15" x14ac:dyDescent="0.2">
      <c r="A1497" s="6">
        <v>45839</v>
      </c>
      <c r="B1497" t="s">
        <v>15</v>
      </c>
      <c r="C1497" t="s">
        <v>16</v>
      </c>
      <c r="D1497" s="1">
        <v>45855</v>
      </c>
      <c r="E1497" t="s">
        <v>17</v>
      </c>
      <c r="F1497">
        <v>7450</v>
      </c>
      <c r="G1497">
        <v>10</v>
      </c>
      <c r="H1497">
        <v>12</v>
      </c>
      <c r="I1497">
        <v>9.3000000000000007</v>
      </c>
      <c r="J1497">
        <v>10.6</v>
      </c>
      <c r="K1497">
        <v>14.7</v>
      </c>
      <c r="L1497">
        <v>206</v>
      </c>
      <c r="M1497" t="s">
        <v>256</v>
      </c>
      <c r="N1497">
        <v>1536.8</v>
      </c>
      <c r="O1497">
        <v>95</v>
      </c>
    </row>
    <row r="1498" spans="1:15" x14ac:dyDescent="0.2">
      <c r="A1498" s="6">
        <v>45839</v>
      </c>
      <c r="B1498" t="s">
        <v>15</v>
      </c>
      <c r="C1498" t="s">
        <v>16</v>
      </c>
      <c r="D1498" s="1">
        <v>45855</v>
      </c>
      <c r="E1498" t="s">
        <v>19</v>
      </c>
      <c r="F1498">
        <v>6150</v>
      </c>
      <c r="G1498">
        <v>631.79999999999995</v>
      </c>
      <c r="H1498">
        <v>634.1</v>
      </c>
      <c r="I1498">
        <v>557.6</v>
      </c>
      <c r="J1498">
        <v>618.4</v>
      </c>
      <c r="K1498">
        <v>614.5</v>
      </c>
      <c r="L1498">
        <v>31</v>
      </c>
      <c r="M1498" t="s">
        <v>532</v>
      </c>
      <c r="N1498">
        <v>209.98</v>
      </c>
      <c r="O1498">
        <v>134</v>
      </c>
    </row>
    <row r="1499" spans="1:15" x14ac:dyDescent="0.2">
      <c r="A1499" s="6">
        <v>45839</v>
      </c>
      <c r="B1499" t="s">
        <v>15</v>
      </c>
      <c r="C1499" t="s">
        <v>16</v>
      </c>
      <c r="D1499" s="1">
        <v>45855</v>
      </c>
      <c r="E1499" t="s">
        <v>17</v>
      </c>
      <c r="F1499">
        <v>4500</v>
      </c>
      <c r="J1499">
        <v>1113.4000000000001</v>
      </c>
      <c r="K1499">
        <v>1080.5</v>
      </c>
      <c r="L1499">
        <v>0</v>
      </c>
      <c r="M1499" t="s">
        <v>18</v>
      </c>
      <c r="N1499">
        <v>0</v>
      </c>
      <c r="O1499">
        <v>0</v>
      </c>
    </row>
    <row r="1500" spans="1:15" x14ac:dyDescent="0.2">
      <c r="A1500" s="6">
        <v>45839</v>
      </c>
      <c r="B1500" t="s">
        <v>15</v>
      </c>
      <c r="C1500" t="s">
        <v>16</v>
      </c>
      <c r="D1500" s="1">
        <v>45855</v>
      </c>
      <c r="E1500" t="s">
        <v>17</v>
      </c>
      <c r="F1500">
        <v>4350</v>
      </c>
      <c r="J1500">
        <v>1262.0999999999999</v>
      </c>
      <c r="K1500">
        <v>1228.4000000000001</v>
      </c>
      <c r="L1500">
        <v>0</v>
      </c>
      <c r="M1500" t="s">
        <v>18</v>
      </c>
      <c r="N1500">
        <v>0</v>
      </c>
      <c r="O1500">
        <v>0</v>
      </c>
    </row>
    <row r="1501" spans="1:15" x14ac:dyDescent="0.2">
      <c r="A1501" s="6">
        <v>45839</v>
      </c>
      <c r="B1501" t="s">
        <v>15</v>
      </c>
      <c r="C1501" t="s">
        <v>16</v>
      </c>
      <c r="D1501" s="1">
        <v>45855</v>
      </c>
      <c r="E1501" t="s">
        <v>17</v>
      </c>
      <c r="F1501">
        <v>3700</v>
      </c>
      <c r="J1501">
        <v>1910</v>
      </c>
      <c r="K1501">
        <v>1875.7</v>
      </c>
      <c r="L1501">
        <v>0</v>
      </c>
      <c r="M1501" t="s">
        <v>18</v>
      </c>
      <c r="N1501">
        <v>0</v>
      </c>
      <c r="O1501">
        <v>0</v>
      </c>
    </row>
    <row r="1502" spans="1:15" x14ac:dyDescent="0.2">
      <c r="A1502" s="6">
        <v>45839</v>
      </c>
      <c r="B1502" t="s">
        <v>15</v>
      </c>
      <c r="C1502" t="s">
        <v>16</v>
      </c>
      <c r="D1502" s="1">
        <v>45855</v>
      </c>
      <c r="E1502" t="s">
        <v>17</v>
      </c>
      <c r="F1502">
        <v>5150</v>
      </c>
      <c r="G1502">
        <v>444.8</v>
      </c>
      <c r="H1502">
        <v>447.7</v>
      </c>
      <c r="I1502">
        <v>444.8</v>
      </c>
      <c r="J1502">
        <v>446.3</v>
      </c>
      <c r="K1502">
        <v>479.4</v>
      </c>
      <c r="L1502">
        <v>2</v>
      </c>
      <c r="M1502" t="s">
        <v>28</v>
      </c>
      <c r="N1502">
        <v>11.19</v>
      </c>
      <c r="O1502">
        <v>3</v>
      </c>
    </row>
    <row r="1503" spans="1:15" x14ac:dyDescent="0.2">
      <c r="A1503" s="6">
        <v>45839</v>
      </c>
      <c r="B1503" t="s">
        <v>15</v>
      </c>
      <c r="C1503" t="s">
        <v>16</v>
      </c>
      <c r="D1503" s="1">
        <v>45855</v>
      </c>
      <c r="E1503" t="s">
        <v>17</v>
      </c>
      <c r="F1503">
        <v>5000</v>
      </c>
      <c r="G1503">
        <v>588</v>
      </c>
      <c r="H1503">
        <v>642</v>
      </c>
      <c r="I1503">
        <v>577.29999999999995</v>
      </c>
      <c r="J1503">
        <v>610</v>
      </c>
      <c r="K1503">
        <v>605.5</v>
      </c>
      <c r="L1503">
        <v>13</v>
      </c>
      <c r="M1503" t="s">
        <v>121</v>
      </c>
      <c r="N1503">
        <v>72.930000000000007</v>
      </c>
      <c r="O1503">
        <v>24</v>
      </c>
    </row>
    <row r="1504" spans="1:15" x14ac:dyDescent="0.2">
      <c r="A1504" s="6">
        <v>45839</v>
      </c>
      <c r="B1504" t="s">
        <v>15</v>
      </c>
      <c r="C1504" t="s">
        <v>16</v>
      </c>
      <c r="D1504" s="1">
        <v>45855</v>
      </c>
      <c r="E1504" t="s">
        <v>17</v>
      </c>
      <c r="F1504">
        <v>4100</v>
      </c>
      <c r="J1504">
        <v>1511</v>
      </c>
      <c r="K1504">
        <v>1477</v>
      </c>
      <c r="L1504">
        <v>0</v>
      </c>
      <c r="M1504" t="s">
        <v>18</v>
      </c>
      <c r="N1504">
        <v>0</v>
      </c>
      <c r="O1504">
        <v>0</v>
      </c>
    </row>
    <row r="1505" spans="1:15" x14ac:dyDescent="0.2">
      <c r="A1505" s="6">
        <v>45839</v>
      </c>
      <c r="B1505" t="s">
        <v>15</v>
      </c>
      <c r="C1505" t="s">
        <v>16</v>
      </c>
      <c r="D1505" s="1">
        <v>45855</v>
      </c>
      <c r="E1505" t="s">
        <v>17</v>
      </c>
      <c r="F1505">
        <v>4400</v>
      </c>
      <c r="J1505">
        <v>1212.4000000000001</v>
      </c>
      <c r="K1505">
        <v>1179</v>
      </c>
      <c r="L1505">
        <v>0</v>
      </c>
      <c r="M1505" t="s">
        <v>18</v>
      </c>
      <c r="N1505">
        <v>0</v>
      </c>
      <c r="O1505">
        <v>0</v>
      </c>
    </row>
    <row r="1506" spans="1:15" x14ac:dyDescent="0.2">
      <c r="A1506" s="6">
        <v>45839</v>
      </c>
      <c r="B1506" t="s">
        <v>15</v>
      </c>
      <c r="C1506" t="s">
        <v>16</v>
      </c>
      <c r="D1506" s="1">
        <v>45855</v>
      </c>
      <c r="E1506" t="s">
        <v>19</v>
      </c>
      <c r="F1506">
        <v>6950</v>
      </c>
      <c r="J1506">
        <v>1333.6</v>
      </c>
      <c r="K1506">
        <v>1367.9</v>
      </c>
      <c r="L1506">
        <v>0</v>
      </c>
      <c r="M1506" t="s">
        <v>18</v>
      </c>
      <c r="N1506">
        <v>0</v>
      </c>
      <c r="O1506">
        <v>15</v>
      </c>
    </row>
    <row r="1507" spans="1:15" x14ac:dyDescent="0.2">
      <c r="A1507" s="6">
        <v>45839</v>
      </c>
      <c r="B1507" t="s">
        <v>15</v>
      </c>
      <c r="C1507" t="s">
        <v>16</v>
      </c>
      <c r="D1507" s="1">
        <v>45855</v>
      </c>
      <c r="E1507" t="s">
        <v>19</v>
      </c>
      <c r="F1507">
        <v>4900</v>
      </c>
      <c r="G1507">
        <v>17.7</v>
      </c>
      <c r="H1507">
        <v>18.600000000000001</v>
      </c>
      <c r="I1507">
        <v>13</v>
      </c>
      <c r="J1507">
        <v>13.9</v>
      </c>
      <c r="K1507">
        <v>18.3</v>
      </c>
      <c r="L1507">
        <v>9638</v>
      </c>
      <c r="M1507" t="s">
        <v>294</v>
      </c>
      <c r="N1507">
        <v>47370.3</v>
      </c>
      <c r="O1507">
        <v>703</v>
      </c>
    </row>
    <row r="1508" spans="1:15" x14ac:dyDescent="0.2">
      <c r="A1508" s="6">
        <v>45839</v>
      </c>
      <c r="B1508" t="s">
        <v>15</v>
      </c>
      <c r="C1508" t="s">
        <v>16</v>
      </c>
      <c r="D1508" s="1">
        <v>45855</v>
      </c>
      <c r="E1508" t="s">
        <v>17</v>
      </c>
      <c r="F1508">
        <v>5200</v>
      </c>
      <c r="G1508">
        <v>407.9</v>
      </c>
      <c r="H1508">
        <v>480</v>
      </c>
      <c r="I1508">
        <v>398.7</v>
      </c>
      <c r="J1508">
        <v>447.5</v>
      </c>
      <c r="K1508">
        <v>423.7</v>
      </c>
      <c r="L1508">
        <v>261</v>
      </c>
      <c r="M1508" t="s">
        <v>238</v>
      </c>
      <c r="N1508">
        <v>1473.19</v>
      </c>
      <c r="O1508">
        <v>78</v>
      </c>
    </row>
    <row r="1509" spans="1:15" x14ac:dyDescent="0.2">
      <c r="A1509" s="6">
        <v>45839</v>
      </c>
      <c r="B1509" t="s">
        <v>15</v>
      </c>
      <c r="C1509" t="s">
        <v>16</v>
      </c>
      <c r="D1509" s="1">
        <v>45855</v>
      </c>
      <c r="E1509" t="s">
        <v>17</v>
      </c>
      <c r="F1509">
        <v>4750</v>
      </c>
      <c r="J1509">
        <v>869.4</v>
      </c>
      <c r="K1509">
        <v>839.4</v>
      </c>
      <c r="L1509">
        <v>0</v>
      </c>
      <c r="M1509" t="s">
        <v>18</v>
      </c>
      <c r="N1509">
        <v>0</v>
      </c>
      <c r="O1509">
        <v>0</v>
      </c>
    </row>
    <row r="1510" spans="1:15" x14ac:dyDescent="0.2">
      <c r="A1510" s="6">
        <v>45839</v>
      </c>
      <c r="B1510" t="s">
        <v>15</v>
      </c>
      <c r="C1510" t="s">
        <v>16</v>
      </c>
      <c r="D1510" s="1">
        <v>45855</v>
      </c>
      <c r="E1510" t="s">
        <v>17</v>
      </c>
      <c r="F1510">
        <v>4450</v>
      </c>
      <c r="J1510">
        <v>1162.8</v>
      </c>
      <c r="K1510">
        <v>1129.5999999999999</v>
      </c>
      <c r="L1510">
        <v>0</v>
      </c>
      <c r="M1510" t="s">
        <v>18</v>
      </c>
      <c r="N1510">
        <v>0</v>
      </c>
      <c r="O1510">
        <v>0</v>
      </c>
    </row>
    <row r="1511" spans="1:15" x14ac:dyDescent="0.2">
      <c r="A1511" s="6">
        <v>45839</v>
      </c>
      <c r="B1511" t="s">
        <v>15</v>
      </c>
      <c r="C1511" t="s">
        <v>16</v>
      </c>
      <c r="D1511" s="1">
        <v>45855</v>
      </c>
      <c r="E1511" t="s">
        <v>19</v>
      </c>
      <c r="F1511">
        <v>3900</v>
      </c>
      <c r="J1511">
        <v>0.1</v>
      </c>
      <c r="K1511">
        <v>0.1</v>
      </c>
      <c r="L1511">
        <v>0</v>
      </c>
      <c r="M1511" t="s">
        <v>18</v>
      </c>
      <c r="N1511">
        <v>0</v>
      </c>
      <c r="O1511">
        <v>0</v>
      </c>
    </row>
    <row r="1512" spans="1:15" x14ac:dyDescent="0.2">
      <c r="A1512" s="6">
        <v>45839</v>
      </c>
      <c r="B1512" t="s">
        <v>15</v>
      </c>
      <c r="C1512" t="s">
        <v>16</v>
      </c>
      <c r="D1512" s="1">
        <v>45855</v>
      </c>
      <c r="E1512" t="s">
        <v>19</v>
      </c>
      <c r="F1512">
        <v>5250</v>
      </c>
      <c r="G1512">
        <v>52.9</v>
      </c>
      <c r="H1512">
        <v>55.7</v>
      </c>
      <c r="I1512">
        <v>37</v>
      </c>
      <c r="J1512">
        <v>41.6</v>
      </c>
      <c r="K1512">
        <v>50.9</v>
      </c>
      <c r="L1512">
        <v>7069</v>
      </c>
      <c r="M1512" t="s">
        <v>738</v>
      </c>
      <c r="N1512">
        <v>37417.9</v>
      </c>
      <c r="O1512">
        <v>818</v>
      </c>
    </row>
    <row r="1513" spans="1:15" x14ac:dyDescent="0.2">
      <c r="A1513" s="6">
        <v>45839</v>
      </c>
      <c r="B1513" t="s">
        <v>15</v>
      </c>
      <c r="C1513" t="s">
        <v>16</v>
      </c>
      <c r="D1513" s="1">
        <v>45855</v>
      </c>
      <c r="E1513" t="s">
        <v>17</v>
      </c>
      <c r="F1513">
        <v>7300</v>
      </c>
      <c r="G1513">
        <v>9.1999999999999993</v>
      </c>
      <c r="H1513">
        <v>11</v>
      </c>
      <c r="I1513">
        <v>8.3000000000000007</v>
      </c>
      <c r="J1513">
        <v>9.1</v>
      </c>
      <c r="K1513">
        <v>11.1</v>
      </c>
      <c r="L1513">
        <v>627</v>
      </c>
      <c r="M1513" t="s">
        <v>739</v>
      </c>
      <c r="N1513">
        <v>4583.09</v>
      </c>
      <c r="O1513">
        <v>1158</v>
      </c>
    </row>
    <row r="1514" spans="1:15" x14ac:dyDescent="0.2">
      <c r="A1514" s="6">
        <v>45839</v>
      </c>
      <c r="B1514" t="s">
        <v>15</v>
      </c>
      <c r="C1514" t="s">
        <v>16</v>
      </c>
      <c r="D1514" s="1">
        <v>45855</v>
      </c>
      <c r="E1514" t="s">
        <v>19</v>
      </c>
      <c r="F1514">
        <v>7200</v>
      </c>
      <c r="J1514">
        <v>1581.5</v>
      </c>
      <c r="K1514">
        <v>1615.4</v>
      </c>
      <c r="L1514">
        <v>0</v>
      </c>
      <c r="M1514" t="s">
        <v>18</v>
      </c>
      <c r="N1514">
        <v>0</v>
      </c>
      <c r="O1514">
        <v>0</v>
      </c>
    </row>
    <row r="1515" spans="1:15" x14ac:dyDescent="0.2">
      <c r="A1515" s="6">
        <v>45839</v>
      </c>
      <c r="B1515" t="s">
        <v>15</v>
      </c>
      <c r="C1515" t="s">
        <v>16</v>
      </c>
      <c r="D1515" s="1">
        <v>45855</v>
      </c>
      <c r="E1515" t="s">
        <v>19</v>
      </c>
      <c r="F1515">
        <v>3600</v>
      </c>
      <c r="J1515">
        <v>0.1</v>
      </c>
      <c r="K1515">
        <v>0.1</v>
      </c>
      <c r="L1515">
        <v>0</v>
      </c>
      <c r="M1515" t="s">
        <v>18</v>
      </c>
      <c r="N1515">
        <v>0</v>
      </c>
      <c r="O1515">
        <v>0</v>
      </c>
    </row>
    <row r="1516" spans="1:15" x14ac:dyDescent="0.2">
      <c r="A1516" s="6">
        <v>45839</v>
      </c>
      <c r="B1516" t="s">
        <v>15</v>
      </c>
      <c r="C1516" t="s">
        <v>16</v>
      </c>
      <c r="D1516" s="1">
        <v>45855</v>
      </c>
      <c r="E1516" t="s">
        <v>17</v>
      </c>
      <c r="F1516">
        <v>4950</v>
      </c>
      <c r="J1516">
        <v>682.7</v>
      </c>
      <c r="K1516">
        <v>657</v>
      </c>
      <c r="L1516">
        <v>0</v>
      </c>
      <c r="M1516" t="s">
        <v>18</v>
      </c>
      <c r="N1516">
        <v>0</v>
      </c>
      <c r="O1516">
        <v>0</v>
      </c>
    </row>
    <row r="1517" spans="1:15" x14ac:dyDescent="0.2">
      <c r="A1517" s="6">
        <v>45839</v>
      </c>
      <c r="B1517" t="s">
        <v>15</v>
      </c>
      <c r="C1517" t="s">
        <v>16</v>
      </c>
      <c r="D1517" s="1">
        <v>45855</v>
      </c>
      <c r="E1517" t="s">
        <v>17</v>
      </c>
      <c r="F1517">
        <v>5300</v>
      </c>
      <c r="G1517">
        <v>325.3</v>
      </c>
      <c r="H1517">
        <v>397</v>
      </c>
      <c r="I1517">
        <v>318.3</v>
      </c>
      <c r="J1517">
        <v>364.1</v>
      </c>
      <c r="K1517">
        <v>345</v>
      </c>
      <c r="L1517">
        <v>1637</v>
      </c>
      <c r="M1517" t="s">
        <v>740</v>
      </c>
      <c r="N1517">
        <v>9256.73</v>
      </c>
      <c r="O1517">
        <v>176</v>
      </c>
    </row>
    <row r="1518" spans="1:15" x14ac:dyDescent="0.2">
      <c r="A1518" s="6">
        <v>45839</v>
      </c>
      <c r="B1518" t="s">
        <v>15</v>
      </c>
      <c r="C1518" t="s">
        <v>16</v>
      </c>
      <c r="D1518" s="1">
        <v>45855</v>
      </c>
      <c r="E1518" t="s">
        <v>17</v>
      </c>
      <c r="F1518">
        <v>5700</v>
      </c>
      <c r="G1518">
        <v>103.9</v>
      </c>
      <c r="H1518">
        <v>144</v>
      </c>
      <c r="I1518">
        <v>100.3</v>
      </c>
      <c r="J1518">
        <v>123.8</v>
      </c>
      <c r="K1518">
        <v>119.2</v>
      </c>
      <c r="L1518">
        <v>103409</v>
      </c>
      <c r="M1518" t="s">
        <v>741</v>
      </c>
      <c r="N1518">
        <v>602270.43999999994</v>
      </c>
      <c r="O1518">
        <v>9356</v>
      </c>
    </row>
    <row r="1519" spans="1:15" x14ac:dyDescent="0.2">
      <c r="A1519" s="6">
        <v>45839</v>
      </c>
      <c r="B1519" t="s">
        <v>15</v>
      </c>
      <c r="C1519" t="s">
        <v>16</v>
      </c>
      <c r="D1519" s="1">
        <v>45855</v>
      </c>
      <c r="E1519" t="s">
        <v>17</v>
      </c>
      <c r="F1519">
        <v>4800</v>
      </c>
      <c r="J1519">
        <v>821.8</v>
      </c>
      <c r="K1519">
        <v>792.6</v>
      </c>
      <c r="L1519">
        <v>0</v>
      </c>
      <c r="M1519" t="s">
        <v>18</v>
      </c>
      <c r="N1519">
        <v>0</v>
      </c>
      <c r="O1519">
        <v>0</v>
      </c>
    </row>
    <row r="1520" spans="1:15" x14ac:dyDescent="0.2">
      <c r="A1520" s="6">
        <v>45839</v>
      </c>
      <c r="B1520" t="s">
        <v>15</v>
      </c>
      <c r="C1520" t="s">
        <v>16</v>
      </c>
      <c r="D1520" s="1">
        <v>45855</v>
      </c>
      <c r="E1520" t="s">
        <v>19</v>
      </c>
      <c r="F1520">
        <v>4200</v>
      </c>
      <c r="J1520">
        <v>0.1</v>
      </c>
      <c r="K1520">
        <v>0.3</v>
      </c>
      <c r="L1520">
        <v>0</v>
      </c>
      <c r="M1520" t="s">
        <v>18</v>
      </c>
      <c r="N1520">
        <v>0</v>
      </c>
      <c r="O1520">
        <v>0</v>
      </c>
    </row>
    <row r="1521" spans="1:15" x14ac:dyDescent="0.2">
      <c r="A1521" s="6">
        <v>45839</v>
      </c>
      <c r="B1521" t="s">
        <v>15</v>
      </c>
      <c r="C1521" t="s">
        <v>16</v>
      </c>
      <c r="D1521" s="1">
        <v>45855</v>
      </c>
      <c r="E1521" t="s">
        <v>17</v>
      </c>
      <c r="F1521">
        <v>4900</v>
      </c>
      <c r="J1521">
        <v>728.3</v>
      </c>
      <c r="K1521">
        <v>710.6</v>
      </c>
      <c r="L1521">
        <v>0</v>
      </c>
      <c r="M1521" t="s">
        <v>18</v>
      </c>
      <c r="N1521">
        <v>0</v>
      </c>
      <c r="O1521">
        <v>0</v>
      </c>
    </row>
    <row r="1522" spans="1:15" x14ac:dyDescent="0.2">
      <c r="A1522" s="6">
        <v>45839</v>
      </c>
      <c r="B1522" t="s">
        <v>15</v>
      </c>
      <c r="C1522" t="s">
        <v>16</v>
      </c>
      <c r="D1522" s="1">
        <v>45855</v>
      </c>
      <c r="E1522" t="s">
        <v>19</v>
      </c>
      <c r="F1522">
        <v>5100</v>
      </c>
      <c r="G1522">
        <v>34</v>
      </c>
      <c r="H1522">
        <v>34</v>
      </c>
      <c r="I1522">
        <v>20.6</v>
      </c>
      <c r="J1522">
        <v>23.4</v>
      </c>
      <c r="K1522">
        <v>29.5</v>
      </c>
      <c r="L1522">
        <v>21198</v>
      </c>
      <c r="M1522" t="s">
        <v>742</v>
      </c>
      <c r="N1522">
        <v>108641.74</v>
      </c>
      <c r="O1522">
        <v>2750</v>
      </c>
    </row>
    <row r="1523" spans="1:15" x14ac:dyDescent="0.2">
      <c r="A1523" s="6">
        <v>45839</v>
      </c>
      <c r="B1523" t="s">
        <v>15</v>
      </c>
      <c r="C1523" t="s">
        <v>16</v>
      </c>
      <c r="D1523" s="1">
        <v>45855</v>
      </c>
      <c r="E1523" t="s">
        <v>17</v>
      </c>
      <c r="F1523">
        <v>4650</v>
      </c>
      <c r="J1523">
        <v>966.1</v>
      </c>
      <c r="K1523">
        <v>934.6</v>
      </c>
      <c r="L1523">
        <v>0</v>
      </c>
      <c r="M1523" t="s">
        <v>18</v>
      </c>
      <c r="N1523">
        <v>0</v>
      </c>
      <c r="O1523">
        <v>0</v>
      </c>
    </row>
    <row r="1524" spans="1:15" x14ac:dyDescent="0.2">
      <c r="A1524" s="6">
        <v>45839</v>
      </c>
      <c r="B1524" t="s">
        <v>15</v>
      </c>
      <c r="C1524" t="s">
        <v>16</v>
      </c>
      <c r="D1524" s="1">
        <v>45855</v>
      </c>
      <c r="E1524" t="s">
        <v>17</v>
      </c>
      <c r="F1524">
        <v>4200</v>
      </c>
      <c r="J1524">
        <v>1411.4</v>
      </c>
      <c r="K1524">
        <v>1377.4</v>
      </c>
      <c r="L1524">
        <v>0</v>
      </c>
      <c r="M1524" t="s">
        <v>18</v>
      </c>
      <c r="N1524">
        <v>0</v>
      </c>
      <c r="O1524">
        <v>0</v>
      </c>
    </row>
    <row r="1525" spans="1:15" x14ac:dyDescent="0.2">
      <c r="A1525" s="6">
        <v>45839</v>
      </c>
      <c r="B1525" t="s">
        <v>15</v>
      </c>
      <c r="C1525" t="s">
        <v>16</v>
      </c>
      <c r="D1525" s="1">
        <v>45855</v>
      </c>
      <c r="E1525" t="s">
        <v>17</v>
      </c>
      <c r="F1525">
        <v>5250</v>
      </c>
      <c r="G1525">
        <v>363.4</v>
      </c>
      <c r="H1525">
        <v>422.5</v>
      </c>
      <c r="I1525">
        <v>356.4</v>
      </c>
      <c r="J1525">
        <v>413.8</v>
      </c>
      <c r="K1525">
        <v>412.4</v>
      </c>
      <c r="L1525">
        <v>27</v>
      </c>
      <c r="M1525" t="s">
        <v>54</v>
      </c>
      <c r="N1525">
        <v>152.38999999999999</v>
      </c>
      <c r="O1525">
        <v>16</v>
      </c>
    </row>
    <row r="1526" spans="1:15" x14ac:dyDescent="0.2">
      <c r="A1526" s="6">
        <v>45839</v>
      </c>
      <c r="B1526" t="s">
        <v>15</v>
      </c>
      <c r="C1526" t="s">
        <v>16</v>
      </c>
      <c r="D1526" s="1">
        <v>45855</v>
      </c>
      <c r="E1526" t="s">
        <v>19</v>
      </c>
      <c r="F1526">
        <v>6050</v>
      </c>
      <c r="G1526">
        <v>518.5</v>
      </c>
      <c r="H1526">
        <v>536</v>
      </c>
      <c r="I1526">
        <v>488.9</v>
      </c>
      <c r="J1526">
        <v>516.9</v>
      </c>
      <c r="K1526">
        <v>504.3</v>
      </c>
      <c r="L1526">
        <v>10</v>
      </c>
      <c r="M1526" t="s">
        <v>69</v>
      </c>
      <c r="N1526">
        <v>65.67</v>
      </c>
      <c r="O1526">
        <v>119</v>
      </c>
    </row>
    <row r="1527" spans="1:15" x14ac:dyDescent="0.2">
      <c r="A1527" s="6">
        <v>45839</v>
      </c>
      <c r="B1527" t="s">
        <v>15</v>
      </c>
      <c r="C1527" t="s">
        <v>16</v>
      </c>
      <c r="D1527" s="1">
        <v>45855</v>
      </c>
      <c r="E1527" t="s">
        <v>19</v>
      </c>
      <c r="F1527">
        <v>6650</v>
      </c>
      <c r="G1527">
        <v>1027.5999999999999</v>
      </c>
      <c r="H1527">
        <v>1027.5999999999999</v>
      </c>
      <c r="I1527">
        <v>1025.7</v>
      </c>
      <c r="J1527">
        <v>1026.7</v>
      </c>
      <c r="K1527">
        <v>1072.0999999999999</v>
      </c>
      <c r="L1527">
        <v>4</v>
      </c>
      <c r="M1527" t="s">
        <v>78</v>
      </c>
      <c r="N1527">
        <v>30.71</v>
      </c>
      <c r="O1527">
        <v>25</v>
      </c>
    </row>
    <row r="1528" spans="1:15" x14ac:dyDescent="0.2">
      <c r="A1528" s="6">
        <v>45839</v>
      </c>
      <c r="B1528" t="s">
        <v>15</v>
      </c>
      <c r="C1528" t="s">
        <v>16</v>
      </c>
      <c r="D1528" s="1">
        <v>45855</v>
      </c>
      <c r="E1528" t="s">
        <v>17</v>
      </c>
      <c r="F1528">
        <v>5100</v>
      </c>
      <c r="J1528">
        <v>551.9</v>
      </c>
      <c r="K1528">
        <v>498.4</v>
      </c>
      <c r="L1528">
        <v>0</v>
      </c>
      <c r="M1528" t="s">
        <v>18</v>
      </c>
      <c r="N1528">
        <v>0</v>
      </c>
      <c r="O1528">
        <v>8</v>
      </c>
    </row>
    <row r="1529" spans="1:15" x14ac:dyDescent="0.2">
      <c r="A1529" s="6">
        <v>45839</v>
      </c>
      <c r="B1529" t="s">
        <v>15</v>
      </c>
      <c r="C1529" t="s">
        <v>16</v>
      </c>
      <c r="D1529" s="1">
        <v>45855</v>
      </c>
      <c r="E1529" t="s">
        <v>17</v>
      </c>
      <c r="F1529">
        <v>6900</v>
      </c>
      <c r="G1529">
        <v>14.5</v>
      </c>
      <c r="H1529">
        <v>15.5</v>
      </c>
      <c r="I1529">
        <v>12.8</v>
      </c>
      <c r="J1529">
        <v>13.8</v>
      </c>
      <c r="K1529">
        <v>16.2</v>
      </c>
      <c r="L1529">
        <v>634</v>
      </c>
      <c r="M1529" t="s">
        <v>295</v>
      </c>
      <c r="N1529">
        <v>4383.54</v>
      </c>
      <c r="O1529">
        <v>1190</v>
      </c>
    </row>
    <row r="1530" spans="1:15" x14ac:dyDescent="0.2">
      <c r="A1530" s="6">
        <v>45839</v>
      </c>
      <c r="B1530" t="s">
        <v>15</v>
      </c>
      <c r="C1530" t="s">
        <v>16</v>
      </c>
      <c r="D1530" s="1">
        <v>45855</v>
      </c>
      <c r="E1530" t="s">
        <v>17</v>
      </c>
      <c r="F1530">
        <v>7500</v>
      </c>
      <c r="G1530">
        <v>11.9</v>
      </c>
      <c r="H1530">
        <v>11.9</v>
      </c>
      <c r="I1530">
        <v>8.9</v>
      </c>
      <c r="J1530">
        <v>9.4</v>
      </c>
      <c r="K1530">
        <v>12.2</v>
      </c>
      <c r="L1530">
        <v>1324</v>
      </c>
      <c r="M1530" t="s">
        <v>743</v>
      </c>
      <c r="N1530">
        <v>9943.33</v>
      </c>
      <c r="O1530">
        <v>2271</v>
      </c>
    </row>
    <row r="1531" spans="1:15" x14ac:dyDescent="0.2">
      <c r="A1531" s="6">
        <v>45839</v>
      </c>
      <c r="B1531" t="s">
        <v>15</v>
      </c>
      <c r="C1531" t="s">
        <v>16</v>
      </c>
      <c r="D1531" s="1">
        <v>45855</v>
      </c>
      <c r="E1531" t="s">
        <v>19</v>
      </c>
      <c r="F1531">
        <v>7150</v>
      </c>
      <c r="J1531">
        <v>1531.8</v>
      </c>
      <c r="K1531">
        <v>1565.8</v>
      </c>
      <c r="L1531">
        <v>0</v>
      </c>
      <c r="M1531" t="s">
        <v>18</v>
      </c>
      <c r="N1531">
        <v>0</v>
      </c>
      <c r="O1531">
        <v>0</v>
      </c>
    </row>
    <row r="1532" spans="1:15" x14ac:dyDescent="0.2">
      <c r="A1532" s="6">
        <v>45839</v>
      </c>
      <c r="B1532" t="s">
        <v>15</v>
      </c>
      <c r="C1532" t="s">
        <v>16</v>
      </c>
      <c r="D1532" s="1">
        <v>45855</v>
      </c>
      <c r="E1532" t="s">
        <v>17</v>
      </c>
      <c r="F1532">
        <v>6700</v>
      </c>
      <c r="G1532">
        <v>15.8</v>
      </c>
      <c r="H1532">
        <v>17.8</v>
      </c>
      <c r="I1532">
        <v>14.7</v>
      </c>
      <c r="J1532">
        <v>15.9</v>
      </c>
      <c r="K1532">
        <v>18.5</v>
      </c>
      <c r="L1532">
        <v>1021</v>
      </c>
      <c r="M1532" t="s">
        <v>744</v>
      </c>
      <c r="N1532">
        <v>6857.15</v>
      </c>
      <c r="O1532">
        <v>1773</v>
      </c>
    </row>
    <row r="1533" spans="1:15" x14ac:dyDescent="0.2">
      <c r="A1533" s="6">
        <v>45839</v>
      </c>
      <c r="B1533" t="s">
        <v>15</v>
      </c>
      <c r="C1533" t="s">
        <v>16</v>
      </c>
      <c r="D1533" s="1">
        <v>45855</v>
      </c>
      <c r="E1533" t="s">
        <v>17</v>
      </c>
      <c r="F1533">
        <v>6800</v>
      </c>
      <c r="G1533">
        <v>15.8</v>
      </c>
      <c r="H1533">
        <v>16.600000000000001</v>
      </c>
      <c r="I1533">
        <v>14.1</v>
      </c>
      <c r="J1533">
        <v>14.8</v>
      </c>
      <c r="K1533">
        <v>17.5</v>
      </c>
      <c r="L1533">
        <v>858</v>
      </c>
      <c r="M1533" t="s">
        <v>745</v>
      </c>
      <c r="N1533">
        <v>5847.26</v>
      </c>
      <c r="O1533">
        <v>1308</v>
      </c>
    </row>
    <row r="1534" spans="1:15" x14ac:dyDescent="0.2">
      <c r="A1534" s="6">
        <v>45839</v>
      </c>
      <c r="B1534" t="s">
        <v>15</v>
      </c>
      <c r="C1534" t="s">
        <v>16</v>
      </c>
      <c r="D1534" s="1">
        <v>45855</v>
      </c>
      <c r="E1534" t="s">
        <v>19</v>
      </c>
      <c r="F1534">
        <v>4550</v>
      </c>
      <c r="G1534">
        <v>9.6</v>
      </c>
      <c r="H1534">
        <v>9.6</v>
      </c>
      <c r="I1534">
        <v>9.6</v>
      </c>
      <c r="J1534">
        <v>9.6</v>
      </c>
      <c r="K1534">
        <v>14.3</v>
      </c>
      <c r="L1534">
        <v>1</v>
      </c>
      <c r="M1534" t="s">
        <v>155</v>
      </c>
      <c r="N1534">
        <v>4.5599999999999996</v>
      </c>
      <c r="O1534">
        <v>4</v>
      </c>
    </row>
    <row r="1535" spans="1:15" x14ac:dyDescent="0.2">
      <c r="A1535" s="6">
        <v>45839</v>
      </c>
      <c r="B1535" t="s">
        <v>15</v>
      </c>
      <c r="C1535" t="s">
        <v>16</v>
      </c>
      <c r="D1535" s="1">
        <v>45855</v>
      </c>
      <c r="E1535" t="s">
        <v>17</v>
      </c>
      <c r="F1535">
        <v>7350</v>
      </c>
      <c r="G1535">
        <v>13.9</v>
      </c>
      <c r="H1535">
        <v>13.9</v>
      </c>
      <c r="I1535">
        <v>10</v>
      </c>
      <c r="J1535">
        <v>11.9</v>
      </c>
      <c r="K1535">
        <v>13.9</v>
      </c>
      <c r="L1535">
        <v>110</v>
      </c>
      <c r="M1535" t="s">
        <v>229</v>
      </c>
      <c r="N1535">
        <v>809.75</v>
      </c>
      <c r="O1535">
        <v>264</v>
      </c>
    </row>
    <row r="1536" spans="1:15" x14ac:dyDescent="0.2">
      <c r="A1536" s="6">
        <v>45839</v>
      </c>
      <c r="B1536" t="s">
        <v>15</v>
      </c>
      <c r="C1536" t="s">
        <v>16</v>
      </c>
      <c r="D1536" s="1">
        <v>45855</v>
      </c>
      <c r="E1536" t="s">
        <v>17</v>
      </c>
      <c r="F1536">
        <v>6850</v>
      </c>
      <c r="G1536">
        <v>14.3</v>
      </c>
      <c r="H1536">
        <v>15.2</v>
      </c>
      <c r="I1536">
        <v>12.1</v>
      </c>
      <c r="J1536">
        <v>13.6</v>
      </c>
      <c r="K1536">
        <v>15.8</v>
      </c>
      <c r="L1536">
        <v>183</v>
      </c>
      <c r="M1536" t="s">
        <v>725</v>
      </c>
      <c r="N1536">
        <v>1256.1300000000001</v>
      </c>
      <c r="O1536">
        <v>395</v>
      </c>
    </row>
    <row r="1537" spans="1:15" x14ac:dyDescent="0.2">
      <c r="A1537" s="6">
        <v>45839</v>
      </c>
      <c r="B1537" t="s">
        <v>15</v>
      </c>
      <c r="C1537" t="s">
        <v>16</v>
      </c>
      <c r="D1537" s="1">
        <v>45855</v>
      </c>
      <c r="E1537" t="s">
        <v>19</v>
      </c>
      <c r="F1537">
        <v>4700</v>
      </c>
      <c r="G1537">
        <v>13.3</v>
      </c>
      <c r="H1537">
        <v>13.6</v>
      </c>
      <c r="I1537">
        <v>10.4</v>
      </c>
      <c r="J1537">
        <v>11.2</v>
      </c>
      <c r="K1537">
        <v>14.1</v>
      </c>
      <c r="L1537">
        <v>404</v>
      </c>
      <c r="M1537" t="s">
        <v>746</v>
      </c>
      <c r="N1537">
        <v>1903.64</v>
      </c>
      <c r="O1537">
        <v>119</v>
      </c>
    </row>
    <row r="1538" spans="1:15" x14ac:dyDescent="0.2">
      <c r="A1538" s="6">
        <v>45839</v>
      </c>
      <c r="B1538" t="s">
        <v>15</v>
      </c>
      <c r="C1538" t="s">
        <v>16</v>
      </c>
      <c r="D1538" s="1">
        <v>45855</v>
      </c>
      <c r="E1538" t="s">
        <v>19</v>
      </c>
      <c r="F1538">
        <v>3750</v>
      </c>
      <c r="J1538">
        <v>0.1</v>
      </c>
      <c r="K1538">
        <v>0.1</v>
      </c>
      <c r="L1538">
        <v>0</v>
      </c>
      <c r="M1538" t="s">
        <v>18</v>
      </c>
      <c r="N1538">
        <v>0</v>
      </c>
      <c r="O1538">
        <v>0</v>
      </c>
    </row>
    <row r="1539" spans="1:15" x14ac:dyDescent="0.2">
      <c r="A1539" s="6">
        <v>45839</v>
      </c>
      <c r="B1539" t="s">
        <v>15</v>
      </c>
      <c r="C1539" t="s">
        <v>16</v>
      </c>
      <c r="D1539" s="1">
        <v>45855</v>
      </c>
      <c r="E1539" t="s">
        <v>17</v>
      </c>
      <c r="F1539">
        <v>6650</v>
      </c>
      <c r="G1539">
        <v>19.5</v>
      </c>
      <c r="H1539">
        <v>19.600000000000001</v>
      </c>
      <c r="I1539">
        <v>16.7</v>
      </c>
      <c r="J1539">
        <v>17.5</v>
      </c>
      <c r="K1539">
        <v>20.6</v>
      </c>
      <c r="L1539">
        <v>445</v>
      </c>
      <c r="M1539" t="s">
        <v>156</v>
      </c>
      <c r="N1539">
        <v>2967.29</v>
      </c>
      <c r="O1539">
        <v>413</v>
      </c>
    </row>
    <row r="1540" spans="1:15" x14ac:dyDescent="0.2">
      <c r="A1540" s="6">
        <v>45839</v>
      </c>
      <c r="B1540" t="s">
        <v>15</v>
      </c>
      <c r="C1540" t="s">
        <v>16</v>
      </c>
      <c r="D1540" s="1">
        <v>45855</v>
      </c>
      <c r="E1540" t="s">
        <v>19</v>
      </c>
      <c r="F1540">
        <v>5450</v>
      </c>
      <c r="G1540">
        <v>114.5</v>
      </c>
      <c r="H1540">
        <v>119.4</v>
      </c>
      <c r="I1540">
        <v>81.5</v>
      </c>
      <c r="J1540">
        <v>90.5</v>
      </c>
      <c r="K1540">
        <v>108</v>
      </c>
      <c r="L1540">
        <v>31441</v>
      </c>
      <c r="M1540" t="s">
        <v>747</v>
      </c>
      <c r="N1540">
        <v>174361.95</v>
      </c>
      <c r="O1540">
        <v>917</v>
      </c>
    </row>
    <row r="1541" spans="1:15" x14ac:dyDescent="0.2">
      <c r="A1541" s="6">
        <v>45839</v>
      </c>
      <c r="B1541" t="s">
        <v>15</v>
      </c>
      <c r="C1541" t="s">
        <v>16</v>
      </c>
      <c r="D1541" s="1">
        <v>45855</v>
      </c>
      <c r="E1541" t="s">
        <v>17</v>
      </c>
      <c r="F1541">
        <v>3750</v>
      </c>
      <c r="J1541">
        <v>1860.1</v>
      </c>
      <c r="K1541">
        <v>1825.9</v>
      </c>
      <c r="L1541">
        <v>0</v>
      </c>
      <c r="M1541" t="s">
        <v>18</v>
      </c>
      <c r="N1541">
        <v>0</v>
      </c>
      <c r="O1541">
        <v>0</v>
      </c>
    </row>
    <row r="1542" spans="1:15" x14ac:dyDescent="0.2">
      <c r="A1542" s="6">
        <v>45839</v>
      </c>
      <c r="B1542" t="s">
        <v>15</v>
      </c>
      <c r="C1542" t="s">
        <v>16</v>
      </c>
      <c r="D1542" s="1">
        <v>45855</v>
      </c>
      <c r="E1542" t="s">
        <v>19</v>
      </c>
      <c r="F1542">
        <v>6750</v>
      </c>
      <c r="G1542">
        <v>1187.2</v>
      </c>
      <c r="H1542">
        <v>1187.2</v>
      </c>
      <c r="I1542">
        <v>1187.2</v>
      </c>
      <c r="J1542">
        <v>1187.2</v>
      </c>
      <c r="K1542">
        <v>1171.8</v>
      </c>
      <c r="L1542">
        <v>12</v>
      </c>
      <c r="M1542" t="s">
        <v>180</v>
      </c>
      <c r="N1542">
        <v>95.25</v>
      </c>
      <c r="O1542">
        <v>19</v>
      </c>
    </row>
    <row r="1543" spans="1:15" x14ac:dyDescent="0.2">
      <c r="A1543" s="6">
        <v>45839</v>
      </c>
      <c r="B1543" t="s">
        <v>15</v>
      </c>
      <c r="C1543" t="s">
        <v>16</v>
      </c>
      <c r="D1543" s="1">
        <v>45855</v>
      </c>
      <c r="E1543" t="s">
        <v>19</v>
      </c>
      <c r="F1543">
        <v>7700</v>
      </c>
      <c r="J1543">
        <v>2079.6</v>
      </c>
      <c r="K1543">
        <v>2113.1999999999998</v>
      </c>
      <c r="L1543">
        <v>0</v>
      </c>
      <c r="M1543" t="s">
        <v>18</v>
      </c>
      <c r="N1543">
        <v>0</v>
      </c>
      <c r="O1543">
        <v>0</v>
      </c>
    </row>
    <row r="1544" spans="1:15" x14ac:dyDescent="0.2">
      <c r="A1544" s="6">
        <v>45839</v>
      </c>
      <c r="B1544" t="s">
        <v>15</v>
      </c>
      <c r="C1544" t="s">
        <v>16</v>
      </c>
      <c r="D1544" s="1">
        <v>45855</v>
      </c>
      <c r="E1544" t="s">
        <v>17</v>
      </c>
      <c r="F1544">
        <v>7150</v>
      </c>
      <c r="G1544">
        <v>13.4</v>
      </c>
      <c r="H1544">
        <v>15</v>
      </c>
      <c r="I1544">
        <v>12</v>
      </c>
      <c r="J1544">
        <v>13.5</v>
      </c>
      <c r="K1544">
        <v>14.8</v>
      </c>
      <c r="L1544">
        <v>74</v>
      </c>
      <c r="M1544" t="s">
        <v>95</v>
      </c>
      <c r="N1544">
        <v>530.1</v>
      </c>
      <c r="O1544">
        <v>152</v>
      </c>
    </row>
    <row r="1545" spans="1:15" x14ac:dyDescent="0.2">
      <c r="A1545" s="6">
        <v>45839</v>
      </c>
      <c r="B1545" t="s">
        <v>15</v>
      </c>
      <c r="C1545" t="s">
        <v>16</v>
      </c>
      <c r="D1545" s="1">
        <v>45855</v>
      </c>
      <c r="E1545" t="s">
        <v>17</v>
      </c>
      <c r="F1545">
        <v>6050</v>
      </c>
      <c r="G1545">
        <v>36.5</v>
      </c>
      <c r="H1545">
        <v>46.5</v>
      </c>
      <c r="I1545">
        <v>35.9</v>
      </c>
      <c r="J1545">
        <v>39.5</v>
      </c>
      <c r="K1545">
        <v>41.1</v>
      </c>
      <c r="L1545">
        <v>3388</v>
      </c>
      <c r="M1545" t="s">
        <v>748</v>
      </c>
      <c r="N1545">
        <v>20634.38</v>
      </c>
      <c r="O1545">
        <v>878</v>
      </c>
    </row>
    <row r="1546" spans="1:15" x14ac:dyDescent="0.2">
      <c r="A1546" s="6">
        <v>45839</v>
      </c>
      <c r="B1546" t="s">
        <v>15</v>
      </c>
      <c r="C1546" t="s">
        <v>16</v>
      </c>
      <c r="D1546" s="1">
        <v>45855</v>
      </c>
      <c r="E1546" t="s">
        <v>19</v>
      </c>
      <c r="F1546">
        <v>3700</v>
      </c>
      <c r="G1546">
        <v>5.0999999999999996</v>
      </c>
      <c r="H1546">
        <v>5.6</v>
      </c>
      <c r="I1546">
        <v>4.7</v>
      </c>
      <c r="J1546">
        <v>5.0999999999999996</v>
      </c>
      <c r="K1546">
        <v>0.1</v>
      </c>
      <c r="L1546">
        <v>25</v>
      </c>
      <c r="M1546" t="s">
        <v>465</v>
      </c>
      <c r="N1546">
        <v>92.63</v>
      </c>
      <c r="O1546">
        <v>10</v>
      </c>
    </row>
    <row r="1547" spans="1:15" x14ac:dyDescent="0.2">
      <c r="A1547" s="6">
        <v>45839</v>
      </c>
      <c r="B1547" t="s">
        <v>15</v>
      </c>
      <c r="C1547" t="s">
        <v>16</v>
      </c>
      <c r="D1547" s="1">
        <v>45855</v>
      </c>
      <c r="E1547" t="s">
        <v>19</v>
      </c>
      <c r="F1547">
        <v>5300</v>
      </c>
      <c r="G1547">
        <v>64.099999999999994</v>
      </c>
      <c r="H1547">
        <v>67.8</v>
      </c>
      <c r="I1547">
        <v>44.9</v>
      </c>
      <c r="J1547">
        <v>50.2</v>
      </c>
      <c r="K1547">
        <v>61.9</v>
      </c>
      <c r="L1547">
        <v>37962</v>
      </c>
      <c r="M1547" t="s">
        <v>749</v>
      </c>
      <c r="N1547">
        <v>203220.98</v>
      </c>
      <c r="O1547">
        <v>2493</v>
      </c>
    </row>
    <row r="1548" spans="1:15" x14ac:dyDescent="0.2">
      <c r="A1548" s="6">
        <v>45839</v>
      </c>
      <c r="B1548" t="s">
        <v>15</v>
      </c>
      <c r="C1548" t="s">
        <v>16</v>
      </c>
      <c r="D1548" s="1">
        <v>45855</v>
      </c>
      <c r="E1548" t="s">
        <v>19</v>
      </c>
      <c r="F1548">
        <v>6400</v>
      </c>
      <c r="G1548">
        <v>860.9</v>
      </c>
      <c r="H1548">
        <v>860.9</v>
      </c>
      <c r="I1548">
        <v>786.6</v>
      </c>
      <c r="J1548">
        <v>805.9</v>
      </c>
      <c r="K1548">
        <v>813</v>
      </c>
      <c r="L1548">
        <v>391</v>
      </c>
      <c r="M1548" t="s">
        <v>750</v>
      </c>
      <c r="N1548">
        <v>2820.37</v>
      </c>
      <c r="O1548">
        <v>815</v>
      </c>
    </row>
    <row r="1549" spans="1:15" x14ac:dyDescent="0.2">
      <c r="A1549" s="6">
        <v>45839</v>
      </c>
      <c r="B1549" t="s">
        <v>15</v>
      </c>
      <c r="C1549" t="s">
        <v>16</v>
      </c>
      <c r="D1549" s="1">
        <v>45855</v>
      </c>
      <c r="E1549" t="s">
        <v>19</v>
      </c>
      <c r="F1549">
        <v>5400</v>
      </c>
      <c r="G1549">
        <v>92.6</v>
      </c>
      <c r="H1549">
        <v>99.6</v>
      </c>
      <c r="I1549">
        <v>66.8</v>
      </c>
      <c r="J1549">
        <v>74.400000000000006</v>
      </c>
      <c r="K1549">
        <v>90</v>
      </c>
      <c r="L1549">
        <v>51873</v>
      </c>
      <c r="M1549" t="s">
        <v>751</v>
      </c>
      <c r="N1549">
        <v>284208.74</v>
      </c>
      <c r="O1549">
        <v>3196</v>
      </c>
    </row>
    <row r="1550" spans="1:15" x14ac:dyDescent="0.2">
      <c r="A1550" s="6">
        <v>45839</v>
      </c>
      <c r="B1550" t="s">
        <v>15</v>
      </c>
      <c r="C1550" t="s">
        <v>16</v>
      </c>
      <c r="D1550" s="1">
        <v>45855</v>
      </c>
      <c r="E1550" t="s">
        <v>17</v>
      </c>
      <c r="F1550">
        <v>6550</v>
      </c>
      <c r="G1550">
        <v>20.100000000000001</v>
      </c>
      <c r="H1550">
        <v>21</v>
      </c>
      <c r="I1550">
        <v>17.100000000000001</v>
      </c>
      <c r="J1550">
        <v>18.399999999999999</v>
      </c>
      <c r="K1550">
        <v>20.8</v>
      </c>
      <c r="L1550">
        <v>916</v>
      </c>
      <c r="M1550" t="s">
        <v>752</v>
      </c>
      <c r="N1550">
        <v>6017.3</v>
      </c>
      <c r="O1550">
        <v>1048</v>
      </c>
    </row>
    <row r="1551" spans="1:15" x14ac:dyDescent="0.2">
      <c r="A1551" s="6">
        <v>45839</v>
      </c>
      <c r="B1551" t="s">
        <v>15</v>
      </c>
      <c r="C1551" t="s">
        <v>16</v>
      </c>
      <c r="D1551" s="1">
        <v>45855</v>
      </c>
      <c r="E1551" t="s">
        <v>19</v>
      </c>
      <c r="F1551">
        <v>5700</v>
      </c>
      <c r="G1551">
        <v>236</v>
      </c>
      <c r="H1551">
        <v>254</v>
      </c>
      <c r="I1551">
        <v>190.1</v>
      </c>
      <c r="J1551">
        <v>207.1</v>
      </c>
      <c r="K1551">
        <v>236</v>
      </c>
      <c r="L1551">
        <v>46386</v>
      </c>
      <c r="M1551" t="s">
        <v>753</v>
      </c>
      <c r="N1551">
        <v>274217.84000000003</v>
      </c>
      <c r="O1551">
        <v>2484</v>
      </c>
    </row>
    <row r="1552" spans="1:15" x14ac:dyDescent="0.2">
      <c r="A1552" s="6">
        <v>45839</v>
      </c>
      <c r="B1552" t="s">
        <v>15</v>
      </c>
      <c r="C1552" t="s">
        <v>16</v>
      </c>
      <c r="D1552" s="1">
        <v>45855</v>
      </c>
      <c r="E1552" t="s">
        <v>19</v>
      </c>
      <c r="F1552">
        <v>4450</v>
      </c>
      <c r="J1552">
        <v>0.9</v>
      </c>
      <c r="K1552">
        <v>15.6</v>
      </c>
      <c r="L1552">
        <v>0</v>
      </c>
      <c r="M1552" t="s">
        <v>18</v>
      </c>
      <c r="N1552">
        <v>0</v>
      </c>
      <c r="O1552">
        <v>1</v>
      </c>
    </row>
    <row r="1553" spans="1:15" x14ac:dyDescent="0.2">
      <c r="A1553" s="6">
        <v>45839</v>
      </c>
      <c r="B1553" t="s">
        <v>15</v>
      </c>
      <c r="C1553" t="s">
        <v>16</v>
      </c>
      <c r="D1553" s="1">
        <v>45855</v>
      </c>
      <c r="E1553" t="s">
        <v>17</v>
      </c>
      <c r="F1553">
        <v>7650</v>
      </c>
      <c r="G1553">
        <v>9.9</v>
      </c>
      <c r="H1553">
        <v>9.9</v>
      </c>
      <c r="I1553">
        <v>5.2</v>
      </c>
      <c r="J1553">
        <v>7.8</v>
      </c>
      <c r="K1553">
        <v>9.9</v>
      </c>
      <c r="L1553">
        <v>105</v>
      </c>
      <c r="M1553" t="s">
        <v>123</v>
      </c>
      <c r="N1553">
        <v>804.11</v>
      </c>
      <c r="O1553">
        <v>217</v>
      </c>
    </row>
    <row r="1554" spans="1:15" x14ac:dyDescent="0.2">
      <c r="A1554" s="6">
        <v>45839</v>
      </c>
      <c r="B1554" t="s">
        <v>15</v>
      </c>
      <c r="C1554" t="s">
        <v>16</v>
      </c>
      <c r="D1554" s="1">
        <v>45855</v>
      </c>
      <c r="E1554" t="s">
        <v>19</v>
      </c>
      <c r="F1554">
        <v>5900</v>
      </c>
      <c r="G1554">
        <v>391</v>
      </c>
      <c r="H1554">
        <v>399.9</v>
      </c>
      <c r="I1554">
        <v>321</v>
      </c>
      <c r="J1554">
        <v>343.3</v>
      </c>
      <c r="K1554">
        <v>378.4</v>
      </c>
      <c r="L1554">
        <v>932</v>
      </c>
      <c r="M1554" t="s">
        <v>718</v>
      </c>
      <c r="N1554">
        <v>5824.78</v>
      </c>
      <c r="O1554">
        <v>542</v>
      </c>
    </row>
    <row r="1555" spans="1:15" x14ac:dyDescent="0.2">
      <c r="A1555" s="6">
        <v>45839</v>
      </c>
      <c r="B1555" t="s">
        <v>15</v>
      </c>
      <c r="C1555" t="s">
        <v>16</v>
      </c>
      <c r="D1555" s="1">
        <v>45855</v>
      </c>
      <c r="E1555" t="s">
        <v>19</v>
      </c>
      <c r="F1555">
        <v>5050</v>
      </c>
      <c r="G1555">
        <v>24.7</v>
      </c>
      <c r="H1555">
        <v>28.2</v>
      </c>
      <c r="I1555">
        <v>19.100000000000001</v>
      </c>
      <c r="J1555">
        <v>20.7</v>
      </c>
      <c r="K1555">
        <v>26.5</v>
      </c>
      <c r="L1555">
        <v>1032</v>
      </c>
      <c r="M1555" t="s">
        <v>754</v>
      </c>
      <c r="N1555">
        <v>5235.2299999999996</v>
      </c>
      <c r="O1555">
        <v>353</v>
      </c>
    </row>
    <row r="1556" spans="1:15" x14ac:dyDescent="0.2">
      <c r="A1556" s="6">
        <v>45839</v>
      </c>
      <c r="B1556" t="s">
        <v>15</v>
      </c>
      <c r="C1556" t="s">
        <v>16</v>
      </c>
      <c r="D1556" s="1">
        <v>45855</v>
      </c>
      <c r="E1556" t="s">
        <v>19</v>
      </c>
      <c r="F1556">
        <v>4950</v>
      </c>
      <c r="G1556">
        <v>21.3</v>
      </c>
      <c r="H1556">
        <v>22.4</v>
      </c>
      <c r="I1556">
        <v>15</v>
      </c>
      <c r="J1556">
        <v>16</v>
      </c>
      <c r="K1556">
        <v>21.2</v>
      </c>
      <c r="L1556">
        <v>506</v>
      </c>
      <c r="M1556" t="s">
        <v>755</v>
      </c>
      <c r="N1556">
        <v>2513.61</v>
      </c>
      <c r="O1556">
        <v>268</v>
      </c>
    </row>
    <row r="1557" spans="1:15" x14ac:dyDescent="0.2">
      <c r="A1557" s="6">
        <v>45839</v>
      </c>
      <c r="B1557" t="s">
        <v>15</v>
      </c>
      <c r="C1557" t="s">
        <v>16</v>
      </c>
      <c r="D1557" s="1">
        <v>45855</v>
      </c>
      <c r="E1557" t="s">
        <v>17</v>
      </c>
      <c r="F1557">
        <v>6750</v>
      </c>
      <c r="G1557">
        <v>15</v>
      </c>
      <c r="H1557">
        <v>19.8</v>
      </c>
      <c r="I1557">
        <v>13.9</v>
      </c>
      <c r="J1557">
        <v>15.5</v>
      </c>
      <c r="K1557">
        <v>19</v>
      </c>
      <c r="L1557">
        <v>184</v>
      </c>
      <c r="M1557" t="s">
        <v>756</v>
      </c>
      <c r="N1557">
        <v>1245.01</v>
      </c>
      <c r="O1557">
        <v>265</v>
      </c>
    </row>
    <row r="1558" spans="1:15" x14ac:dyDescent="0.2">
      <c r="A1558" s="6">
        <v>45839</v>
      </c>
      <c r="B1558" t="s">
        <v>15</v>
      </c>
      <c r="C1558" t="s">
        <v>16</v>
      </c>
      <c r="D1558" s="1">
        <v>45855</v>
      </c>
      <c r="E1558" t="s">
        <v>17</v>
      </c>
      <c r="F1558">
        <v>5600</v>
      </c>
      <c r="G1558">
        <v>41</v>
      </c>
      <c r="H1558">
        <v>194.6</v>
      </c>
      <c r="I1558">
        <v>41</v>
      </c>
      <c r="J1558">
        <v>170</v>
      </c>
      <c r="K1558">
        <v>161.19999999999999</v>
      </c>
      <c r="L1558">
        <v>165815</v>
      </c>
      <c r="M1558" t="s">
        <v>757</v>
      </c>
      <c r="N1558">
        <v>956684.91</v>
      </c>
      <c r="O1558">
        <v>9421</v>
      </c>
    </row>
    <row r="1559" spans="1:15" x14ac:dyDescent="0.2">
      <c r="A1559" s="6">
        <v>45839</v>
      </c>
      <c r="B1559" t="s">
        <v>15</v>
      </c>
      <c r="C1559" t="s">
        <v>16</v>
      </c>
      <c r="D1559" s="1">
        <v>45855</v>
      </c>
      <c r="E1559" t="s">
        <v>17</v>
      </c>
      <c r="F1559">
        <v>3850</v>
      </c>
      <c r="J1559">
        <v>1760.4</v>
      </c>
      <c r="K1559">
        <v>1726.2</v>
      </c>
      <c r="L1559">
        <v>0</v>
      </c>
      <c r="M1559" t="s">
        <v>18</v>
      </c>
      <c r="N1559">
        <v>0</v>
      </c>
      <c r="O1559">
        <v>0</v>
      </c>
    </row>
    <row r="1560" spans="1:15" x14ac:dyDescent="0.2">
      <c r="A1560" s="6">
        <v>45839</v>
      </c>
      <c r="B1560" t="s">
        <v>15</v>
      </c>
      <c r="C1560" t="s">
        <v>16</v>
      </c>
      <c r="D1560" s="1">
        <v>45855</v>
      </c>
      <c r="E1560" t="s">
        <v>19</v>
      </c>
      <c r="F1560">
        <v>4250</v>
      </c>
      <c r="J1560">
        <v>0.2</v>
      </c>
      <c r="K1560">
        <v>0.4</v>
      </c>
      <c r="L1560">
        <v>0</v>
      </c>
      <c r="M1560" t="s">
        <v>18</v>
      </c>
      <c r="N1560">
        <v>0</v>
      </c>
      <c r="O1560">
        <v>0</v>
      </c>
    </row>
    <row r="1561" spans="1:15" x14ac:dyDescent="0.2">
      <c r="A1561" s="6">
        <v>45839</v>
      </c>
      <c r="B1561" t="s">
        <v>15</v>
      </c>
      <c r="C1561" t="s">
        <v>16</v>
      </c>
      <c r="D1561" s="1">
        <v>45855</v>
      </c>
      <c r="E1561" t="s">
        <v>17</v>
      </c>
      <c r="F1561">
        <v>5750</v>
      </c>
      <c r="G1561">
        <v>92</v>
      </c>
      <c r="H1561">
        <v>123.5</v>
      </c>
      <c r="I1561">
        <v>89</v>
      </c>
      <c r="J1561">
        <v>105.3</v>
      </c>
      <c r="K1561">
        <v>101.1</v>
      </c>
      <c r="L1561">
        <v>28891</v>
      </c>
      <c r="M1561" t="s">
        <v>758</v>
      </c>
      <c r="N1561">
        <v>169181.9</v>
      </c>
      <c r="O1561">
        <v>1501</v>
      </c>
    </row>
    <row r="1562" spans="1:15" x14ac:dyDescent="0.2">
      <c r="A1562" s="6">
        <v>45839</v>
      </c>
      <c r="B1562" t="s">
        <v>15</v>
      </c>
      <c r="C1562" t="s">
        <v>16</v>
      </c>
      <c r="D1562" s="1">
        <v>45855</v>
      </c>
      <c r="E1562" t="s">
        <v>19</v>
      </c>
      <c r="F1562">
        <v>4600</v>
      </c>
      <c r="G1562">
        <v>11.6</v>
      </c>
      <c r="H1562">
        <v>11.7</v>
      </c>
      <c r="I1562">
        <v>10</v>
      </c>
      <c r="J1562">
        <v>10.8</v>
      </c>
      <c r="K1562">
        <v>12.3</v>
      </c>
      <c r="L1562">
        <v>209</v>
      </c>
      <c r="M1562" t="s">
        <v>759</v>
      </c>
      <c r="N1562">
        <v>963.64</v>
      </c>
      <c r="O1562">
        <v>67</v>
      </c>
    </row>
    <row r="1563" spans="1:15" x14ac:dyDescent="0.2">
      <c r="A1563" s="6">
        <v>45839</v>
      </c>
      <c r="B1563" t="s">
        <v>15</v>
      </c>
      <c r="C1563" t="s">
        <v>16</v>
      </c>
      <c r="D1563" s="1">
        <v>45855</v>
      </c>
      <c r="E1563" t="s">
        <v>17</v>
      </c>
      <c r="F1563">
        <v>3800</v>
      </c>
      <c r="J1563">
        <v>1810.2</v>
      </c>
      <c r="K1563">
        <v>1776</v>
      </c>
      <c r="L1563">
        <v>0</v>
      </c>
      <c r="M1563" t="s">
        <v>18</v>
      </c>
      <c r="N1563">
        <v>0</v>
      </c>
      <c r="O1563">
        <v>0</v>
      </c>
    </row>
    <row r="1564" spans="1:15" x14ac:dyDescent="0.2">
      <c r="A1564" s="6">
        <v>45839</v>
      </c>
      <c r="B1564" t="s">
        <v>15</v>
      </c>
      <c r="C1564" t="s">
        <v>16</v>
      </c>
      <c r="D1564" s="1">
        <v>45855</v>
      </c>
      <c r="E1564" t="s">
        <v>19</v>
      </c>
      <c r="F1564">
        <v>7600</v>
      </c>
      <c r="J1564">
        <v>1979.9</v>
      </c>
      <c r="K1564">
        <v>2013.5</v>
      </c>
      <c r="L1564">
        <v>0</v>
      </c>
      <c r="M1564" t="s">
        <v>18</v>
      </c>
      <c r="N1564">
        <v>0</v>
      </c>
      <c r="O1564">
        <v>0</v>
      </c>
    </row>
    <row r="1565" spans="1:15" x14ac:dyDescent="0.2">
      <c r="A1565" s="6">
        <v>45839</v>
      </c>
      <c r="B1565" t="s">
        <v>15</v>
      </c>
      <c r="C1565" t="s">
        <v>16</v>
      </c>
      <c r="D1565" s="1">
        <v>45855</v>
      </c>
      <c r="E1565" t="s">
        <v>17</v>
      </c>
      <c r="F1565">
        <v>7250</v>
      </c>
      <c r="G1565">
        <v>12.6</v>
      </c>
      <c r="H1565">
        <v>13.2</v>
      </c>
      <c r="I1565">
        <v>10.8</v>
      </c>
      <c r="J1565">
        <v>12.2</v>
      </c>
      <c r="K1565">
        <v>13.9</v>
      </c>
      <c r="L1565">
        <v>25</v>
      </c>
      <c r="M1565" t="s">
        <v>465</v>
      </c>
      <c r="N1565">
        <v>181.55</v>
      </c>
      <c r="O1565">
        <v>144</v>
      </c>
    </row>
    <row r="1566" spans="1:15" x14ac:dyDescent="0.2">
      <c r="A1566" s="6">
        <v>45839</v>
      </c>
      <c r="B1566" t="s">
        <v>15</v>
      </c>
      <c r="C1566" t="s">
        <v>16</v>
      </c>
      <c r="D1566" s="1">
        <v>45855</v>
      </c>
      <c r="E1566" t="s">
        <v>19</v>
      </c>
      <c r="F1566">
        <v>6200</v>
      </c>
      <c r="G1566">
        <v>666.9</v>
      </c>
      <c r="H1566">
        <v>670.4</v>
      </c>
      <c r="I1566">
        <v>591.1</v>
      </c>
      <c r="J1566">
        <v>612.29999999999995</v>
      </c>
      <c r="K1566">
        <v>661.7</v>
      </c>
      <c r="L1566">
        <v>76</v>
      </c>
      <c r="M1566" t="s">
        <v>192</v>
      </c>
      <c r="N1566">
        <v>520.79</v>
      </c>
      <c r="O1566">
        <v>697</v>
      </c>
    </row>
    <row r="1567" spans="1:15" x14ac:dyDescent="0.2">
      <c r="A1567" s="6">
        <v>45839</v>
      </c>
      <c r="B1567" t="s">
        <v>15</v>
      </c>
      <c r="C1567" t="s">
        <v>16</v>
      </c>
      <c r="D1567" s="1">
        <v>45855</v>
      </c>
      <c r="E1567" t="s">
        <v>19</v>
      </c>
      <c r="F1567">
        <v>6800</v>
      </c>
      <c r="J1567">
        <v>1185.9000000000001</v>
      </c>
      <c r="K1567">
        <v>1220.5999999999999</v>
      </c>
      <c r="L1567">
        <v>0</v>
      </c>
      <c r="M1567" t="s">
        <v>18</v>
      </c>
      <c r="N1567">
        <v>0</v>
      </c>
      <c r="O1567">
        <v>93</v>
      </c>
    </row>
    <row r="1568" spans="1:15" x14ac:dyDescent="0.2">
      <c r="A1568" s="6">
        <v>45839</v>
      </c>
      <c r="B1568" t="s">
        <v>15</v>
      </c>
      <c r="C1568" t="s">
        <v>16</v>
      </c>
      <c r="D1568" s="1">
        <v>45855</v>
      </c>
      <c r="E1568" t="s">
        <v>17</v>
      </c>
      <c r="F1568">
        <v>6400</v>
      </c>
      <c r="G1568">
        <v>22.3</v>
      </c>
      <c r="H1568">
        <v>24.5</v>
      </c>
      <c r="I1568">
        <v>20.8</v>
      </c>
      <c r="J1568">
        <v>22.2</v>
      </c>
      <c r="K1568">
        <v>24.6</v>
      </c>
      <c r="L1568">
        <v>5648</v>
      </c>
      <c r="M1568" t="s">
        <v>760</v>
      </c>
      <c r="N1568">
        <v>36273.67</v>
      </c>
      <c r="O1568">
        <v>4989</v>
      </c>
    </row>
    <row r="1569" spans="1:15" x14ac:dyDescent="0.2">
      <c r="A1569" s="6">
        <v>45839</v>
      </c>
      <c r="B1569" t="s">
        <v>15</v>
      </c>
      <c r="C1569" t="s">
        <v>16</v>
      </c>
      <c r="D1569" s="1">
        <v>45855</v>
      </c>
      <c r="E1569" t="s">
        <v>17</v>
      </c>
      <c r="F1569">
        <v>5650</v>
      </c>
      <c r="G1569">
        <v>129.5</v>
      </c>
      <c r="H1569">
        <v>167.9</v>
      </c>
      <c r="I1569">
        <v>123.5</v>
      </c>
      <c r="J1569">
        <v>145.30000000000001</v>
      </c>
      <c r="K1569">
        <v>138.1</v>
      </c>
      <c r="L1569">
        <v>67460</v>
      </c>
      <c r="M1569" t="s">
        <v>761</v>
      </c>
      <c r="N1569">
        <v>391004.9</v>
      </c>
      <c r="O1569">
        <v>3170</v>
      </c>
    </row>
    <row r="1570" spans="1:15" x14ac:dyDescent="0.2">
      <c r="A1570" s="6">
        <v>45839</v>
      </c>
      <c r="B1570" t="s">
        <v>15</v>
      </c>
      <c r="C1570" t="s">
        <v>16</v>
      </c>
      <c r="D1570" s="1">
        <v>45855</v>
      </c>
      <c r="E1570" t="s">
        <v>17</v>
      </c>
      <c r="F1570">
        <v>6450</v>
      </c>
      <c r="G1570">
        <v>21.9</v>
      </c>
      <c r="H1570">
        <v>23.2</v>
      </c>
      <c r="I1570">
        <v>19.3</v>
      </c>
      <c r="J1570">
        <v>20.8</v>
      </c>
      <c r="K1570">
        <v>22.8</v>
      </c>
      <c r="L1570">
        <v>811</v>
      </c>
      <c r="M1570" t="s">
        <v>762</v>
      </c>
      <c r="N1570">
        <v>5248.23</v>
      </c>
      <c r="O1570">
        <v>1471</v>
      </c>
    </row>
    <row r="1571" spans="1:15" x14ac:dyDescent="0.2">
      <c r="A1571" s="6">
        <v>45839</v>
      </c>
      <c r="B1571" t="s">
        <v>15</v>
      </c>
      <c r="C1571" t="s">
        <v>16</v>
      </c>
      <c r="D1571" s="1">
        <v>45855</v>
      </c>
      <c r="E1571" t="s">
        <v>17</v>
      </c>
      <c r="F1571">
        <v>5500</v>
      </c>
      <c r="G1571">
        <v>212.1</v>
      </c>
      <c r="H1571">
        <v>253.4</v>
      </c>
      <c r="I1571">
        <v>189.6</v>
      </c>
      <c r="J1571">
        <v>224.8</v>
      </c>
      <c r="K1571">
        <v>212.1</v>
      </c>
      <c r="L1571">
        <v>54556</v>
      </c>
      <c r="M1571" t="s">
        <v>763</v>
      </c>
      <c r="N1571">
        <v>312202.96999999997</v>
      </c>
      <c r="O1571">
        <v>3058</v>
      </c>
    </row>
    <row r="1572" spans="1:15" x14ac:dyDescent="0.2">
      <c r="A1572" s="6">
        <v>45839</v>
      </c>
      <c r="B1572" t="s">
        <v>15</v>
      </c>
      <c r="C1572" t="s">
        <v>16</v>
      </c>
      <c r="D1572" s="1">
        <v>45855</v>
      </c>
      <c r="E1572" t="s">
        <v>17</v>
      </c>
      <c r="F1572">
        <v>4550</v>
      </c>
      <c r="J1572">
        <v>1064.0999999999999</v>
      </c>
      <c r="K1572">
        <v>1031.5</v>
      </c>
      <c r="L1572">
        <v>0</v>
      </c>
      <c r="M1572" t="s">
        <v>18</v>
      </c>
      <c r="N1572">
        <v>0</v>
      </c>
      <c r="O1572">
        <v>0</v>
      </c>
    </row>
    <row r="1573" spans="1:15" x14ac:dyDescent="0.2">
      <c r="A1573" s="6">
        <v>45839</v>
      </c>
      <c r="B1573" t="s">
        <v>15</v>
      </c>
      <c r="C1573" t="s">
        <v>16</v>
      </c>
      <c r="D1573" s="1">
        <v>45855</v>
      </c>
      <c r="E1573" t="s">
        <v>19</v>
      </c>
      <c r="F1573">
        <v>4100</v>
      </c>
      <c r="J1573">
        <v>0.1</v>
      </c>
      <c r="K1573">
        <v>0.1</v>
      </c>
      <c r="L1573">
        <v>0</v>
      </c>
      <c r="M1573" t="s">
        <v>18</v>
      </c>
      <c r="N1573">
        <v>0</v>
      </c>
      <c r="O1573">
        <v>0</v>
      </c>
    </row>
    <row r="1574" spans="1:15" x14ac:dyDescent="0.2">
      <c r="A1574" s="6">
        <v>45839</v>
      </c>
      <c r="B1574" t="s">
        <v>15</v>
      </c>
      <c r="C1574" t="s">
        <v>16</v>
      </c>
      <c r="D1574" s="1">
        <v>45855</v>
      </c>
      <c r="E1574" t="s">
        <v>17</v>
      </c>
      <c r="F1574">
        <v>6000</v>
      </c>
      <c r="G1574">
        <v>38</v>
      </c>
      <c r="H1574">
        <v>53.5</v>
      </c>
      <c r="I1574">
        <v>38</v>
      </c>
      <c r="J1574">
        <v>45.5</v>
      </c>
      <c r="K1574">
        <v>46.1</v>
      </c>
      <c r="L1574">
        <v>42485</v>
      </c>
      <c r="M1574" t="s">
        <v>764</v>
      </c>
      <c r="N1574">
        <v>256864.08</v>
      </c>
      <c r="O1574">
        <v>8592</v>
      </c>
    </row>
    <row r="1575" spans="1:15" x14ac:dyDescent="0.2">
      <c r="A1575" s="6">
        <v>45839</v>
      </c>
      <c r="B1575" t="s">
        <v>15</v>
      </c>
      <c r="C1575" t="s">
        <v>16</v>
      </c>
      <c r="D1575" s="1">
        <v>45855</v>
      </c>
      <c r="E1575" t="s">
        <v>17</v>
      </c>
      <c r="F1575">
        <v>6300</v>
      </c>
      <c r="G1575">
        <v>19.3</v>
      </c>
      <c r="H1575">
        <v>27</v>
      </c>
      <c r="I1575">
        <v>19.3</v>
      </c>
      <c r="J1575">
        <v>24.6</v>
      </c>
      <c r="K1575">
        <v>26.3</v>
      </c>
      <c r="L1575">
        <v>7144</v>
      </c>
      <c r="M1575" t="s">
        <v>765</v>
      </c>
      <c r="N1575">
        <v>45181.58</v>
      </c>
      <c r="O1575">
        <v>4781</v>
      </c>
    </row>
    <row r="1576" spans="1:15" x14ac:dyDescent="0.2">
      <c r="A1576" s="6">
        <v>45839</v>
      </c>
      <c r="B1576" t="s">
        <v>15</v>
      </c>
      <c r="C1576" t="s">
        <v>16</v>
      </c>
      <c r="D1576" s="1">
        <v>45855</v>
      </c>
      <c r="E1576" t="s">
        <v>19</v>
      </c>
      <c r="F1576">
        <v>4050</v>
      </c>
      <c r="J1576">
        <v>0.1</v>
      </c>
      <c r="K1576">
        <v>0.1</v>
      </c>
      <c r="L1576">
        <v>0</v>
      </c>
      <c r="M1576" t="s">
        <v>18</v>
      </c>
      <c r="N1576">
        <v>0</v>
      </c>
      <c r="O1576">
        <v>0</v>
      </c>
    </row>
    <row r="1577" spans="1:15" x14ac:dyDescent="0.2">
      <c r="A1577" s="6">
        <v>45839</v>
      </c>
      <c r="B1577" t="s">
        <v>15</v>
      </c>
      <c r="C1577" t="s">
        <v>16</v>
      </c>
      <c r="D1577" s="1">
        <v>45855</v>
      </c>
      <c r="E1577" t="s">
        <v>19</v>
      </c>
      <c r="F1577">
        <v>5950</v>
      </c>
      <c r="G1577">
        <v>442.1</v>
      </c>
      <c r="H1577">
        <v>442.1</v>
      </c>
      <c r="I1577">
        <v>370</v>
      </c>
      <c r="J1577">
        <v>384</v>
      </c>
      <c r="K1577">
        <v>417.2</v>
      </c>
      <c r="L1577">
        <v>19</v>
      </c>
      <c r="M1577" t="s">
        <v>550</v>
      </c>
      <c r="N1577">
        <v>120.51</v>
      </c>
      <c r="O1577">
        <v>85</v>
      </c>
    </row>
    <row r="1578" spans="1:15" x14ac:dyDescent="0.2">
      <c r="A1578" s="6">
        <v>45839</v>
      </c>
      <c r="B1578" t="s">
        <v>15</v>
      </c>
      <c r="C1578" t="s">
        <v>16</v>
      </c>
      <c r="D1578" s="1">
        <v>45855</v>
      </c>
      <c r="E1578" t="s">
        <v>19</v>
      </c>
      <c r="F1578">
        <v>5350</v>
      </c>
      <c r="G1578">
        <v>79.099999999999994</v>
      </c>
      <c r="H1578">
        <v>82.8</v>
      </c>
      <c r="I1578">
        <v>54.5</v>
      </c>
      <c r="J1578">
        <v>61.2</v>
      </c>
      <c r="K1578">
        <v>75.2</v>
      </c>
      <c r="L1578">
        <v>18944</v>
      </c>
      <c r="M1578" t="s">
        <v>766</v>
      </c>
      <c r="N1578">
        <v>102570.37</v>
      </c>
      <c r="O1578">
        <v>566</v>
      </c>
    </row>
    <row r="1579" spans="1:15" x14ac:dyDescent="0.2">
      <c r="A1579" s="6">
        <v>45839</v>
      </c>
      <c r="B1579" t="s">
        <v>15</v>
      </c>
      <c r="C1579" t="s">
        <v>16</v>
      </c>
      <c r="D1579" s="1">
        <v>45855</v>
      </c>
      <c r="E1579" t="s">
        <v>17</v>
      </c>
      <c r="F1579">
        <v>4850</v>
      </c>
      <c r="J1579">
        <v>774.7</v>
      </c>
      <c r="K1579">
        <v>746.6</v>
      </c>
      <c r="L1579">
        <v>0</v>
      </c>
      <c r="M1579" t="s">
        <v>18</v>
      </c>
      <c r="N1579">
        <v>0</v>
      </c>
      <c r="O1579">
        <v>0</v>
      </c>
    </row>
    <row r="1580" spans="1:15" x14ac:dyDescent="0.2">
      <c r="A1580" s="6">
        <v>45839</v>
      </c>
      <c r="B1580" t="s">
        <v>15</v>
      </c>
      <c r="C1580" t="s">
        <v>16</v>
      </c>
      <c r="D1580" s="1">
        <v>45855</v>
      </c>
      <c r="E1580" t="s">
        <v>19</v>
      </c>
      <c r="F1580">
        <v>5000</v>
      </c>
      <c r="G1580">
        <v>21.5</v>
      </c>
      <c r="H1580">
        <v>24.4</v>
      </c>
      <c r="I1580">
        <v>15.7</v>
      </c>
      <c r="J1580">
        <v>17</v>
      </c>
      <c r="K1580">
        <v>21.9</v>
      </c>
      <c r="L1580">
        <v>19320</v>
      </c>
      <c r="M1580" t="s">
        <v>767</v>
      </c>
      <c r="N1580">
        <v>96964.54</v>
      </c>
      <c r="O1580">
        <v>4623</v>
      </c>
    </row>
    <row r="1581" spans="1:15" x14ac:dyDescent="0.2">
      <c r="A1581" s="6">
        <v>45839</v>
      </c>
      <c r="B1581" t="s">
        <v>15</v>
      </c>
      <c r="C1581" t="s">
        <v>16</v>
      </c>
      <c r="D1581" s="1">
        <v>45855</v>
      </c>
      <c r="E1581" t="s">
        <v>19</v>
      </c>
      <c r="F1581">
        <v>4400</v>
      </c>
      <c r="J1581">
        <v>0.6</v>
      </c>
      <c r="K1581">
        <v>1.3</v>
      </c>
      <c r="L1581">
        <v>0</v>
      </c>
      <c r="M1581" t="s">
        <v>18</v>
      </c>
      <c r="N1581">
        <v>0</v>
      </c>
      <c r="O1581">
        <v>0</v>
      </c>
    </row>
    <row r="1582" spans="1:15" x14ac:dyDescent="0.2">
      <c r="A1582" s="6">
        <v>45839</v>
      </c>
      <c r="B1582" t="s">
        <v>15</v>
      </c>
      <c r="C1582" t="s">
        <v>16</v>
      </c>
      <c r="D1582" s="1">
        <v>45855</v>
      </c>
      <c r="E1582" t="s">
        <v>19</v>
      </c>
      <c r="F1582">
        <v>4500</v>
      </c>
      <c r="G1582">
        <v>10.1</v>
      </c>
      <c r="H1582">
        <v>10.199999999999999</v>
      </c>
      <c r="I1582">
        <v>8</v>
      </c>
      <c r="J1582">
        <v>8.6999999999999993</v>
      </c>
      <c r="K1582">
        <v>10.1</v>
      </c>
      <c r="L1582">
        <v>834</v>
      </c>
      <c r="M1582" t="s">
        <v>768</v>
      </c>
      <c r="N1582">
        <v>3760.68</v>
      </c>
      <c r="O1582">
        <v>738</v>
      </c>
    </row>
    <row r="1583" spans="1:15" x14ac:dyDescent="0.2">
      <c r="A1583" s="6">
        <v>45839</v>
      </c>
      <c r="B1583" t="s">
        <v>15</v>
      </c>
      <c r="C1583" t="s">
        <v>16</v>
      </c>
      <c r="D1583" s="1">
        <v>45855</v>
      </c>
      <c r="E1583" t="s">
        <v>19</v>
      </c>
      <c r="F1583">
        <v>6850</v>
      </c>
      <c r="J1583">
        <v>1235</v>
      </c>
      <c r="K1583">
        <v>1269.5999999999999</v>
      </c>
      <c r="L1583">
        <v>0</v>
      </c>
      <c r="M1583" t="s">
        <v>18</v>
      </c>
      <c r="N1583">
        <v>0</v>
      </c>
      <c r="O1583">
        <v>18</v>
      </c>
    </row>
    <row r="1584" spans="1:15" x14ac:dyDescent="0.2">
      <c r="A1584" s="6">
        <v>45839</v>
      </c>
      <c r="B1584" t="s">
        <v>15</v>
      </c>
      <c r="C1584" t="s">
        <v>16</v>
      </c>
      <c r="D1584" s="1">
        <v>45855</v>
      </c>
      <c r="E1584" t="s">
        <v>17</v>
      </c>
      <c r="F1584">
        <v>7050</v>
      </c>
      <c r="G1584">
        <v>14.4</v>
      </c>
      <c r="H1584">
        <v>15</v>
      </c>
      <c r="I1584">
        <v>11.1</v>
      </c>
      <c r="J1584">
        <v>11.8</v>
      </c>
      <c r="K1584">
        <v>15.1</v>
      </c>
      <c r="L1584">
        <v>80</v>
      </c>
      <c r="M1584" t="s">
        <v>769</v>
      </c>
      <c r="N1584">
        <v>565.11</v>
      </c>
      <c r="O1584">
        <v>168</v>
      </c>
    </row>
    <row r="1585" spans="1:15" x14ac:dyDescent="0.2">
      <c r="A1585" s="6">
        <v>45839</v>
      </c>
      <c r="B1585" t="s">
        <v>15</v>
      </c>
      <c r="C1585" t="s">
        <v>16</v>
      </c>
      <c r="D1585" s="1">
        <v>45855</v>
      </c>
      <c r="E1585" t="s">
        <v>19</v>
      </c>
      <c r="F1585">
        <v>7350</v>
      </c>
      <c r="J1585">
        <v>1730.7</v>
      </c>
      <c r="K1585">
        <v>1764.5</v>
      </c>
      <c r="L1585">
        <v>0</v>
      </c>
      <c r="M1585" t="s">
        <v>18</v>
      </c>
      <c r="N1585">
        <v>0</v>
      </c>
      <c r="O1585">
        <v>0</v>
      </c>
    </row>
    <row r="1586" spans="1:15" x14ac:dyDescent="0.2">
      <c r="A1586" s="6">
        <v>45839</v>
      </c>
      <c r="B1586" t="s">
        <v>15</v>
      </c>
      <c r="C1586" t="s">
        <v>16</v>
      </c>
      <c r="D1586" s="1">
        <v>45855</v>
      </c>
      <c r="E1586" t="s">
        <v>17</v>
      </c>
      <c r="F1586">
        <v>4000</v>
      </c>
      <c r="J1586">
        <v>1610.8</v>
      </c>
      <c r="K1586">
        <v>1576.6</v>
      </c>
      <c r="L1586">
        <v>0</v>
      </c>
      <c r="M1586" t="s">
        <v>18</v>
      </c>
      <c r="N1586">
        <v>0</v>
      </c>
      <c r="O1586">
        <v>0</v>
      </c>
    </row>
    <row r="1587" spans="1:15" x14ac:dyDescent="0.2">
      <c r="A1587" s="6">
        <v>45839</v>
      </c>
      <c r="B1587" t="s">
        <v>15</v>
      </c>
      <c r="C1587" t="s">
        <v>16</v>
      </c>
      <c r="D1587" s="1">
        <v>45855</v>
      </c>
      <c r="E1587" t="s">
        <v>17</v>
      </c>
      <c r="F1587">
        <v>4250</v>
      </c>
      <c r="J1587">
        <v>1361.6</v>
      </c>
      <c r="K1587">
        <v>1327.7</v>
      </c>
      <c r="L1587">
        <v>0</v>
      </c>
      <c r="M1587" t="s">
        <v>18</v>
      </c>
      <c r="N1587">
        <v>0</v>
      </c>
      <c r="O1587">
        <v>0</v>
      </c>
    </row>
    <row r="1588" spans="1:15" x14ac:dyDescent="0.2">
      <c r="A1588" s="6">
        <v>45839</v>
      </c>
      <c r="B1588" t="s">
        <v>15</v>
      </c>
      <c r="C1588" t="s">
        <v>16</v>
      </c>
      <c r="D1588" s="1">
        <v>45855</v>
      </c>
      <c r="E1588" t="s">
        <v>17</v>
      </c>
      <c r="F1588">
        <v>7000</v>
      </c>
      <c r="G1588">
        <v>14.4</v>
      </c>
      <c r="H1588">
        <v>17.8</v>
      </c>
      <c r="I1588">
        <v>12.3</v>
      </c>
      <c r="J1588">
        <v>13.7</v>
      </c>
      <c r="K1588">
        <v>16.100000000000001</v>
      </c>
      <c r="L1588">
        <v>1740</v>
      </c>
      <c r="M1588" t="s">
        <v>770</v>
      </c>
      <c r="N1588">
        <v>12203.89</v>
      </c>
      <c r="O1588">
        <v>4389</v>
      </c>
    </row>
    <row r="1589" spans="1:15" x14ac:dyDescent="0.2">
      <c r="A1589" s="6">
        <v>45839</v>
      </c>
      <c r="B1589" t="s">
        <v>15</v>
      </c>
      <c r="C1589" t="s">
        <v>16</v>
      </c>
      <c r="D1589" s="1">
        <v>45855</v>
      </c>
      <c r="E1589" t="s">
        <v>17</v>
      </c>
      <c r="F1589">
        <v>5800</v>
      </c>
      <c r="G1589">
        <v>73.2</v>
      </c>
      <c r="H1589">
        <v>104.3</v>
      </c>
      <c r="I1589">
        <v>73.099999999999994</v>
      </c>
      <c r="J1589">
        <v>88.1</v>
      </c>
      <c r="K1589">
        <v>85</v>
      </c>
      <c r="L1589">
        <v>72444</v>
      </c>
      <c r="M1589" t="s">
        <v>771</v>
      </c>
      <c r="N1589">
        <v>426600.97</v>
      </c>
      <c r="O1589">
        <v>7525</v>
      </c>
    </row>
    <row r="1590" spans="1:15" x14ac:dyDescent="0.2">
      <c r="A1590" s="6">
        <v>45839</v>
      </c>
      <c r="B1590" t="s">
        <v>15</v>
      </c>
      <c r="C1590" t="s">
        <v>16</v>
      </c>
      <c r="D1590" s="1">
        <v>45855</v>
      </c>
      <c r="E1590" t="s">
        <v>17</v>
      </c>
      <c r="F1590">
        <v>5450</v>
      </c>
      <c r="G1590">
        <v>228.5</v>
      </c>
      <c r="H1590">
        <v>285</v>
      </c>
      <c r="I1590">
        <v>220.6</v>
      </c>
      <c r="J1590">
        <v>256.8</v>
      </c>
      <c r="K1590">
        <v>241.5</v>
      </c>
      <c r="L1590">
        <v>5845</v>
      </c>
      <c r="M1590" t="s">
        <v>772</v>
      </c>
      <c r="N1590">
        <v>33328.42</v>
      </c>
      <c r="O1590">
        <v>120</v>
      </c>
    </row>
    <row r="1591" spans="1:15" x14ac:dyDescent="0.2">
      <c r="A1591" s="6">
        <v>45839</v>
      </c>
      <c r="B1591" t="s">
        <v>15</v>
      </c>
      <c r="C1591" t="s">
        <v>16</v>
      </c>
      <c r="D1591" s="1">
        <v>45855</v>
      </c>
      <c r="E1591" t="s">
        <v>17</v>
      </c>
      <c r="F1591">
        <v>6350</v>
      </c>
      <c r="G1591">
        <v>22.5</v>
      </c>
      <c r="H1591">
        <v>26.2</v>
      </c>
      <c r="I1591">
        <v>22.1</v>
      </c>
      <c r="J1591">
        <v>24</v>
      </c>
      <c r="K1591">
        <v>26.1</v>
      </c>
      <c r="L1591">
        <v>833</v>
      </c>
      <c r="M1591" t="s">
        <v>773</v>
      </c>
      <c r="N1591">
        <v>5309.58</v>
      </c>
      <c r="O1591">
        <v>1225</v>
      </c>
    </row>
    <row r="1592" spans="1:15" x14ac:dyDescent="0.2">
      <c r="A1592" s="6">
        <v>45839</v>
      </c>
      <c r="B1592" t="s">
        <v>15</v>
      </c>
      <c r="C1592" t="s">
        <v>16</v>
      </c>
      <c r="D1592" s="1">
        <v>45855</v>
      </c>
      <c r="E1592" t="s">
        <v>19</v>
      </c>
      <c r="F1592">
        <v>6550</v>
      </c>
      <c r="G1592">
        <v>969.8</v>
      </c>
      <c r="H1592">
        <v>969.8</v>
      </c>
      <c r="I1592">
        <v>926.6</v>
      </c>
      <c r="J1592">
        <v>949.5</v>
      </c>
      <c r="K1592">
        <v>959.7</v>
      </c>
      <c r="L1592">
        <v>7</v>
      </c>
      <c r="M1592" t="s">
        <v>23</v>
      </c>
      <c r="N1592">
        <v>52.5</v>
      </c>
      <c r="O1592">
        <v>56</v>
      </c>
    </row>
    <row r="1593" spans="1:15" x14ac:dyDescent="0.2">
      <c r="A1593" s="6">
        <v>45839</v>
      </c>
      <c r="B1593" t="s">
        <v>15</v>
      </c>
      <c r="C1593" t="s">
        <v>16</v>
      </c>
      <c r="D1593" s="1">
        <v>45855</v>
      </c>
      <c r="E1593" t="s">
        <v>17</v>
      </c>
      <c r="F1593">
        <v>4150</v>
      </c>
      <c r="J1593">
        <v>1461.2</v>
      </c>
      <c r="K1593">
        <v>1427.2</v>
      </c>
      <c r="L1593">
        <v>0</v>
      </c>
      <c r="M1593" t="s">
        <v>18</v>
      </c>
      <c r="N1593">
        <v>0</v>
      </c>
      <c r="O1593">
        <v>0</v>
      </c>
    </row>
    <row r="1594" spans="1:15" x14ac:dyDescent="0.2">
      <c r="A1594" s="6">
        <v>45839</v>
      </c>
      <c r="B1594" t="s">
        <v>15</v>
      </c>
      <c r="C1594" t="s">
        <v>16</v>
      </c>
      <c r="D1594" s="1">
        <v>45855</v>
      </c>
      <c r="E1594" t="s">
        <v>19</v>
      </c>
      <c r="F1594">
        <v>4650</v>
      </c>
      <c r="G1594">
        <v>11.2</v>
      </c>
      <c r="H1594">
        <v>12</v>
      </c>
      <c r="I1594">
        <v>11.2</v>
      </c>
      <c r="J1594">
        <v>11.5</v>
      </c>
      <c r="K1594">
        <v>15.4</v>
      </c>
      <c r="L1594">
        <v>4</v>
      </c>
      <c r="M1594" t="s">
        <v>78</v>
      </c>
      <c r="N1594">
        <v>18.649999999999999</v>
      </c>
      <c r="O1594">
        <v>3</v>
      </c>
    </row>
    <row r="1595" spans="1:15" x14ac:dyDescent="0.2">
      <c r="A1595" s="6">
        <v>45839</v>
      </c>
      <c r="B1595" t="s">
        <v>15</v>
      </c>
      <c r="C1595" t="s">
        <v>16</v>
      </c>
      <c r="D1595" s="1">
        <v>45855</v>
      </c>
      <c r="E1595" t="s">
        <v>17</v>
      </c>
      <c r="F1595">
        <v>4600</v>
      </c>
      <c r="J1595">
        <v>1014.9</v>
      </c>
      <c r="K1595">
        <v>982.9</v>
      </c>
      <c r="L1595">
        <v>0</v>
      </c>
      <c r="M1595" t="s">
        <v>18</v>
      </c>
      <c r="N1595">
        <v>0</v>
      </c>
      <c r="O1595">
        <v>0</v>
      </c>
    </row>
    <row r="1596" spans="1:15" x14ac:dyDescent="0.2">
      <c r="A1596" s="6">
        <v>45839</v>
      </c>
      <c r="B1596" t="s">
        <v>15</v>
      </c>
      <c r="C1596" t="s">
        <v>16</v>
      </c>
      <c r="D1596" s="1">
        <v>45855</v>
      </c>
      <c r="E1596" t="s">
        <v>19</v>
      </c>
      <c r="F1596">
        <v>7500</v>
      </c>
      <c r="J1596">
        <v>1880.2</v>
      </c>
      <c r="K1596">
        <v>1913.9</v>
      </c>
      <c r="L1596">
        <v>0</v>
      </c>
      <c r="M1596" t="s">
        <v>18</v>
      </c>
      <c r="N1596">
        <v>0</v>
      </c>
      <c r="O1596">
        <v>0</v>
      </c>
    </row>
    <row r="1597" spans="1:15" x14ac:dyDescent="0.2">
      <c r="A1597" s="6">
        <v>45839</v>
      </c>
      <c r="B1597" t="s">
        <v>15</v>
      </c>
      <c r="C1597" t="s">
        <v>16</v>
      </c>
      <c r="D1597" s="1">
        <v>45855</v>
      </c>
      <c r="E1597" t="s">
        <v>17</v>
      </c>
      <c r="F1597">
        <v>5050</v>
      </c>
      <c r="J1597">
        <v>594.4</v>
      </c>
      <c r="K1597">
        <v>568.9</v>
      </c>
      <c r="L1597">
        <v>0</v>
      </c>
      <c r="M1597" t="s">
        <v>18</v>
      </c>
      <c r="N1597">
        <v>0</v>
      </c>
      <c r="O1597">
        <v>0</v>
      </c>
    </row>
    <row r="1598" spans="1:15" x14ac:dyDescent="0.2">
      <c r="A1598" s="6">
        <v>45839</v>
      </c>
      <c r="B1598" t="s">
        <v>15</v>
      </c>
      <c r="C1598" t="s">
        <v>16</v>
      </c>
      <c r="D1598" s="1">
        <v>45855</v>
      </c>
      <c r="E1598" t="s">
        <v>17</v>
      </c>
      <c r="F1598">
        <v>6250</v>
      </c>
      <c r="G1598">
        <v>27.9</v>
      </c>
      <c r="H1598">
        <v>30.2</v>
      </c>
      <c r="I1598">
        <v>24.9</v>
      </c>
      <c r="J1598">
        <v>26.7</v>
      </c>
      <c r="K1598">
        <v>29.3</v>
      </c>
      <c r="L1598">
        <v>1382</v>
      </c>
      <c r="M1598" t="s">
        <v>774</v>
      </c>
      <c r="N1598">
        <v>8675.19</v>
      </c>
      <c r="O1598">
        <v>1560</v>
      </c>
    </row>
    <row r="1599" spans="1:15" x14ac:dyDescent="0.2">
      <c r="A1599" s="6">
        <v>45839</v>
      </c>
      <c r="B1599" t="s">
        <v>15</v>
      </c>
      <c r="C1599" t="s">
        <v>16</v>
      </c>
      <c r="D1599" s="1">
        <v>45855</v>
      </c>
      <c r="E1599" t="s">
        <v>17</v>
      </c>
      <c r="F1599">
        <v>6200</v>
      </c>
      <c r="G1599">
        <v>26.1</v>
      </c>
      <c r="H1599">
        <v>31.8</v>
      </c>
      <c r="I1599">
        <v>25.6</v>
      </c>
      <c r="J1599">
        <v>27.3</v>
      </c>
      <c r="K1599">
        <v>31.2</v>
      </c>
      <c r="L1599">
        <v>20508</v>
      </c>
      <c r="M1599" t="s">
        <v>775</v>
      </c>
      <c r="N1599">
        <v>127723.45</v>
      </c>
      <c r="O1599">
        <v>4408</v>
      </c>
    </row>
    <row r="1600" spans="1:15" x14ac:dyDescent="0.2">
      <c r="A1600" s="6">
        <v>45839</v>
      </c>
      <c r="B1600" t="s">
        <v>15</v>
      </c>
      <c r="C1600" t="s">
        <v>16</v>
      </c>
      <c r="D1600" s="1">
        <v>45855</v>
      </c>
      <c r="E1600" t="s">
        <v>17</v>
      </c>
      <c r="F1600">
        <v>6950</v>
      </c>
      <c r="G1600">
        <v>12.8</v>
      </c>
      <c r="H1600">
        <v>14.9</v>
      </c>
      <c r="I1600">
        <v>11.5</v>
      </c>
      <c r="J1600">
        <v>12</v>
      </c>
      <c r="K1600">
        <v>14.3</v>
      </c>
      <c r="L1600">
        <v>346</v>
      </c>
      <c r="M1600" t="s">
        <v>324</v>
      </c>
      <c r="N1600">
        <v>2409.19</v>
      </c>
      <c r="O1600">
        <v>318</v>
      </c>
    </row>
    <row r="1601" spans="1:15" x14ac:dyDescent="0.2">
      <c r="A1601" s="6">
        <v>45839</v>
      </c>
      <c r="B1601" t="s">
        <v>15</v>
      </c>
      <c r="C1601" t="s">
        <v>16</v>
      </c>
      <c r="D1601" s="1">
        <v>45855</v>
      </c>
      <c r="E1601" t="s">
        <v>19</v>
      </c>
      <c r="F1601">
        <v>5150</v>
      </c>
      <c r="G1601">
        <v>35.6</v>
      </c>
      <c r="H1601">
        <v>39</v>
      </c>
      <c r="I1601">
        <v>25.7</v>
      </c>
      <c r="J1601">
        <v>28.5</v>
      </c>
      <c r="K1601">
        <v>36.1</v>
      </c>
      <c r="L1601">
        <v>1960</v>
      </c>
      <c r="M1601" t="s">
        <v>776</v>
      </c>
      <c r="N1601">
        <v>10153.879999999999</v>
      </c>
      <c r="O1601">
        <v>319</v>
      </c>
    </row>
    <row r="1602" spans="1:15" x14ac:dyDescent="0.2">
      <c r="A1602" s="6">
        <v>45839</v>
      </c>
      <c r="B1602" t="s">
        <v>15</v>
      </c>
      <c r="C1602" t="s">
        <v>16</v>
      </c>
      <c r="D1602" s="1">
        <v>45855</v>
      </c>
      <c r="E1602" t="s">
        <v>17</v>
      </c>
      <c r="F1602">
        <v>5900</v>
      </c>
      <c r="G1602">
        <v>59.7</v>
      </c>
      <c r="H1602">
        <v>73.599999999999994</v>
      </c>
      <c r="I1602">
        <v>53.5</v>
      </c>
      <c r="J1602">
        <v>62.4</v>
      </c>
      <c r="K1602">
        <v>61.3</v>
      </c>
      <c r="L1602">
        <v>42601</v>
      </c>
      <c r="M1602" t="s">
        <v>777</v>
      </c>
      <c r="N1602">
        <v>254033.28</v>
      </c>
      <c r="O1602">
        <v>4049</v>
      </c>
    </row>
    <row r="1603" spans="1:15" x14ac:dyDescent="0.2">
      <c r="A1603" s="6">
        <v>45839</v>
      </c>
      <c r="B1603" t="s">
        <v>15</v>
      </c>
      <c r="C1603" t="s">
        <v>16</v>
      </c>
      <c r="D1603" s="1">
        <v>45855</v>
      </c>
      <c r="E1603" t="s">
        <v>17</v>
      </c>
      <c r="F1603">
        <v>6500</v>
      </c>
      <c r="G1603">
        <v>21.1</v>
      </c>
      <c r="H1603">
        <v>22</v>
      </c>
      <c r="I1603">
        <v>18.600000000000001</v>
      </c>
      <c r="J1603">
        <v>20.100000000000001</v>
      </c>
      <c r="K1603">
        <v>21.9</v>
      </c>
      <c r="L1603">
        <v>9169</v>
      </c>
      <c r="M1603" t="s">
        <v>778</v>
      </c>
      <c r="N1603">
        <v>59782.81</v>
      </c>
      <c r="O1603">
        <v>10556</v>
      </c>
    </row>
    <row r="1604" spans="1:15" x14ac:dyDescent="0.2">
      <c r="A1604" s="6">
        <v>45839</v>
      </c>
      <c r="B1604" t="s">
        <v>15</v>
      </c>
      <c r="C1604" t="s">
        <v>16</v>
      </c>
      <c r="D1604" s="1">
        <v>45855</v>
      </c>
      <c r="E1604" t="s">
        <v>19</v>
      </c>
      <c r="F1604">
        <v>7250</v>
      </c>
      <c r="J1604">
        <v>1631.2</v>
      </c>
      <c r="K1604">
        <v>1665.1</v>
      </c>
      <c r="L1604">
        <v>0</v>
      </c>
      <c r="M1604" t="s">
        <v>18</v>
      </c>
      <c r="N1604">
        <v>0</v>
      </c>
      <c r="O1604">
        <v>0</v>
      </c>
    </row>
    <row r="1605" spans="1:15" x14ac:dyDescent="0.2">
      <c r="A1605" s="6">
        <v>45839</v>
      </c>
      <c r="B1605" t="s">
        <v>15</v>
      </c>
      <c r="C1605" t="s">
        <v>16</v>
      </c>
      <c r="D1605" s="1">
        <v>45855</v>
      </c>
      <c r="E1605" t="s">
        <v>19</v>
      </c>
      <c r="F1605">
        <v>5200</v>
      </c>
      <c r="G1605">
        <v>47.8</v>
      </c>
      <c r="H1605">
        <v>48.1</v>
      </c>
      <c r="I1605">
        <v>29.5</v>
      </c>
      <c r="J1605">
        <v>33.200000000000003</v>
      </c>
      <c r="K1605">
        <v>41.5</v>
      </c>
      <c r="L1605">
        <v>31434</v>
      </c>
      <c r="M1605" t="s">
        <v>779</v>
      </c>
      <c r="N1605">
        <v>164577.25</v>
      </c>
      <c r="O1605">
        <v>3773</v>
      </c>
    </row>
    <row r="1606" spans="1:15" x14ac:dyDescent="0.2">
      <c r="A1606" s="6">
        <v>45839</v>
      </c>
      <c r="B1606" t="s">
        <v>15</v>
      </c>
      <c r="C1606" t="s">
        <v>16</v>
      </c>
      <c r="D1606" s="1">
        <v>45855</v>
      </c>
      <c r="E1606" t="s">
        <v>19</v>
      </c>
      <c r="F1606">
        <v>6250</v>
      </c>
      <c r="J1606">
        <v>666.8</v>
      </c>
      <c r="K1606">
        <v>689.9</v>
      </c>
      <c r="L1606">
        <v>0</v>
      </c>
      <c r="M1606" t="s">
        <v>18</v>
      </c>
      <c r="N1606">
        <v>0</v>
      </c>
      <c r="O1606">
        <v>95</v>
      </c>
    </row>
    <row r="1607" spans="1:15" x14ac:dyDescent="0.2">
      <c r="A1607" s="6">
        <v>45839</v>
      </c>
      <c r="B1607" t="s">
        <v>15</v>
      </c>
      <c r="C1607" t="s">
        <v>16</v>
      </c>
      <c r="D1607" s="1">
        <v>45855</v>
      </c>
      <c r="E1607" t="s">
        <v>19</v>
      </c>
      <c r="F1607">
        <v>7450</v>
      </c>
      <c r="J1607">
        <v>1830.4</v>
      </c>
      <c r="K1607">
        <v>1864.1</v>
      </c>
      <c r="L1607">
        <v>0</v>
      </c>
      <c r="M1607" t="s">
        <v>18</v>
      </c>
      <c r="N1607">
        <v>0</v>
      </c>
      <c r="O1607">
        <v>0</v>
      </c>
    </row>
    <row r="1608" spans="1:15" x14ac:dyDescent="0.2">
      <c r="A1608" s="6">
        <v>45839</v>
      </c>
      <c r="B1608" t="s">
        <v>15</v>
      </c>
      <c r="C1608" t="s">
        <v>16</v>
      </c>
      <c r="D1608" s="1">
        <v>45855</v>
      </c>
      <c r="E1608" t="s">
        <v>17</v>
      </c>
      <c r="F1608">
        <v>7550</v>
      </c>
      <c r="G1608">
        <v>12.2</v>
      </c>
      <c r="H1608">
        <v>12.2</v>
      </c>
      <c r="I1608">
        <v>7.5</v>
      </c>
      <c r="J1608">
        <v>9.6</v>
      </c>
      <c r="K1608">
        <v>12.2</v>
      </c>
      <c r="L1608">
        <v>44</v>
      </c>
      <c r="M1608" t="s">
        <v>94</v>
      </c>
      <c r="N1608">
        <v>332.61</v>
      </c>
      <c r="O1608">
        <v>208</v>
      </c>
    </row>
    <row r="1609" spans="1:15" x14ac:dyDescent="0.2">
      <c r="A1609" s="6">
        <v>45839</v>
      </c>
      <c r="B1609" t="s">
        <v>15</v>
      </c>
      <c r="C1609" t="s">
        <v>16</v>
      </c>
      <c r="D1609" s="1">
        <v>45855</v>
      </c>
      <c r="E1609" t="s">
        <v>17</v>
      </c>
      <c r="F1609">
        <v>3950</v>
      </c>
      <c r="J1609">
        <v>1660.6</v>
      </c>
      <c r="K1609">
        <v>1626.5</v>
      </c>
      <c r="L1609">
        <v>0</v>
      </c>
      <c r="M1609" t="s">
        <v>18</v>
      </c>
      <c r="N1609">
        <v>0</v>
      </c>
      <c r="O1609">
        <v>0</v>
      </c>
    </row>
    <row r="1610" spans="1:15" x14ac:dyDescent="0.2">
      <c r="A1610" s="6">
        <v>45839</v>
      </c>
      <c r="B1610" t="s">
        <v>15</v>
      </c>
      <c r="C1610" t="s">
        <v>16</v>
      </c>
      <c r="D1610" s="1">
        <v>45855</v>
      </c>
      <c r="E1610" t="s">
        <v>19</v>
      </c>
      <c r="F1610">
        <v>5650</v>
      </c>
      <c r="G1610">
        <v>211.8</v>
      </c>
      <c r="H1610">
        <v>220.6</v>
      </c>
      <c r="I1610">
        <v>163.80000000000001</v>
      </c>
      <c r="J1610">
        <v>177.6</v>
      </c>
      <c r="K1610">
        <v>203.8</v>
      </c>
      <c r="L1610">
        <v>38761</v>
      </c>
      <c r="M1610" t="s">
        <v>780</v>
      </c>
      <c r="N1610">
        <v>226116.06</v>
      </c>
      <c r="O1610">
        <v>1597</v>
      </c>
    </row>
    <row r="1611" spans="1:15" x14ac:dyDescent="0.2">
      <c r="A1611" s="6">
        <v>45839</v>
      </c>
      <c r="B1611" t="s">
        <v>15</v>
      </c>
      <c r="C1611" t="s">
        <v>16</v>
      </c>
      <c r="D1611" s="1">
        <v>45855</v>
      </c>
      <c r="E1611" t="s">
        <v>19</v>
      </c>
      <c r="F1611">
        <v>6350</v>
      </c>
      <c r="G1611">
        <v>772.1</v>
      </c>
      <c r="H1611">
        <v>772.1</v>
      </c>
      <c r="I1611">
        <v>772.1</v>
      </c>
      <c r="J1611">
        <v>772.1</v>
      </c>
      <c r="K1611">
        <v>766.7</v>
      </c>
      <c r="L1611">
        <v>1</v>
      </c>
      <c r="M1611" t="s">
        <v>155</v>
      </c>
      <c r="N1611">
        <v>7.12</v>
      </c>
      <c r="O1611">
        <v>79</v>
      </c>
    </row>
    <row r="1612" spans="1:15" x14ac:dyDescent="0.2">
      <c r="A1612" s="6">
        <v>45839</v>
      </c>
      <c r="B1612" t="s">
        <v>15</v>
      </c>
      <c r="C1612" t="s">
        <v>16</v>
      </c>
      <c r="D1612" s="1">
        <v>45855</v>
      </c>
      <c r="E1612" t="s">
        <v>19</v>
      </c>
      <c r="F1612">
        <v>4000</v>
      </c>
      <c r="G1612">
        <v>8.5</v>
      </c>
      <c r="H1612">
        <v>8.9</v>
      </c>
      <c r="I1612">
        <v>5.9</v>
      </c>
      <c r="J1612">
        <v>6.2</v>
      </c>
      <c r="K1612">
        <v>8.9</v>
      </c>
      <c r="L1612">
        <v>1832</v>
      </c>
      <c r="M1612" t="s">
        <v>781</v>
      </c>
      <c r="N1612">
        <v>7341.72</v>
      </c>
      <c r="O1612">
        <v>1552</v>
      </c>
    </row>
    <row r="1613" spans="1:15" x14ac:dyDescent="0.2">
      <c r="A1613" s="6">
        <v>45839</v>
      </c>
      <c r="B1613" t="s">
        <v>15</v>
      </c>
      <c r="C1613" t="s">
        <v>16</v>
      </c>
      <c r="D1613" s="1">
        <v>45855</v>
      </c>
      <c r="E1613" t="s">
        <v>19</v>
      </c>
      <c r="F1613">
        <v>4850</v>
      </c>
      <c r="G1613">
        <v>15.4</v>
      </c>
      <c r="H1613">
        <v>17.899999999999999</v>
      </c>
      <c r="I1613">
        <v>13.2</v>
      </c>
      <c r="J1613">
        <v>14</v>
      </c>
      <c r="K1613">
        <v>17.2</v>
      </c>
      <c r="L1613">
        <v>347</v>
      </c>
      <c r="M1613" t="s">
        <v>782</v>
      </c>
      <c r="N1613">
        <v>1688.32</v>
      </c>
      <c r="O1613">
        <v>115</v>
      </c>
    </row>
    <row r="1614" spans="1:15" x14ac:dyDescent="0.2">
      <c r="A1614" s="6">
        <v>45839</v>
      </c>
      <c r="B1614" t="s">
        <v>15</v>
      </c>
      <c r="C1614" t="s">
        <v>16</v>
      </c>
      <c r="D1614" s="1">
        <v>45855</v>
      </c>
      <c r="E1614" t="s">
        <v>19</v>
      </c>
      <c r="F1614">
        <v>5600</v>
      </c>
      <c r="G1614">
        <v>185.9</v>
      </c>
      <c r="H1614">
        <v>200.1</v>
      </c>
      <c r="I1614">
        <v>139.6</v>
      </c>
      <c r="J1614">
        <v>153.80000000000001</v>
      </c>
      <c r="K1614">
        <v>178.4</v>
      </c>
      <c r="L1614">
        <v>162051</v>
      </c>
      <c r="M1614" t="s">
        <v>783</v>
      </c>
      <c r="N1614">
        <v>933340.38</v>
      </c>
      <c r="O1614">
        <v>7012</v>
      </c>
    </row>
    <row r="1615" spans="1:15" x14ac:dyDescent="0.2">
      <c r="A1615" s="6">
        <v>45839</v>
      </c>
      <c r="B1615" t="s">
        <v>15</v>
      </c>
      <c r="C1615" t="s">
        <v>16</v>
      </c>
      <c r="D1615" s="1">
        <v>45855</v>
      </c>
      <c r="E1615" t="s">
        <v>17</v>
      </c>
      <c r="F1615">
        <v>6100</v>
      </c>
      <c r="G1615">
        <v>30</v>
      </c>
      <c r="H1615">
        <v>40.1</v>
      </c>
      <c r="I1615">
        <v>28.2</v>
      </c>
      <c r="J1615">
        <v>34.4</v>
      </c>
      <c r="K1615">
        <v>35.700000000000003</v>
      </c>
      <c r="L1615">
        <v>23127</v>
      </c>
      <c r="M1615" t="s">
        <v>784</v>
      </c>
      <c r="N1615">
        <v>141882.12</v>
      </c>
      <c r="O1615">
        <v>3038</v>
      </c>
    </row>
    <row r="1616" spans="1:15" x14ac:dyDescent="0.2">
      <c r="A1616" s="6">
        <v>45839</v>
      </c>
      <c r="B1616" t="s">
        <v>15</v>
      </c>
      <c r="C1616" t="s">
        <v>16</v>
      </c>
      <c r="D1616" s="1">
        <v>45855</v>
      </c>
      <c r="E1616" t="s">
        <v>17</v>
      </c>
      <c r="F1616">
        <v>5350</v>
      </c>
      <c r="G1616">
        <v>292.3</v>
      </c>
      <c r="H1616">
        <v>347.3</v>
      </c>
      <c r="I1616">
        <v>282.5</v>
      </c>
      <c r="J1616">
        <v>327.60000000000002</v>
      </c>
      <c r="K1616">
        <v>307</v>
      </c>
      <c r="L1616">
        <v>438</v>
      </c>
      <c r="M1616" t="s">
        <v>467</v>
      </c>
      <c r="N1616">
        <v>2482.15</v>
      </c>
      <c r="O1616">
        <v>34</v>
      </c>
    </row>
    <row r="1617" spans="1:15" x14ac:dyDescent="0.2">
      <c r="A1617" s="6">
        <v>45839</v>
      </c>
      <c r="B1617" t="s">
        <v>15</v>
      </c>
      <c r="C1617" t="s">
        <v>16</v>
      </c>
      <c r="D1617" s="1">
        <v>45855</v>
      </c>
      <c r="E1617" t="s">
        <v>17</v>
      </c>
      <c r="F1617">
        <v>7200</v>
      </c>
      <c r="G1617">
        <v>13</v>
      </c>
      <c r="H1617">
        <v>14.1</v>
      </c>
      <c r="I1617">
        <v>11.9</v>
      </c>
      <c r="J1617">
        <v>12.2</v>
      </c>
      <c r="K1617">
        <v>15.4</v>
      </c>
      <c r="L1617">
        <v>555</v>
      </c>
      <c r="M1617" t="s">
        <v>785</v>
      </c>
      <c r="N1617">
        <v>4003.13</v>
      </c>
      <c r="O1617">
        <v>907</v>
      </c>
    </row>
    <row r="1618" spans="1:15" x14ac:dyDescent="0.2">
      <c r="A1618" s="6">
        <v>45839</v>
      </c>
      <c r="B1618" t="s">
        <v>15</v>
      </c>
      <c r="C1618" t="s">
        <v>16</v>
      </c>
      <c r="D1618" s="1">
        <v>45855</v>
      </c>
      <c r="E1618" t="s">
        <v>19</v>
      </c>
      <c r="F1618">
        <v>7100</v>
      </c>
      <c r="J1618">
        <v>1482.1</v>
      </c>
      <c r="K1618">
        <v>1516.2</v>
      </c>
      <c r="L1618">
        <v>0</v>
      </c>
      <c r="M1618" t="s">
        <v>18</v>
      </c>
      <c r="N1618">
        <v>0</v>
      </c>
      <c r="O1618">
        <v>0</v>
      </c>
    </row>
    <row r="1619" spans="1:15" x14ac:dyDescent="0.2">
      <c r="A1619" s="6">
        <v>45839</v>
      </c>
      <c r="B1619" t="s">
        <v>15</v>
      </c>
      <c r="C1619" t="s">
        <v>16</v>
      </c>
      <c r="D1619" s="1">
        <v>45855</v>
      </c>
      <c r="E1619" t="s">
        <v>19</v>
      </c>
      <c r="F1619">
        <v>3650</v>
      </c>
      <c r="J1619">
        <v>0.1</v>
      </c>
      <c r="K1619">
        <v>0.1</v>
      </c>
      <c r="L1619">
        <v>0</v>
      </c>
      <c r="M1619" t="s">
        <v>18</v>
      </c>
      <c r="N1619">
        <v>0</v>
      </c>
      <c r="O1619">
        <v>0</v>
      </c>
    </row>
    <row r="1620" spans="1:15" x14ac:dyDescent="0.2">
      <c r="A1620" s="6">
        <v>45839</v>
      </c>
      <c r="B1620" t="s">
        <v>15</v>
      </c>
      <c r="C1620" t="s">
        <v>16</v>
      </c>
      <c r="D1620" s="1">
        <v>45855</v>
      </c>
      <c r="E1620" t="s">
        <v>19</v>
      </c>
      <c r="F1620">
        <v>6700</v>
      </c>
      <c r="J1620">
        <v>1088.3</v>
      </c>
      <c r="K1620">
        <v>1120.3</v>
      </c>
      <c r="L1620">
        <v>0</v>
      </c>
      <c r="M1620" t="s">
        <v>18</v>
      </c>
      <c r="N1620">
        <v>0</v>
      </c>
      <c r="O1620">
        <v>189</v>
      </c>
    </row>
    <row r="1621" spans="1:15" x14ac:dyDescent="0.2">
      <c r="A1621" s="6">
        <v>45839</v>
      </c>
      <c r="B1621" t="s">
        <v>15</v>
      </c>
      <c r="C1621" t="s">
        <v>16</v>
      </c>
      <c r="D1621" s="1">
        <v>45855</v>
      </c>
      <c r="E1621" t="s">
        <v>19</v>
      </c>
      <c r="F1621">
        <v>7400</v>
      </c>
      <c r="J1621">
        <v>1780.5</v>
      </c>
      <c r="K1621">
        <v>1814.3</v>
      </c>
      <c r="L1621">
        <v>0</v>
      </c>
      <c r="M1621" t="s">
        <v>18</v>
      </c>
      <c r="N1621">
        <v>0</v>
      </c>
      <c r="O1621">
        <v>0</v>
      </c>
    </row>
    <row r="1622" spans="1:15" x14ac:dyDescent="0.2">
      <c r="A1622" s="6">
        <v>45839</v>
      </c>
      <c r="B1622" t="s">
        <v>15</v>
      </c>
      <c r="C1622" t="s">
        <v>16</v>
      </c>
      <c r="D1622" s="1">
        <v>45855</v>
      </c>
      <c r="E1622" t="s">
        <v>19</v>
      </c>
      <c r="F1622">
        <v>6900</v>
      </c>
      <c r="J1622">
        <v>1284.2</v>
      </c>
      <c r="K1622">
        <v>1318.7</v>
      </c>
      <c r="L1622">
        <v>0</v>
      </c>
      <c r="M1622" t="s">
        <v>18</v>
      </c>
      <c r="N1622">
        <v>0</v>
      </c>
      <c r="O1622">
        <v>40</v>
      </c>
    </row>
    <row r="1623" spans="1:15" x14ac:dyDescent="0.2">
      <c r="A1623" s="6">
        <v>45839</v>
      </c>
      <c r="B1623" t="s">
        <v>15</v>
      </c>
      <c r="C1623" t="s">
        <v>16</v>
      </c>
      <c r="D1623" s="1">
        <v>45855</v>
      </c>
      <c r="E1623" t="s">
        <v>17</v>
      </c>
      <c r="F1623">
        <v>3600</v>
      </c>
      <c r="J1623">
        <v>2009.7</v>
      </c>
      <c r="K1623">
        <v>1975.5</v>
      </c>
      <c r="L1623">
        <v>0</v>
      </c>
      <c r="M1623" t="s">
        <v>18</v>
      </c>
      <c r="N1623">
        <v>0</v>
      </c>
      <c r="O1623">
        <v>0</v>
      </c>
    </row>
    <row r="1624" spans="1:15" x14ac:dyDescent="0.2">
      <c r="A1624" s="6">
        <v>45839</v>
      </c>
      <c r="B1624" t="s">
        <v>15</v>
      </c>
      <c r="C1624" t="s">
        <v>16</v>
      </c>
      <c r="D1624" s="1">
        <v>45855</v>
      </c>
      <c r="E1624" t="s">
        <v>19</v>
      </c>
      <c r="F1624">
        <v>5800</v>
      </c>
      <c r="G1624">
        <v>316.7</v>
      </c>
      <c r="H1624">
        <v>322.3</v>
      </c>
      <c r="I1624">
        <v>250</v>
      </c>
      <c r="J1624">
        <v>270.39999999999998</v>
      </c>
      <c r="K1624">
        <v>300.2</v>
      </c>
      <c r="L1624">
        <v>9152</v>
      </c>
      <c r="M1624" t="s">
        <v>786</v>
      </c>
      <c r="N1624">
        <v>55608.77</v>
      </c>
      <c r="O1624">
        <v>2026</v>
      </c>
    </row>
    <row r="1625" spans="1:15" x14ac:dyDescent="0.2">
      <c r="A1625" s="6">
        <v>45839</v>
      </c>
      <c r="B1625" t="s">
        <v>15</v>
      </c>
      <c r="C1625" t="s">
        <v>16</v>
      </c>
      <c r="D1625" s="1">
        <v>45855</v>
      </c>
      <c r="E1625" t="s">
        <v>17</v>
      </c>
      <c r="F1625">
        <v>3650</v>
      </c>
      <c r="J1625">
        <v>1959.8</v>
      </c>
      <c r="K1625">
        <v>1925.6</v>
      </c>
      <c r="L1625">
        <v>0</v>
      </c>
      <c r="M1625" t="s">
        <v>18</v>
      </c>
      <c r="N1625">
        <v>0</v>
      </c>
      <c r="O1625">
        <v>0</v>
      </c>
    </row>
    <row r="1626" spans="1:15" x14ac:dyDescent="0.2">
      <c r="A1626" s="6">
        <v>45839</v>
      </c>
      <c r="B1626" t="s">
        <v>15</v>
      </c>
      <c r="C1626" t="s">
        <v>16</v>
      </c>
      <c r="D1626" s="1">
        <v>45855</v>
      </c>
      <c r="E1626" t="s">
        <v>17</v>
      </c>
      <c r="F1626">
        <v>5550</v>
      </c>
      <c r="G1626">
        <v>171.7</v>
      </c>
      <c r="H1626">
        <v>223</v>
      </c>
      <c r="I1626">
        <v>165.7</v>
      </c>
      <c r="J1626">
        <v>196.5</v>
      </c>
      <c r="K1626">
        <v>185.9</v>
      </c>
      <c r="L1626">
        <v>45584</v>
      </c>
      <c r="M1626" t="s">
        <v>787</v>
      </c>
      <c r="N1626">
        <v>261909</v>
      </c>
      <c r="O1626">
        <v>1397</v>
      </c>
    </row>
    <row r="1627" spans="1:15" x14ac:dyDescent="0.2">
      <c r="A1627" s="6">
        <v>45839</v>
      </c>
      <c r="B1627" t="s">
        <v>15</v>
      </c>
      <c r="C1627" t="s">
        <v>16</v>
      </c>
      <c r="D1627" s="1">
        <v>45855</v>
      </c>
      <c r="E1627" t="s">
        <v>19</v>
      </c>
      <c r="F1627">
        <v>7550</v>
      </c>
      <c r="J1627">
        <v>1930</v>
      </c>
      <c r="K1627">
        <v>1963.7</v>
      </c>
      <c r="L1627">
        <v>0</v>
      </c>
      <c r="M1627" t="s">
        <v>18</v>
      </c>
      <c r="N1627">
        <v>0</v>
      </c>
      <c r="O1627">
        <v>0</v>
      </c>
    </row>
    <row r="1628" spans="1:15" x14ac:dyDescent="0.2">
      <c r="A1628" s="6">
        <v>45839</v>
      </c>
      <c r="B1628" t="s">
        <v>15</v>
      </c>
      <c r="C1628" t="s">
        <v>16</v>
      </c>
      <c r="D1628" s="1">
        <v>45855</v>
      </c>
      <c r="E1628" t="s">
        <v>19</v>
      </c>
      <c r="F1628">
        <v>6000</v>
      </c>
      <c r="G1628">
        <v>481.7</v>
      </c>
      <c r="H1628">
        <v>484.6</v>
      </c>
      <c r="I1628">
        <v>396.9</v>
      </c>
      <c r="J1628">
        <v>424.6</v>
      </c>
      <c r="K1628">
        <v>458.5</v>
      </c>
      <c r="L1628">
        <v>1218</v>
      </c>
      <c r="M1628" t="s">
        <v>788</v>
      </c>
      <c r="N1628">
        <v>7838.4</v>
      </c>
      <c r="O1628">
        <v>2330</v>
      </c>
    </row>
    <row r="1629" spans="1:15" x14ac:dyDescent="0.2">
      <c r="A1629" s="6">
        <v>45839</v>
      </c>
      <c r="B1629" t="s">
        <v>15</v>
      </c>
      <c r="C1629" t="s">
        <v>16</v>
      </c>
      <c r="D1629" s="1">
        <v>45855</v>
      </c>
      <c r="E1629" t="s">
        <v>19</v>
      </c>
      <c r="F1629">
        <v>3950</v>
      </c>
      <c r="J1629">
        <v>0.1</v>
      </c>
      <c r="K1629">
        <v>0.1</v>
      </c>
      <c r="L1629">
        <v>0</v>
      </c>
      <c r="M1629" t="s">
        <v>18</v>
      </c>
      <c r="N1629">
        <v>0</v>
      </c>
      <c r="O1629">
        <v>0</v>
      </c>
    </row>
    <row r="1630" spans="1:15" x14ac:dyDescent="0.2">
      <c r="A1630" s="6">
        <v>45839</v>
      </c>
      <c r="B1630" t="s">
        <v>15</v>
      </c>
      <c r="C1630" t="s">
        <v>16</v>
      </c>
      <c r="D1630" s="1">
        <v>45855</v>
      </c>
      <c r="E1630" t="s">
        <v>17</v>
      </c>
      <c r="F1630">
        <v>7600</v>
      </c>
      <c r="G1630">
        <v>10</v>
      </c>
      <c r="H1630">
        <v>10.6</v>
      </c>
      <c r="I1630">
        <v>8.1</v>
      </c>
      <c r="J1630">
        <v>8.9</v>
      </c>
      <c r="K1630">
        <v>9.8000000000000007</v>
      </c>
      <c r="L1630">
        <v>975</v>
      </c>
      <c r="M1630" t="s">
        <v>789</v>
      </c>
      <c r="N1630">
        <v>7418.59</v>
      </c>
      <c r="O1630">
        <v>1060</v>
      </c>
    </row>
    <row r="1631" spans="1:15" x14ac:dyDescent="0.2">
      <c r="A1631" s="6">
        <v>45839</v>
      </c>
      <c r="B1631" t="s">
        <v>15</v>
      </c>
      <c r="C1631" t="s">
        <v>16</v>
      </c>
      <c r="D1631" s="1">
        <v>45855</v>
      </c>
      <c r="E1631" t="s">
        <v>19</v>
      </c>
      <c r="F1631">
        <v>3850</v>
      </c>
      <c r="J1631">
        <v>0.1</v>
      </c>
      <c r="K1631">
        <v>0.1</v>
      </c>
      <c r="L1631">
        <v>0</v>
      </c>
      <c r="M1631" t="s">
        <v>18</v>
      </c>
      <c r="N1631">
        <v>0</v>
      </c>
      <c r="O1631">
        <v>0</v>
      </c>
    </row>
    <row r="1632" spans="1:15" x14ac:dyDescent="0.2">
      <c r="A1632" s="6">
        <v>45839</v>
      </c>
      <c r="B1632" t="s">
        <v>15</v>
      </c>
      <c r="C1632" t="s">
        <v>16</v>
      </c>
      <c r="D1632" s="1">
        <v>45855</v>
      </c>
      <c r="E1632" t="s">
        <v>19</v>
      </c>
      <c r="F1632">
        <v>4300</v>
      </c>
      <c r="J1632">
        <v>0.3</v>
      </c>
      <c r="K1632">
        <v>0.6</v>
      </c>
      <c r="L1632">
        <v>0</v>
      </c>
      <c r="M1632" t="s">
        <v>18</v>
      </c>
      <c r="N1632">
        <v>0</v>
      </c>
      <c r="O1632">
        <v>0</v>
      </c>
    </row>
    <row r="1633" spans="1:15" x14ac:dyDescent="0.2">
      <c r="A1633" s="6">
        <v>45839</v>
      </c>
      <c r="B1633" t="s">
        <v>15</v>
      </c>
      <c r="C1633" t="s">
        <v>16</v>
      </c>
      <c r="D1633" s="1">
        <v>45855</v>
      </c>
      <c r="E1633" t="s">
        <v>17</v>
      </c>
      <c r="F1633">
        <v>6600</v>
      </c>
      <c r="G1633">
        <v>17.899999999999999</v>
      </c>
      <c r="H1633">
        <v>19.2</v>
      </c>
      <c r="I1633">
        <v>16.100000000000001</v>
      </c>
      <c r="J1633">
        <v>17.600000000000001</v>
      </c>
      <c r="K1633">
        <v>20</v>
      </c>
      <c r="L1633">
        <v>3447</v>
      </c>
      <c r="M1633" t="s">
        <v>790</v>
      </c>
      <c r="N1633">
        <v>22811.5</v>
      </c>
      <c r="O1633">
        <v>3382</v>
      </c>
    </row>
    <row r="1634" spans="1:15" x14ac:dyDescent="0.2">
      <c r="A1634" s="6">
        <v>45839</v>
      </c>
      <c r="B1634" t="s">
        <v>15</v>
      </c>
      <c r="C1634" t="s">
        <v>16</v>
      </c>
      <c r="D1634" s="1">
        <v>45855</v>
      </c>
      <c r="E1634" t="s">
        <v>19</v>
      </c>
      <c r="F1634">
        <v>4800</v>
      </c>
      <c r="G1634">
        <v>8.6</v>
      </c>
      <c r="H1634">
        <v>16.399999999999999</v>
      </c>
      <c r="I1634">
        <v>8.6</v>
      </c>
      <c r="J1634">
        <v>13.1</v>
      </c>
      <c r="K1634">
        <v>16.7</v>
      </c>
      <c r="L1634">
        <v>1200</v>
      </c>
      <c r="M1634" t="s">
        <v>791</v>
      </c>
      <c r="N1634">
        <v>5776.42</v>
      </c>
      <c r="O1634">
        <v>596</v>
      </c>
    </row>
    <row r="1635" spans="1:15" x14ac:dyDescent="0.2">
      <c r="A1635" s="6">
        <v>45839</v>
      </c>
      <c r="B1635" t="s">
        <v>15</v>
      </c>
      <c r="C1635" t="s">
        <v>16</v>
      </c>
      <c r="D1635" s="1">
        <v>45855</v>
      </c>
      <c r="E1635" t="s">
        <v>19</v>
      </c>
      <c r="F1635">
        <v>6500</v>
      </c>
      <c r="G1635">
        <v>932</v>
      </c>
      <c r="H1635">
        <v>932</v>
      </c>
      <c r="I1635">
        <v>888.4</v>
      </c>
      <c r="J1635">
        <v>906.8</v>
      </c>
      <c r="K1635">
        <v>930.1</v>
      </c>
      <c r="L1635">
        <v>6</v>
      </c>
      <c r="M1635" t="s">
        <v>132</v>
      </c>
      <c r="N1635">
        <v>44.44</v>
      </c>
      <c r="O1635">
        <v>742</v>
      </c>
    </row>
    <row r="1636" spans="1:15" x14ac:dyDescent="0.2">
      <c r="A1636" s="6">
        <v>45839</v>
      </c>
      <c r="B1636" t="s">
        <v>15</v>
      </c>
      <c r="C1636" t="s">
        <v>16</v>
      </c>
      <c r="D1636" s="1">
        <v>45855</v>
      </c>
      <c r="E1636" t="s">
        <v>19</v>
      </c>
      <c r="F1636">
        <v>6300</v>
      </c>
      <c r="G1636">
        <v>770.5</v>
      </c>
      <c r="H1636">
        <v>770.5</v>
      </c>
      <c r="I1636">
        <v>735.6</v>
      </c>
      <c r="J1636">
        <v>743.7</v>
      </c>
      <c r="K1636">
        <v>757.3</v>
      </c>
      <c r="L1636">
        <v>9</v>
      </c>
      <c r="M1636" t="s">
        <v>343</v>
      </c>
      <c r="N1636">
        <v>63.39</v>
      </c>
      <c r="O1636">
        <v>596</v>
      </c>
    </row>
    <row r="1637" spans="1:15" x14ac:dyDescent="0.2">
      <c r="A1637" s="6">
        <v>45839</v>
      </c>
      <c r="B1637" t="s">
        <v>15</v>
      </c>
      <c r="C1637" t="s">
        <v>16</v>
      </c>
      <c r="D1637" s="1">
        <v>45855</v>
      </c>
      <c r="E1637" t="s">
        <v>19</v>
      </c>
      <c r="F1637">
        <v>5850</v>
      </c>
      <c r="G1637">
        <v>351.9</v>
      </c>
      <c r="H1637">
        <v>355.1</v>
      </c>
      <c r="I1637">
        <v>285</v>
      </c>
      <c r="J1637">
        <v>306.5</v>
      </c>
      <c r="K1637">
        <v>341.3</v>
      </c>
      <c r="L1637">
        <v>425</v>
      </c>
      <c r="M1637" t="s">
        <v>183</v>
      </c>
      <c r="N1637">
        <v>2617.8200000000002</v>
      </c>
      <c r="O1637">
        <v>120</v>
      </c>
    </row>
    <row r="1638" spans="1:15" x14ac:dyDescent="0.2">
      <c r="A1638" s="6">
        <v>45839</v>
      </c>
      <c r="B1638" t="s">
        <v>15</v>
      </c>
      <c r="C1638" t="s">
        <v>16</v>
      </c>
      <c r="D1638" s="1">
        <v>45855</v>
      </c>
      <c r="E1638" t="s">
        <v>17</v>
      </c>
      <c r="F1638">
        <v>5850</v>
      </c>
      <c r="G1638">
        <v>66.099999999999994</v>
      </c>
      <c r="H1638">
        <v>88</v>
      </c>
      <c r="I1638">
        <v>63.5</v>
      </c>
      <c r="J1638">
        <v>74.400000000000006</v>
      </c>
      <c r="K1638">
        <v>73</v>
      </c>
      <c r="L1638">
        <v>21753</v>
      </c>
      <c r="M1638" t="s">
        <v>792</v>
      </c>
      <c r="N1638">
        <v>128891.5</v>
      </c>
      <c r="O1638">
        <v>1538</v>
      </c>
    </row>
    <row r="1639" spans="1:15" x14ac:dyDescent="0.2">
      <c r="A1639" s="6">
        <v>45839</v>
      </c>
      <c r="B1639" t="s">
        <v>15</v>
      </c>
      <c r="C1639" t="s">
        <v>16</v>
      </c>
      <c r="D1639" s="1">
        <v>45855</v>
      </c>
      <c r="E1639" t="s">
        <v>17</v>
      </c>
      <c r="F1639">
        <v>3900</v>
      </c>
      <c r="J1639">
        <v>1710.5</v>
      </c>
      <c r="K1639">
        <v>1676.3</v>
      </c>
      <c r="L1639">
        <v>0</v>
      </c>
      <c r="M1639" t="s">
        <v>18</v>
      </c>
      <c r="N1639">
        <v>0</v>
      </c>
      <c r="O1639">
        <v>0</v>
      </c>
    </row>
    <row r="1640" spans="1:15" x14ac:dyDescent="0.2">
      <c r="A1640" s="6">
        <v>45839</v>
      </c>
      <c r="B1640" t="s">
        <v>15</v>
      </c>
      <c r="C1640" t="s">
        <v>16</v>
      </c>
      <c r="D1640" s="1">
        <v>45855</v>
      </c>
      <c r="E1640" t="s">
        <v>19</v>
      </c>
      <c r="F1640">
        <v>7650</v>
      </c>
      <c r="J1640">
        <v>2029.7</v>
      </c>
      <c r="K1640">
        <v>2063.3000000000002</v>
      </c>
      <c r="L1640">
        <v>0</v>
      </c>
      <c r="M1640" t="s">
        <v>18</v>
      </c>
      <c r="N1640">
        <v>0</v>
      </c>
      <c r="O1640">
        <v>0</v>
      </c>
    </row>
    <row r="1641" spans="1:15" x14ac:dyDescent="0.2">
      <c r="A1641" s="6">
        <v>45839</v>
      </c>
      <c r="B1641" t="s">
        <v>15</v>
      </c>
      <c r="C1641" t="s">
        <v>16</v>
      </c>
      <c r="D1641" s="1">
        <v>45855</v>
      </c>
      <c r="E1641" t="s">
        <v>19</v>
      </c>
      <c r="F1641">
        <v>7050</v>
      </c>
      <c r="J1641">
        <v>1432.5</v>
      </c>
      <c r="K1641">
        <v>1466.7</v>
      </c>
      <c r="L1641">
        <v>0</v>
      </c>
      <c r="M1641" t="s">
        <v>18</v>
      </c>
      <c r="N1641">
        <v>0</v>
      </c>
      <c r="O1641">
        <v>0</v>
      </c>
    </row>
    <row r="1642" spans="1:15" x14ac:dyDescent="0.2">
      <c r="A1642" s="6">
        <v>45839</v>
      </c>
      <c r="B1642" t="s">
        <v>15</v>
      </c>
      <c r="C1642" t="s">
        <v>16</v>
      </c>
      <c r="D1642" s="1">
        <v>45855</v>
      </c>
      <c r="E1642" t="s">
        <v>19</v>
      </c>
      <c r="F1642">
        <v>6600</v>
      </c>
      <c r="G1642">
        <v>1080</v>
      </c>
      <c r="H1642">
        <v>1080</v>
      </c>
      <c r="I1642">
        <v>1060</v>
      </c>
      <c r="J1642">
        <v>1066.7</v>
      </c>
      <c r="K1642">
        <v>996.7</v>
      </c>
      <c r="L1642">
        <v>3</v>
      </c>
      <c r="M1642" t="s">
        <v>34</v>
      </c>
      <c r="N1642">
        <v>23</v>
      </c>
      <c r="O1642">
        <v>163</v>
      </c>
    </row>
    <row r="1643" spans="1:15" x14ac:dyDescent="0.2">
      <c r="A1643" s="6">
        <v>45839</v>
      </c>
      <c r="B1643" t="s">
        <v>15</v>
      </c>
      <c r="C1643" t="s">
        <v>16</v>
      </c>
      <c r="D1643" s="1">
        <v>45855</v>
      </c>
      <c r="E1643" t="s">
        <v>19</v>
      </c>
      <c r="F1643">
        <v>5550</v>
      </c>
      <c r="G1643">
        <v>159</v>
      </c>
      <c r="H1643">
        <v>165.5</v>
      </c>
      <c r="I1643">
        <v>118.2</v>
      </c>
      <c r="J1643">
        <v>129.69999999999999</v>
      </c>
      <c r="K1643">
        <v>151.5</v>
      </c>
      <c r="L1643">
        <v>51345</v>
      </c>
      <c r="M1643" t="s">
        <v>793</v>
      </c>
      <c r="N1643">
        <v>291993.23</v>
      </c>
      <c r="O1643">
        <v>2347</v>
      </c>
    </row>
    <row r="1644" spans="1:15" x14ac:dyDescent="0.2">
      <c r="A1644" s="6">
        <v>45839</v>
      </c>
      <c r="B1644" t="s">
        <v>15</v>
      </c>
      <c r="C1644" t="s">
        <v>16</v>
      </c>
      <c r="D1644" s="1">
        <v>45855</v>
      </c>
      <c r="E1644" t="s">
        <v>19</v>
      </c>
      <c r="F1644">
        <v>4150</v>
      </c>
      <c r="J1644">
        <v>0.1</v>
      </c>
      <c r="K1644">
        <v>0.2</v>
      </c>
      <c r="L1644">
        <v>0</v>
      </c>
      <c r="M1644" t="s">
        <v>18</v>
      </c>
      <c r="N1644">
        <v>0</v>
      </c>
      <c r="O1644">
        <v>0</v>
      </c>
    </row>
    <row r="1645" spans="1:15" x14ac:dyDescent="0.2">
      <c r="A1645" s="6">
        <v>45839</v>
      </c>
      <c r="B1645" t="s">
        <v>15</v>
      </c>
      <c r="C1645" t="s">
        <v>16</v>
      </c>
      <c r="D1645" s="1">
        <v>45855</v>
      </c>
      <c r="E1645" t="s">
        <v>17</v>
      </c>
      <c r="F1645">
        <v>4050</v>
      </c>
      <c r="J1645">
        <v>1560.9</v>
      </c>
      <c r="K1645">
        <v>1526.8</v>
      </c>
      <c r="L1645">
        <v>0</v>
      </c>
      <c r="M1645" t="s">
        <v>18</v>
      </c>
      <c r="N1645">
        <v>0</v>
      </c>
      <c r="O1645">
        <v>0</v>
      </c>
    </row>
    <row r="1646" spans="1:15" x14ac:dyDescent="0.2">
      <c r="A1646" s="6">
        <v>45839</v>
      </c>
      <c r="B1646" t="s">
        <v>15</v>
      </c>
      <c r="C1646" t="s">
        <v>16</v>
      </c>
      <c r="D1646" s="1">
        <v>45855</v>
      </c>
      <c r="E1646" t="s">
        <v>19</v>
      </c>
      <c r="F1646">
        <v>4350</v>
      </c>
      <c r="J1646">
        <v>0.4</v>
      </c>
      <c r="K1646">
        <v>0.9</v>
      </c>
      <c r="L1646">
        <v>0</v>
      </c>
      <c r="M1646" t="s">
        <v>18</v>
      </c>
      <c r="N1646">
        <v>0</v>
      </c>
      <c r="O1646">
        <v>0</v>
      </c>
    </row>
    <row r="1647" spans="1:15" x14ac:dyDescent="0.2">
      <c r="A1647" s="6">
        <v>45839</v>
      </c>
      <c r="B1647" t="s">
        <v>15</v>
      </c>
      <c r="C1647" t="s">
        <v>16</v>
      </c>
      <c r="D1647" s="1">
        <v>45855</v>
      </c>
      <c r="E1647" t="s">
        <v>19</v>
      </c>
      <c r="F1647">
        <v>4750</v>
      </c>
      <c r="G1647">
        <v>12.9</v>
      </c>
      <c r="H1647">
        <v>13.3</v>
      </c>
      <c r="I1647">
        <v>9.1</v>
      </c>
      <c r="J1647">
        <v>12.5</v>
      </c>
      <c r="K1647">
        <v>17.2</v>
      </c>
      <c r="L1647">
        <v>10</v>
      </c>
      <c r="M1647" t="s">
        <v>69</v>
      </c>
      <c r="N1647">
        <v>47.63</v>
      </c>
      <c r="O1647">
        <v>10</v>
      </c>
    </row>
    <row r="1648" spans="1:15" x14ac:dyDescent="0.2">
      <c r="A1648" s="6">
        <v>45839</v>
      </c>
      <c r="B1648" t="s">
        <v>15</v>
      </c>
      <c r="C1648" t="s">
        <v>16</v>
      </c>
      <c r="D1648" s="1">
        <v>45855</v>
      </c>
      <c r="E1648" t="s">
        <v>17</v>
      </c>
      <c r="F1648">
        <v>6150</v>
      </c>
      <c r="G1648">
        <v>29.4</v>
      </c>
      <c r="H1648">
        <v>35.799999999999997</v>
      </c>
      <c r="I1648">
        <v>27.6</v>
      </c>
      <c r="J1648">
        <v>31</v>
      </c>
      <c r="K1648">
        <v>33.799999999999997</v>
      </c>
      <c r="L1648">
        <v>1265</v>
      </c>
      <c r="M1648" t="s">
        <v>794</v>
      </c>
      <c r="N1648">
        <v>7820.15</v>
      </c>
      <c r="O1648">
        <v>713</v>
      </c>
    </row>
    <row r="1649" spans="1:15" x14ac:dyDescent="0.2">
      <c r="A1649" s="6">
        <v>45839</v>
      </c>
      <c r="B1649" t="s">
        <v>15</v>
      </c>
      <c r="C1649" t="s">
        <v>16</v>
      </c>
      <c r="D1649" s="1">
        <v>45855</v>
      </c>
      <c r="E1649" t="s">
        <v>17</v>
      </c>
      <c r="F1649">
        <v>7400</v>
      </c>
      <c r="G1649">
        <v>12.3</v>
      </c>
      <c r="H1649">
        <v>12.4</v>
      </c>
      <c r="I1649">
        <v>9.6999999999999993</v>
      </c>
      <c r="J1649">
        <v>10</v>
      </c>
      <c r="K1649">
        <v>12.4</v>
      </c>
      <c r="L1649">
        <v>502</v>
      </c>
      <c r="M1649" t="s">
        <v>795</v>
      </c>
      <c r="N1649">
        <v>3720.14</v>
      </c>
      <c r="O1649">
        <v>1528</v>
      </c>
    </row>
    <row r="1650" spans="1:15" x14ac:dyDescent="0.2">
      <c r="A1650" s="6">
        <v>45839</v>
      </c>
      <c r="B1650" t="s">
        <v>15</v>
      </c>
      <c r="C1650" t="s">
        <v>16</v>
      </c>
      <c r="D1650" s="1">
        <v>45855</v>
      </c>
      <c r="E1650" t="s">
        <v>17</v>
      </c>
      <c r="F1650">
        <v>5400</v>
      </c>
      <c r="G1650">
        <v>255</v>
      </c>
      <c r="H1650">
        <v>321.2</v>
      </c>
      <c r="I1650">
        <v>246.2</v>
      </c>
      <c r="J1650">
        <v>290.39999999999998</v>
      </c>
      <c r="K1650">
        <v>272.39999999999998</v>
      </c>
      <c r="L1650">
        <v>8419</v>
      </c>
      <c r="M1650" t="s">
        <v>796</v>
      </c>
      <c r="N1650">
        <v>47853.2</v>
      </c>
      <c r="O1650">
        <v>811</v>
      </c>
    </row>
    <row r="1651" spans="1:15" x14ac:dyDescent="0.2">
      <c r="A1651" s="6">
        <v>45839</v>
      </c>
      <c r="B1651" t="s">
        <v>15</v>
      </c>
      <c r="C1651" t="s">
        <v>16</v>
      </c>
      <c r="D1651" s="1">
        <v>45855</v>
      </c>
      <c r="E1651" t="s">
        <v>17</v>
      </c>
      <c r="F1651">
        <v>7700</v>
      </c>
      <c r="G1651">
        <v>8.6999999999999993</v>
      </c>
      <c r="H1651">
        <v>8.6999999999999993</v>
      </c>
      <c r="I1651">
        <v>7.2</v>
      </c>
      <c r="J1651">
        <v>8.1</v>
      </c>
      <c r="K1651">
        <v>8.6</v>
      </c>
      <c r="L1651">
        <v>802</v>
      </c>
      <c r="M1651" t="s">
        <v>82</v>
      </c>
      <c r="N1651">
        <v>6181.62</v>
      </c>
      <c r="O1651">
        <v>2226</v>
      </c>
    </row>
    <row r="1652" spans="1:15" x14ac:dyDescent="0.2">
      <c r="A1652" s="6">
        <v>45839</v>
      </c>
      <c r="B1652" t="s">
        <v>15</v>
      </c>
      <c r="C1652" t="s">
        <v>16</v>
      </c>
      <c r="D1652" s="1">
        <v>45855</v>
      </c>
      <c r="E1652" t="s">
        <v>19</v>
      </c>
      <c r="F1652">
        <v>7000</v>
      </c>
      <c r="J1652">
        <v>1383</v>
      </c>
      <c r="K1652">
        <v>1417.3</v>
      </c>
      <c r="L1652">
        <v>0</v>
      </c>
      <c r="M1652" t="s">
        <v>18</v>
      </c>
      <c r="N1652">
        <v>0</v>
      </c>
      <c r="O1652">
        <v>12</v>
      </c>
    </row>
    <row r="1653" spans="1:15" x14ac:dyDescent="0.2">
      <c r="A1653" s="6">
        <v>45839</v>
      </c>
      <c r="B1653" t="s">
        <v>15</v>
      </c>
      <c r="C1653" t="s">
        <v>16</v>
      </c>
      <c r="D1653" s="1">
        <v>45855</v>
      </c>
      <c r="E1653" t="s">
        <v>19</v>
      </c>
      <c r="F1653">
        <v>6450</v>
      </c>
      <c r="G1653">
        <v>903.4</v>
      </c>
      <c r="H1653">
        <v>903.4</v>
      </c>
      <c r="I1653">
        <v>839.4</v>
      </c>
      <c r="J1653">
        <v>851.4</v>
      </c>
      <c r="K1653">
        <v>858.5</v>
      </c>
      <c r="L1653">
        <v>117</v>
      </c>
      <c r="M1653" t="s">
        <v>603</v>
      </c>
      <c r="N1653">
        <v>857.34</v>
      </c>
      <c r="O1653">
        <v>837</v>
      </c>
    </row>
    <row r="1654" spans="1:15" x14ac:dyDescent="0.2">
      <c r="A1654" s="6">
        <v>45839</v>
      </c>
      <c r="B1654" t="s">
        <v>15</v>
      </c>
      <c r="C1654" t="s">
        <v>16</v>
      </c>
      <c r="D1654" s="1">
        <v>45855</v>
      </c>
      <c r="E1654" t="s">
        <v>19</v>
      </c>
      <c r="F1654">
        <v>6100</v>
      </c>
      <c r="G1654">
        <v>577.70000000000005</v>
      </c>
      <c r="H1654">
        <v>580.5</v>
      </c>
      <c r="I1654">
        <v>516.79999999999995</v>
      </c>
      <c r="J1654">
        <v>517.20000000000005</v>
      </c>
      <c r="K1654">
        <v>549.70000000000005</v>
      </c>
      <c r="L1654">
        <v>96</v>
      </c>
      <c r="M1654" t="s">
        <v>707</v>
      </c>
      <c r="N1654">
        <v>638.5</v>
      </c>
      <c r="O1654">
        <v>306</v>
      </c>
    </row>
    <row r="1655" spans="1:15" x14ac:dyDescent="0.2">
      <c r="A1655" s="6">
        <v>45839</v>
      </c>
      <c r="B1655" t="s">
        <v>15</v>
      </c>
      <c r="C1655" t="s">
        <v>16</v>
      </c>
      <c r="D1655" s="1">
        <v>45855</v>
      </c>
      <c r="E1655" t="s">
        <v>17</v>
      </c>
      <c r="F1655">
        <v>7100</v>
      </c>
      <c r="G1655">
        <v>10.1</v>
      </c>
      <c r="H1655">
        <v>16.600000000000001</v>
      </c>
      <c r="I1655">
        <v>10.1</v>
      </c>
      <c r="J1655">
        <v>13</v>
      </c>
      <c r="K1655">
        <v>14.7</v>
      </c>
      <c r="L1655">
        <v>492</v>
      </c>
      <c r="M1655" t="s">
        <v>797</v>
      </c>
      <c r="N1655">
        <v>3499.58</v>
      </c>
      <c r="O1655">
        <v>278</v>
      </c>
    </row>
    <row r="1656" spans="1:15" x14ac:dyDescent="0.2">
      <c r="A1656" s="6">
        <v>45839</v>
      </c>
      <c r="B1656" t="s">
        <v>15</v>
      </c>
      <c r="C1656" t="s">
        <v>16</v>
      </c>
      <c r="D1656" s="1">
        <v>45855</v>
      </c>
      <c r="E1656" t="s">
        <v>19</v>
      </c>
      <c r="F1656">
        <v>7300</v>
      </c>
      <c r="J1656">
        <v>1681</v>
      </c>
      <c r="K1656">
        <v>1714.8</v>
      </c>
      <c r="L1656">
        <v>0</v>
      </c>
      <c r="M1656" t="s">
        <v>18</v>
      </c>
      <c r="N1656">
        <v>0</v>
      </c>
      <c r="O1656">
        <v>0</v>
      </c>
    </row>
    <row r="1657" spans="1:15" x14ac:dyDescent="0.2">
      <c r="A1657" s="6">
        <v>45839</v>
      </c>
      <c r="B1657" t="s">
        <v>15</v>
      </c>
      <c r="C1657" t="s">
        <v>16</v>
      </c>
      <c r="D1657" s="1">
        <v>45855</v>
      </c>
      <c r="E1657" t="s">
        <v>19</v>
      </c>
      <c r="F1657">
        <v>3800</v>
      </c>
      <c r="J1657">
        <v>0.1</v>
      </c>
      <c r="K1657">
        <v>0.1</v>
      </c>
      <c r="L1657">
        <v>0</v>
      </c>
      <c r="M1657" t="s">
        <v>18</v>
      </c>
      <c r="N1657">
        <v>0</v>
      </c>
      <c r="O1657">
        <v>0</v>
      </c>
    </row>
    <row r="1658" spans="1:15" x14ac:dyDescent="0.2">
      <c r="A1658" s="6">
        <v>45839</v>
      </c>
      <c r="B1658" t="s">
        <v>15</v>
      </c>
      <c r="C1658" t="s">
        <v>16</v>
      </c>
      <c r="D1658" s="1">
        <v>45855</v>
      </c>
      <c r="E1658" t="s">
        <v>17</v>
      </c>
      <c r="F1658">
        <v>4300</v>
      </c>
      <c r="J1658">
        <v>1311.8</v>
      </c>
      <c r="K1658">
        <v>1278</v>
      </c>
      <c r="L1658">
        <v>0</v>
      </c>
      <c r="M1658" t="s">
        <v>18</v>
      </c>
      <c r="N1658">
        <v>0</v>
      </c>
      <c r="O1658">
        <v>0</v>
      </c>
    </row>
    <row r="1659" spans="1:15" x14ac:dyDescent="0.2">
      <c r="A1659" s="6">
        <v>45839</v>
      </c>
      <c r="B1659" t="s">
        <v>15</v>
      </c>
      <c r="C1659" t="s">
        <v>16</v>
      </c>
      <c r="D1659" s="1">
        <v>45855</v>
      </c>
      <c r="E1659" t="s">
        <v>19</v>
      </c>
      <c r="F1659">
        <v>5500</v>
      </c>
      <c r="G1659">
        <v>145</v>
      </c>
      <c r="H1659">
        <v>147</v>
      </c>
      <c r="I1659">
        <v>98.3</v>
      </c>
      <c r="J1659">
        <v>108.2</v>
      </c>
      <c r="K1659">
        <v>128.4</v>
      </c>
      <c r="L1659">
        <v>91951</v>
      </c>
      <c r="M1659" t="s">
        <v>798</v>
      </c>
      <c r="N1659">
        <v>516209.04</v>
      </c>
      <c r="O1659">
        <v>6874</v>
      </c>
    </row>
    <row r="1660" spans="1:15" x14ac:dyDescent="0.2">
      <c r="A1660" s="6">
        <v>45839</v>
      </c>
      <c r="B1660" t="s">
        <v>15</v>
      </c>
      <c r="C1660" t="s">
        <v>16</v>
      </c>
      <c r="D1660" s="1">
        <v>45855</v>
      </c>
      <c r="E1660" t="s">
        <v>19</v>
      </c>
      <c r="F1660">
        <v>5750</v>
      </c>
      <c r="G1660">
        <v>278.5</v>
      </c>
      <c r="H1660">
        <v>286.10000000000002</v>
      </c>
      <c r="I1660">
        <v>219.9</v>
      </c>
      <c r="J1660">
        <v>236.5</v>
      </c>
      <c r="K1660">
        <v>267.5</v>
      </c>
      <c r="L1660">
        <v>6709</v>
      </c>
      <c r="M1660" t="s">
        <v>799</v>
      </c>
      <c r="N1660">
        <v>40203.050000000003</v>
      </c>
      <c r="O1660">
        <v>1038</v>
      </c>
    </row>
    <row r="1661" spans="1:15" x14ac:dyDescent="0.2">
      <c r="A1661" s="6">
        <v>45839</v>
      </c>
      <c r="B1661" t="s">
        <v>15</v>
      </c>
      <c r="C1661" t="s">
        <v>16</v>
      </c>
      <c r="D1661" s="1">
        <v>45855</v>
      </c>
      <c r="E1661" t="s">
        <v>17</v>
      </c>
      <c r="F1661">
        <v>4700</v>
      </c>
      <c r="J1661">
        <v>917.6</v>
      </c>
      <c r="K1661">
        <v>886.7</v>
      </c>
      <c r="L1661">
        <v>0</v>
      </c>
      <c r="M1661" t="s">
        <v>18</v>
      </c>
      <c r="N1661">
        <v>0</v>
      </c>
      <c r="O1661">
        <v>0</v>
      </c>
    </row>
    <row r="1662" spans="1:15" x14ac:dyDescent="0.2">
      <c r="A1662" s="6">
        <v>45838</v>
      </c>
      <c r="B1662" t="s">
        <v>15</v>
      </c>
      <c r="C1662" t="s">
        <v>16</v>
      </c>
      <c r="D1662" s="1">
        <v>45855</v>
      </c>
      <c r="E1662" t="s">
        <v>17</v>
      </c>
      <c r="F1662">
        <v>5100</v>
      </c>
      <c r="G1662">
        <v>498.3</v>
      </c>
      <c r="H1662">
        <v>517</v>
      </c>
      <c r="I1662">
        <v>486.8</v>
      </c>
      <c r="J1662">
        <v>498.4</v>
      </c>
      <c r="K1662">
        <v>523.70000000000005</v>
      </c>
      <c r="L1662">
        <v>5</v>
      </c>
      <c r="M1662" t="s">
        <v>26</v>
      </c>
      <c r="N1662">
        <v>27.99</v>
      </c>
      <c r="O1662">
        <v>8</v>
      </c>
    </row>
    <row r="1663" spans="1:15" x14ac:dyDescent="0.2">
      <c r="A1663" s="6">
        <v>45838</v>
      </c>
      <c r="B1663" t="s">
        <v>15</v>
      </c>
      <c r="C1663" t="s">
        <v>16</v>
      </c>
      <c r="D1663" s="1">
        <v>45855</v>
      </c>
      <c r="E1663" t="s">
        <v>19</v>
      </c>
      <c r="F1663">
        <v>6650</v>
      </c>
      <c r="G1663">
        <v>1072.0999999999999</v>
      </c>
      <c r="H1663">
        <v>1072.0999999999999</v>
      </c>
      <c r="I1663">
        <v>1072</v>
      </c>
      <c r="J1663">
        <v>1072.0999999999999</v>
      </c>
      <c r="K1663">
        <v>1062.5999999999999</v>
      </c>
      <c r="L1663">
        <v>2</v>
      </c>
      <c r="M1663" t="s">
        <v>28</v>
      </c>
      <c r="N1663">
        <v>15.44</v>
      </c>
      <c r="O1663">
        <v>25</v>
      </c>
    </row>
    <row r="1664" spans="1:15" x14ac:dyDescent="0.2">
      <c r="A1664" s="6">
        <v>45838</v>
      </c>
      <c r="B1664" t="s">
        <v>15</v>
      </c>
      <c r="C1664" t="s">
        <v>16</v>
      </c>
      <c r="D1664" s="1">
        <v>45855</v>
      </c>
      <c r="E1664" t="s">
        <v>19</v>
      </c>
      <c r="F1664">
        <v>6050</v>
      </c>
      <c r="G1664">
        <v>509</v>
      </c>
      <c r="H1664">
        <v>509</v>
      </c>
      <c r="I1664">
        <v>495.6</v>
      </c>
      <c r="J1664">
        <v>504.3</v>
      </c>
      <c r="K1664">
        <v>515.6</v>
      </c>
      <c r="L1664">
        <v>4</v>
      </c>
      <c r="M1664" t="s">
        <v>78</v>
      </c>
      <c r="N1664">
        <v>26.22</v>
      </c>
      <c r="O1664">
        <v>122</v>
      </c>
    </row>
    <row r="1665" spans="1:15" x14ac:dyDescent="0.2">
      <c r="A1665" s="6">
        <v>45838</v>
      </c>
      <c r="B1665" t="s">
        <v>15</v>
      </c>
      <c r="C1665" t="s">
        <v>16</v>
      </c>
      <c r="D1665" s="1">
        <v>45855</v>
      </c>
      <c r="E1665" t="s">
        <v>17</v>
      </c>
      <c r="F1665">
        <v>5250</v>
      </c>
      <c r="G1665">
        <v>394.6</v>
      </c>
      <c r="H1665">
        <v>430.1</v>
      </c>
      <c r="I1665">
        <v>377.8</v>
      </c>
      <c r="J1665">
        <v>412.4</v>
      </c>
      <c r="K1665">
        <v>407.5</v>
      </c>
      <c r="L1665">
        <v>25</v>
      </c>
      <c r="M1665" t="s">
        <v>465</v>
      </c>
      <c r="N1665">
        <v>141.62</v>
      </c>
      <c r="O1665">
        <v>20</v>
      </c>
    </row>
    <row r="1666" spans="1:15" x14ac:dyDescent="0.2">
      <c r="A1666" s="6">
        <v>45838</v>
      </c>
      <c r="B1666" t="s">
        <v>15</v>
      </c>
      <c r="C1666" t="s">
        <v>16</v>
      </c>
      <c r="D1666" s="1">
        <v>45855</v>
      </c>
      <c r="E1666" t="s">
        <v>17</v>
      </c>
      <c r="F1666">
        <v>4200</v>
      </c>
      <c r="J1666">
        <v>1377.4</v>
      </c>
      <c r="K1666">
        <v>1397.1</v>
      </c>
      <c r="L1666">
        <v>0</v>
      </c>
      <c r="M1666" t="s">
        <v>18</v>
      </c>
      <c r="N1666">
        <v>0</v>
      </c>
      <c r="O1666">
        <v>0</v>
      </c>
    </row>
    <row r="1667" spans="1:15" x14ac:dyDescent="0.2">
      <c r="A1667" s="6">
        <v>45838</v>
      </c>
      <c r="B1667" t="s">
        <v>15</v>
      </c>
      <c r="C1667" t="s">
        <v>16</v>
      </c>
      <c r="D1667" s="1">
        <v>45855</v>
      </c>
      <c r="E1667" t="s">
        <v>17</v>
      </c>
      <c r="F1667">
        <v>4650</v>
      </c>
      <c r="J1667">
        <v>934.6</v>
      </c>
      <c r="K1667">
        <v>958.3</v>
      </c>
      <c r="L1667">
        <v>0</v>
      </c>
      <c r="M1667" t="s">
        <v>18</v>
      </c>
      <c r="N1667">
        <v>0</v>
      </c>
      <c r="O1667">
        <v>0</v>
      </c>
    </row>
    <row r="1668" spans="1:15" x14ac:dyDescent="0.2">
      <c r="A1668" s="6">
        <v>45838</v>
      </c>
      <c r="B1668" t="s">
        <v>15</v>
      </c>
      <c r="C1668" t="s">
        <v>16</v>
      </c>
      <c r="D1668" s="1">
        <v>45855</v>
      </c>
      <c r="E1668" t="s">
        <v>19</v>
      </c>
      <c r="F1668">
        <v>5100</v>
      </c>
      <c r="G1668">
        <v>36.799999999999997</v>
      </c>
      <c r="H1668">
        <v>40.6</v>
      </c>
      <c r="I1668">
        <v>28.4</v>
      </c>
      <c r="J1668">
        <v>29.5</v>
      </c>
      <c r="K1668">
        <v>36.1</v>
      </c>
      <c r="L1668">
        <v>14948</v>
      </c>
      <c r="M1668" t="s">
        <v>800</v>
      </c>
      <c r="N1668">
        <v>76734.92</v>
      </c>
      <c r="O1668">
        <v>2900</v>
      </c>
    </row>
    <row r="1669" spans="1:15" x14ac:dyDescent="0.2">
      <c r="A1669" s="6">
        <v>45838</v>
      </c>
      <c r="B1669" t="s">
        <v>15</v>
      </c>
      <c r="C1669" t="s">
        <v>16</v>
      </c>
      <c r="D1669" s="1">
        <v>45855</v>
      </c>
      <c r="E1669" t="s">
        <v>17</v>
      </c>
      <c r="F1669">
        <v>4900</v>
      </c>
      <c r="G1669">
        <v>703.5</v>
      </c>
      <c r="H1669">
        <v>717.6</v>
      </c>
      <c r="I1669">
        <v>703.5</v>
      </c>
      <c r="J1669">
        <v>710.6</v>
      </c>
      <c r="K1669">
        <v>729.9</v>
      </c>
      <c r="L1669">
        <v>2</v>
      </c>
      <c r="M1669" t="s">
        <v>28</v>
      </c>
      <c r="N1669">
        <v>11.22</v>
      </c>
      <c r="O1669">
        <v>0</v>
      </c>
    </row>
    <row r="1670" spans="1:15" x14ac:dyDescent="0.2">
      <c r="A1670" s="6">
        <v>45838</v>
      </c>
      <c r="B1670" t="s">
        <v>15</v>
      </c>
      <c r="C1670" t="s">
        <v>16</v>
      </c>
      <c r="D1670" s="1">
        <v>45855</v>
      </c>
      <c r="E1670" t="s">
        <v>17</v>
      </c>
      <c r="F1670">
        <v>4800</v>
      </c>
      <c r="J1670">
        <v>792.6</v>
      </c>
      <c r="K1670">
        <v>819</v>
      </c>
      <c r="L1670">
        <v>0</v>
      </c>
      <c r="M1670" t="s">
        <v>18</v>
      </c>
      <c r="N1670">
        <v>0</v>
      </c>
      <c r="O1670">
        <v>0</v>
      </c>
    </row>
    <row r="1671" spans="1:15" x14ac:dyDescent="0.2">
      <c r="A1671" s="6">
        <v>45838</v>
      </c>
      <c r="B1671" t="s">
        <v>15</v>
      </c>
      <c r="C1671" t="s">
        <v>16</v>
      </c>
      <c r="D1671" s="1">
        <v>45855</v>
      </c>
      <c r="E1671" t="s">
        <v>19</v>
      </c>
      <c r="F1671">
        <v>4200</v>
      </c>
      <c r="J1671">
        <v>0.3</v>
      </c>
      <c r="K1671">
        <v>0.7</v>
      </c>
      <c r="L1671">
        <v>0</v>
      </c>
      <c r="M1671" t="s">
        <v>18</v>
      </c>
      <c r="N1671">
        <v>0</v>
      </c>
      <c r="O1671">
        <v>0</v>
      </c>
    </row>
    <row r="1672" spans="1:15" x14ac:dyDescent="0.2">
      <c r="A1672" s="6">
        <v>45838</v>
      </c>
      <c r="B1672" t="s">
        <v>15</v>
      </c>
      <c r="C1672" t="s">
        <v>16</v>
      </c>
      <c r="D1672" s="1">
        <v>45855</v>
      </c>
      <c r="E1672" t="s">
        <v>17</v>
      </c>
      <c r="F1672">
        <v>5700</v>
      </c>
      <c r="G1672">
        <v>129.80000000000001</v>
      </c>
      <c r="H1672">
        <v>156.69999999999999</v>
      </c>
      <c r="I1672">
        <v>111.7</v>
      </c>
      <c r="J1672">
        <v>119.2</v>
      </c>
      <c r="K1672">
        <v>143.69999999999999</v>
      </c>
      <c r="L1672">
        <v>85407</v>
      </c>
      <c r="M1672" t="s">
        <v>801</v>
      </c>
      <c r="N1672">
        <v>498111.06</v>
      </c>
      <c r="O1672">
        <v>10096</v>
      </c>
    </row>
    <row r="1673" spans="1:15" x14ac:dyDescent="0.2">
      <c r="A1673" s="6">
        <v>45838</v>
      </c>
      <c r="B1673" t="s">
        <v>15</v>
      </c>
      <c r="C1673" t="s">
        <v>16</v>
      </c>
      <c r="D1673" s="1">
        <v>45855</v>
      </c>
      <c r="E1673" t="s">
        <v>17</v>
      </c>
      <c r="F1673">
        <v>5300</v>
      </c>
      <c r="G1673">
        <v>359.2</v>
      </c>
      <c r="H1673">
        <v>401.6</v>
      </c>
      <c r="I1673">
        <v>328.1</v>
      </c>
      <c r="J1673">
        <v>345</v>
      </c>
      <c r="K1673">
        <v>370.2</v>
      </c>
      <c r="L1673">
        <v>981</v>
      </c>
      <c r="M1673" t="s">
        <v>802</v>
      </c>
      <c r="N1673">
        <v>5551.33</v>
      </c>
      <c r="O1673">
        <v>201</v>
      </c>
    </row>
    <row r="1674" spans="1:15" x14ac:dyDescent="0.2">
      <c r="A1674" s="6">
        <v>45838</v>
      </c>
      <c r="B1674" t="s">
        <v>15</v>
      </c>
      <c r="C1674" t="s">
        <v>16</v>
      </c>
      <c r="D1674" s="1">
        <v>45855</v>
      </c>
      <c r="E1674" t="s">
        <v>17</v>
      </c>
      <c r="F1674">
        <v>4950</v>
      </c>
      <c r="J1674">
        <v>657</v>
      </c>
      <c r="K1674">
        <v>686.6</v>
      </c>
      <c r="L1674">
        <v>0</v>
      </c>
      <c r="M1674" t="s">
        <v>18</v>
      </c>
      <c r="N1674">
        <v>0</v>
      </c>
      <c r="O1674">
        <v>0</v>
      </c>
    </row>
    <row r="1675" spans="1:15" x14ac:dyDescent="0.2">
      <c r="A1675" s="6">
        <v>45838</v>
      </c>
      <c r="B1675" t="s">
        <v>15</v>
      </c>
      <c r="C1675" t="s">
        <v>16</v>
      </c>
      <c r="D1675" s="1">
        <v>45855</v>
      </c>
      <c r="E1675" t="s">
        <v>19</v>
      </c>
      <c r="F1675">
        <v>5250</v>
      </c>
      <c r="G1675">
        <v>59.3</v>
      </c>
      <c r="H1675">
        <v>65.3</v>
      </c>
      <c r="I1675">
        <v>49.3</v>
      </c>
      <c r="J1675">
        <v>50.9</v>
      </c>
      <c r="K1675">
        <v>60.8</v>
      </c>
      <c r="L1675">
        <v>6619</v>
      </c>
      <c r="M1675" t="s">
        <v>803</v>
      </c>
      <c r="N1675">
        <v>35118.26</v>
      </c>
      <c r="O1675">
        <v>604</v>
      </c>
    </row>
    <row r="1676" spans="1:15" x14ac:dyDescent="0.2">
      <c r="A1676" s="6">
        <v>45838</v>
      </c>
      <c r="B1676" t="s">
        <v>15</v>
      </c>
      <c r="C1676" t="s">
        <v>16</v>
      </c>
      <c r="D1676" s="1">
        <v>45855</v>
      </c>
      <c r="E1676" t="s">
        <v>19</v>
      </c>
      <c r="F1676">
        <v>7200</v>
      </c>
      <c r="J1676">
        <v>1615.4</v>
      </c>
      <c r="K1676">
        <v>1596.4</v>
      </c>
      <c r="L1676">
        <v>0</v>
      </c>
      <c r="M1676" t="s">
        <v>18</v>
      </c>
      <c r="N1676">
        <v>0</v>
      </c>
      <c r="O1676">
        <v>0</v>
      </c>
    </row>
    <row r="1677" spans="1:15" x14ac:dyDescent="0.2">
      <c r="A1677" s="6">
        <v>45838</v>
      </c>
      <c r="B1677" t="s">
        <v>15</v>
      </c>
      <c r="C1677" t="s">
        <v>16</v>
      </c>
      <c r="D1677" s="1">
        <v>45855</v>
      </c>
      <c r="E1677" t="s">
        <v>17</v>
      </c>
      <c r="F1677">
        <v>7300</v>
      </c>
      <c r="G1677">
        <v>12</v>
      </c>
      <c r="H1677">
        <v>12.6</v>
      </c>
      <c r="I1677">
        <v>10.1</v>
      </c>
      <c r="J1677">
        <v>11.1</v>
      </c>
      <c r="K1677">
        <v>14.6</v>
      </c>
      <c r="L1677">
        <v>653</v>
      </c>
      <c r="M1677" t="s">
        <v>804</v>
      </c>
      <c r="N1677">
        <v>4774.51</v>
      </c>
      <c r="O1677">
        <v>1245</v>
      </c>
    </row>
    <row r="1678" spans="1:15" x14ac:dyDescent="0.2">
      <c r="A1678" s="6">
        <v>45838</v>
      </c>
      <c r="B1678" t="s">
        <v>15</v>
      </c>
      <c r="C1678" t="s">
        <v>16</v>
      </c>
      <c r="D1678" s="1">
        <v>45855</v>
      </c>
      <c r="E1678" t="s">
        <v>17</v>
      </c>
      <c r="F1678">
        <v>4450</v>
      </c>
      <c r="J1678">
        <v>1129.5999999999999</v>
      </c>
      <c r="K1678">
        <v>1150.8</v>
      </c>
      <c r="L1678">
        <v>0</v>
      </c>
      <c r="M1678" t="s">
        <v>18</v>
      </c>
      <c r="N1678">
        <v>0</v>
      </c>
      <c r="O1678">
        <v>0</v>
      </c>
    </row>
    <row r="1679" spans="1:15" x14ac:dyDescent="0.2">
      <c r="A1679" s="6">
        <v>45838</v>
      </c>
      <c r="B1679" t="s">
        <v>15</v>
      </c>
      <c r="C1679" t="s">
        <v>16</v>
      </c>
      <c r="D1679" s="1">
        <v>45855</v>
      </c>
      <c r="E1679" t="s">
        <v>17</v>
      </c>
      <c r="F1679">
        <v>4750</v>
      </c>
      <c r="J1679">
        <v>839.4</v>
      </c>
      <c r="K1679">
        <v>864.8</v>
      </c>
      <c r="L1679">
        <v>0</v>
      </c>
      <c r="M1679" t="s">
        <v>18</v>
      </c>
      <c r="N1679">
        <v>0</v>
      </c>
      <c r="O1679">
        <v>0</v>
      </c>
    </row>
    <row r="1680" spans="1:15" x14ac:dyDescent="0.2">
      <c r="A1680" s="6">
        <v>45838</v>
      </c>
      <c r="B1680" t="s">
        <v>15</v>
      </c>
      <c r="C1680" t="s">
        <v>16</v>
      </c>
      <c r="D1680" s="1">
        <v>45855</v>
      </c>
      <c r="E1680" t="s">
        <v>17</v>
      </c>
      <c r="F1680">
        <v>5200</v>
      </c>
      <c r="G1680">
        <v>438</v>
      </c>
      <c r="H1680">
        <v>485</v>
      </c>
      <c r="I1680">
        <v>403.1</v>
      </c>
      <c r="J1680">
        <v>423.7</v>
      </c>
      <c r="K1680">
        <v>450</v>
      </c>
      <c r="L1680">
        <v>178</v>
      </c>
      <c r="M1680" t="s">
        <v>48</v>
      </c>
      <c r="N1680">
        <v>1004.53</v>
      </c>
      <c r="O1680">
        <v>68</v>
      </c>
    </row>
    <row r="1681" spans="1:15" x14ac:dyDescent="0.2">
      <c r="A1681" s="6">
        <v>45838</v>
      </c>
      <c r="B1681" t="s">
        <v>15</v>
      </c>
      <c r="C1681" t="s">
        <v>16</v>
      </c>
      <c r="D1681" s="1">
        <v>45855</v>
      </c>
      <c r="E1681" t="s">
        <v>19</v>
      </c>
      <c r="F1681">
        <v>4900</v>
      </c>
      <c r="G1681">
        <v>24.1</v>
      </c>
      <c r="H1681">
        <v>25.1</v>
      </c>
      <c r="I1681">
        <v>17.3</v>
      </c>
      <c r="J1681">
        <v>18.3</v>
      </c>
      <c r="K1681">
        <v>22.3</v>
      </c>
      <c r="L1681">
        <v>2015</v>
      </c>
      <c r="M1681" t="s">
        <v>805</v>
      </c>
      <c r="N1681">
        <v>9916.24</v>
      </c>
      <c r="O1681">
        <v>470</v>
      </c>
    </row>
    <row r="1682" spans="1:15" x14ac:dyDescent="0.2">
      <c r="A1682" s="6">
        <v>45838</v>
      </c>
      <c r="B1682" t="s">
        <v>15</v>
      </c>
      <c r="C1682" t="s">
        <v>16</v>
      </c>
      <c r="D1682" s="1">
        <v>45855</v>
      </c>
      <c r="E1682" t="s">
        <v>19</v>
      </c>
      <c r="F1682">
        <v>6950</v>
      </c>
      <c r="J1682">
        <v>1367.9</v>
      </c>
      <c r="K1682">
        <v>1351</v>
      </c>
      <c r="L1682">
        <v>0</v>
      </c>
      <c r="M1682" t="s">
        <v>18</v>
      </c>
      <c r="N1682">
        <v>0</v>
      </c>
      <c r="O1682">
        <v>15</v>
      </c>
    </row>
    <row r="1683" spans="1:15" x14ac:dyDescent="0.2">
      <c r="A1683" s="6">
        <v>45838</v>
      </c>
      <c r="B1683" t="s">
        <v>15</v>
      </c>
      <c r="C1683" t="s">
        <v>16</v>
      </c>
      <c r="D1683" s="1">
        <v>45855</v>
      </c>
      <c r="E1683" t="s">
        <v>19</v>
      </c>
      <c r="F1683">
        <v>3600</v>
      </c>
      <c r="J1683">
        <v>0.1</v>
      </c>
      <c r="K1683">
        <v>0.1</v>
      </c>
      <c r="L1683">
        <v>0</v>
      </c>
      <c r="M1683" t="s">
        <v>18</v>
      </c>
      <c r="N1683">
        <v>0</v>
      </c>
      <c r="O1683">
        <v>0</v>
      </c>
    </row>
    <row r="1684" spans="1:15" x14ac:dyDescent="0.2">
      <c r="A1684" s="6">
        <v>45838</v>
      </c>
      <c r="B1684" t="s">
        <v>15</v>
      </c>
      <c r="C1684" t="s">
        <v>16</v>
      </c>
      <c r="D1684" s="1">
        <v>45855</v>
      </c>
      <c r="E1684" t="s">
        <v>17</v>
      </c>
      <c r="F1684">
        <v>4100</v>
      </c>
      <c r="J1684">
        <v>1477</v>
      </c>
      <c r="K1684">
        <v>1496.4</v>
      </c>
      <c r="L1684">
        <v>0</v>
      </c>
      <c r="M1684" t="s">
        <v>18</v>
      </c>
      <c r="N1684">
        <v>0</v>
      </c>
      <c r="O1684">
        <v>0</v>
      </c>
    </row>
    <row r="1685" spans="1:15" x14ac:dyDescent="0.2">
      <c r="A1685" s="6">
        <v>45838</v>
      </c>
      <c r="B1685" t="s">
        <v>15</v>
      </c>
      <c r="C1685" t="s">
        <v>16</v>
      </c>
      <c r="D1685" s="1">
        <v>45855</v>
      </c>
      <c r="E1685" t="s">
        <v>17</v>
      </c>
      <c r="F1685">
        <v>4400</v>
      </c>
      <c r="J1685">
        <v>1179</v>
      </c>
      <c r="K1685">
        <v>1199.8</v>
      </c>
      <c r="L1685">
        <v>0</v>
      </c>
      <c r="M1685" t="s">
        <v>18</v>
      </c>
      <c r="N1685">
        <v>0</v>
      </c>
      <c r="O1685">
        <v>0</v>
      </c>
    </row>
    <row r="1686" spans="1:15" x14ac:dyDescent="0.2">
      <c r="A1686" s="6">
        <v>45838</v>
      </c>
      <c r="B1686" t="s">
        <v>15</v>
      </c>
      <c r="C1686" t="s">
        <v>16</v>
      </c>
      <c r="D1686" s="1">
        <v>45855</v>
      </c>
      <c r="E1686" t="s">
        <v>17</v>
      </c>
      <c r="F1686">
        <v>5000</v>
      </c>
      <c r="G1686">
        <v>616.9</v>
      </c>
      <c r="H1686">
        <v>670</v>
      </c>
      <c r="I1686">
        <v>587.20000000000005</v>
      </c>
      <c r="J1686">
        <v>605.5</v>
      </c>
      <c r="K1686">
        <v>628.29999999999995</v>
      </c>
      <c r="L1686">
        <v>53</v>
      </c>
      <c r="M1686" t="s">
        <v>806</v>
      </c>
      <c r="N1686">
        <v>298.39</v>
      </c>
      <c r="O1686">
        <v>26</v>
      </c>
    </row>
    <row r="1687" spans="1:15" x14ac:dyDescent="0.2">
      <c r="A1687" s="6">
        <v>45838</v>
      </c>
      <c r="B1687" t="s">
        <v>15</v>
      </c>
      <c r="C1687" t="s">
        <v>16</v>
      </c>
      <c r="D1687" s="1">
        <v>45855</v>
      </c>
      <c r="E1687" t="s">
        <v>17</v>
      </c>
      <c r="F1687">
        <v>5150</v>
      </c>
      <c r="G1687">
        <v>477.6</v>
      </c>
      <c r="H1687">
        <v>481.2</v>
      </c>
      <c r="I1687">
        <v>477.6</v>
      </c>
      <c r="J1687">
        <v>479.4</v>
      </c>
      <c r="K1687">
        <v>488.9</v>
      </c>
      <c r="L1687">
        <v>2</v>
      </c>
      <c r="M1687" t="s">
        <v>28</v>
      </c>
      <c r="N1687">
        <v>11.26</v>
      </c>
      <c r="O1687">
        <v>3</v>
      </c>
    </row>
    <row r="1688" spans="1:15" x14ac:dyDescent="0.2">
      <c r="A1688" s="6">
        <v>45838</v>
      </c>
      <c r="B1688" t="s">
        <v>15</v>
      </c>
      <c r="C1688" t="s">
        <v>16</v>
      </c>
      <c r="D1688" s="1">
        <v>45855</v>
      </c>
      <c r="E1688" t="s">
        <v>17</v>
      </c>
      <c r="F1688">
        <v>3700</v>
      </c>
      <c r="J1688">
        <v>1875.7</v>
      </c>
      <c r="K1688">
        <v>1894.8</v>
      </c>
      <c r="L1688">
        <v>0</v>
      </c>
      <c r="M1688" t="s">
        <v>18</v>
      </c>
      <c r="N1688">
        <v>0</v>
      </c>
      <c r="O1688">
        <v>0</v>
      </c>
    </row>
    <row r="1689" spans="1:15" x14ac:dyDescent="0.2">
      <c r="A1689" s="6">
        <v>45838</v>
      </c>
      <c r="B1689" t="s">
        <v>15</v>
      </c>
      <c r="C1689" t="s">
        <v>16</v>
      </c>
      <c r="D1689" s="1">
        <v>45855</v>
      </c>
      <c r="E1689" t="s">
        <v>17</v>
      </c>
      <c r="F1689">
        <v>4350</v>
      </c>
      <c r="J1689">
        <v>1228.4000000000001</v>
      </c>
      <c r="K1689">
        <v>1248.9000000000001</v>
      </c>
      <c r="L1689">
        <v>0</v>
      </c>
      <c r="M1689" t="s">
        <v>18</v>
      </c>
      <c r="N1689">
        <v>0</v>
      </c>
      <c r="O1689">
        <v>0</v>
      </c>
    </row>
    <row r="1690" spans="1:15" x14ac:dyDescent="0.2">
      <c r="A1690" s="6">
        <v>45838</v>
      </c>
      <c r="B1690" t="s">
        <v>15</v>
      </c>
      <c r="C1690" t="s">
        <v>16</v>
      </c>
      <c r="D1690" s="1">
        <v>45855</v>
      </c>
      <c r="E1690" t="s">
        <v>17</v>
      </c>
      <c r="F1690">
        <v>4500</v>
      </c>
      <c r="J1690">
        <v>1080.5</v>
      </c>
      <c r="K1690">
        <v>1102.2</v>
      </c>
      <c r="L1690">
        <v>0</v>
      </c>
      <c r="M1690" t="s">
        <v>18</v>
      </c>
      <c r="N1690">
        <v>0</v>
      </c>
      <c r="O1690">
        <v>0</v>
      </c>
    </row>
    <row r="1691" spans="1:15" x14ac:dyDescent="0.2">
      <c r="A1691" s="6">
        <v>45838</v>
      </c>
      <c r="B1691" t="s">
        <v>15</v>
      </c>
      <c r="C1691" t="s">
        <v>16</v>
      </c>
      <c r="D1691" s="1">
        <v>45855</v>
      </c>
      <c r="E1691" t="s">
        <v>19</v>
      </c>
      <c r="F1691">
        <v>6150</v>
      </c>
      <c r="G1691">
        <v>620</v>
      </c>
      <c r="H1691">
        <v>620</v>
      </c>
      <c r="I1691">
        <v>571.20000000000005</v>
      </c>
      <c r="J1691">
        <v>614.5</v>
      </c>
      <c r="K1691">
        <v>589.20000000000005</v>
      </c>
      <c r="L1691">
        <v>27</v>
      </c>
      <c r="M1691" t="s">
        <v>54</v>
      </c>
      <c r="N1691">
        <v>182.64</v>
      </c>
      <c r="O1691">
        <v>134</v>
      </c>
    </row>
    <row r="1692" spans="1:15" x14ac:dyDescent="0.2">
      <c r="A1692" s="6">
        <v>45838</v>
      </c>
      <c r="B1692" t="s">
        <v>15</v>
      </c>
      <c r="C1692" t="s">
        <v>16</v>
      </c>
      <c r="D1692" s="1">
        <v>45855</v>
      </c>
      <c r="E1692" t="s">
        <v>17</v>
      </c>
      <c r="F1692">
        <v>7450</v>
      </c>
      <c r="G1692">
        <v>15.4</v>
      </c>
      <c r="H1692">
        <v>15.4</v>
      </c>
      <c r="I1692">
        <v>12.5</v>
      </c>
      <c r="J1692">
        <v>14.7</v>
      </c>
      <c r="K1692">
        <v>15.4</v>
      </c>
      <c r="L1692">
        <v>14</v>
      </c>
      <c r="M1692" t="s">
        <v>217</v>
      </c>
      <c r="N1692">
        <v>104.51</v>
      </c>
      <c r="O1692">
        <v>243</v>
      </c>
    </row>
    <row r="1693" spans="1:15" x14ac:dyDescent="0.2">
      <c r="A1693" s="6">
        <v>45838</v>
      </c>
      <c r="B1693" t="s">
        <v>15</v>
      </c>
      <c r="C1693" t="s">
        <v>16</v>
      </c>
      <c r="D1693" s="1">
        <v>45855</v>
      </c>
      <c r="E1693" t="s">
        <v>17</v>
      </c>
      <c r="F1693">
        <v>5950</v>
      </c>
      <c r="G1693">
        <v>67.2</v>
      </c>
      <c r="H1693">
        <v>77.900000000000006</v>
      </c>
      <c r="I1693">
        <v>50.5</v>
      </c>
      <c r="J1693">
        <v>53.5</v>
      </c>
      <c r="K1693">
        <v>73.8</v>
      </c>
      <c r="L1693">
        <v>6515</v>
      </c>
      <c r="M1693" t="s">
        <v>807</v>
      </c>
      <c r="N1693">
        <v>39173.89</v>
      </c>
      <c r="O1693">
        <v>1216</v>
      </c>
    </row>
    <row r="1694" spans="1:15" x14ac:dyDescent="0.2">
      <c r="A1694" s="6">
        <v>45838</v>
      </c>
      <c r="B1694" t="s">
        <v>15</v>
      </c>
      <c r="C1694" t="s">
        <v>16</v>
      </c>
      <c r="D1694" s="1">
        <v>45855</v>
      </c>
      <c r="E1694" t="s">
        <v>17</v>
      </c>
      <c r="F1694">
        <v>6400</v>
      </c>
      <c r="G1694">
        <v>28</v>
      </c>
      <c r="H1694">
        <v>30.8</v>
      </c>
      <c r="I1694">
        <v>23.3</v>
      </c>
      <c r="J1694">
        <v>24.6</v>
      </c>
      <c r="K1694">
        <v>32.9</v>
      </c>
      <c r="L1694">
        <v>4248</v>
      </c>
      <c r="M1694" t="s">
        <v>808</v>
      </c>
      <c r="N1694">
        <v>27302.560000000001</v>
      </c>
      <c r="O1694">
        <v>5143</v>
      </c>
    </row>
    <row r="1695" spans="1:15" x14ac:dyDescent="0.2">
      <c r="A1695" s="6">
        <v>45838</v>
      </c>
      <c r="B1695" t="s">
        <v>15</v>
      </c>
      <c r="C1695" t="s">
        <v>16</v>
      </c>
      <c r="D1695" s="1">
        <v>45855</v>
      </c>
      <c r="E1695" t="s">
        <v>19</v>
      </c>
      <c r="F1695">
        <v>6200</v>
      </c>
      <c r="G1695">
        <v>655.8</v>
      </c>
      <c r="H1695">
        <v>664.3</v>
      </c>
      <c r="I1695">
        <v>610.1</v>
      </c>
      <c r="J1695">
        <v>661.7</v>
      </c>
      <c r="K1695">
        <v>659.3</v>
      </c>
      <c r="L1695">
        <v>116</v>
      </c>
      <c r="M1695" t="s">
        <v>451</v>
      </c>
      <c r="N1695">
        <v>793.11</v>
      </c>
      <c r="O1695">
        <v>698</v>
      </c>
    </row>
    <row r="1696" spans="1:15" x14ac:dyDescent="0.2">
      <c r="A1696" s="6">
        <v>45838</v>
      </c>
      <c r="B1696" t="s">
        <v>15</v>
      </c>
      <c r="C1696" t="s">
        <v>16</v>
      </c>
      <c r="D1696" s="1">
        <v>45855</v>
      </c>
      <c r="E1696" t="s">
        <v>17</v>
      </c>
      <c r="F1696">
        <v>3800</v>
      </c>
      <c r="J1696">
        <v>1776</v>
      </c>
      <c r="K1696">
        <v>1836.5</v>
      </c>
      <c r="L1696">
        <v>0</v>
      </c>
      <c r="M1696" t="s">
        <v>18</v>
      </c>
      <c r="N1696">
        <v>0</v>
      </c>
      <c r="O1696">
        <v>0</v>
      </c>
    </row>
    <row r="1697" spans="1:15" x14ac:dyDescent="0.2">
      <c r="A1697" s="6">
        <v>45838</v>
      </c>
      <c r="B1697" t="s">
        <v>15</v>
      </c>
      <c r="C1697" t="s">
        <v>16</v>
      </c>
      <c r="D1697" s="1">
        <v>45855</v>
      </c>
      <c r="E1697" t="s">
        <v>19</v>
      </c>
      <c r="F1697">
        <v>6800</v>
      </c>
      <c r="J1697">
        <v>1220.5999999999999</v>
      </c>
      <c r="K1697">
        <v>1188</v>
      </c>
      <c r="L1697">
        <v>0</v>
      </c>
      <c r="M1697" t="s">
        <v>18</v>
      </c>
      <c r="N1697">
        <v>0</v>
      </c>
      <c r="O1697">
        <v>93</v>
      </c>
    </row>
    <row r="1698" spans="1:15" x14ac:dyDescent="0.2">
      <c r="A1698" s="6">
        <v>45838</v>
      </c>
      <c r="B1698" t="s">
        <v>15</v>
      </c>
      <c r="C1698" t="s">
        <v>16</v>
      </c>
      <c r="D1698" s="1">
        <v>45855</v>
      </c>
      <c r="E1698" t="s">
        <v>17</v>
      </c>
      <c r="F1698">
        <v>6600</v>
      </c>
      <c r="G1698">
        <v>25</v>
      </c>
      <c r="H1698">
        <v>25.6</v>
      </c>
      <c r="I1698">
        <v>18.399999999999999</v>
      </c>
      <c r="J1698">
        <v>20</v>
      </c>
      <c r="K1698">
        <v>26.9</v>
      </c>
      <c r="L1698">
        <v>2378</v>
      </c>
      <c r="M1698" t="s">
        <v>809</v>
      </c>
      <c r="N1698">
        <v>15745.58</v>
      </c>
      <c r="O1698">
        <v>3748</v>
      </c>
    </row>
    <row r="1699" spans="1:15" x14ac:dyDescent="0.2">
      <c r="A1699" s="6">
        <v>45838</v>
      </c>
      <c r="B1699" t="s">
        <v>15</v>
      </c>
      <c r="C1699" t="s">
        <v>16</v>
      </c>
      <c r="D1699" s="1">
        <v>45855</v>
      </c>
      <c r="E1699" t="s">
        <v>17</v>
      </c>
      <c r="F1699">
        <v>7250</v>
      </c>
      <c r="G1699">
        <v>16.100000000000001</v>
      </c>
      <c r="H1699">
        <v>17.8</v>
      </c>
      <c r="I1699">
        <v>11.8</v>
      </c>
      <c r="J1699">
        <v>13.9</v>
      </c>
      <c r="K1699">
        <v>16.100000000000001</v>
      </c>
      <c r="L1699">
        <v>94</v>
      </c>
      <c r="M1699" t="s">
        <v>389</v>
      </c>
      <c r="N1699">
        <v>682.83</v>
      </c>
      <c r="O1699">
        <v>148</v>
      </c>
    </row>
    <row r="1700" spans="1:15" x14ac:dyDescent="0.2">
      <c r="A1700" s="6">
        <v>45838</v>
      </c>
      <c r="B1700" t="s">
        <v>15</v>
      </c>
      <c r="C1700" t="s">
        <v>16</v>
      </c>
      <c r="D1700" s="1">
        <v>45855</v>
      </c>
      <c r="E1700" t="s">
        <v>19</v>
      </c>
      <c r="F1700">
        <v>7600</v>
      </c>
      <c r="J1700">
        <v>2013.5</v>
      </c>
      <c r="K1700">
        <v>1993</v>
      </c>
      <c r="L1700">
        <v>0</v>
      </c>
      <c r="M1700" t="s">
        <v>18</v>
      </c>
      <c r="N1700">
        <v>0</v>
      </c>
      <c r="O1700">
        <v>0</v>
      </c>
    </row>
    <row r="1701" spans="1:15" x14ac:dyDescent="0.2">
      <c r="A1701" s="6">
        <v>45838</v>
      </c>
      <c r="B1701" t="s">
        <v>15</v>
      </c>
      <c r="C1701" t="s">
        <v>16</v>
      </c>
      <c r="D1701" s="1">
        <v>45855</v>
      </c>
      <c r="E1701" t="s">
        <v>17</v>
      </c>
      <c r="F1701">
        <v>5750</v>
      </c>
      <c r="G1701">
        <v>113</v>
      </c>
      <c r="H1701">
        <v>136.1</v>
      </c>
      <c r="I1701">
        <v>94.8</v>
      </c>
      <c r="J1701">
        <v>101.1</v>
      </c>
      <c r="K1701">
        <v>125.1</v>
      </c>
      <c r="L1701">
        <v>21962</v>
      </c>
      <c r="M1701" t="s">
        <v>810</v>
      </c>
      <c r="N1701">
        <v>128781.17</v>
      </c>
      <c r="O1701">
        <v>1815</v>
      </c>
    </row>
    <row r="1702" spans="1:15" x14ac:dyDescent="0.2">
      <c r="A1702" s="6">
        <v>45838</v>
      </c>
      <c r="B1702" t="s">
        <v>15</v>
      </c>
      <c r="C1702" t="s">
        <v>16</v>
      </c>
      <c r="D1702" s="1">
        <v>45855</v>
      </c>
      <c r="E1702" t="s">
        <v>17</v>
      </c>
      <c r="F1702">
        <v>3850</v>
      </c>
      <c r="J1702">
        <v>1726.2</v>
      </c>
      <c r="K1702">
        <v>1745.3</v>
      </c>
      <c r="L1702">
        <v>0</v>
      </c>
      <c r="M1702" t="s">
        <v>18</v>
      </c>
      <c r="N1702">
        <v>0</v>
      </c>
      <c r="O1702">
        <v>0</v>
      </c>
    </row>
    <row r="1703" spans="1:15" x14ac:dyDescent="0.2">
      <c r="A1703" s="6">
        <v>45838</v>
      </c>
      <c r="B1703" t="s">
        <v>15</v>
      </c>
      <c r="C1703" t="s">
        <v>16</v>
      </c>
      <c r="D1703" s="1">
        <v>45855</v>
      </c>
      <c r="E1703" t="s">
        <v>17</v>
      </c>
      <c r="F1703">
        <v>6750</v>
      </c>
      <c r="G1703">
        <v>19.399999999999999</v>
      </c>
      <c r="H1703">
        <v>21</v>
      </c>
      <c r="I1703">
        <v>17.2</v>
      </c>
      <c r="J1703">
        <v>19</v>
      </c>
      <c r="K1703">
        <v>21.2</v>
      </c>
      <c r="L1703">
        <v>325</v>
      </c>
      <c r="M1703" t="s">
        <v>811</v>
      </c>
      <c r="N1703">
        <v>2200.04</v>
      </c>
      <c r="O1703">
        <v>274</v>
      </c>
    </row>
    <row r="1704" spans="1:15" x14ac:dyDescent="0.2">
      <c r="A1704" s="6">
        <v>45838</v>
      </c>
      <c r="B1704" t="s">
        <v>15</v>
      </c>
      <c r="C1704" t="s">
        <v>16</v>
      </c>
      <c r="D1704" s="1">
        <v>45855</v>
      </c>
      <c r="E1704" t="s">
        <v>19</v>
      </c>
      <c r="F1704">
        <v>4950</v>
      </c>
      <c r="G1704">
        <v>28.2</v>
      </c>
      <c r="H1704">
        <v>28.6</v>
      </c>
      <c r="I1704">
        <v>20.3</v>
      </c>
      <c r="J1704">
        <v>21.2</v>
      </c>
      <c r="K1704">
        <v>26.1</v>
      </c>
      <c r="L1704">
        <v>781</v>
      </c>
      <c r="M1704" t="s">
        <v>812</v>
      </c>
      <c r="N1704">
        <v>3884.72</v>
      </c>
      <c r="O1704">
        <v>287</v>
      </c>
    </row>
    <row r="1705" spans="1:15" x14ac:dyDescent="0.2">
      <c r="A1705" s="6">
        <v>45838</v>
      </c>
      <c r="B1705" t="s">
        <v>15</v>
      </c>
      <c r="C1705" t="s">
        <v>16</v>
      </c>
      <c r="D1705" s="1">
        <v>45855</v>
      </c>
      <c r="E1705" t="s">
        <v>19</v>
      </c>
      <c r="F1705">
        <v>4250</v>
      </c>
      <c r="J1705">
        <v>0.4</v>
      </c>
      <c r="K1705">
        <v>1</v>
      </c>
      <c r="L1705">
        <v>0</v>
      </c>
      <c r="M1705" t="s">
        <v>18</v>
      </c>
      <c r="N1705">
        <v>0</v>
      </c>
      <c r="O1705">
        <v>0</v>
      </c>
    </row>
    <row r="1706" spans="1:15" x14ac:dyDescent="0.2">
      <c r="A1706" s="6">
        <v>45838</v>
      </c>
      <c r="B1706" t="s">
        <v>15</v>
      </c>
      <c r="C1706" t="s">
        <v>16</v>
      </c>
      <c r="D1706" s="1">
        <v>45855</v>
      </c>
      <c r="E1706" t="s">
        <v>19</v>
      </c>
      <c r="F1706">
        <v>5050</v>
      </c>
      <c r="G1706">
        <v>31</v>
      </c>
      <c r="H1706">
        <v>37.1</v>
      </c>
      <c r="I1706">
        <v>25.2</v>
      </c>
      <c r="J1706">
        <v>26.5</v>
      </c>
      <c r="K1706">
        <v>32.9</v>
      </c>
      <c r="L1706">
        <v>1335</v>
      </c>
      <c r="M1706" t="s">
        <v>813</v>
      </c>
      <c r="N1706">
        <v>6782.71</v>
      </c>
      <c r="O1706">
        <v>330</v>
      </c>
    </row>
    <row r="1707" spans="1:15" x14ac:dyDescent="0.2">
      <c r="A1707" s="6">
        <v>45838</v>
      </c>
      <c r="B1707" t="s">
        <v>15</v>
      </c>
      <c r="C1707" t="s">
        <v>16</v>
      </c>
      <c r="D1707" s="1">
        <v>45855</v>
      </c>
      <c r="E1707" t="s">
        <v>19</v>
      </c>
      <c r="F1707">
        <v>5900</v>
      </c>
      <c r="G1707">
        <v>385.1</v>
      </c>
      <c r="H1707">
        <v>399.8</v>
      </c>
      <c r="I1707">
        <v>346.9</v>
      </c>
      <c r="J1707">
        <v>378.4</v>
      </c>
      <c r="K1707">
        <v>379.1</v>
      </c>
      <c r="L1707">
        <v>681</v>
      </c>
      <c r="M1707" t="s">
        <v>685</v>
      </c>
      <c r="N1707">
        <v>4270.3100000000004</v>
      </c>
      <c r="O1707">
        <v>553</v>
      </c>
    </row>
    <row r="1708" spans="1:15" x14ac:dyDescent="0.2">
      <c r="A1708" s="6">
        <v>45838</v>
      </c>
      <c r="B1708" t="s">
        <v>15</v>
      </c>
      <c r="C1708" t="s">
        <v>16</v>
      </c>
      <c r="D1708" s="1">
        <v>45855</v>
      </c>
      <c r="E1708" t="s">
        <v>19</v>
      </c>
      <c r="F1708">
        <v>4600</v>
      </c>
      <c r="G1708">
        <v>13.6</v>
      </c>
      <c r="H1708">
        <v>16</v>
      </c>
      <c r="I1708">
        <v>10.199999999999999</v>
      </c>
      <c r="J1708">
        <v>12.3</v>
      </c>
      <c r="K1708">
        <v>13.6</v>
      </c>
      <c r="L1708">
        <v>514</v>
      </c>
      <c r="M1708" t="s">
        <v>286</v>
      </c>
      <c r="N1708">
        <v>2371.37</v>
      </c>
      <c r="O1708">
        <v>47</v>
      </c>
    </row>
    <row r="1709" spans="1:15" x14ac:dyDescent="0.2">
      <c r="A1709" s="6">
        <v>45838</v>
      </c>
      <c r="B1709" t="s">
        <v>15</v>
      </c>
      <c r="C1709" t="s">
        <v>16</v>
      </c>
      <c r="D1709" s="1">
        <v>45855</v>
      </c>
      <c r="E1709" t="s">
        <v>17</v>
      </c>
      <c r="F1709">
        <v>7650</v>
      </c>
      <c r="G1709">
        <v>13.6</v>
      </c>
      <c r="H1709">
        <v>13.6</v>
      </c>
      <c r="I1709">
        <v>8.4</v>
      </c>
      <c r="J1709">
        <v>9.9</v>
      </c>
      <c r="K1709">
        <v>13.6</v>
      </c>
      <c r="L1709">
        <v>112</v>
      </c>
      <c r="M1709" t="s">
        <v>158</v>
      </c>
      <c r="N1709">
        <v>857.98</v>
      </c>
      <c r="O1709">
        <v>206</v>
      </c>
    </row>
    <row r="1710" spans="1:15" x14ac:dyDescent="0.2">
      <c r="A1710" s="6">
        <v>45838</v>
      </c>
      <c r="B1710" t="s">
        <v>15</v>
      </c>
      <c r="C1710" t="s">
        <v>16</v>
      </c>
      <c r="D1710" s="1">
        <v>45855</v>
      </c>
      <c r="E1710" t="s">
        <v>19</v>
      </c>
      <c r="F1710">
        <v>7700</v>
      </c>
      <c r="J1710">
        <v>2113.1999999999998</v>
      </c>
      <c r="K1710">
        <v>2092.5</v>
      </c>
      <c r="L1710">
        <v>0</v>
      </c>
      <c r="M1710" t="s">
        <v>18</v>
      </c>
      <c r="N1710">
        <v>0</v>
      </c>
      <c r="O1710">
        <v>0</v>
      </c>
    </row>
    <row r="1711" spans="1:15" x14ac:dyDescent="0.2">
      <c r="A1711" s="6">
        <v>45838</v>
      </c>
      <c r="B1711" t="s">
        <v>15</v>
      </c>
      <c r="C1711" t="s">
        <v>16</v>
      </c>
      <c r="D1711" s="1">
        <v>45855</v>
      </c>
      <c r="E1711" t="s">
        <v>19</v>
      </c>
      <c r="F1711">
        <v>4450</v>
      </c>
      <c r="G1711">
        <v>15.6</v>
      </c>
      <c r="H1711">
        <v>15.6</v>
      </c>
      <c r="I1711">
        <v>15.6</v>
      </c>
      <c r="J1711">
        <v>15.6</v>
      </c>
      <c r="K1711">
        <v>3.6</v>
      </c>
      <c r="L1711">
        <v>1</v>
      </c>
      <c r="M1711" t="s">
        <v>155</v>
      </c>
      <c r="N1711">
        <v>4.47</v>
      </c>
      <c r="O1711">
        <v>1</v>
      </c>
    </row>
    <row r="1712" spans="1:15" x14ac:dyDescent="0.2">
      <c r="A1712" s="6">
        <v>45838</v>
      </c>
      <c r="B1712" t="s">
        <v>15</v>
      </c>
      <c r="C1712" t="s">
        <v>16</v>
      </c>
      <c r="D1712" s="1">
        <v>45855</v>
      </c>
      <c r="E1712" t="s">
        <v>19</v>
      </c>
      <c r="F1712">
        <v>5400</v>
      </c>
      <c r="G1712">
        <v>100.1</v>
      </c>
      <c r="H1712">
        <v>106</v>
      </c>
      <c r="I1712">
        <v>85.3</v>
      </c>
      <c r="J1712">
        <v>90</v>
      </c>
      <c r="K1712">
        <v>99.6</v>
      </c>
      <c r="L1712">
        <v>43096</v>
      </c>
      <c r="M1712" t="s">
        <v>814</v>
      </c>
      <c r="N1712">
        <v>236785.59</v>
      </c>
      <c r="O1712">
        <v>3000</v>
      </c>
    </row>
    <row r="1713" spans="1:15" x14ac:dyDescent="0.2">
      <c r="A1713" s="6">
        <v>45838</v>
      </c>
      <c r="B1713" t="s">
        <v>15</v>
      </c>
      <c r="C1713" t="s">
        <v>16</v>
      </c>
      <c r="D1713" s="1">
        <v>45855</v>
      </c>
      <c r="E1713" t="s">
        <v>19</v>
      </c>
      <c r="F1713">
        <v>6400</v>
      </c>
      <c r="G1713">
        <v>848.4</v>
      </c>
      <c r="H1713">
        <v>851</v>
      </c>
      <c r="I1713">
        <v>800</v>
      </c>
      <c r="J1713">
        <v>813</v>
      </c>
      <c r="K1713">
        <v>843.2</v>
      </c>
      <c r="L1713">
        <v>73</v>
      </c>
      <c r="M1713" t="s">
        <v>103</v>
      </c>
      <c r="N1713">
        <v>526.47</v>
      </c>
      <c r="O1713">
        <v>711</v>
      </c>
    </row>
    <row r="1714" spans="1:15" x14ac:dyDescent="0.2">
      <c r="A1714" s="6">
        <v>45838</v>
      </c>
      <c r="B1714" t="s">
        <v>15</v>
      </c>
      <c r="C1714" t="s">
        <v>16</v>
      </c>
      <c r="D1714" s="1">
        <v>45855</v>
      </c>
      <c r="E1714" t="s">
        <v>19</v>
      </c>
      <c r="F1714">
        <v>5300</v>
      </c>
      <c r="G1714">
        <v>71</v>
      </c>
      <c r="H1714">
        <v>76.400000000000006</v>
      </c>
      <c r="I1714">
        <v>59.4</v>
      </c>
      <c r="J1714">
        <v>61.9</v>
      </c>
      <c r="K1714">
        <v>71.099999999999994</v>
      </c>
      <c r="L1714">
        <v>27572</v>
      </c>
      <c r="M1714" t="s">
        <v>815</v>
      </c>
      <c r="N1714">
        <v>147961.22</v>
      </c>
      <c r="O1714">
        <v>2100</v>
      </c>
    </row>
    <row r="1715" spans="1:15" x14ac:dyDescent="0.2">
      <c r="A1715" s="6">
        <v>45838</v>
      </c>
      <c r="B1715" t="s">
        <v>15</v>
      </c>
      <c r="C1715" t="s">
        <v>16</v>
      </c>
      <c r="D1715" s="1">
        <v>45855</v>
      </c>
      <c r="E1715" t="s">
        <v>19</v>
      </c>
      <c r="F1715">
        <v>3700</v>
      </c>
      <c r="J1715">
        <v>0.1</v>
      </c>
      <c r="K1715">
        <v>4.8</v>
      </c>
      <c r="L1715">
        <v>0</v>
      </c>
      <c r="M1715" t="s">
        <v>18</v>
      </c>
      <c r="N1715">
        <v>0</v>
      </c>
      <c r="O1715">
        <v>1</v>
      </c>
    </row>
    <row r="1716" spans="1:15" x14ac:dyDescent="0.2">
      <c r="A1716" s="6">
        <v>45838</v>
      </c>
      <c r="B1716" t="s">
        <v>15</v>
      </c>
      <c r="C1716" t="s">
        <v>16</v>
      </c>
      <c r="D1716" s="1">
        <v>45855</v>
      </c>
      <c r="E1716" t="s">
        <v>17</v>
      </c>
      <c r="F1716">
        <v>5600</v>
      </c>
      <c r="G1716">
        <v>176.9</v>
      </c>
      <c r="H1716">
        <v>205</v>
      </c>
      <c r="I1716">
        <v>152.5</v>
      </c>
      <c r="J1716">
        <v>161.19999999999999</v>
      </c>
      <c r="K1716">
        <v>186.3</v>
      </c>
      <c r="L1716">
        <v>150253</v>
      </c>
      <c r="M1716" t="s">
        <v>816</v>
      </c>
      <c r="N1716">
        <v>868029.02</v>
      </c>
      <c r="O1716">
        <v>12459</v>
      </c>
    </row>
    <row r="1717" spans="1:15" x14ac:dyDescent="0.2">
      <c r="A1717" s="6">
        <v>45838</v>
      </c>
      <c r="B1717" t="s">
        <v>15</v>
      </c>
      <c r="C1717" t="s">
        <v>16</v>
      </c>
      <c r="D1717" s="1">
        <v>45855</v>
      </c>
      <c r="E1717" t="s">
        <v>17</v>
      </c>
      <c r="F1717">
        <v>6050</v>
      </c>
      <c r="G1717">
        <v>51.6</v>
      </c>
      <c r="H1717">
        <v>59.5</v>
      </c>
      <c r="I1717">
        <v>39</v>
      </c>
      <c r="J1717">
        <v>41.1</v>
      </c>
      <c r="K1717">
        <v>58.2</v>
      </c>
      <c r="L1717">
        <v>4130</v>
      </c>
      <c r="M1717" t="s">
        <v>817</v>
      </c>
      <c r="N1717">
        <v>25186.45</v>
      </c>
      <c r="O1717">
        <v>811</v>
      </c>
    </row>
    <row r="1718" spans="1:15" x14ac:dyDescent="0.2">
      <c r="A1718" s="6">
        <v>45838</v>
      </c>
      <c r="B1718" t="s">
        <v>15</v>
      </c>
      <c r="C1718" t="s">
        <v>16</v>
      </c>
      <c r="D1718" s="1">
        <v>45855</v>
      </c>
      <c r="E1718" t="s">
        <v>17</v>
      </c>
      <c r="F1718">
        <v>3750</v>
      </c>
      <c r="J1718">
        <v>1825.9</v>
      </c>
      <c r="K1718">
        <v>1845</v>
      </c>
      <c r="L1718">
        <v>0</v>
      </c>
      <c r="M1718" t="s">
        <v>18</v>
      </c>
      <c r="N1718">
        <v>0</v>
      </c>
      <c r="O1718">
        <v>0</v>
      </c>
    </row>
    <row r="1719" spans="1:15" x14ac:dyDescent="0.2">
      <c r="A1719" s="6">
        <v>45838</v>
      </c>
      <c r="B1719" t="s">
        <v>15</v>
      </c>
      <c r="C1719" t="s">
        <v>16</v>
      </c>
      <c r="D1719" s="1">
        <v>45855</v>
      </c>
      <c r="E1719" t="s">
        <v>17</v>
      </c>
      <c r="F1719">
        <v>7150</v>
      </c>
      <c r="G1719">
        <v>17</v>
      </c>
      <c r="H1719">
        <v>17.399999999999999</v>
      </c>
      <c r="I1719">
        <v>12.6</v>
      </c>
      <c r="J1719">
        <v>14.8</v>
      </c>
      <c r="K1719">
        <v>17.399999999999999</v>
      </c>
      <c r="L1719">
        <v>46</v>
      </c>
      <c r="M1719" t="s">
        <v>338</v>
      </c>
      <c r="N1719">
        <v>329.65</v>
      </c>
      <c r="O1719">
        <v>151</v>
      </c>
    </row>
    <row r="1720" spans="1:15" x14ac:dyDescent="0.2">
      <c r="A1720" s="6">
        <v>45838</v>
      </c>
      <c r="B1720" t="s">
        <v>15</v>
      </c>
      <c r="C1720" t="s">
        <v>16</v>
      </c>
      <c r="D1720" s="1">
        <v>45855</v>
      </c>
      <c r="E1720" t="s">
        <v>17</v>
      </c>
      <c r="F1720">
        <v>6550</v>
      </c>
      <c r="G1720">
        <v>27.2</v>
      </c>
      <c r="H1720">
        <v>27.2</v>
      </c>
      <c r="I1720">
        <v>19.5</v>
      </c>
      <c r="J1720">
        <v>20.8</v>
      </c>
      <c r="K1720">
        <v>27.1</v>
      </c>
      <c r="L1720">
        <v>709</v>
      </c>
      <c r="M1720" t="s">
        <v>818</v>
      </c>
      <c r="N1720">
        <v>4660.13</v>
      </c>
      <c r="O1720">
        <v>1146</v>
      </c>
    </row>
    <row r="1721" spans="1:15" x14ac:dyDescent="0.2">
      <c r="A1721" s="6">
        <v>45838</v>
      </c>
      <c r="B1721" t="s">
        <v>15</v>
      </c>
      <c r="C1721" t="s">
        <v>16</v>
      </c>
      <c r="D1721" s="1">
        <v>45855</v>
      </c>
      <c r="E1721" t="s">
        <v>19</v>
      </c>
      <c r="F1721">
        <v>6750</v>
      </c>
      <c r="J1721">
        <v>1171.8</v>
      </c>
      <c r="K1721">
        <v>1148.8</v>
      </c>
      <c r="L1721">
        <v>0</v>
      </c>
      <c r="M1721" t="s">
        <v>18</v>
      </c>
      <c r="N1721">
        <v>0</v>
      </c>
      <c r="O1721">
        <v>31</v>
      </c>
    </row>
    <row r="1722" spans="1:15" x14ac:dyDescent="0.2">
      <c r="A1722" s="6">
        <v>45838</v>
      </c>
      <c r="B1722" t="s">
        <v>15</v>
      </c>
      <c r="C1722" t="s">
        <v>16</v>
      </c>
      <c r="D1722" s="1">
        <v>45855</v>
      </c>
      <c r="E1722" t="s">
        <v>19</v>
      </c>
      <c r="F1722">
        <v>5700</v>
      </c>
      <c r="G1722">
        <v>246</v>
      </c>
      <c r="H1722">
        <v>256.89999999999998</v>
      </c>
      <c r="I1722">
        <v>211.5</v>
      </c>
      <c r="J1722">
        <v>236</v>
      </c>
      <c r="K1722">
        <v>242.4</v>
      </c>
      <c r="L1722">
        <v>35288</v>
      </c>
      <c r="M1722" t="s">
        <v>819</v>
      </c>
      <c r="N1722">
        <v>209387.95</v>
      </c>
      <c r="O1722">
        <v>3075</v>
      </c>
    </row>
    <row r="1723" spans="1:15" x14ac:dyDescent="0.2">
      <c r="A1723" s="6">
        <v>45838</v>
      </c>
      <c r="B1723" t="s">
        <v>15</v>
      </c>
      <c r="C1723" t="s">
        <v>16</v>
      </c>
      <c r="D1723" s="1">
        <v>45855</v>
      </c>
      <c r="E1723" t="s">
        <v>17</v>
      </c>
      <c r="F1723">
        <v>6650</v>
      </c>
      <c r="G1723">
        <v>21.4</v>
      </c>
      <c r="H1723">
        <v>22.8</v>
      </c>
      <c r="I1723">
        <v>18.399999999999999</v>
      </c>
      <c r="J1723">
        <v>20.6</v>
      </c>
      <c r="K1723">
        <v>25.4</v>
      </c>
      <c r="L1723">
        <v>510</v>
      </c>
      <c r="M1723" t="s">
        <v>820</v>
      </c>
      <c r="N1723">
        <v>3402.02</v>
      </c>
      <c r="O1723">
        <v>427</v>
      </c>
    </row>
    <row r="1724" spans="1:15" x14ac:dyDescent="0.2">
      <c r="A1724" s="6">
        <v>45838</v>
      </c>
      <c r="B1724" t="s">
        <v>15</v>
      </c>
      <c r="C1724" t="s">
        <v>16</v>
      </c>
      <c r="D1724" s="1">
        <v>45855</v>
      </c>
      <c r="E1724" t="s">
        <v>19</v>
      </c>
      <c r="F1724">
        <v>5450</v>
      </c>
      <c r="G1724">
        <v>118.9</v>
      </c>
      <c r="H1724">
        <v>124</v>
      </c>
      <c r="I1724">
        <v>101</v>
      </c>
      <c r="J1724">
        <v>108</v>
      </c>
      <c r="K1724">
        <v>116.5</v>
      </c>
      <c r="L1724">
        <v>21202</v>
      </c>
      <c r="M1724" t="s">
        <v>821</v>
      </c>
      <c r="N1724">
        <v>117931.72</v>
      </c>
      <c r="O1724">
        <v>802</v>
      </c>
    </row>
    <row r="1725" spans="1:15" x14ac:dyDescent="0.2">
      <c r="A1725" s="6">
        <v>45838</v>
      </c>
      <c r="B1725" t="s">
        <v>15</v>
      </c>
      <c r="C1725" t="s">
        <v>16</v>
      </c>
      <c r="D1725" s="1">
        <v>45855</v>
      </c>
      <c r="E1725" t="s">
        <v>19</v>
      </c>
      <c r="F1725">
        <v>3750</v>
      </c>
      <c r="J1725">
        <v>0.1</v>
      </c>
      <c r="K1725">
        <v>0.1</v>
      </c>
      <c r="L1725">
        <v>0</v>
      </c>
      <c r="M1725" t="s">
        <v>18</v>
      </c>
      <c r="N1725">
        <v>0</v>
      </c>
      <c r="O1725">
        <v>0</v>
      </c>
    </row>
    <row r="1726" spans="1:15" x14ac:dyDescent="0.2">
      <c r="A1726" s="6">
        <v>45838</v>
      </c>
      <c r="B1726" t="s">
        <v>15</v>
      </c>
      <c r="C1726" t="s">
        <v>16</v>
      </c>
      <c r="D1726" s="1">
        <v>45855</v>
      </c>
      <c r="E1726" t="s">
        <v>19</v>
      </c>
      <c r="F1726">
        <v>4700</v>
      </c>
      <c r="G1726">
        <v>15.5</v>
      </c>
      <c r="H1726">
        <v>18.3</v>
      </c>
      <c r="I1726">
        <v>13</v>
      </c>
      <c r="J1726">
        <v>14.1</v>
      </c>
      <c r="K1726">
        <v>15.5</v>
      </c>
      <c r="L1726">
        <v>801</v>
      </c>
      <c r="M1726" t="s">
        <v>822</v>
      </c>
      <c r="N1726">
        <v>3777.88</v>
      </c>
      <c r="O1726">
        <v>162</v>
      </c>
    </row>
    <row r="1727" spans="1:15" x14ac:dyDescent="0.2">
      <c r="A1727" s="6">
        <v>45838</v>
      </c>
      <c r="B1727" t="s">
        <v>15</v>
      </c>
      <c r="C1727" t="s">
        <v>16</v>
      </c>
      <c r="D1727" s="1">
        <v>45855</v>
      </c>
      <c r="E1727" t="s">
        <v>17</v>
      </c>
      <c r="F1727">
        <v>6850</v>
      </c>
      <c r="G1727">
        <v>17.3</v>
      </c>
      <c r="H1727">
        <v>18.3</v>
      </c>
      <c r="I1727">
        <v>14.7</v>
      </c>
      <c r="J1727">
        <v>15.8</v>
      </c>
      <c r="K1727">
        <v>21</v>
      </c>
      <c r="L1727">
        <v>330</v>
      </c>
      <c r="M1727" t="s">
        <v>823</v>
      </c>
      <c r="N1727">
        <v>2266.06</v>
      </c>
      <c r="O1727">
        <v>394</v>
      </c>
    </row>
    <row r="1728" spans="1:15" x14ac:dyDescent="0.2">
      <c r="A1728" s="6">
        <v>45838</v>
      </c>
      <c r="B1728" t="s">
        <v>15</v>
      </c>
      <c r="C1728" t="s">
        <v>16</v>
      </c>
      <c r="D1728" s="1">
        <v>45855</v>
      </c>
      <c r="E1728" t="s">
        <v>17</v>
      </c>
      <c r="F1728">
        <v>7350</v>
      </c>
      <c r="G1728">
        <v>16.3</v>
      </c>
      <c r="H1728">
        <v>16.3</v>
      </c>
      <c r="I1728">
        <v>12</v>
      </c>
      <c r="J1728">
        <v>13.9</v>
      </c>
      <c r="K1728">
        <v>18.100000000000001</v>
      </c>
      <c r="L1728">
        <v>149</v>
      </c>
      <c r="M1728" t="s">
        <v>824</v>
      </c>
      <c r="N1728">
        <v>1097.21</v>
      </c>
      <c r="O1728">
        <v>286</v>
      </c>
    </row>
    <row r="1729" spans="1:15" x14ac:dyDescent="0.2">
      <c r="A1729" s="6">
        <v>45838</v>
      </c>
      <c r="B1729" t="s">
        <v>15</v>
      </c>
      <c r="C1729" t="s">
        <v>16</v>
      </c>
      <c r="D1729" s="1">
        <v>45855</v>
      </c>
      <c r="E1729" t="s">
        <v>17</v>
      </c>
      <c r="F1729">
        <v>6800</v>
      </c>
      <c r="G1729">
        <v>18.899999999999999</v>
      </c>
      <c r="H1729">
        <v>20.399999999999999</v>
      </c>
      <c r="I1729">
        <v>15.8</v>
      </c>
      <c r="J1729">
        <v>17.5</v>
      </c>
      <c r="K1729">
        <v>22.7</v>
      </c>
      <c r="L1729">
        <v>1710</v>
      </c>
      <c r="M1729" t="s">
        <v>825</v>
      </c>
      <c r="N1729">
        <v>11658.65</v>
      </c>
      <c r="O1729">
        <v>1541</v>
      </c>
    </row>
    <row r="1730" spans="1:15" x14ac:dyDescent="0.2">
      <c r="A1730" s="6">
        <v>45838</v>
      </c>
      <c r="B1730" t="s">
        <v>15</v>
      </c>
      <c r="C1730" t="s">
        <v>16</v>
      </c>
      <c r="D1730" s="1">
        <v>45855</v>
      </c>
      <c r="E1730" t="s">
        <v>17</v>
      </c>
      <c r="F1730">
        <v>6700</v>
      </c>
      <c r="G1730">
        <v>16.3</v>
      </c>
      <c r="H1730">
        <v>22.3</v>
      </c>
      <c r="I1730">
        <v>16.3</v>
      </c>
      <c r="J1730">
        <v>18.5</v>
      </c>
      <c r="K1730">
        <v>23.3</v>
      </c>
      <c r="L1730">
        <v>1202</v>
      </c>
      <c r="M1730" t="s">
        <v>826</v>
      </c>
      <c r="N1730">
        <v>8077</v>
      </c>
      <c r="O1730">
        <v>1916</v>
      </c>
    </row>
    <row r="1731" spans="1:15" x14ac:dyDescent="0.2">
      <c r="A1731" s="6">
        <v>45838</v>
      </c>
      <c r="B1731" t="s">
        <v>15</v>
      </c>
      <c r="C1731" t="s">
        <v>16</v>
      </c>
      <c r="D1731" s="1">
        <v>45855</v>
      </c>
      <c r="E1731" t="s">
        <v>19</v>
      </c>
      <c r="F1731">
        <v>4550</v>
      </c>
      <c r="G1731">
        <v>14.8</v>
      </c>
      <c r="H1731">
        <v>15.5</v>
      </c>
      <c r="I1731">
        <v>13.2</v>
      </c>
      <c r="J1731">
        <v>14.3</v>
      </c>
      <c r="K1731">
        <v>16</v>
      </c>
      <c r="L1731">
        <v>19</v>
      </c>
      <c r="M1731" t="s">
        <v>550</v>
      </c>
      <c r="N1731">
        <v>86.72</v>
      </c>
      <c r="O1731">
        <v>5</v>
      </c>
    </row>
    <row r="1732" spans="1:15" x14ac:dyDescent="0.2">
      <c r="A1732" s="6">
        <v>45838</v>
      </c>
      <c r="B1732" t="s">
        <v>15</v>
      </c>
      <c r="C1732" t="s">
        <v>16</v>
      </c>
      <c r="D1732" s="1">
        <v>45855</v>
      </c>
      <c r="E1732" t="s">
        <v>19</v>
      </c>
      <c r="F1732">
        <v>7150</v>
      </c>
      <c r="J1732">
        <v>1565.8</v>
      </c>
      <c r="K1732">
        <v>1547.1</v>
      </c>
      <c r="L1732">
        <v>0</v>
      </c>
      <c r="M1732" t="s">
        <v>18</v>
      </c>
      <c r="N1732">
        <v>0</v>
      </c>
      <c r="O1732">
        <v>0</v>
      </c>
    </row>
    <row r="1733" spans="1:15" x14ac:dyDescent="0.2">
      <c r="A1733" s="6">
        <v>45838</v>
      </c>
      <c r="B1733" t="s">
        <v>15</v>
      </c>
      <c r="C1733" t="s">
        <v>16</v>
      </c>
      <c r="D1733" s="1">
        <v>45855</v>
      </c>
      <c r="E1733" t="s">
        <v>17</v>
      </c>
      <c r="F1733">
        <v>7500</v>
      </c>
      <c r="G1733">
        <v>16.899999999999999</v>
      </c>
      <c r="H1733">
        <v>16.899999999999999</v>
      </c>
      <c r="I1733">
        <v>11.5</v>
      </c>
      <c r="J1733">
        <v>12.2</v>
      </c>
      <c r="K1733">
        <v>15.8</v>
      </c>
      <c r="L1733">
        <v>1342</v>
      </c>
      <c r="M1733" t="s">
        <v>827</v>
      </c>
      <c r="N1733">
        <v>10081.75</v>
      </c>
      <c r="O1733">
        <v>2474</v>
      </c>
    </row>
    <row r="1734" spans="1:15" x14ac:dyDescent="0.2">
      <c r="A1734" s="6">
        <v>45838</v>
      </c>
      <c r="B1734" t="s">
        <v>15</v>
      </c>
      <c r="C1734" t="s">
        <v>16</v>
      </c>
      <c r="D1734" s="1">
        <v>45855</v>
      </c>
      <c r="E1734" t="s">
        <v>17</v>
      </c>
      <c r="F1734">
        <v>6900</v>
      </c>
      <c r="G1734">
        <v>21.1</v>
      </c>
      <c r="H1734">
        <v>21.1</v>
      </c>
      <c r="I1734">
        <v>14.5</v>
      </c>
      <c r="J1734">
        <v>16.2</v>
      </c>
      <c r="K1734">
        <v>20.100000000000001</v>
      </c>
      <c r="L1734">
        <v>772</v>
      </c>
      <c r="M1734" t="s">
        <v>283</v>
      </c>
      <c r="N1734">
        <v>5339.5</v>
      </c>
      <c r="O1734">
        <v>1293</v>
      </c>
    </row>
    <row r="1735" spans="1:15" x14ac:dyDescent="0.2">
      <c r="A1735" s="6">
        <v>45838</v>
      </c>
      <c r="B1735" t="s">
        <v>15</v>
      </c>
      <c r="C1735" t="s">
        <v>16</v>
      </c>
      <c r="D1735" s="1">
        <v>45855</v>
      </c>
      <c r="E1735" t="s">
        <v>19</v>
      </c>
      <c r="F1735">
        <v>6250</v>
      </c>
      <c r="G1735">
        <v>689.9</v>
      </c>
      <c r="H1735">
        <v>689.9</v>
      </c>
      <c r="I1735">
        <v>689.9</v>
      </c>
      <c r="J1735">
        <v>689.9</v>
      </c>
      <c r="K1735">
        <v>645.5</v>
      </c>
      <c r="L1735">
        <v>1</v>
      </c>
      <c r="M1735" t="s">
        <v>155</v>
      </c>
      <c r="N1735">
        <v>6.94</v>
      </c>
      <c r="O1735">
        <v>95</v>
      </c>
    </row>
    <row r="1736" spans="1:15" x14ac:dyDescent="0.2">
      <c r="A1736" s="6">
        <v>45838</v>
      </c>
      <c r="B1736" t="s">
        <v>15</v>
      </c>
      <c r="C1736" t="s">
        <v>16</v>
      </c>
      <c r="D1736" s="1">
        <v>45855</v>
      </c>
      <c r="E1736" t="s">
        <v>19</v>
      </c>
      <c r="F1736">
        <v>5200</v>
      </c>
      <c r="G1736">
        <v>52.9</v>
      </c>
      <c r="H1736">
        <v>54.7</v>
      </c>
      <c r="I1736">
        <v>40.4</v>
      </c>
      <c r="J1736">
        <v>41.5</v>
      </c>
      <c r="K1736">
        <v>50.2</v>
      </c>
      <c r="L1736">
        <v>23554</v>
      </c>
      <c r="M1736" t="s">
        <v>828</v>
      </c>
      <c r="N1736">
        <v>123571.96</v>
      </c>
      <c r="O1736">
        <v>3807</v>
      </c>
    </row>
    <row r="1737" spans="1:15" x14ac:dyDescent="0.2">
      <c r="A1737" s="6">
        <v>45838</v>
      </c>
      <c r="B1737" t="s">
        <v>15</v>
      </c>
      <c r="C1737" t="s">
        <v>16</v>
      </c>
      <c r="D1737" s="1">
        <v>45855</v>
      </c>
      <c r="E1737" t="s">
        <v>17</v>
      </c>
      <c r="F1737">
        <v>6950</v>
      </c>
      <c r="G1737">
        <v>20</v>
      </c>
      <c r="H1737">
        <v>20</v>
      </c>
      <c r="I1737">
        <v>12.6</v>
      </c>
      <c r="J1737">
        <v>14.3</v>
      </c>
      <c r="K1737">
        <v>19.8</v>
      </c>
      <c r="L1737">
        <v>74</v>
      </c>
      <c r="M1737" t="s">
        <v>95</v>
      </c>
      <c r="N1737">
        <v>515.41999999999996</v>
      </c>
      <c r="O1737">
        <v>312</v>
      </c>
    </row>
    <row r="1738" spans="1:15" x14ac:dyDescent="0.2">
      <c r="A1738" s="6">
        <v>45838</v>
      </c>
      <c r="B1738" t="s">
        <v>15</v>
      </c>
      <c r="C1738" t="s">
        <v>16</v>
      </c>
      <c r="D1738" s="1">
        <v>45855</v>
      </c>
      <c r="E1738" t="s">
        <v>19</v>
      </c>
      <c r="F1738">
        <v>3900</v>
      </c>
      <c r="J1738">
        <v>0.1</v>
      </c>
      <c r="K1738">
        <v>0.1</v>
      </c>
      <c r="L1738">
        <v>0</v>
      </c>
      <c r="M1738" t="s">
        <v>18</v>
      </c>
      <c r="N1738">
        <v>0</v>
      </c>
      <c r="O1738">
        <v>0</v>
      </c>
    </row>
    <row r="1739" spans="1:15" x14ac:dyDescent="0.2">
      <c r="A1739" s="6">
        <v>45838</v>
      </c>
      <c r="B1739" t="s">
        <v>15</v>
      </c>
      <c r="C1739" t="s">
        <v>16</v>
      </c>
      <c r="D1739" s="1">
        <v>45855</v>
      </c>
      <c r="E1739" t="s">
        <v>17</v>
      </c>
      <c r="F1739">
        <v>5900</v>
      </c>
      <c r="G1739">
        <v>73.599999999999994</v>
      </c>
      <c r="H1739">
        <v>88.7</v>
      </c>
      <c r="I1739">
        <v>58.5</v>
      </c>
      <c r="J1739">
        <v>61.3</v>
      </c>
      <c r="K1739">
        <v>83.2</v>
      </c>
      <c r="L1739">
        <v>30897</v>
      </c>
      <c r="M1739" t="s">
        <v>829</v>
      </c>
      <c r="N1739">
        <v>184495.45</v>
      </c>
      <c r="O1739">
        <v>5367</v>
      </c>
    </row>
    <row r="1740" spans="1:15" x14ac:dyDescent="0.2">
      <c r="A1740" s="6">
        <v>45838</v>
      </c>
      <c r="B1740" t="s">
        <v>15</v>
      </c>
      <c r="C1740" t="s">
        <v>16</v>
      </c>
      <c r="D1740" s="1">
        <v>45855</v>
      </c>
      <c r="E1740" t="s">
        <v>17</v>
      </c>
      <c r="F1740">
        <v>6500</v>
      </c>
      <c r="G1740">
        <v>26.1</v>
      </c>
      <c r="H1740">
        <v>29.1</v>
      </c>
      <c r="I1740">
        <v>20.6</v>
      </c>
      <c r="J1740">
        <v>21.9</v>
      </c>
      <c r="K1740">
        <v>29.2</v>
      </c>
      <c r="L1740">
        <v>10745</v>
      </c>
      <c r="M1740" t="s">
        <v>830</v>
      </c>
      <c r="N1740">
        <v>70100.69</v>
      </c>
      <c r="O1740">
        <v>10996</v>
      </c>
    </row>
    <row r="1741" spans="1:15" x14ac:dyDescent="0.2">
      <c r="A1741" s="6">
        <v>45838</v>
      </c>
      <c r="B1741" t="s">
        <v>15</v>
      </c>
      <c r="C1741" t="s">
        <v>16</v>
      </c>
      <c r="D1741" s="1">
        <v>45855</v>
      </c>
      <c r="E1741" t="s">
        <v>19</v>
      </c>
      <c r="F1741">
        <v>7250</v>
      </c>
      <c r="J1741">
        <v>1665.1</v>
      </c>
      <c r="K1741">
        <v>1645.8</v>
      </c>
      <c r="L1741">
        <v>0</v>
      </c>
      <c r="M1741" t="s">
        <v>18</v>
      </c>
      <c r="N1741">
        <v>0</v>
      </c>
      <c r="O1741">
        <v>0</v>
      </c>
    </row>
    <row r="1742" spans="1:15" x14ac:dyDescent="0.2">
      <c r="A1742" s="6">
        <v>45838</v>
      </c>
      <c r="B1742" t="s">
        <v>15</v>
      </c>
      <c r="C1742" t="s">
        <v>16</v>
      </c>
      <c r="D1742" s="1">
        <v>45855</v>
      </c>
      <c r="E1742" t="s">
        <v>17</v>
      </c>
      <c r="F1742">
        <v>6200</v>
      </c>
      <c r="G1742">
        <v>38.200000000000003</v>
      </c>
      <c r="H1742">
        <v>41.1</v>
      </c>
      <c r="I1742">
        <v>28.7</v>
      </c>
      <c r="J1742">
        <v>31.2</v>
      </c>
      <c r="K1742">
        <v>42.8</v>
      </c>
      <c r="L1742">
        <v>15189</v>
      </c>
      <c r="M1742" t="s">
        <v>831</v>
      </c>
      <c r="N1742">
        <v>94693.74</v>
      </c>
      <c r="O1742">
        <v>4574</v>
      </c>
    </row>
    <row r="1743" spans="1:15" x14ac:dyDescent="0.2">
      <c r="A1743" s="6">
        <v>45838</v>
      </c>
      <c r="B1743" t="s">
        <v>15</v>
      </c>
      <c r="C1743" t="s">
        <v>16</v>
      </c>
      <c r="D1743" s="1">
        <v>45855</v>
      </c>
      <c r="E1743" t="s">
        <v>17</v>
      </c>
      <c r="F1743">
        <v>6250</v>
      </c>
      <c r="G1743">
        <v>36.1</v>
      </c>
      <c r="H1743">
        <v>38.299999999999997</v>
      </c>
      <c r="I1743">
        <v>27.6</v>
      </c>
      <c r="J1743">
        <v>29.3</v>
      </c>
      <c r="K1743">
        <v>40.5</v>
      </c>
      <c r="L1743">
        <v>2360</v>
      </c>
      <c r="M1743" t="s">
        <v>832</v>
      </c>
      <c r="N1743">
        <v>14828.41</v>
      </c>
      <c r="O1743">
        <v>1335</v>
      </c>
    </row>
    <row r="1744" spans="1:15" x14ac:dyDescent="0.2">
      <c r="A1744" s="6">
        <v>45838</v>
      </c>
      <c r="B1744" t="s">
        <v>15</v>
      </c>
      <c r="C1744" t="s">
        <v>16</v>
      </c>
      <c r="D1744" s="1">
        <v>45855</v>
      </c>
      <c r="E1744" t="s">
        <v>19</v>
      </c>
      <c r="F1744">
        <v>7500</v>
      </c>
      <c r="J1744">
        <v>1913.9</v>
      </c>
      <c r="K1744">
        <v>1893.6</v>
      </c>
      <c r="L1744">
        <v>0</v>
      </c>
      <c r="M1744" t="s">
        <v>18</v>
      </c>
      <c r="N1744">
        <v>0</v>
      </c>
      <c r="O1744">
        <v>0</v>
      </c>
    </row>
    <row r="1745" spans="1:15" x14ac:dyDescent="0.2">
      <c r="A1745" s="6">
        <v>45838</v>
      </c>
      <c r="B1745" t="s">
        <v>15</v>
      </c>
      <c r="C1745" t="s">
        <v>16</v>
      </c>
      <c r="D1745" s="1">
        <v>45855</v>
      </c>
      <c r="E1745" t="s">
        <v>17</v>
      </c>
      <c r="F1745">
        <v>5050</v>
      </c>
      <c r="G1745">
        <v>566.4</v>
      </c>
      <c r="H1745">
        <v>571.29999999999995</v>
      </c>
      <c r="I1745">
        <v>566.4</v>
      </c>
      <c r="J1745">
        <v>568.9</v>
      </c>
      <c r="K1745">
        <v>613.4</v>
      </c>
      <c r="L1745">
        <v>2</v>
      </c>
      <c r="M1745" t="s">
        <v>28</v>
      </c>
      <c r="N1745">
        <v>11.24</v>
      </c>
      <c r="O1745">
        <v>0</v>
      </c>
    </row>
    <row r="1746" spans="1:15" x14ac:dyDescent="0.2">
      <c r="A1746" s="6">
        <v>45838</v>
      </c>
      <c r="B1746" t="s">
        <v>15</v>
      </c>
      <c r="C1746" t="s">
        <v>16</v>
      </c>
      <c r="D1746" s="1">
        <v>45855</v>
      </c>
      <c r="E1746" t="s">
        <v>19</v>
      </c>
      <c r="F1746">
        <v>5150</v>
      </c>
      <c r="G1746">
        <v>45.3</v>
      </c>
      <c r="H1746">
        <v>47.3</v>
      </c>
      <c r="I1746">
        <v>35</v>
      </c>
      <c r="J1746">
        <v>36.1</v>
      </c>
      <c r="K1746">
        <v>44.1</v>
      </c>
      <c r="L1746">
        <v>3027</v>
      </c>
      <c r="M1746" t="s">
        <v>833</v>
      </c>
      <c r="N1746">
        <v>15710.87</v>
      </c>
      <c r="O1746">
        <v>325</v>
      </c>
    </row>
    <row r="1747" spans="1:15" x14ac:dyDescent="0.2">
      <c r="A1747" s="6">
        <v>45838</v>
      </c>
      <c r="B1747" t="s">
        <v>15</v>
      </c>
      <c r="C1747" t="s">
        <v>16</v>
      </c>
      <c r="D1747" s="1">
        <v>45855</v>
      </c>
      <c r="E1747" t="s">
        <v>17</v>
      </c>
      <c r="F1747">
        <v>4600</v>
      </c>
      <c r="J1747">
        <v>982.9</v>
      </c>
      <c r="K1747">
        <v>1005.9</v>
      </c>
      <c r="L1747">
        <v>0</v>
      </c>
      <c r="M1747" t="s">
        <v>18</v>
      </c>
      <c r="N1747">
        <v>0</v>
      </c>
      <c r="O1747">
        <v>0</v>
      </c>
    </row>
    <row r="1748" spans="1:15" x14ac:dyDescent="0.2">
      <c r="A1748" s="6">
        <v>45838</v>
      </c>
      <c r="B1748" t="s">
        <v>15</v>
      </c>
      <c r="C1748" t="s">
        <v>16</v>
      </c>
      <c r="D1748" s="1">
        <v>45855</v>
      </c>
      <c r="E1748" t="s">
        <v>17</v>
      </c>
      <c r="F1748">
        <v>4150</v>
      </c>
      <c r="J1748">
        <v>1427.2</v>
      </c>
      <c r="K1748">
        <v>1446.8</v>
      </c>
      <c r="L1748">
        <v>0</v>
      </c>
      <c r="M1748" t="s">
        <v>18</v>
      </c>
      <c r="N1748">
        <v>0</v>
      </c>
      <c r="O1748">
        <v>0</v>
      </c>
    </row>
    <row r="1749" spans="1:15" x14ac:dyDescent="0.2">
      <c r="A1749" s="6">
        <v>45838</v>
      </c>
      <c r="B1749" t="s">
        <v>15</v>
      </c>
      <c r="C1749" t="s">
        <v>16</v>
      </c>
      <c r="D1749" s="1">
        <v>45855</v>
      </c>
      <c r="E1749" t="s">
        <v>19</v>
      </c>
      <c r="F1749">
        <v>4650</v>
      </c>
      <c r="G1749">
        <v>16.7</v>
      </c>
      <c r="H1749">
        <v>16.7</v>
      </c>
      <c r="I1749">
        <v>15.1</v>
      </c>
      <c r="J1749">
        <v>15.4</v>
      </c>
      <c r="K1749">
        <v>18.399999999999999</v>
      </c>
      <c r="L1749">
        <v>6</v>
      </c>
      <c r="M1749" t="s">
        <v>132</v>
      </c>
      <c r="N1749">
        <v>27.99</v>
      </c>
      <c r="O1749">
        <v>2</v>
      </c>
    </row>
    <row r="1750" spans="1:15" x14ac:dyDescent="0.2">
      <c r="A1750" s="6">
        <v>45838</v>
      </c>
      <c r="B1750" t="s">
        <v>15</v>
      </c>
      <c r="C1750" t="s">
        <v>16</v>
      </c>
      <c r="D1750" s="1">
        <v>45855</v>
      </c>
      <c r="E1750" t="s">
        <v>19</v>
      </c>
      <c r="F1750">
        <v>6550</v>
      </c>
      <c r="G1750">
        <v>971</v>
      </c>
      <c r="H1750">
        <v>971</v>
      </c>
      <c r="I1750">
        <v>950.2</v>
      </c>
      <c r="J1750">
        <v>959.7</v>
      </c>
      <c r="K1750">
        <v>932</v>
      </c>
      <c r="L1750">
        <v>13</v>
      </c>
      <c r="M1750" t="s">
        <v>121</v>
      </c>
      <c r="N1750">
        <v>97.63</v>
      </c>
      <c r="O1750">
        <v>56</v>
      </c>
    </row>
    <row r="1751" spans="1:15" x14ac:dyDescent="0.2">
      <c r="A1751" s="6">
        <v>45838</v>
      </c>
      <c r="B1751" t="s">
        <v>15</v>
      </c>
      <c r="C1751" t="s">
        <v>16</v>
      </c>
      <c r="D1751" s="1">
        <v>45855</v>
      </c>
      <c r="E1751" t="s">
        <v>17</v>
      </c>
      <c r="F1751">
        <v>7000</v>
      </c>
      <c r="G1751">
        <v>20.2</v>
      </c>
      <c r="H1751">
        <v>20.2</v>
      </c>
      <c r="I1751">
        <v>14.1</v>
      </c>
      <c r="J1751">
        <v>16.100000000000001</v>
      </c>
      <c r="K1751">
        <v>20.2</v>
      </c>
      <c r="L1751">
        <v>3534</v>
      </c>
      <c r="M1751" t="s">
        <v>834</v>
      </c>
      <c r="N1751">
        <v>24793.65</v>
      </c>
      <c r="O1751">
        <v>4676</v>
      </c>
    </row>
    <row r="1752" spans="1:15" x14ac:dyDescent="0.2">
      <c r="A1752" s="6">
        <v>45838</v>
      </c>
      <c r="B1752" t="s">
        <v>15</v>
      </c>
      <c r="C1752" t="s">
        <v>16</v>
      </c>
      <c r="D1752" s="1">
        <v>45855</v>
      </c>
      <c r="E1752" t="s">
        <v>17</v>
      </c>
      <c r="F1752">
        <v>5450</v>
      </c>
      <c r="G1752">
        <v>251.7</v>
      </c>
      <c r="H1752">
        <v>294.39999999999998</v>
      </c>
      <c r="I1752">
        <v>229.1</v>
      </c>
      <c r="J1752">
        <v>241.5</v>
      </c>
      <c r="K1752">
        <v>266.2</v>
      </c>
      <c r="L1752">
        <v>4362</v>
      </c>
      <c r="M1752" t="s">
        <v>835</v>
      </c>
      <c r="N1752">
        <v>24887.8</v>
      </c>
      <c r="O1752">
        <v>189</v>
      </c>
    </row>
    <row r="1753" spans="1:15" x14ac:dyDescent="0.2">
      <c r="A1753" s="6">
        <v>45838</v>
      </c>
      <c r="B1753" t="s">
        <v>15</v>
      </c>
      <c r="C1753" t="s">
        <v>16</v>
      </c>
      <c r="D1753" s="1">
        <v>45855</v>
      </c>
      <c r="E1753" t="s">
        <v>17</v>
      </c>
      <c r="F1753">
        <v>6350</v>
      </c>
      <c r="G1753">
        <v>32.9</v>
      </c>
      <c r="H1753">
        <v>33.200000000000003</v>
      </c>
      <c r="I1753">
        <v>23.8</v>
      </c>
      <c r="J1753">
        <v>26.1</v>
      </c>
      <c r="K1753">
        <v>34.700000000000003</v>
      </c>
      <c r="L1753">
        <v>1193</v>
      </c>
      <c r="M1753" t="s">
        <v>836</v>
      </c>
      <c r="N1753">
        <v>7609.6</v>
      </c>
      <c r="O1753">
        <v>1240</v>
      </c>
    </row>
    <row r="1754" spans="1:15" x14ac:dyDescent="0.2">
      <c r="A1754" s="6">
        <v>45838</v>
      </c>
      <c r="B1754" t="s">
        <v>15</v>
      </c>
      <c r="C1754" t="s">
        <v>16</v>
      </c>
      <c r="D1754" s="1">
        <v>45855</v>
      </c>
      <c r="E1754" t="s">
        <v>17</v>
      </c>
      <c r="F1754">
        <v>5800</v>
      </c>
      <c r="G1754">
        <v>96.1</v>
      </c>
      <c r="H1754">
        <v>117.7</v>
      </c>
      <c r="I1754">
        <v>80.599999999999994</v>
      </c>
      <c r="J1754">
        <v>85</v>
      </c>
      <c r="K1754">
        <v>108.8</v>
      </c>
      <c r="L1754">
        <v>55549</v>
      </c>
      <c r="M1754" t="s">
        <v>837</v>
      </c>
      <c r="N1754">
        <v>327563.76</v>
      </c>
      <c r="O1754">
        <v>8731</v>
      </c>
    </row>
    <row r="1755" spans="1:15" x14ac:dyDescent="0.2">
      <c r="A1755" s="6">
        <v>45838</v>
      </c>
      <c r="B1755" t="s">
        <v>15</v>
      </c>
      <c r="C1755" t="s">
        <v>16</v>
      </c>
      <c r="D1755" s="1">
        <v>45855</v>
      </c>
      <c r="E1755" t="s">
        <v>17</v>
      </c>
      <c r="F1755">
        <v>4250</v>
      </c>
      <c r="J1755">
        <v>1327.7</v>
      </c>
      <c r="K1755">
        <v>1347.6</v>
      </c>
      <c r="L1755">
        <v>0</v>
      </c>
      <c r="M1755" t="s">
        <v>18</v>
      </c>
      <c r="N1755">
        <v>0</v>
      </c>
      <c r="O1755">
        <v>0</v>
      </c>
    </row>
    <row r="1756" spans="1:15" x14ac:dyDescent="0.2">
      <c r="A1756" s="6">
        <v>45838</v>
      </c>
      <c r="B1756" t="s">
        <v>15</v>
      </c>
      <c r="C1756" t="s">
        <v>16</v>
      </c>
      <c r="D1756" s="1">
        <v>45855</v>
      </c>
      <c r="E1756" t="s">
        <v>17</v>
      </c>
      <c r="F1756">
        <v>4000</v>
      </c>
      <c r="J1756">
        <v>1576.6</v>
      </c>
      <c r="K1756">
        <v>1595.9</v>
      </c>
      <c r="L1756">
        <v>0</v>
      </c>
      <c r="M1756" t="s">
        <v>18</v>
      </c>
      <c r="N1756">
        <v>0</v>
      </c>
      <c r="O1756">
        <v>0</v>
      </c>
    </row>
    <row r="1757" spans="1:15" x14ac:dyDescent="0.2">
      <c r="A1757" s="6">
        <v>45838</v>
      </c>
      <c r="B1757" t="s">
        <v>15</v>
      </c>
      <c r="C1757" t="s">
        <v>16</v>
      </c>
      <c r="D1757" s="1">
        <v>45855</v>
      </c>
      <c r="E1757" t="s">
        <v>19</v>
      </c>
      <c r="F1757">
        <v>7350</v>
      </c>
      <c r="J1757">
        <v>1764.5</v>
      </c>
      <c r="K1757">
        <v>1744.8</v>
      </c>
      <c r="L1757">
        <v>0</v>
      </c>
      <c r="M1757" t="s">
        <v>18</v>
      </c>
      <c r="N1757">
        <v>0</v>
      </c>
      <c r="O1757">
        <v>0</v>
      </c>
    </row>
    <row r="1758" spans="1:15" x14ac:dyDescent="0.2">
      <c r="A1758" s="6">
        <v>45838</v>
      </c>
      <c r="B1758" t="s">
        <v>15</v>
      </c>
      <c r="C1758" t="s">
        <v>16</v>
      </c>
      <c r="D1758" s="1">
        <v>45855</v>
      </c>
      <c r="E1758" t="s">
        <v>17</v>
      </c>
      <c r="F1758">
        <v>7050</v>
      </c>
      <c r="G1758">
        <v>20.399999999999999</v>
      </c>
      <c r="H1758">
        <v>20.399999999999999</v>
      </c>
      <c r="I1758">
        <v>12.7</v>
      </c>
      <c r="J1758">
        <v>15.1</v>
      </c>
      <c r="K1758">
        <v>20.3</v>
      </c>
      <c r="L1758">
        <v>61</v>
      </c>
      <c r="M1758" t="s">
        <v>241</v>
      </c>
      <c r="N1758">
        <v>431.13</v>
      </c>
      <c r="O1758">
        <v>168</v>
      </c>
    </row>
    <row r="1759" spans="1:15" x14ac:dyDescent="0.2">
      <c r="A1759" s="6">
        <v>45838</v>
      </c>
      <c r="B1759" t="s">
        <v>15</v>
      </c>
      <c r="C1759" t="s">
        <v>16</v>
      </c>
      <c r="D1759" s="1">
        <v>45855</v>
      </c>
      <c r="E1759" t="s">
        <v>19</v>
      </c>
      <c r="F1759">
        <v>6850</v>
      </c>
      <c r="J1759">
        <v>1269.5999999999999</v>
      </c>
      <c r="K1759">
        <v>1253.9000000000001</v>
      </c>
      <c r="L1759">
        <v>0</v>
      </c>
      <c r="M1759" t="s">
        <v>18</v>
      </c>
      <c r="N1759">
        <v>0</v>
      </c>
      <c r="O1759">
        <v>18</v>
      </c>
    </row>
    <row r="1760" spans="1:15" x14ac:dyDescent="0.2">
      <c r="A1760" s="6">
        <v>45838</v>
      </c>
      <c r="B1760" t="s">
        <v>15</v>
      </c>
      <c r="C1760" t="s">
        <v>16</v>
      </c>
      <c r="D1760" s="1">
        <v>45855</v>
      </c>
      <c r="E1760" t="s">
        <v>19</v>
      </c>
      <c r="F1760">
        <v>4500</v>
      </c>
      <c r="G1760">
        <v>14.4</v>
      </c>
      <c r="H1760">
        <v>15.6</v>
      </c>
      <c r="I1760">
        <v>9.5</v>
      </c>
      <c r="J1760">
        <v>10.1</v>
      </c>
      <c r="K1760">
        <v>13.4</v>
      </c>
      <c r="L1760">
        <v>2371</v>
      </c>
      <c r="M1760" t="s">
        <v>838</v>
      </c>
      <c r="N1760">
        <v>10701.21</v>
      </c>
      <c r="O1760">
        <v>847</v>
      </c>
    </row>
    <row r="1761" spans="1:15" x14ac:dyDescent="0.2">
      <c r="A1761" s="6">
        <v>45838</v>
      </c>
      <c r="B1761" t="s">
        <v>15</v>
      </c>
      <c r="C1761" t="s">
        <v>16</v>
      </c>
      <c r="D1761" s="1">
        <v>45855</v>
      </c>
      <c r="E1761" t="s">
        <v>19</v>
      </c>
      <c r="F1761">
        <v>4400</v>
      </c>
      <c r="J1761">
        <v>1.3</v>
      </c>
      <c r="K1761">
        <v>2.7</v>
      </c>
      <c r="L1761">
        <v>0</v>
      </c>
      <c r="M1761" t="s">
        <v>18</v>
      </c>
      <c r="N1761">
        <v>0</v>
      </c>
      <c r="O1761">
        <v>0</v>
      </c>
    </row>
    <row r="1762" spans="1:15" x14ac:dyDescent="0.2">
      <c r="A1762" s="6">
        <v>45838</v>
      </c>
      <c r="B1762" t="s">
        <v>15</v>
      </c>
      <c r="C1762" t="s">
        <v>16</v>
      </c>
      <c r="D1762" s="1">
        <v>45855</v>
      </c>
      <c r="E1762" t="s">
        <v>19</v>
      </c>
      <c r="F1762">
        <v>5000</v>
      </c>
      <c r="G1762">
        <v>29.2</v>
      </c>
      <c r="H1762">
        <v>30.8</v>
      </c>
      <c r="I1762">
        <v>20.9</v>
      </c>
      <c r="J1762">
        <v>21.9</v>
      </c>
      <c r="K1762">
        <v>26.7</v>
      </c>
      <c r="L1762">
        <v>19340</v>
      </c>
      <c r="M1762" t="s">
        <v>839</v>
      </c>
      <c r="N1762">
        <v>97195.16</v>
      </c>
      <c r="O1762">
        <v>4919</v>
      </c>
    </row>
    <row r="1763" spans="1:15" x14ac:dyDescent="0.2">
      <c r="A1763" s="6">
        <v>45838</v>
      </c>
      <c r="B1763" t="s">
        <v>15</v>
      </c>
      <c r="C1763" t="s">
        <v>16</v>
      </c>
      <c r="D1763" s="1">
        <v>45855</v>
      </c>
      <c r="E1763" t="s">
        <v>19</v>
      </c>
      <c r="F1763">
        <v>5350</v>
      </c>
      <c r="G1763">
        <v>83</v>
      </c>
      <c r="H1763">
        <v>90.2</v>
      </c>
      <c r="I1763">
        <v>71.7</v>
      </c>
      <c r="J1763">
        <v>75.2</v>
      </c>
      <c r="K1763">
        <v>85.3</v>
      </c>
      <c r="L1763">
        <v>15681</v>
      </c>
      <c r="M1763" t="s">
        <v>840</v>
      </c>
      <c r="N1763">
        <v>85139.09</v>
      </c>
      <c r="O1763">
        <v>528</v>
      </c>
    </row>
    <row r="1764" spans="1:15" x14ac:dyDescent="0.2">
      <c r="A1764" s="6">
        <v>45838</v>
      </c>
      <c r="B1764" t="s">
        <v>15</v>
      </c>
      <c r="C1764" t="s">
        <v>16</v>
      </c>
      <c r="D1764" s="1">
        <v>45855</v>
      </c>
      <c r="E1764" t="s">
        <v>19</v>
      </c>
      <c r="F1764">
        <v>5950</v>
      </c>
      <c r="G1764">
        <v>428.7</v>
      </c>
      <c r="H1764">
        <v>429.2</v>
      </c>
      <c r="I1764">
        <v>389.1</v>
      </c>
      <c r="J1764">
        <v>417.2</v>
      </c>
      <c r="K1764">
        <v>434.1</v>
      </c>
      <c r="L1764">
        <v>83</v>
      </c>
      <c r="M1764" t="s">
        <v>841</v>
      </c>
      <c r="N1764">
        <v>528.26</v>
      </c>
      <c r="O1764">
        <v>84</v>
      </c>
    </row>
    <row r="1765" spans="1:15" x14ac:dyDescent="0.2">
      <c r="A1765" s="6">
        <v>45838</v>
      </c>
      <c r="B1765" t="s">
        <v>15</v>
      </c>
      <c r="C1765" t="s">
        <v>16</v>
      </c>
      <c r="D1765" s="1">
        <v>45855</v>
      </c>
      <c r="E1765" t="s">
        <v>19</v>
      </c>
      <c r="F1765">
        <v>4050</v>
      </c>
      <c r="J1765">
        <v>0.1</v>
      </c>
      <c r="K1765">
        <v>0.2</v>
      </c>
      <c r="L1765">
        <v>0</v>
      </c>
      <c r="M1765" t="s">
        <v>18</v>
      </c>
      <c r="N1765">
        <v>0</v>
      </c>
      <c r="O1765">
        <v>0</v>
      </c>
    </row>
    <row r="1766" spans="1:15" x14ac:dyDescent="0.2">
      <c r="A1766" s="6">
        <v>45838</v>
      </c>
      <c r="B1766" t="s">
        <v>15</v>
      </c>
      <c r="C1766" t="s">
        <v>16</v>
      </c>
      <c r="D1766" s="1">
        <v>45855</v>
      </c>
      <c r="E1766" t="s">
        <v>17</v>
      </c>
      <c r="F1766">
        <v>6300</v>
      </c>
      <c r="G1766">
        <v>40</v>
      </c>
      <c r="H1766">
        <v>40</v>
      </c>
      <c r="I1766">
        <v>24.4</v>
      </c>
      <c r="J1766">
        <v>26.3</v>
      </c>
      <c r="K1766">
        <v>35.9</v>
      </c>
      <c r="L1766">
        <v>15383</v>
      </c>
      <c r="M1766" t="s">
        <v>842</v>
      </c>
      <c r="N1766">
        <v>97361.32</v>
      </c>
      <c r="O1766">
        <v>5698</v>
      </c>
    </row>
    <row r="1767" spans="1:15" x14ac:dyDescent="0.2">
      <c r="A1767" s="6">
        <v>45838</v>
      </c>
      <c r="B1767" t="s">
        <v>15</v>
      </c>
      <c r="C1767" t="s">
        <v>16</v>
      </c>
      <c r="D1767" s="1">
        <v>45855</v>
      </c>
      <c r="E1767" t="s">
        <v>17</v>
      </c>
      <c r="F1767">
        <v>6000</v>
      </c>
      <c r="G1767">
        <v>62.2</v>
      </c>
      <c r="H1767">
        <v>67.5</v>
      </c>
      <c r="I1767">
        <v>43</v>
      </c>
      <c r="J1767">
        <v>46.1</v>
      </c>
      <c r="K1767">
        <v>64.8</v>
      </c>
      <c r="L1767">
        <v>32031</v>
      </c>
      <c r="M1767" t="s">
        <v>843</v>
      </c>
      <c r="N1767">
        <v>193922.58</v>
      </c>
      <c r="O1767">
        <v>9253</v>
      </c>
    </row>
    <row r="1768" spans="1:15" x14ac:dyDescent="0.2">
      <c r="A1768" s="6">
        <v>45838</v>
      </c>
      <c r="B1768" t="s">
        <v>15</v>
      </c>
      <c r="C1768" t="s">
        <v>16</v>
      </c>
      <c r="D1768" s="1">
        <v>45855</v>
      </c>
      <c r="E1768" t="s">
        <v>19</v>
      </c>
      <c r="F1768">
        <v>4100</v>
      </c>
      <c r="J1768">
        <v>0.1</v>
      </c>
      <c r="K1768">
        <v>0.4</v>
      </c>
      <c r="L1768">
        <v>0</v>
      </c>
      <c r="M1768" t="s">
        <v>18</v>
      </c>
      <c r="N1768">
        <v>0</v>
      </c>
      <c r="O1768">
        <v>0</v>
      </c>
    </row>
    <row r="1769" spans="1:15" x14ac:dyDescent="0.2">
      <c r="A1769" s="6">
        <v>45838</v>
      </c>
      <c r="B1769" t="s">
        <v>15</v>
      </c>
      <c r="C1769" t="s">
        <v>16</v>
      </c>
      <c r="D1769" s="1">
        <v>45855</v>
      </c>
      <c r="E1769" t="s">
        <v>17</v>
      </c>
      <c r="F1769">
        <v>4550</v>
      </c>
      <c r="J1769">
        <v>1031.5</v>
      </c>
      <c r="K1769">
        <v>1053.8</v>
      </c>
      <c r="L1769">
        <v>0</v>
      </c>
      <c r="M1769" t="s">
        <v>18</v>
      </c>
      <c r="N1769">
        <v>0</v>
      </c>
      <c r="O1769">
        <v>0</v>
      </c>
    </row>
    <row r="1770" spans="1:15" x14ac:dyDescent="0.2">
      <c r="A1770" s="6">
        <v>45838</v>
      </c>
      <c r="B1770" t="s">
        <v>15</v>
      </c>
      <c r="C1770" t="s">
        <v>16</v>
      </c>
      <c r="D1770" s="1">
        <v>45855</v>
      </c>
      <c r="E1770" t="s">
        <v>17</v>
      </c>
      <c r="F1770">
        <v>4850</v>
      </c>
      <c r="J1770">
        <v>746.6</v>
      </c>
      <c r="K1770">
        <v>774</v>
      </c>
      <c r="L1770">
        <v>0</v>
      </c>
      <c r="M1770" t="s">
        <v>18</v>
      </c>
      <c r="N1770">
        <v>0</v>
      </c>
      <c r="O1770">
        <v>0</v>
      </c>
    </row>
    <row r="1771" spans="1:15" x14ac:dyDescent="0.2">
      <c r="A1771" s="6">
        <v>45838</v>
      </c>
      <c r="B1771" t="s">
        <v>15</v>
      </c>
      <c r="C1771" t="s">
        <v>16</v>
      </c>
      <c r="D1771" s="1">
        <v>45855</v>
      </c>
      <c r="E1771" t="s">
        <v>17</v>
      </c>
      <c r="F1771">
        <v>5500</v>
      </c>
      <c r="G1771">
        <v>232.6</v>
      </c>
      <c r="H1771">
        <v>261.8</v>
      </c>
      <c r="I1771">
        <v>199.7</v>
      </c>
      <c r="J1771">
        <v>212.1</v>
      </c>
      <c r="K1771">
        <v>238.4</v>
      </c>
      <c r="L1771">
        <v>43910</v>
      </c>
      <c r="M1771" t="s">
        <v>844</v>
      </c>
      <c r="N1771">
        <v>251483.84</v>
      </c>
      <c r="O1771">
        <v>3888</v>
      </c>
    </row>
    <row r="1772" spans="1:15" x14ac:dyDescent="0.2">
      <c r="A1772" s="6">
        <v>45838</v>
      </c>
      <c r="B1772" t="s">
        <v>15</v>
      </c>
      <c r="C1772" t="s">
        <v>16</v>
      </c>
      <c r="D1772" s="1">
        <v>45855</v>
      </c>
      <c r="E1772" t="s">
        <v>17</v>
      </c>
      <c r="F1772">
        <v>6450</v>
      </c>
      <c r="G1772">
        <v>29.3</v>
      </c>
      <c r="H1772">
        <v>29.6</v>
      </c>
      <c r="I1772">
        <v>20.9</v>
      </c>
      <c r="J1772">
        <v>22.8</v>
      </c>
      <c r="K1772">
        <v>31.1</v>
      </c>
      <c r="L1772">
        <v>1656</v>
      </c>
      <c r="M1772" t="s">
        <v>845</v>
      </c>
      <c r="N1772">
        <v>10722.87</v>
      </c>
      <c r="O1772">
        <v>1663</v>
      </c>
    </row>
    <row r="1773" spans="1:15" x14ac:dyDescent="0.2">
      <c r="A1773" s="6">
        <v>45838</v>
      </c>
      <c r="B1773" t="s">
        <v>15</v>
      </c>
      <c r="C1773" t="s">
        <v>16</v>
      </c>
      <c r="D1773" s="1">
        <v>45855</v>
      </c>
      <c r="E1773" t="s">
        <v>17</v>
      </c>
      <c r="F1773">
        <v>5650</v>
      </c>
      <c r="G1773">
        <v>155.1</v>
      </c>
      <c r="H1773">
        <v>179.5</v>
      </c>
      <c r="I1773">
        <v>130</v>
      </c>
      <c r="J1773">
        <v>138.1</v>
      </c>
      <c r="K1773">
        <v>163.5</v>
      </c>
      <c r="L1773">
        <v>60542</v>
      </c>
      <c r="M1773" t="s">
        <v>846</v>
      </c>
      <c r="N1773">
        <v>351422.67</v>
      </c>
      <c r="O1773">
        <v>4356</v>
      </c>
    </row>
    <row r="1774" spans="1:15" x14ac:dyDescent="0.2">
      <c r="A1774" s="6">
        <v>45838</v>
      </c>
      <c r="B1774" t="s">
        <v>15</v>
      </c>
      <c r="C1774" t="s">
        <v>16</v>
      </c>
      <c r="D1774" s="1">
        <v>45855</v>
      </c>
      <c r="E1774" t="s">
        <v>17</v>
      </c>
      <c r="F1774">
        <v>3600</v>
      </c>
      <c r="J1774">
        <v>1975.5</v>
      </c>
      <c r="K1774">
        <v>1994.4</v>
      </c>
      <c r="L1774">
        <v>0</v>
      </c>
      <c r="M1774" t="s">
        <v>18</v>
      </c>
      <c r="N1774">
        <v>0</v>
      </c>
      <c r="O1774">
        <v>0</v>
      </c>
    </row>
    <row r="1775" spans="1:15" x14ac:dyDescent="0.2">
      <c r="A1775" s="6">
        <v>45838</v>
      </c>
      <c r="B1775" t="s">
        <v>15</v>
      </c>
      <c r="C1775" t="s">
        <v>16</v>
      </c>
      <c r="D1775" s="1">
        <v>45855</v>
      </c>
      <c r="E1775" t="s">
        <v>17</v>
      </c>
      <c r="F1775">
        <v>3650</v>
      </c>
      <c r="J1775">
        <v>1925.6</v>
      </c>
      <c r="K1775">
        <v>1944.6</v>
      </c>
      <c r="L1775">
        <v>0</v>
      </c>
      <c r="M1775" t="s">
        <v>18</v>
      </c>
      <c r="N1775">
        <v>0</v>
      </c>
      <c r="O1775">
        <v>0</v>
      </c>
    </row>
    <row r="1776" spans="1:15" x14ac:dyDescent="0.2">
      <c r="A1776" s="6">
        <v>45838</v>
      </c>
      <c r="B1776" t="s">
        <v>15</v>
      </c>
      <c r="C1776" t="s">
        <v>16</v>
      </c>
      <c r="D1776" s="1">
        <v>45855</v>
      </c>
      <c r="E1776" t="s">
        <v>19</v>
      </c>
      <c r="F1776">
        <v>7400</v>
      </c>
      <c r="J1776">
        <v>1814.3</v>
      </c>
      <c r="K1776">
        <v>1794.4</v>
      </c>
      <c r="L1776">
        <v>0</v>
      </c>
      <c r="M1776" t="s">
        <v>18</v>
      </c>
      <c r="N1776">
        <v>0</v>
      </c>
      <c r="O1776">
        <v>0</v>
      </c>
    </row>
    <row r="1777" spans="1:15" x14ac:dyDescent="0.2">
      <c r="A1777" s="6">
        <v>45838</v>
      </c>
      <c r="B1777" t="s">
        <v>15</v>
      </c>
      <c r="C1777" t="s">
        <v>16</v>
      </c>
      <c r="D1777" s="1">
        <v>45855</v>
      </c>
      <c r="E1777" t="s">
        <v>19</v>
      </c>
      <c r="F1777">
        <v>6700</v>
      </c>
      <c r="G1777">
        <v>1120.3</v>
      </c>
      <c r="H1777">
        <v>1121.3</v>
      </c>
      <c r="I1777">
        <v>1119.4000000000001</v>
      </c>
      <c r="J1777">
        <v>1120.3</v>
      </c>
      <c r="K1777">
        <v>1093.9000000000001</v>
      </c>
      <c r="L1777">
        <v>4</v>
      </c>
      <c r="M1777" t="s">
        <v>78</v>
      </c>
      <c r="N1777">
        <v>31.28</v>
      </c>
      <c r="O1777">
        <v>189</v>
      </c>
    </row>
    <row r="1778" spans="1:15" x14ac:dyDescent="0.2">
      <c r="A1778" s="6">
        <v>45838</v>
      </c>
      <c r="B1778" t="s">
        <v>15</v>
      </c>
      <c r="C1778" t="s">
        <v>16</v>
      </c>
      <c r="D1778" s="1">
        <v>45855</v>
      </c>
      <c r="E1778" t="s">
        <v>19</v>
      </c>
      <c r="F1778">
        <v>5800</v>
      </c>
      <c r="G1778">
        <v>303.10000000000002</v>
      </c>
      <c r="H1778">
        <v>325.7</v>
      </c>
      <c r="I1778">
        <v>274.3</v>
      </c>
      <c r="J1778">
        <v>300.2</v>
      </c>
      <c r="K1778">
        <v>307</v>
      </c>
      <c r="L1778">
        <v>5549</v>
      </c>
      <c r="M1778" t="s">
        <v>847</v>
      </c>
      <c r="N1778">
        <v>33843.050000000003</v>
      </c>
      <c r="O1778">
        <v>2091</v>
      </c>
    </row>
    <row r="1779" spans="1:15" x14ac:dyDescent="0.2">
      <c r="A1779" s="6">
        <v>45838</v>
      </c>
      <c r="B1779" t="s">
        <v>15</v>
      </c>
      <c r="C1779" t="s">
        <v>16</v>
      </c>
      <c r="D1779" s="1">
        <v>45855</v>
      </c>
      <c r="E1779" t="s">
        <v>19</v>
      </c>
      <c r="F1779">
        <v>3650</v>
      </c>
      <c r="J1779">
        <v>0.1</v>
      </c>
      <c r="K1779">
        <v>0.1</v>
      </c>
      <c r="L1779">
        <v>0</v>
      </c>
      <c r="M1779" t="s">
        <v>18</v>
      </c>
      <c r="N1779">
        <v>0</v>
      </c>
      <c r="O1779">
        <v>0</v>
      </c>
    </row>
    <row r="1780" spans="1:15" x14ac:dyDescent="0.2">
      <c r="A1780" s="6">
        <v>45838</v>
      </c>
      <c r="B1780" t="s">
        <v>15</v>
      </c>
      <c r="C1780" t="s">
        <v>16</v>
      </c>
      <c r="D1780" s="1">
        <v>45855</v>
      </c>
      <c r="E1780" t="s">
        <v>19</v>
      </c>
      <c r="F1780">
        <v>6900</v>
      </c>
      <c r="J1780">
        <v>1318.7</v>
      </c>
      <c r="K1780">
        <v>1316.8</v>
      </c>
      <c r="L1780">
        <v>0</v>
      </c>
      <c r="M1780" t="s">
        <v>18</v>
      </c>
      <c r="N1780">
        <v>0</v>
      </c>
      <c r="O1780">
        <v>40</v>
      </c>
    </row>
    <row r="1781" spans="1:15" x14ac:dyDescent="0.2">
      <c r="A1781" s="6">
        <v>45838</v>
      </c>
      <c r="B1781" t="s">
        <v>15</v>
      </c>
      <c r="C1781" t="s">
        <v>16</v>
      </c>
      <c r="D1781" s="1">
        <v>45855</v>
      </c>
      <c r="E1781" t="s">
        <v>19</v>
      </c>
      <c r="F1781">
        <v>7100</v>
      </c>
      <c r="J1781">
        <v>1516.2</v>
      </c>
      <c r="K1781">
        <v>1497.9</v>
      </c>
      <c r="L1781">
        <v>0</v>
      </c>
      <c r="M1781" t="s">
        <v>18</v>
      </c>
      <c r="N1781">
        <v>0</v>
      </c>
      <c r="O1781">
        <v>0</v>
      </c>
    </row>
    <row r="1782" spans="1:15" x14ac:dyDescent="0.2">
      <c r="A1782" s="6">
        <v>45838</v>
      </c>
      <c r="B1782" t="s">
        <v>15</v>
      </c>
      <c r="C1782" t="s">
        <v>16</v>
      </c>
      <c r="D1782" s="1">
        <v>45855</v>
      </c>
      <c r="E1782" t="s">
        <v>17</v>
      </c>
      <c r="F1782">
        <v>7200</v>
      </c>
      <c r="G1782">
        <v>15</v>
      </c>
      <c r="H1782">
        <v>16.100000000000001</v>
      </c>
      <c r="I1782">
        <v>13.7</v>
      </c>
      <c r="J1782">
        <v>15.4</v>
      </c>
      <c r="K1782">
        <v>18.3</v>
      </c>
      <c r="L1782">
        <v>835</v>
      </c>
      <c r="M1782" t="s">
        <v>848</v>
      </c>
      <c r="N1782">
        <v>6024.35</v>
      </c>
      <c r="O1782">
        <v>956</v>
      </c>
    </row>
    <row r="1783" spans="1:15" x14ac:dyDescent="0.2">
      <c r="A1783" s="6">
        <v>45838</v>
      </c>
      <c r="B1783" t="s">
        <v>15</v>
      </c>
      <c r="C1783" t="s">
        <v>16</v>
      </c>
      <c r="D1783" s="1">
        <v>45855</v>
      </c>
      <c r="E1783" t="s">
        <v>17</v>
      </c>
      <c r="F1783">
        <v>5350</v>
      </c>
      <c r="G1783">
        <v>325.60000000000002</v>
      </c>
      <c r="H1783">
        <v>360</v>
      </c>
      <c r="I1783">
        <v>294.7</v>
      </c>
      <c r="J1783">
        <v>307</v>
      </c>
      <c r="K1783">
        <v>334.6</v>
      </c>
      <c r="L1783">
        <v>291</v>
      </c>
      <c r="M1783" t="s">
        <v>849</v>
      </c>
      <c r="N1783">
        <v>1650.78</v>
      </c>
      <c r="O1783">
        <v>38</v>
      </c>
    </row>
    <row r="1784" spans="1:15" x14ac:dyDescent="0.2">
      <c r="A1784" s="6">
        <v>45838</v>
      </c>
      <c r="B1784" t="s">
        <v>15</v>
      </c>
      <c r="C1784" t="s">
        <v>16</v>
      </c>
      <c r="D1784" s="1">
        <v>45855</v>
      </c>
      <c r="E1784" t="s">
        <v>17</v>
      </c>
      <c r="F1784">
        <v>6100</v>
      </c>
      <c r="G1784">
        <v>44.1</v>
      </c>
      <c r="H1784">
        <v>52.7</v>
      </c>
      <c r="I1784">
        <v>32.200000000000003</v>
      </c>
      <c r="J1784">
        <v>35.700000000000003</v>
      </c>
      <c r="K1784">
        <v>52.3</v>
      </c>
      <c r="L1784">
        <v>13519</v>
      </c>
      <c r="M1784" t="s">
        <v>850</v>
      </c>
      <c r="N1784">
        <v>83030.83</v>
      </c>
      <c r="O1784">
        <v>3806</v>
      </c>
    </row>
    <row r="1785" spans="1:15" x14ac:dyDescent="0.2">
      <c r="A1785" s="6">
        <v>45838</v>
      </c>
      <c r="B1785" t="s">
        <v>15</v>
      </c>
      <c r="C1785" t="s">
        <v>16</v>
      </c>
      <c r="D1785" s="1">
        <v>45855</v>
      </c>
      <c r="E1785" t="s">
        <v>19</v>
      </c>
      <c r="F1785">
        <v>4850</v>
      </c>
      <c r="G1785">
        <v>23.8</v>
      </c>
      <c r="H1785">
        <v>23.9</v>
      </c>
      <c r="I1785">
        <v>15</v>
      </c>
      <c r="J1785">
        <v>17.2</v>
      </c>
      <c r="K1785">
        <v>21.4</v>
      </c>
      <c r="L1785">
        <v>376</v>
      </c>
      <c r="M1785" t="s">
        <v>536</v>
      </c>
      <c r="N1785">
        <v>1831.1</v>
      </c>
      <c r="O1785">
        <v>130</v>
      </c>
    </row>
    <row r="1786" spans="1:15" x14ac:dyDescent="0.2">
      <c r="A1786" s="6">
        <v>45838</v>
      </c>
      <c r="B1786" t="s">
        <v>15</v>
      </c>
      <c r="C1786" t="s">
        <v>16</v>
      </c>
      <c r="D1786" s="1">
        <v>45855</v>
      </c>
      <c r="E1786" t="s">
        <v>19</v>
      </c>
      <c r="F1786">
        <v>4000</v>
      </c>
      <c r="G1786">
        <v>10.5</v>
      </c>
      <c r="H1786">
        <v>11.2</v>
      </c>
      <c r="I1786">
        <v>7.7</v>
      </c>
      <c r="J1786">
        <v>8.9</v>
      </c>
      <c r="K1786">
        <v>9.6999999999999993</v>
      </c>
      <c r="L1786">
        <v>2967</v>
      </c>
      <c r="M1786" t="s">
        <v>851</v>
      </c>
      <c r="N1786">
        <v>11896.86</v>
      </c>
      <c r="O1786">
        <v>1027</v>
      </c>
    </row>
    <row r="1787" spans="1:15" x14ac:dyDescent="0.2">
      <c r="A1787" s="6">
        <v>45838</v>
      </c>
      <c r="B1787" t="s">
        <v>15</v>
      </c>
      <c r="C1787" t="s">
        <v>16</v>
      </c>
      <c r="D1787" s="1">
        <v>45855</v>
      </c>
      <c r="E1787" t="s">
        <v>19</v>
      </c>
      <c r="F1787">
        <v>6350</v>
      </c>
      <c r="G1787">
        <v>776.5</v>
      </c>
      <c r="H1787">
        <v>778.5</v>
      </c>
      <c r="I1787">
        <v>750</v>
      </c>
      <c r="J1787">
        <v>766.7</v>
      </c>
      <c r="K1787">
        <v>766.9</v>
      </c>
      <c r="L1787">
        <v>5</v>
      </c>
      <c r="M1787" t="s">
        <v>26</v>
      </c>
      <c r="N1787">
        <v>35.58</v>
      </c>
      <c r="O1787">
        <v>80</v>
      </c>
    </row>
    <row r="1788" spans="1:15" x14ac:dyDescent="0.2">
      <c r="A1788" s="6">
        <v>45838</v>
      </c>
      <c r="B1788" t="s">
        <v>15</v>
      </c>
      <c r="C1788" t="s">
        <v>16</v>
      </c>
      <c r="D1788" s="1">
        <v>45855</v>
      </c>
      <c r="E1788" t="s">
        <v>19</v>
      </c>
      <c r="F1788">
        <v>5650</v>
      </c>
      <c r="G1788">
        <v>211.1</v>
      </c>
      <c r="H1788">
        <v>224.6</v>
      </c>
      <c r="I1788">
        <v>184.9</v>
      </c>
      <c r="J1788">
        <v>203.8</v>
      </c>
      <c r="K1788">
        <v>210.3</v>
      </c>
      <c r="L1788">
        <v>30907</v>
      </c>
      <c r="M1788" t="s">
        <v>852</v>
      </c>
      <c r="N1788">
        <v>180934.42</v>
      </c>
      <c r="O1788">
        <v>1711</v>
      </c>
    </row>
    <row r="1789" spans="1:15" x14ac:dyDescent="0.2">
      <c r="A1789" s="6">
        <v>45838</v>
      </c>
      <c r="B1789" t="s">
        <v>15</v>
      </c>
      <c r="C1789" t="s">
        <v>16</v>
      </c>
      <c r="D1789" s="1">
        <v>45855</v>
      </c>
      <c r="E1789" t="s">
        <v>19</v>
      </c>
      <c r="F1789">
        <v>5600</v>
      </c>
      <c r="G1789">
        <v>182.1</v>
      </c>
      <c r="H1789">
        <v>197.5</v>
      </c>
      <c r="I1789">
        <v>160.80000000000001</v>
      </c>
      <c r="J1789">
        <v>178.4</v>
      </c>
      <c r="K1789">
        <v>184.3</v>
      </c>
      <c r="L1789">
        <v>131782</v>
      </c>
      <c r="M1789" t="s">
        <v>853</v>
      </c>
      <c r="N1789">
        <v>761586.27</v>
      </c>
      <c r="O1789">
        <v>8308</v>
      </c>
    </row>
    <row r="1790" spans="1:15" x14ac:dyDescent="0.2">
      <c r="A1790" s="6">
        <v>45838</v>
      </c>
      <c r="B1790" t="s">
        <v>15</v>
      </c>
      <c r="C1790" t="s">
        <v>16</v>
      </c>
      <c r="D1790" s="1">
        <v>45855</v>
      </c>
      <c r="E1790" t="s">
        <v>17</v>
      </c>
      <c r="F1790">
        <v>3950</v>
      </c>
      <c r="J1790">
        <v>1626.5</v>
      </c>
      <c r="K1790">
        <v>1645.7</v>
      </c>
      <c r="L1790">
        <v>0</v>
      </c>
      <c r="M1790" t="s">
        <v>18</v>
      </c>
      <c r="N1790">
        <v>0</v>
      </c>
      <c r="O1790">
        <v>0</v>
      </c>
    </row>
    <row r="1791" spans="1:15" x14ac:dyDescent="0.2">
      <c r="A1791" s="6">
        <v>45838</v>
      </c>
      <c r="B1791" t="s">
        <v>15</v>
      </c>
      <c r="C1791" t="s">
        <v>16</v>
      </c>
      <c r="D1791" s="1">
        <v>45855</v>
      </c>
      <c r="E1791" t="s">
        <v>19</v>
      </c>
      <c r="F1791">
        <v>7450</v>
      </c>
      <c r="J1791">
        <v>1864.1</v>
      </c>
      <c r="K1791">
        <v>1844</v>
      </c>
      <c r="L1791">
        <v>0</v>
      </c>
      <c r="M1791" t="s">
        <v>18</v>
      </c>
      <c r="N1791">
        <v>0</v>
      </c>
      <c r="O1791">
        <v>0</v>
      </c>
    </row>
    <row r="1792" spans="1:15" x14ac:dyDescent="0.2">
      <c r="A1792" s="6">
        <v>45838</v>
      </c>
      <c r="B1792" t="s">
        <v>15</v>
      </c>
      <c r="C1792" t="s">
        <v>16</v>
      </c>
      <c r="D1792" s="1">
        <v>45855</v>
      </c>
      <c r="E1792" t="s">
        <v>17</v>
      </c>
      <c r="F1792">
        <v>7550</v>
      </c>
      <c r="G1792">
        <v>12</v>
      </c>
      <c r="H1792">
        <v>13</v>
      </c>
      <c r="I1792">
        <v>9.1999999999999993</v>
      </c>
      <c r="J1792">
        <v>12.2</v>
      </c>
      <c r="K1792">
        <v>14.9</v>
      </c>
      <c r="L1792">
        <v>197</v>
      </c>
      <c r="M1792" t="s">
        <v>854</v>
      </c>
      <c r="N1792">
        <v>1489.61</v>
      </c>
      <c r="O1792">
        <v>226</v>
      </c>
    </row>
    <row r="1793" spans="1:15" x14ac:dyDescent="0.2">
      <c r="A1793" s="6">
        <v>45838</v>
      </c>
      <c r="B1793" t="s">
        <v>15</v>
      </c>
      <c r="C1793" t="s">
        <v>16</v>
      </c>
      <c r="D1793" s="1">
        <v>45855</v>
      </c>
      <c r="E1793" t="s">
        <v>17</v>
      </c>
      <c r="F1793">
        <v>4700</v>
      </c>
      <c r="J1793">
        <v>886.7</v>
      </c>
      <c r="K1793">
        <v>911.3</v>
      </c>
      <c r="L1793">
        <v>0</v>
      </c>
      <c r="M1793" t="s">
        <v>18</v>
      </c>
      <c r="N1793">
        <v>0</v>
      </c>
      <c r="O1793">
        <v>0</v>
      </c>
    </row>
    <row r="1794" spans="1:15" x14ac:dyDescent="0.2">
      <c r="A1794" s="6">
        <v>45838</v>
      </c>
      <c r="B1794" t="s">
        <v>15</v>
      </c>
      <c r="C1794" t="s">
        <v>16</v>
      </c>
      <c r="D1794" s="1">
        <v>45855</v>
      </c>
      <c r="E1794" t="s">
        <v>17</v>
      </c>
      <c r="F1794">
        <v>4300</v>
      </c>
      <c r="J1794">
        <v>1278</v>
      </c>
      <c r="K1794">
        <v>1298.2</v>
      </c>
      <c r="L1794">
        <v>0</v>
      </c>
      <c r="M1794" t="s">
        <v>18</v>
      </c>
      <c r="N1794">
        <v>0</v>
      </c>
      <c r="O1794">
        <v>0</v>
      </c>
    </row>
    <row r="1795" spans="1:15" x14ac:dyDescent="0.2">
      <c r="A1795" s="6">
        <v>45838</v>
      </c>
      <c r="B1795" t="s">
        <v>15</v>
      </c>
      <c r="C1795" t="s">
        <v>16</v>
      </c>
      <c r="D1795" s="1">
        <v>45855</v>
      </c>
      <c r="E1795" t="s">
        <v>19</v>
      </c>
      <c r="F1795">
        <v>5750</v>
      </c>
      <c r="G1795">
        <v>281.2</v>
      </c>
      <c r="H1795">
        <v>288.89999999999998</v>
      </c>
      <c r="I1795">
        <v>241.6</v>
      </c>
      <c r="J1795">
        <v>267.5</v>
      </c>
      <c r="K1795">
        <v>269.5</v>
      </c>
      <c r="L1795">
        <v>4665</v>
      </c>
      <c r="M1795" t="s">
        <v>855</v>
      </c>
      <c r="N1795">
        <v>28059.39</v>
      </c>
      <c r="O1795">
        <v>1078</v>
      </c>
    </row>
    <row r="1796" spans="1:15" x14ac:dyDescent="0.2">
      <c r="A1796" s="6">
        <v>45838</v>
      </c>
      <c r="B1796" t="s">
        <v>15</v>
      </c>
      <c r="C1796" t="s">
        <v>16</v>
      </c>
      <c r="D1796" s="1">
        <v>45855</v>
      </c>
      <c r="E1796" t="s">
        <v>19</v>
      </c>
      <c r="F1796">
        <v>7300</v>
      </c>
      <c r="J1796">
        <v>1714.8</v>
      </c>
      <c r="K1796">
        <v>1695.3</v>
      </c>
      <c r="L1796">
        <v>0</v>
      </c>
      <c r="M1796" t="s">
        <v>18</v>
      </c>
      <c r="N1796">
        <v>0</v>
      </c>
      <c r="O1796">
        <v>0</v>
      </c>
    </row>
    <row r="1797" spans="1:15" x14ac:dyDescent="0.2">
      <c r="A1797" s="6">
        <v>45838</v>
      </c>
      <c r="B1797" t="s">
        <v>15</v>
      </c>
      <c r="C1797" t="s">
        <v>16</v>
      </c>
      <c r="D1797" s="1">
        <v>45855</v>
      </c>
      <c r="E1797" t="s">
        <v>17</v>
      </c>
      <c r="F1797">
        <v>7100</v>
      </c>
      <c r="G1797">
        <v>15.3</v>
      </c>
      <c r="H1797">
        <v>15.7</v>
      </c>
      <c r="I1797">
        <v>13.2</v>
      </c>
      <c r="J1797">
        <v>14.7</v>
      </c>
      <c r="K1797">
        <v>19.100000000000001</v>
      </c>
      <c r="L1797">
        <v>599</v>
      </c>
      <c r="M1797" t="s">
        <v>618</v>
      </c>
      <c r="N1797">
        <v>4261.7299999999996</v>
      </c>
      <c r="O1797">
        <v>364</v>
      </c>
    </row>
    <row r="1798" spans="1:15" x14ac:dyDescent="0.2">
      <c r="A1798" s="6">
        <v>45838</v>
      </c>
      <c r="B1798" t="s">
        <v>15</v>
      </c>
      <c r="C1798" t="s">
        <v>16</v>
      </c>
      <c r="D1798" s="1">
        <v>45855</v>
      </c>
      <c r="E1798" t="s">
        <v>19</v>
      </c>
      <c r="F1798">
        <v>6100</v>
      </c>
      <c r="G1798">
        <v>560.4</v>
      </c>
      <c r="H1798">
        <v>561.1</v>
      </c>
      <c r="I1798">
        <v>533.79999999999995</v>
      </c>
      <c r="J1798">
        <v>549.70000000000005</v>
      </c>
      <c r="K1798">
        <v>552.9</v>
      </c>
      <c r="L1798">
        <v>133</v>
      </c>
      <c r="M1798" t="s">
        <v>596</v>
      </c>
      <c r="N1798">
        <v>884.77</v>
      </c>
      <c r="O1798">
        <v>338</v>
      </c>
    </row>
    <row r="1799" spans="1:15" x14ac:dyDescent="0.2">
      <c r="A1799" s="6">
        <v>45838</v>
      </c>
      <c r="B1799" t="s">
        <v>15</v>
      </c>
      <c r="C1799" t="s">
        <v>16</v>
      </c>
      <c r="D1799" s="1">
        <v>45855</v>
      </c>
      <c r="E1799" t="s">
        <v>19</v>
      </c>
      <c r="F1799">
        <v>6450</v>
      </c>
      <c r="G1799">
        <v>878</v>
      </c>
      <c r="H1799">
        <v>878</v>
      </c>
      <c r="I1799">
        <v>853.2</v>
      </c>
      <c r="J1799">
        <v>858.5</v>
      </c>
      <c r="K1799">
        <v>856.4</v>
      </c>
      <c r="L1799">
        <v>81</v>
      </c>
      <c r="M1799" t="s">
        <v>549</v>
      </c>
      <c r="N1799">
        <v>592.26</v>
      </c>
      <c r="O1799">
        <v>837</v>
      </c>
    </row>
    <row r="1800" spans="1:15" x14ac:dyDescent="0.2">
      <c r="A1800" s="6">
        <v>45838</v>
      </c>
      <c r="B1800" t="s">
        <v>15</v>
      </c>
      <c r="C1800" t="s">
        <v>16</v>
      </c>
      <c r="D1800" s="1">
        <v>45855</v>
      </c>
      <c r="E1800" t="s">
        <v>19</v>
      </c>
      <c r="F1800">
        <v>5500</v>
      </c>
      <c r="G1800">
        <v>137.9</v>
      </c>
      <c r="H1800">
        <v>145.69999999999999</v>
      </c>
      <c r="I1800">
        <v>118.5</v>
      </c>
      <c r="J1800">
        <v>128.4</v>
      </c>
      <c r="K1800">
        <v>138.1</v>
      </c>
      <c r="L1800">
        <v>79649</v>
      </c>
      <c r="M1800" t="s">
        <v>856</v>
      </c>
      <c r="N1800">
        <v>448575.46</v>
      </c>
      <c r="O1800">
        <v>6884</v>
      </c>
    </row>
    <row r="1801" spans="1:15" x14ac:dyDescent="0.2">
      <c r="A1801" s="6">
        <v>45838</v>
      </c>
      <c r="B1801" t="s">
        <v>15</v>
      </c>
      <c r="C1801" t="s">
        <v>16</v>
      </c>
      <c r="D1801" s="1">
        <v>45855</v>
      </c>
      <c r="E1801" t="s">
        <v>19</v>
      </c>
      <c r="F1801">
        <v>7000</v>
      </c>
      <c r="J1801">
        <v>1417.3</v>
      </c>
      <c r="K1801">
        <v>1399.8</v>
      </c>
      <c r="L1801">
        <v>0</v>
      </c>
      <c r="M1801" t="s">
        <v>18</v>
      </c>
      <c r="N1801">
        <v>0</v>
      </c>
      <c r="O1801">
        <v>12</v>
      </c>
    </row>
    <row r="1802" spans="1:15" x14ac:dyDescent="0.2">
      <c r="A1802" s="6">
        <v>45838</v>
      </c>
      <c r="B1802" t="s">
        <v>15</v>
      </c>
      <c r="C1802" t="s">
        <v>16</v>
      </c>
      <c r="D1802" s="1">
        <v>45855</v>
      </c>
      <c r="E1802" t="s">
        <v>19</v>
      </c>
      <c r="F1802">
        <v>3800</v>
      </c>
      <c r="J1802">
        <v>0.1</v>
      </c>
      <c r="K1802">
        <v>0.1</v>
      </c>
      <c r="L1802">
        <v>0</v>
      </c>
      <c r="M1802" t="s">
        <v>18</v>
      </c>
      <c r="N1802">
        <v>0</v>
      </c>
      <c r="O1802">
        <v>0</v>
      </c>
    </row>
    <row r="1803" spans="1:15" x14ac:dyDescent="0.2">
      <c r="A1803" s="6">
        <v>45838</v>
      </c>
      <c r="B1803" t="s">
        <v>15</v>
      </c>
      <c r="C1803" t="s">
        <v>16</v>
      </c>
      <c r="D1803" s="1">
        <v>45855</v>
      </c>
      <c r="E1803" t="s">
        <v>17</v>
      </c>
      <c r="F1803">
        <v>7700</v>
      </c>
      <c r="G1803">
        <v>13.3</v>
      </c>
      <c r="H1803">
        <v>13.3</v>
      </c>
      <c r="I1803">
        <v>7.5</v>
      </c>
      <c r="J1803">
        <v>8.6</v>
      </c>
      <c r="K1803">
        <v>12.1</v>
      </c>
      <c r="L1803">
        <v>1121</v>
      </c>
      <c r="M1803" t="s">
        <v>857</v>
      </c>
      <c r="N1803">
        <v>8642.4500000000007</v>
      </c>
      <c r="O1803">
        <v>2278</v>
      </c>
    </row>
    <row r="1804" spans="1:15" x14ac:dyDescent="0.2">
      <c r="A1804" s="6">
        <v>45838</v>
      </c>
      <c r="B1804" t="s">
        <v>15</v>
      </c>
      <c r="C1804" t="s">
        <v>16</v>
      </c>
      <c r="D1804" s="1">
        <v>45855</v>
      </c>
      <c r="E1804" t="s">
        <v>17</v>
      </c>
      <c r="F1804">
        <v>7400</v>
      </c>
      <c r="G1804">
        <v>16.600000000000001</v>
      </c>
      <c r="H1804">
        <v>16.600000000000001</v>
      </c>
      <c r="I1804">
        <v>11.6</v>
      </c>
      <c r="J1804">
        <v>12.4</v>
      </c>
      <c r="K1804">
        <v>16.8</v>
      </c>
      <c r="L1804">
        <v>1346</v>
      </c>
      <c r="M1804" t="s">
        <v>858</v>
      </c>
      <c r="N1804">
        <v>9977.9699999999993</v>
      </c>
      <c r="O1804">
        <v>1635</v>
      </c>
    </row>
    <row r="1805" spans="1:15" x14ac:dyDescent="0.2">
      <c r="A1805" s="6">
        <v>45838</v>
      </c>
      <c r="B1805" t="s">
        <v>15</v>
      </c>
      <c r="C1805" t="s">
        <v>16</v>
      </c>
      <c r="D1805" s="1">
        <v>45855</v>
      </c>
      <c r="E1805" t="s">
        <v>17</v>
      </c>
      <c r="F1805">
        <v>4050</v>
      </c>
      <c r="J1805">
        <v>1526.8</v>
      </c>
      <c r="K1805">
        <v>1546.2</v>
      </c>
      <c r="L1805">
        <v>0</v>
      </c>
      <c r="M1805" t="s">
        <v>18</v>
      </c>
      <c r="N1805">
        <v>0</v>
      </c>
      <c r="O1805">
        <v>0</v>
      </c>
    </row>
    <row r="1806" spans="1:15" x14ac:dyDescent="0.2">
      <c r="A1806" s="6">
        <v>45838</v>
      </c>
      <c r="B1806" t="s">
        <v>15</v>
      </c>
      <c r="C1806" t="s">
        <v>16</v>
      </c>
      <c r="D1806" s="1">
        <v>45855</v>
      </c>
      <c r="E1806" t="s">
        <v>19</v>
      </c>
      <c r="F1806">
        <v>4150</v>
      </c>
      <c r="J1806">
        <v>0.2</v>
      </c>
      <c r="K1806">
        <v>0.5</v>
      </c>
      <c r="L1806">
        <v>0</v>
      </c>
      <c r="M1806" t="s">
        <v>18</v>
      </c>
      <c r="N1806">
        <v>0</v>
      </c>
      <c r="O1806">
        <v>0</v>
      </c>
    </row>
    <row r="1807" spans="1:15" x14ac:dyDescent="0.2">
      <c r="A1807" s="6">
        <v>45838</v>
      </c>
      <c r="B1807" t="s">
        <v>15</v>
      </c>
      <c r="C1807" t="s">
        <v>16</v>
      </c>
      <c r="D1807" s="1">
        <v>45855</v>
      </c>
      <c r="E1807" t="s">
        <v>19</v>
      </c>
      <c r="F1807">
        <v>5550</v>
      </c>
      <c r="G1807">
        <v>159.80000000000001</v>
      </c>
      <c r="H1807">
        <v>170.4</v>
      </c>
      <c r="I1807">
        <v>139</v>
      </c>
      <c r="J1807">
        <v>151.5</v>
      </c>
      <c r="K1807">
        <v>159.80000000000001</v>
      </c>
      <c r="L1807">
        <v>34287</v>
      </c>
      <c r="M1807" t="s">
        <v>859</v>
      </c>
      <c r="N1807">
        <v>195624.84</v>
      </c>
      <c r="O1807">
        <v>1715</v>
      </c>
    </row>
    <row r="1808" spans="1:15" x14ac:dyDescent="0.2">
      <c r="A1808" s="6">
        <v>45838</v>
      </c>
      <c r="B1808" t="s">
        <v>15</v>
      </c>
      <c r="C1808" t="s">
        <v>16</v>
      </c>
      <c r="D1808" s="1">
        <v>45855</v>
      </c>
      <c r="E1808" t="s">
        <v>17</v>
      </c>
      <c r="F1808">
        <v>6150</v>
      </c>
      <c r="G1808">
        <v>40.4</v>
      </c>
      <c r="H1808">
        <v>46.5</v>
      </c>
      <c r="I1808">
        <v>31.8</v>
      </c>
      <c r="J1808">
        <v>33.799999999999997</v>
      </c>
      <c r="K1808">
        <v>47.9</v>
      </c>
      <c r="L1808">
        <v>1872</v>
      </c>
      <c r="M1808" t="s">
        <v>860</v>
      </c>
      <c r="N1808">
        <v>11584.67</v>
      </c>
      <c r="O1808">
        <v>791</v>
      </c>
    </row>
    <row r="1809" spans="1:15" x14ac:dyDescent="0.2">
      <c r="A1809" s="6">
        <v>45838</v>
      </c>
      <c r="B1809" t="s">
        <v>15</v>
      </c>
      <c r="C1809" t="s">
        <v>16</v>
      </c>
      <c r="D1809" s="1">
        <v>45855</v>
      </c>
      <c r="E1809" t="s">
        <v>19</v>
      </c>
      <c r="F1809">
        <v>6600</v>
      </c>
      <c r="G1809">
        <v>991.7</v>
      </c>
      <c r="H1809">
        <v>997.5</v>
      </c>
      <c r="I1809">
        <v>991.7</v>
      </c>
      <c r="J1809">
        <v>996.7</v>
      </c>
      <c r="K1809">
        <v>996.3</v>
      </c>
      <c r="L1809">
        <v>15</v>
      </c>
      <c r="M1809" t="s">
        <v>278</v>
      </c>
      <c r="N1809">
        <v>113.95</v>
      </c>
      <c r="O1809">
        <v>166</v>
      </c>
    </row>
    <row r="1810" spans="1:15" x14ac:dyDescent="0.2">
      <c r="A1810" s="6">
        <v>45838</v>
      </c>
      <c r="B1810" t="s">
        <v>15</v>
      </c>
      <c r="C1810" t="s">
        <v>16</v>
      </c>
      <c r="D1810" s="1">
        <v>45855</v>
      </c>
      <c r="E1810" t="s">
        <v>19</v>
      </c>
      <c r="F1810">
        <v>7650</v>
      </c>
      <c r="J1810">
        <v>2063.3000000000002</v>
      </c>
      <c r="K1810">
        <v>2042.8</v>
      </c>
      <c r="L1810">
        <v>0</v>
      </c>
      <c r="M1810" t="s">
        <v>18</v>
      </c>
      <c r="N1810">
        <v>0</v>
      </c>
      <c r="O1810">
        <v>0</v>
      </c>
    </row>
    <row r="1811" spans="1:15" x14ac:dyDescent="0.2">
      <c r="A1811" s="6">
        <v>45838</v>
      </c>
      <c r="B1811" t="s">
        <v>15</v>
      </c>
      <c r="C1811" t="s">
        <v>16</v>
      </c>
      <c r="D1811" s="1">
        <v>45855</v>
      </c>
      <c r="E1811" t="s">
        <v>19</v>
      </c>
      <c r="F1811">
        <v>7050</v>
      </c>
      <c r="J1811">
        <v>1466.7</v>
      </c>
      <c r="K1811">
        <v>1448.8</v>
      </c>
      <c r="L1811">
        <v>0</v>
      </c>
      <c r="M1811" t="s">
        <v>18</v>
      </c>
      <c r="N1811">
        <v>0</v>
      </c>
      <c r="O1811">
        <v>0</v>
      </c>
    </row>
    <row r="1812" spans="1:15" x14ac:dyDescent="0.2">
      <c r="A1812" s="6">
        <v>45838</v>
      </c>
      <c r="B1812" t="s">
        <v>15</v>
      </c>
      <c r="C1812" t="s">
        <v>16</v>
      </c>
      <c r="D1812" s="1">
        <v>45855</v>
      </c>
      <c r="E1812" t="s">
        <v>19</v>
      </c>
      <c r="F1812">
        <v>4350</v>
      </c>
      <c r="J1812">
        <v>0.9</v>
      </c>
      <c r="K1812">
        <v>2</v>
      </c>
      <c r="L1812">
        <v>0</v>
      </c>
      <c r="M1812" t="s">
        <v>18</v>
      </c>
      <c r="N1812">
        <v>0</v>
      </c>
      <c r="O1812">
        <v>0</v>
      </c>
    </row>
    <row r="1813" spans="1:15" x14ac:dyDescent="0.2">
      <c r="A1813" s="6">
        <v>45838</v>
      </c>
      <c r="B1813" t="s">
        <v>15</v>
      </c>
      <c r="C1813" t="s">
        <v>16</v>
      </c>
      <c r="D1813" s="1">
        <v>45855</v>
      </c>
      <c r="E1813" t="s">
        <v>17</v>
      </c>
      <c r="F1813">
        <v>5850</v>
      </c>
      <c r="G1813">
        <v>89.1</v>
      </c>
      <c r="H1813">
        <v>102.3</v>
      </c>
      <c r="I1813">
        <v>68.2</v>
      </c>
      <c r="J1813">
        <v>73</v>
      </c>
      <c r="K1813">
        <v>94.9</v>
      </c>
      <c r="L1813">
        <v>17495</v>
      </c>
      <c r="M1813" t="s">
        <v>861</v>
      </c>
      <c r="N1813">
        <v>103819.62</v>
      </c>
      <c r="O1813">
        <v>1530</v>
      </c>
    </row>
    <row r="1814" spans="1:15" x14ac:dyDescent="0.2">
      <c r="A1814" s="6">
        <v>45838</v>
      </c>
      <c r="B1814" t="s">
        <v>15</v>
      </c>
      <c r="C1814" t="s">
        <v>16</v>
      </c>
      <c r="D1814" s="1">
        <v>45855</v>
      </c>
      <c r="E1814" t="s">
        <v>19</v>
      </c>
      <c r="F1814">
        <v>6300</v>
      </c>
      <c r="G1814">
        <v>739.7</v>
      </c>
      <c r="H1814">
        <v>768.4</v>
      </c>
      <c r="I1814">
        <v>695.9</v>
      </c>
      <c r="J1814">
        <v>757.3</v>
      </c>
      <c r="K1814">
        <v>743.7</v>
      </c>
      <c r="L1814">
        <v>117</v>
      </c>
      <c r="M1814" t="s">
        <v>603</v>
      </c>
      <c r="N1814">
        <v>823.62</v>
      </c>
      <c r="O1814">
        <v>604</v>
      </c>
    </row>
    <row r="1815" spans="1:15" x14ac:dyDescent="0.2">
      <c r="A1815" s="6">
        <v>45838</v>
      </c>
      <c r="B1815" t="s">
        <v>15</v>
      </c>
      <c r="C1815" t="s">
        <v>16</v>
      </c>
      <c r="D1815" s="1">
        <v>45855</v>
      </c>
      <c r="E1815" t="s">
        <v>19</v>
      </c>
      <c r="F1815">
        <v>6500</v>
      </c>
      <c r="G1815">
        <v>924.6</v>
      </c>
      <c r="H1815">
        <v>935.6</v>
      </c>
      <c r="I1815">
        <v>924.6</v>
      </c>
      <c r="J1815">
        <v>930.1</v>
      </c>
      <c r="K1815">
        <v>909.5</v>
      </c>
      <c r="L1815">
        <v>2</v>
      </c>
      <c r="M1815" t="s">
        <v>28</v>
      </c>
      <c r="N1815">
        <v>14.86</v>
      </c>
      <c r="O1815">
        <v>741</v>
      </c>
    </row>
    <row r="1816" spans="1:15" x14ac:dyDescent="0.2">
      <c r="A1816" s="6">
        <v>45838</v>
      </c>
      <c r="B1816" t="s">
        <v>15</v>
      </c>
      <c r="C1816" t="s">
        <v>16</v>
      </c>
      <c r="D1816" s="1">
        <v>45855</v>
      </c>
      <c r="E1816" t="s">
        <v>19</v>
      </c>
      <c r="F1816">
        <v>5850</v>
      </c>
      <c r="G1816">
        <v>347.9</v>
      </c>
      <c r="H1816">
        <v>357.6</v>
      </c>
      <c r="I1816">
        <v>310.2</v>
      </c>
      <c r="J1816">
        <v>341.3</v>
      </c>
      <c r="K1816">
        <v>343.4</v>
      </c>
      <c r="L1816">
        <v>452</v>
      </c>
      <c r="M1816" t="s">
        <v>862</v>
      </c>
      <c r="N1816">
        <v>2795.26</v>
      </c>
      <c r="O1816">
        <v>118</v>
      </c>
    </row>
    <row r="1817" spans="1:15" x14ac:dyDescent="0.2">
      <c r="A1817" s="6">
        <v>45838</v>
      </c>
      <c r="B1817" t="s">
        <v>15</v>
      </c>
      <c r="C1817" t="s">
        <v>16</v>
      </c>
      <c r="D1817" s="1">
        <v>45855</v>
      </c>
      <c r="E1817" t="s">
        <v>17</v>
      </c>
      <c r="F1817">
        <v>5400</v>
      </c>
      <c r="G1817">
        <v>287.5</v>
      </c>
      <c r="H1817">
        <v>328.8</v>
      </c>
      <c r="I1817">
        <v>259.39999999999998</v>
      </c>
      <c r="J1817">
        <v>272.39999999999998</v>
      </c>
      <c r="K1817">
        <v>300.60000000000002</v>
      </c>
      <c r="L1817">
        <v>7355</v>
      </c>
      <c r="M1817" t="s">
        <v>863</v>
      </c>
      <c r="N1817">
        <v>41834.47</v>
      </c>
      <c r="O1817">
        <v>971</v>
      </c>
    </row>
    <row r="1818" spans="1:15" x14ac:dyDescent="0.2">
      <c r="A1818" s="6">
        <v>45838</v>
      </c>
      <c r="B1818" t="s">
        <v>15</v>
      </c>
      <c r="C1818" t="s">
        <v>16</v>
      </c>
      <c r="D1818" s="1">
        <v>45855</v>
      </c>
      <c r="E1818" t="s">
        <v>17</v>
      </c>
      <c r="F1818">
        <v>3900</v>
      </c>
      <c r="J1818">
        <v>1676.3</v>
      </c>
      <c r="K1818">
        <v>1695.5</v>
      </c>
      <c r="L1818">
        <v>0</v>
      </c>
      <c r="M1818" t="s">
        <v>18</v>
      </c>
      <c r="N1818">
        <v>0</v>
      </c>
      <c r="O1818">
        <v>0</v>
      </c>
    </row>
    <row r="1819" spans="1:15" x14ac:dyDescent="0.2">
      <c r="A1819" s="6">
        <v>45838</v>
      </c>
      <c r="B1819" t="s">
        <v>15</v>
      </c>
      <c r="C1819" t="s">
        <v>16</v>
      </c>
      <c r="D1819" s="1">
        <v>45855</v>
      </c>
      <c r="E1819" t="s">
        <v>19</v>
      </c>
      <c r="F1819">
        <v>3950</v>
      </c>
      <c r="J1819">
        <v>0.1</v>
      </c>
      <c r="K1819">
        <v>0.1</v>
      </c>
      <c r="L1819">
        <v>0</v>
      </c>
      <c r="M1819" t="s">
        <v>18</v>
      </c>
      <c r="N1819">
        <v>0</v>
      </c>
      <c r="O1819">
        <v>0</v>
      </c>
    </row>
    <row r="1820" spans="1:15" x14ac:dyDescent="0.2">
      <c r="A1820" s="6">
        <v>45838</v>
      </c>
      <c r="B1820" t="s">
        <v>15</v>
      </c>
      <c r="C1820" t="s">
        <v>16</v>
      </c>
      <c r="D1820" s="1">
        <v>45855</v>
      </c>
      <c r="E1820" t="s">
        <v>19</v>
      </c>
      <c r="F1820">
        <v>4800</v>
      </c>
      <c r="G1820">
        <v>17.600000000000001</v>
      </c>
      <c r="H1820">
        <v>21.7</v>
      </c>
      <c r="I1820">
        <v>15</v>
      </c>
      <c r="J1820">
        <v>16.7</v>
      </c>
      <c r="K1820">
        <v>19.399999999999999</v>
      </c>
      <c r="L1820">
        <v>979</v>
      </c>
      <c r="M1820" t="s">
        <v>574</v>
      </c>
      <c r="N1820">
        <v>4717.12</v>
      </c>
      <c r="O1820">
        <v>609</v>
      </c>
    </row>
    <row r="1821" spans="1:15" x14ac:dyDescent="0.2">
      <c r="A1821" s="6">
        <v>45838</v>
      </c>
      <c r="B1821" t="s">
        <v>15</v>
      </c>
      <c r="C1821" t="s">
        <v>16</v>
      </c>
      <c r="D1821" s="1">
        <v>45855</v>
      </c>
      <c r="E1821" t="s">
        <v>19</v>
      </c>
      <c r="F1821">
        <v>4300</v>
      </c>
      <c r="J1821">
        <v>0.6</v>
      </c>
      <c r="K1821">
        <v>1.4</v>
      </c>
      <c r="L1821">
        <v>0</v>
      </c>
      <c r="M1821" t="s">
        <v>18</v>
      </c>
      <c r="N1821">
        <v>0</v>
      </c>
      <c r="O1821">
        <v>0</v>
      </c>
    </row>
    <row r="1822" spans="1:15" x14ac:dyDescent="0.2">
      <c r="A1822" s="6">
        <v>45838</v>
      </c>
      <c r="B1822" t="s">
        <v>15</v>
      </c>
      <c r="C1822" t="s">
        <v>16</v>
      </c>
      <c r="D1822" s="1">
        <v>45855</v>
      </c>
      <c r="E1822" t="s">
        <v>19</v>
      </c>
      <c r="F1822">
        <v>3850</v>
      </c>
      <c r="J1822">
        <v>0.1</v>
      </c>
      <c r="K1822">
        <v>0.1</v>
      </c>
      <c r="L1822">
        <v>0</v>
      </c>
      <c r="M1822" t="s">
        <v>18</v>
      </c>
      <c r="N1822">
        <v>0</v>
      </c>
      <c r="O1822">
        <v>0</v>
      </c>
    </row>
    <row r="1823" spans="1:15" x14ac:dyDescent="0.2">
      <c r="A1823" s="6">
        <v>45838</v>
      </c>
      <c r="B1823" t="s">
        <v>15</v>
      </c>
      <c r="C1823" t="s">
        <v>16</v>
      </c>
      <c r="D1823" s="1">
        <v>45855</v>
      </c>
      <c r="E1823" t="s">
        <v>17</v>
      </c>
      <c r="F1823">
        <v>7600</v>
      </c>
      <c r="G1823">
        <v>12.1</v>
      </c>
      <c r="H1823">
        <v>12.1</v>
      </c>
      <c r="I1823">
        <v>9</v>
      </c>
      <c r="J1823">
        <v>9.8000000000000007</v>
      </c>
      <c r="K1823">
        <v>13</v>
      </c>
      <c r="L1823">
        <v>399</v>
      </c>
      <c r="M1823" t="s">
        <v>864</v>
      </c>
      <c r="N1823">
        <v>3036.71</v>
      </c>
      <c r="O1823">
        <v>1166</v>
      </c>
    </row>
    <row r="1824" spans="1:15" x14ac:dyDescent="0.2">
      <c r="A1824" s="6">
        <v>45838</v>
      </c>
      <c r="B1824" t="s">
        <v>15</v>
      </c>
      <c r="C1824" t="s">
        <v>16</v>
      </c>
      <c r="D1824" s="1">
        <v>45855</v>
      </c>
      <c r="E1824" t="s">
        <v>19</v>
      </c>
      <c r="F1824">
        <v>4750</v>
      </c>
      <c r="G1824">
        <v>18.7</v>
      </c>
      <c r="H1824">
        <v>19.100000000000001</v>
      </c>
      <c r="I1824">
        <v>14.2</v>
      </c>
      <c r="J1824">
        <v>17.2</v>
      </c>
      <c r="K1824">
        <v>21</v>
      </c>
      <c r="L1824">
        <v>12</v>
      </c>
      <c r="M1824" t="s">
        <v>180</v>
      </c>
      <c r="N1824">
        <v>57.21</v>
      </c>
      <c r="O1824">
        <v>10</v>
      </c>
    </row>
    <row r="1825" spans="1:15" x14ac:dyDescent="0.2">
      <c r="A1825" s="6">
        <v>45838</v>
      </c>
      <c r="B1825" t="s">
        <v>15</v>
      </c>
      <c r="C1825" t="s">
        <v>16</v>
      </c>
      <c r="D1825" s="1">
        <v>45855</v>
      </c>
      <c r="E1825" t="s">
        <v>19</v>
      </c>
      <c r="F1825">
        <v>6000</v>
      </c>
      <c r="G1825">
        <v>466.5</v>
      </c>
      <c r="H1825">
        <v>486</v>
      </c>
      <c r="I1825">
        <v>420.8</v>
      </c>
      <c r="J1825">
        <v>458.5</v>
      </c>
      <c r="K1825">
        <v>457.7</v>
      </c>
      <c r="L1825">
        <v>1274</v>
      </c>
      <c r="M1825" t="s">
        <v>865</v>
      </c>
      <c r="N1825">
        <v>8226.59</v>
      </c>
      <c r="O1825">
        <v>2421</v>
      </c>
    </row>
    <row r="1826" spans="1:15" x14ac:dyDescent="0.2">
      <c r="A1826" s="6">
        <v>45838</v>
      </c>
      <c r="B1826" t="s">
        <v>15</v>
      </c>
      <c r="C1826" t="s">
        <v>16</v>
      </c>
      <c r="D1826" s="1">
        <v>45855</v>
      </c>
      <c r="E1826" t="s">
        <v>19</v>
      </c>
      <c r="F1826">
        <v>7550</v>
      </c>
      <c r="J1826">
        <v>1963.7</v>
      </c>
      <c r="K1826">
        <v>1943.3</v>
      </c>
      <c r="L1826">
        <v>0</v>
      </c>
      <c r="M1826" t="s">
        <v>18</v>
      </c>
      <c r="N1826">
        <v>0</v>
      </c>
      <c r="O1826">
        <v>0</v>
      </c>
    </row>
    <row r="1827" spans="1:15" x14ac:dyDescent="0.2">
      <c r="A1827" s="6">
        <v>45838</v>
      </c>
      <c r="B1827" t="s">
        <v>15</v>
      </c>
      <c r="C1827" t="s">
        <v>16</v>
      </c>
      <c r="D1827" s="1">
        <v>45855</v>
      </c>
      <c r="E1827" t="s">
        <v>17</v>
      </c>
      <c r="F1827">
        <v>5550</v>
      </c>
      <c r="G1827">
        <v>211.7</v>
      </c>
      <c r="H1827">
        <v>232.5</v>
      </c>
      <c r="I1827">
        <v>170.8</v>
      </c>
      <c r="J1827">
        <v>185.9</v>
      </c>
      <c r="K1827">
        <v>211.2</v>
      </c>
      <c r="L1827">
        <v>27029</v>
      </c>
      <c r="M1827" t="s">
        <v>866</v>
      </c>
      <c r="N1827">
        <v>155369.10999999999</v>
      </c>
      <c r="O1827">
        <v>1392</v>
      </c>
    </row>
    <row r="1828" spans="1:15" x14ac:dyDescent="0.2">
      <c r="A1828" s="6">
        <v>45835</v>
      </c>
      <c r="B1828" t="s">
        <v>15</v>
      </c>
      <c r="C1828" t="s">
        <v>16</v>
      </c>
      <c r="D1828" s="1">
        <v>45855</v>
      </c>
      <c r="E1828" t="s">
        <v>17</v>
      </c>
      <c r="F1828">
        <v>5950</v>
      </c>
      <c r="G1828">
        <v>89.5</v>
      </c>
      <c r="H1828">
        <v>93.8</v>
      </c>
      <c r="I1828">
        <v>67.3</v>
      </c>
      <c r="J1828">
        <v>73.8</v>
      </c>
      <c r="K1828">
        <v>88.8</v>
      </c>
      <c r="L1828">
        <v>7534</v>
      </c>
      <c r="M1828" t="s">
        <v>867</v>
      </c>
      <c r="N1828">
        <v>45440.19</v>
      </c>
      <c r="O1828">
        <v>950</v>
      </c>
    </row>
    <row r="1829" spans="1:15" x14ac:dyDescent="0.2">
      <c r="A1829" s="6">
        <v>45835</v>
      </c>
      <c r="B1829" t="s">
        <v>15</v>
      </c>
      <c r="C1829" t="s">
        <v>16</v>
      </c>
      <c r="D1829" s="1">
        <v>45855</v>
      </c>
      <c r="E1829" t="s">
        <v>17</v>
      </c>
      <c r="F1829">
        <v>7450</v>
      </c>
      <c r="G1829">
        <v>18.5</v>
      </c>
      <c r="H1829">
        <v>18.5</v>
      </c>
      <c r="I1829">
        <v>15</v>
      </c>
      <c r="J1829">
        <v>15.4</v>
      </c>
      <c r="K1829">
        <v>18.600000000000001</v>
      </c>
      <c r="L1829">
        <v>37</v>
      </c>
      <c r="M1829" t="s">
        <v>32</v>
      </c>
      <c r="N1829">
        <v>276.27999999999997</v>
      </c>
      <c r="O1829">
        <v>241</v>
      </c>
    </row>
    <row r="1830" spans="1:15" x14ac:dyDescent="0.2">
      <c r="A1830" s="6">
        <v>45835</v>
      </c>
      <c r="B1830" t="s">
        <v>15</v>
      </c>
      <c r="C1830" t="s">
        <v>16</v>
      </c>
      <c r="D1830" s="1">
        <v>45855</v>
      </c>
      <c r="E1830" t="s">
        <v>19</v>
      </c>
      <c r="F1830">
        <v>6150</v>
      </c>
      <c r="G1830">
        <v>588</v>
      </c>
      <c r="H1830">
        <v>591</v>
      </c>
      <c r="I1830">
        <v>588</v>
      </c>
      <c r="J1830">
        <v>589.20000000000005</v>
      </c>
      <c r="K1830">
        <v>541.70000000000005</v>
      </c>
      <c r="L1830">
        <v>5</v>
      </c>
      <c r="M1830" t="s">
        <v>26</v>
      </c>
      <c r="N1830">
        <v>33.700000000000003</v>
      </c>
      <c r="O1830">
        <v>134</v>
      </c>
    </row>
    <row r="1831" spans="1:15" x14ac:dyDescent="0.2">
      <c r="A1831" s="6">
        <v>45835</v>
      </c>
      <c r="B1831" t="s">
        <v>15</v>
      </c>
      <c r="C1831" t="s">
        <v>16</v>
      </c>
      <c r="D1831" s="1">
        <v>45855</v>
      </c>
      <c r="E1831" t="s">
        <v>17</v>
      </c>
      <c r="F1831">
        <v>4350</v>
      </c>
      <c r="J1831">
        <v>1248.9000000000001</v>
      </c>
      <c r="K1831">
        <v>1273.3</v>
      </c>
      <c r="L1831">
        <v>0</v>
      </c>
      <c r="M1831" t="s">
        <v>18</v>
      </c>
      <c r="N1831">
        <v>0</v>
      </c>
      <c r="O1831">
        <v>0</v>
      </c>
    </row>
    <row r="1832" spans="1:15" x14ac:dyDescent="0.2">
      <c r="A1832" s="6">
        <v>45835</v>
      </c>
      <c r="B1832" t="s">
        <v>15</v>
      </c>
      <c r="C1832" t="s">
        <v>16</v>
      </c>
      <c r="D1832" s="1">
        <v>45855</v>
      </c>
      <c r="E1832" t="s">
        <v>17</v>
      </c>
      <c r="F1832">
        <v>3700</v>
      </c>
      <c r="J1832">
        <v>1894.8</v>
      </c>
      <c r="K1832">
        <v>1918.4</v>
      </c>
      <c r="L1832">
        <v>0</v>
      </c>
      <c r="M1832" t="s">
        <v>18</v>
      </c>
      <c r="N1832">
        <v>0</v>
      </c>
      <c r="O1832">
        <v>0</v>
      </c>
    </row>
    <row r="1833" spans="1:15" x14ac:dyDescent="0.2">
      <c r="A1833" s="6">
        <v>45835</v>
      </c>
      <c r="B1833" t="s">
        <v>15</v>
      </c>
      <c r="C1833" t="s">
        <v>16</v>
      </c>
      <c r="D1833" s="1">
        <v>45855</v>
      </c>
      <c r="E1833" t="s">
        <v>17</v>
      </c>
      <c r="F1833">
        <v>4500</v>
      </c>
      <c r="J1833">
        <v>1102.2</v>
      </c>
      <c r="K1833">
        <v>1127.2</v>
      </c>
      <c r="L1833">
        <v>0</v>
      </c>
      <c r="M1833" t="s">
        <v>18</v>
      </c>
      <c r="N1833">
        <v>0</v>
      </c>
      <c r="O1833">
        <v>0</v>
      </c>
    </row>
    <row r="1834" spans="1:15" x14ac:dyDescent="0.2">
      <c r="A1834" s="6">
        <v>45835</v>
      </c>
      <c r="B1834" t="s">
        <v>15</v>
      </c>
      <c r="C1834" t="s">
        <v>16</v>
      </c>
      <c r="D1834" s="1">
        <v>45855</v>
      </c>
      <c r="E1834" t="s">
        <v>17</v>
      </c>
      <c r="F1834">
        <v>5150</v>
      </c>
      <c r="G1834">
        <v>475</v>
      </c>
      <c r="H1834">
        <v>502.7</v>
      </c>
      <c r="I1834">
        <v>475</v>
      </c>
      <c r="J1834">
        <v>488.9</v>
      </c>
      <c r="K1834">
        <v>553.70000000000005</v>
      </c>
      <c r="L1834">
        <v>2</v>
      </c>
      <c r="M1834" t="s">
        <v>28</v>
      </c>
      <c r="N1834">
        <v>11.28</v>
      </c>
      <c r="O1834">
        <v>4</v>
      </c>
    </row>
    <row r="1835" spans="1:15" x14ac:dyDescent="0.2">
      <c r="A1835" s="6">
        <v>45835</v>
      </c>
      <c r="B1835" t="s">
        <v>15</v>
      </c>
      <c r="C1835" t="s">
        <v>16</v>
      </c>
      <c r="D1835" s="1">
        <v>45855</v>
      </c>
      <c r="E1835" t="s">
        <v>17</v>
      </c>
      <c r="F1835">
        <v>5000</v>
      </c>
      <c r="G1835">
        <v>660</v>
      </c>
      <c r="H1835">
        <v>683.1</v>
      </c>
      <c r="I1835">
        <v>599.70000000000005</v>
      </c>
      <c r="J1835">
        <v>628.29999999999995</v>
      </c>
      <c r="K1835">
        <v>697.1</v>
      </c>
      <c r="L1835">
        <v>30</v>
      </c>
      <c r="M1835" t="s">
        <v>399</v>
      </c>
      <c r="N1835">
        <v>169.55</v>
      </c>
      <c r="O1835">
        <v>32</v>
      </c>
    </row>
    <row r="1836" spans="1:15" x14ac:dyDescent="0.2">
      <c r="A1836" s="6">
        <v>45835</v>
      </c>
      <c r="B1836" t="s">
        <v>15</v>
      </c>
      <c r="C1836" t="s">
        <v>16</v>
      </c>
      <c r="D1836" s="1">
        <v>45855</v>
      </c>
      <c r="E1836" t="s">
        <v>17</v>
      </c>
      <c r="F1836">
        <v>4400</v>
      </c>
      <c r="J1836">
        <v>1199.8</v>
      </c>
      <c r="K1836">
        <v>1224.4000000000001</v>
      </c>
      <c r="L1836">
        <v>0</v>
      </c>
      <c r="M1836" t="s">
        <v>18</v>
      </c>
      <c r="N1836">
        <v>0</v>
      </c>
      <c r="O1836">
        <v>0</v>
      </c>
    </row>
    <row r="1837" spans="1:15" x14ac:dyDescent="0.2">
      <c r="A1837" s="6">
        <v>45835</v>
      </c>
      <c r="B1837" t="s">
        <v>15</v>
      </c>
      <c r="C1837" t="s">
        <v>16</v>
      </c>
      <c r="D1837" s="1">
        <v>45855</v>
      </c>
      <c r="E1837" t="s">
        <v>17</v>
      </c>
      <c r="F1837">
        <v>4100</v>
      </c>
      <c r="J1837">
        <v>1496.4</v>
      </c>
      <c r="K1837">
        <v>1520.3</v>
      </c>
      <c r="L1837">
        <v>0</v>
      </c>
      <c r="M1837" t="s">
        <v>18</v>
      </c>
      <c r="N1837">
        <v>0</v>
      </c>
      <c r="O1837">
        <v>0</v>
      </c>
    </row>
    <row r="1838" spans="1:15" x14ac:dyDescent="0.2">
      <c r="A1838" s="6">
        <v>45835</v>
      </c>
      <c r="B1838" t="s">
        <v>15</v>
      </c>
      <c r="C1838" t="s">
        <v>16</v>
      </c>
      <c r="D1838" s="1">
        <v>45855</v>
      </c>
      <c r="E1838" t="s">
        <v>19</v>
      </c>
      <c r="F1838">
        <v>3600</v>
      </c>
      <c r="J1838">
        <v>0.1</v>
      </c>
      <c r="K1838">
        <v>0.1</v>
      </c>
      <c r="L1838">
        <v>0</v>
      </c>
      <c r="M1838" t="s">
        <v>18</v>
      </c>
      <c r="N1838">
        <v>0</v>
      </c>
      <c r="O1838">
        <v>0</v>
      </c>
    </row>
    <row r="1839" spans="1:15" x14ac:dyDescent="0.2">
      <c r="A1839" s="6">
        <v>45835</v>
      </c>
      <c r="B1839" t="s">
        <v>15</v>
      </c>
      <c r="C1839" t="s">
        <v>16</v>
      </c>
      <c r="D1839" s="1">
        <v>45855</v>
      </c>
      <c r="E1839" t="s">
        <v>19</v>
      </c>
      <c r="F1839">
        <v>6950</v>
      </c>
      <c r="J1839">
        <v>1351</v>
      </c>
      <c r="K1839">
        <v>1340</v>
      </c>
      <c r="L1839">
        <v>0</v>
      </c>
      <c r="M1839" t="s">
        <v>18</v>
      </c>
      <c r="N1839">
        <v>0</v>
      </c>
      <c r="O1839">
        <v>15</v>
      </c>
    </row>
    <row r="1840" spans="1:15" x14ac:dyDescent="0.2">
      <c r="A1840" s="6">
        <v>45835</v>
      </c>
      <c r="B1840" t="s">
        <v>15</v>
      </c>
      <c r="C1840" t="s">
        <v>16</v>
      </c>
      <c r="D1840" s="1">
        <v>45855</v>
      </c>
      <c r="E1840" t="s">
        <v>19</v>
      </c>
      <c r="F1840">
        <v>4900</v>
      </c>
      <c r="G1840">
        <v>27.2</v>
      </c>
      <c r="H1840">
        <v>30.6</v>
      </c>
      <c r="I1840">
        <v>20.2</v>
      </c>
      <c r="J1840">
        <v>22.3</v>
      </c>
      <c r="K1840">
        <v>27.8</v>
      </c>
      <c r="L1840">
        <v>1506</v>
      </c>
      <c r="M1840" t="s">
        <v>868</v>
      </c>
      <c r="N1840">
        <v>7419.38</v>
      </c>
      <c r="O1840">
        <v>601</v>
      </c>
    </row>
    <row r="1841" spans="1:15" x14ac:dyDescent="0.2">
      <c r="A1841" s="6">
        <v>45835</v>
      </c>
      <c r="B1841" t="s">
        <v>15</v>
      </c>
      <c r="C1841" t="s">
        <v>16</v>
      </c>
      <c r="D1841" s="1">
        <v>45855</v>
      </c>
      <c r="E1841" t="s">
        <v>17</v>
      </c>
      <c r="F1841">
        <v>5200</v>
      </c>
      <c r="G1841">
        <v>473.3</v>
      </c>
      <c r="H1841">
        <v>499</v>
      </c>
      <c r="I1841">
        <v>419.7</v>
      </c>
      <c r="J1841">
        <v>450</v>
      </c>
      <c r="K1841">
        <v>480.6</v>
      </c>
      <c r="L1841">
        <v>169</v>
      </c>
      <c r="M1841" t="s">
        <v>869</v>
      </c>
      <c r="N1841">
        <v>955.46</v>
      </c>
      <c r="O1841">
        <v>81</v>
      </c>
    </row>
    <row r="1842" spans="1:15" x14ac:dyDescent="0.2">
      <c r="A1842" s="6">
        <v>45835</v>
      </c>
      <c r="B1842" t="s">
        <v>15</v>
      </c>
      <c r="C1842" t="s">
        <v>16</v>
      </c>
      <c r="D1842" s="1">
        <v>45855</v>
      </c>
      <c r="E1842" t="s">
        <v>17</v>
      </c>
      <c r="F1842">
        <v>4750</v>
      </c>
      <c r="J1842">
        <v>864.8</v>
      </c>
      <c r="K1842">
        <v>891.4</v>
      </c>
      <c r="L1842">
        <v>0</v>
      </c>
      <c r="M1842" t="s">
        <v>18</v>
      </c>
      <c r="N1842">
        <v>0</v>
      </c>
      <c r="O1842">
        <v>0</v>
      </c>
    </row>
    <row r="1843" spans="1:15" x14ac:dyDescent="0.2">
      <c r="A1843" s="6">
        <v>45835</v>
      </c>
      <c r="B1843" t="s">
        <v>15</v>
      </c>
      <c r="C1843" t="s">
        <v>16</v>
      </c>
      <c r="D1843" s="1">
        <v>45855</v>
      </c>
      <c r="E1843" t="s">
        <v>17</v>
      </c>
      <c r="F1843">
        <v>4450</v>
      </c>
      <c r="J1843">
        <v>1150.8</v>
      </c>
      <c r="K1843">
        <v>1175.7</v>
      </c>
      <c r="L1843">
        <v>0</v>
      </c>
      <c r="M1843" t="s">
        <v>18</v>
      </c>
      <c r="N1843">
        <v>0</v>
      </c>
      <c r="O1843">
        <v>0</v>
      </c>
    </row>
    <row r="1844" spans="1:15" x14ac:dyDescent="0.2">
      <c r="A1844" s="6">
        <v>45835</v>
      </c>
      <c r="B1844" t="s">
        <v>15</v>
      </c>
      <c r="C1844" t="s">
        <v>16</v>
      </c>
      <c r="D1844" s="1">
        <v>45855</v>
      </c>
      <c r="E1844" t="s">
        <v>17</v>
      </c>
      <c r="F1844">
        <v>7300</v>
      </c>
      <c r="G1844">
        <v>15.8</v>
      </c>
      <c r="H1844">
        <v>17.399999999999999</v>
      </c>
      <c r="I1844">
        <v>14.1</v>
      </c>
      <c r="J1844">
        <v>14.6</v>
      </c>
      <c r="K1844">
        <v>17.5</v>
      </c>
      <c r="L1844">
        <v>633</v>
      </c>
      <c r="M1844" t="s">
        <v>870</v>
      </c>
      <c r="N1844">
        <v>4630.92</v>
      </c>
      <c r="O1844">
        <v>1345</v>
      </c>
    </row>
    <row r="1845" spans="1:15" x14ac:dyDescent="0.2">
      <c r="A1845" s="6">
        <v>45835</v>
      </c>
      <c r="B1845" t="s">
        <v>15</v>
      </c>
      <c r="C1845" t="s">
        <v>16</v>
      </c>
      <c r="D1845" s="1">
        <v>45855</v>
      </c>
      <c r="E1845" t="s">
        <v>19</v>
      </c>
      <c r="F1845">
        <v>7200</v>
      </c>
      <c r="J1845">
        <v>1596.4</v>
      </c>
      <c r="K1845">
        <v>1574</v>
      </c>
      <c r="L1845">
        <v>0</v>
      </c>
      <c r="M1845" t="s">
        <v>18</v>
      </c>
      <c r="N1845">
        <v>0</v>
      </c>
      <c r="O1845">
        <v>0</v>
      </c>
    </row>
    <row r="1846" spans="1:15" x14ac:dyDescent="0.2">
      <c r="A1846" s="6">
        <v>45835</v>
      </c>
      <c r="B1846" t="s">
        <v>15</v>
      </c>
      <c r="C1846" t="s">
        <v>16</v>
      </c>
      <c r="D1846" s="1">
        <v>45855</v>
      </c>
      <c r="E1846" t="s">
        <v>19</v>
      </c>
      <c r="F1846">
        <v>5250</v>
      </c>
      <c r="G1846">
        <v>59.3</v>
      </c>
      <c r="H1846">
        <v>76.8</v>
      </c>
      <c r="I1846">
        <v>52.5</v>
      </c>
      <c r="J1846">
        <v>60.8</v>
      </c>
      <c r="K1846">
        <v>65.7</v>
      </c>
      <c r="L1846">
        <v>6781</v>
      </c>
      <c r="M1846" t="s">
        <v>871</v>
      </c>
      <c r="N1846">
        <v>36034.99</v>
      </c>
      <c r="O1846">
        <v>567</v>
      </c>
    </row>
    <row r="1847" spans="1:15" x14ac:dyDescent="0.2">
      <c r="A1847" s="6">
        <v>45835</v>
      </c>
      <c r="B1847" t="s">
        <v>15</v>
      </c>
      <c r="C1847" t="s">
        <v>16</v>
      </c>
      <c r="D1847" s="1">
        <v>45855</v>
      </c>
      <c r="E1847" t="s">
        <v>17</v>
      </c>
      <c r="F1847">
        <v>4950</v>
      </c>
      <c r="J1847">
        <v>686.6</v>
      </c>
      <c r="K1847">
        <v>714.5</v>
      </c>
      <c r="L1847">
        <v>0</v>
      </c>
      <c r="M1847" t="s">
        <v>18</v>
      </c>
      <c r="N1847">
        <v>0</v>
      </c>
      <c r="O1847">
        <v>0</v>
      </c>
    </row>
    <row r="1848" spans="1:15" x14ac:dyDescent="0.2">
      <c r="A1848" s="6">
        <v>45835</v>
      </c>
      <c r="B1848" t="s">
        <v>15</v>
      </c>
      <c r="C1848" t="s">
        <v>16</v>
      </c>
      <c r="D1848" s="1">
        <v>45855</v>
      </c>
      <c r="E1848" t="s">
        <v>17</v>
      </c>
      <c r="F1848">
        <v>5300</v>
      </c>
      <c r="G1848">
        <v>399</v>
      </c>
      <c r="H1848">
        <v>418</v>
      </c>
      <c r="I1848">
        <v>342.3</v>
      </c>
      <c r="J1848">
        <v>370.2</v>
      </c>
      <c r="K1848">
        <v>402.3</v>
      </c>
      <c r="L1848">
        <v>929</v>
      </c>
      <c r="M1848" t="s">
        <v>872</v>
      </c>
      <c r="N1848">
        <v>5272.32</v>
      </c>
      <c r="O1848">
        <v>169</v>
      </c>
    </row>
    <row r="1849" spans="1:15" x14ac:dyDescent="0.2">
      <c r="A1849" s="6">
        <v>45835</v>
      </c>
      <c r="B1849" t="s">
        <v>15</v>
      </c>
      <c r="C1849" t="s">
        <v>16</v>
      </c>
      <c r="D1849" s="1">
        <v>45855</v>
      </c>
      <c r="E1849" t="s">
        <v>17</v>
      </c>
      <c r="F1849">
        <v>5700</v>
      </c>
      <c r="G1849">
        <v>161.19999999999999</v>
      </c>
      <c r="H1849">
        <v>173.6</v>
      </c>
      <c r="I1849">
        <v>127.5</v>
      </c>
      <c r="J1849">
        <v>143.69999999999999</v>
      </c>
      <c r="K1849">
        <v>163.1</v>
      </c>
      <c r="L1849">
        <v>89453</v>
      </c>
      <c r="M1849" t="s">
        <v>873</v>
      </c>
      <c r="N1849">
        <v>523624.4</v>
      </c>
      <c r="O1849">
        <v>8096</v>
      </c>
    </row>
    <row r="1850" spans="1:15" x14ac:dyDescent="0.2">
      <c r="A1850" s="6">
        <v>45835</v>
      </c>
      <c r="B1850" t="s">
        <v>15</v>
      </c>
      <c r="C1850" t="s">
        <v>16</v>
      </c>
      <c r="D1850" s="1">
        <v>45855</v>
      </c>
      <c r="E1850" t="s">
        <v>19</v>
      </c>
      <c r="F1850">
        <v>4200</v>
      </c>
      <c r="J1850">
        <v>0.7</v>
      </c>
      <c r="K1850">
        <v>1.1000000000000001</v>
      </c>
      <c r="L1850">
        <v>0</v>
      </c>
      <c r="M1850" t="s">
        <v>18</v>
      </c>
      <c r="N1850">
        <v>0</v>
      </c>
      <c r="O1850">
        <v>0</v>
      </c>
    </row>
    <row r="1851" spans="1:15" x14ac:dyDescent="0.2">
      <c r="A1851" s="6">
        <v>45835</v>
      </c>
      <c r="B1851" t="s">
        <v>15</v>
      </c>
      <c r="C1851" t="s">
        <v>16</v>
      </c>
      <c r="D1851" s="1">
        <v>45855</v>
      </c>
      <c r="E1851" t="s">
        <v>17</v>
      </c>
      <c r="F1851">
        <v>4800</v>
      </c>
      <c r="J1851">
        <v>819</v>
      </c>
      <c r="K1851">
        <v>845.9</v>
      </c>
      <c r="L1851">
        <v>0</v>
      </c>
      <c r="M1851" t="s">
        <v>18</v>
      </c>
      <c r="N1851">
        <v>0</v>
      </c>
      <c r="O1851">
        <v>0</v>
      </c>
    </row>
    <row r="1852" spans="1:15" x14ac:dyDescent="0.2">
      <c r="A1852" s="6">
        <v>45835</v>
      </c>
      <c r="B1852" t="s">
        <v>15</v>
      </c>
      <c r="C1852" t="s">
        <v>16</v>
      </c>
      <c r="D1852" s="1">
        <v>45855</v>
      </c>
      <c r="E1852" t="s">
        <v>17</v>
      </c>
      <c r="F1852">
        <v>4900</v>
      </c>
      <c r="J1852">
        <v>729.9</v>
      </c>
      <c r="K1852">
        <v>711.3</v>
      </c>
      <c r="L1852">
        <v>0</v>
      </c>
      <c r="M1852" t="s">
        <v>18</v>
      </c>
      <c r="N1852">
        <v>0</v>
      </c>
      <c r="O1852">
        <v>0</v>
      </c>
    </row>
    <row r="1853" spans="1:15" x14ac:dyDescent="0.2">
      <c r="A1853" s="6">
        <v>45835</v>
      </c>
      <c r="B1853" t="s">
        <v>15</v>
      </c>
      <c r="C1853" t="s">
        <v>16</v>
      </c>
      <c r="D1853" s="1">
        <v>45855</v>
      </c>
      <c r="E1853" t="s">
        <v>19</v>
      </c>
      <c r="F1853">
        <v>5100</v>
      </c>
      <c r="G1853">
        <v>38.5</v>
      </c>
      <c r="H1853">
        <v>48</v>
      </c>
      <c r="I1853">
        <v>30</v>
      </c>
      <c r="J1853">
        <v>36.1</v>
      </c>
      <c r="K1853">
        <v>42.2</v>
      </c>
      <c r="L1853">
        <v>13760</v>
      </c>
      <c r="M1853" t="s">
        <v>874</v>
      </c>
      <c r="N1853">
        <v>70729.08</v>
      </c>
      <c r="O1853">
        <v>1958</v>
      </c>
    </row>
    <row r="1854" spans="1:15" x14ac:dyDescent="0.2">
      <c r="A1854" s="6">
        <v>45835</v>
      </c>
      <c r="B1854" t="s">
        <v>15</v>
      </c>
      <c r="C1854" t="s">
        <v>16</v>
      </c>
      <c r="D1854" s="1">
        <v>45855</v>
      </c>
      <c r="E1854" t="s">
        <v>17</v>
      </c>
      <c r="F1854">
        <v>4650</v>
      </c>
      <c r="J1854">
        <v>958.3</v>
      </c>
      <c r="K1854">
        <v>984.2</v>
      </c>
      <c r="L1854">
        <v>0</v>
      </c>
      <c r="M1854" t="s">
        <v>18</v>
      </c>
      <c r="N1854">
        <v>0</v>
      </c>
      <c r="O1854">
        <v>0</v>
      </c>
    </row>
    <row r="1855" spans="1:15" x14ac:dyDescent="0.2">
      <c r="A1855" s="6">
        <v>45835</v>
      </c>
      <c r="B1855" t="s">
        <v>15</v>
      </c>
      <c r="C1855" t="s">
        <v>16</v>
      </c>
      <c r="D1855" s="1">
        <v>45855</v>
      </c>
      <c r="E1855" t="s">
        <v>17</v>
      </c>
      <c r="F1855">
        <v>4200</v>
      </c>
      <c r="J1855">
        <v>1397.1</v>
      </c>
      <c r="K1855">
        <v>1421.2</v>
      </c>
      <c r="L1855">
        <v>0</v>
      </c>
      <c r="M1855" t="s">
        <v>18</v>
      </c>
      <c r="N1855">
        <v>0</v>
      </c>
      <c r="O1855">
        <v>0</v>
      </c>
    </row>
    <row r="1856" spans="1:15" x14ac:dyDescent="0.2">
      <c r="A1856" s="6">
        <v>45835</v>
      </c>
      <c r="B1856" t="s">
        <v>15</v>
      </c>
      <c r="C1856" t="s">
        <v>16</v>
      </c>
      <c r="D1856" s="1">
        <v>45855</v>
      </c>
      <c r="E1856" t="s">
        <v>17</v>
      </c>
      <c r="F1856">
        <v>5250</v>
      </c>
      <c r="G1856">
        <v>438.1</v>
      </c>
      <c r="H1856">
        <v>452.2</v>
      </c>
      <c r="I1856">
        <v>399.1</v>
      </c>
      <c r="J1856">
        <v>407.5</v>
      </c>
      <c r="K1856">
        <v>441</v>
      </c>
      <c r="L1856">
        <v>15</v>
      </c>
      <c r="M1856" t="s">
        <v>278</v>
      </c>
      <c r="N1856">
        <v>85.04</v>
      </c>
      <c r="O1856">
        <v>26</v>
      </c>
    </row>
    <row r="1857" spans="1:15" x14ac:dyDescent="0.2">
      <c r="A1857" s="6">
        <v>45835</v>
      </c>
      <c r="B1857" t="s">
        <v>15</v>
      </c>
      <c r="C1857" t="s">
        <v>16</v>
      </c>
      <c r="D1857" s="1">
        <v>45855</v>
      </c>
      <c r="E1857" t="s">
        <v>19</v>
      </c>
      <c r="F1857">
        <v>6050</v>
      </c>
      <c r="G1857">
        <v>498.9</v>
      </c>
      <c r="H1857">
        <v>550</v>
      </c>
      <c r="I1857">
        <v>487.6</v>
      </c>
      <c r="J1857">
        <v>515.6</v>
      </c>
      <c r="K1857">
        <v>487.7</v>
      </c>
      <c r="L1857">
        <v>12</v>
      </c>
      <c r="M1857" t="s">
        <v>180</v>
      </c>
      <c r="N1857">
        <v>78.790000000000006</v>
      </c>
      <c r="O1857">
        <v>123</v>
      </c>
    </row>
    <row r="1858" spans="1:15" x14ac:dyDescent="0.2">
      <c r="A1858" s="6">
        <v>45835</v>
      </c>
      <c r="B1858" t="s">
        <v>15</v>
      </c>
      <c r="C1858" t="s">
        <v>16</v>
      </c>
      <c r="D1858" s="1">
        <v>45855</v>
      </c>
      <c r="E1858" t="s">
        <v>19</v>
      </c>
      <c r="F1858">
        <v>6650</v>
      </c>
      <c r="J1858">
        <v>1062.5999999999999</v>
      </c>
      <c r="K1858">
        <v>1063.4000000000001</v>
      </c>
      <c r="L1858">
        <v>0</v>
      </c>
      <c r="M1858" t="s">
        <v>18</v>
      </c>
      <c r="N1858">
        <v>0</v>
      </c>
      <c r="O1858">
        <v>25</v>
      </c>
    </row>
    <row r="1859" spans="1:15" x14ac:dyDescent="0.2">
      <c r="A1859" s="6">
        <v>45835</v>
      </c>
      <c r="B1859" t="s">
        <v>15</v>
      </c>
      <c r="C1859" t="s">
        <v>16</v>
      </c>
      <c r="D1859" s="1">
        <v>45855</v>
      </c>
      <c r="E1859" t="s">
        <v>17</v>
      </c>
      <c r="F1859">
        <v>5100</v>
      </c>
      <c r="G1859">
        <v>570</v>
      </c>
      <c r="H1859">
        <v>570</v>
      </c>
      <c r="I1859">
        <v>513.5</v>
      </c>
      <c r="J1859">
        <v>523.70000000000005</v>
      </c>
      <c r="K1859">
        <v>549.20000000000005</v>
      </c>
      <c r="L1859">
        <v>15</v>
      </c>
      <c r="M1859" t="s">
        <v>278</v>
      </c>
      <c r="N1859">
        <v>84.49</v>
      </c>
      <c r="O1859">
        <v>10</v>
      </c>
    </row>
    <row r="1860" spans="1:15" x14ac:dyDescent="0.2">
      <c r="A1860" s="6">
        <v>45835</v>
      </c>
      <c r="B1860" t="s">
        <v>15</v>
      </c>
      <c r="C1860" t="s">
        <v>16</v>
      </c>
      <c r="D1860" s="1">
        <v>45855</v>
      </c>
      <c r="E1860" t="s">
        <v>17</v>
      </c>
      <c r="F1860">
        <v>6900</v>
      </c>
      <c r="G1860">
        <v>22.3</v>
      </c>
      <c r="H1860">
        <v>23.9</v>
      </c>
      <c r="I1860">
        <v>18.899999999999999</v>
      </c>
      <c r="J1860">
        <v>20.100000000000001</v>
      </c>
      <c r="K1860">
        <v>25</v>
      </c>
      <c r="L1860">
        <v>617</v>
      </c>
      <c r="M1860" t="s">
        <v>875</v>
      </c>
      <c r="N1860">
        <v>4270.6000000000004</v>
      </c>
      <c r="O1860">
        <v>1412</v>
      </c>
    </row>
    <row r="1861" spans="1:15" x14ac:dyDescent="0.2">
      <c r="A1861" s="6">
        <v>45835</v>
      </c>
      <c r="B1861" t="s">
        <v>15</v>
      </c>
      <c r="C1861" t="s">
        <v>16</v>
      </c>
      <c r="D1861" s="1">
        <v>45855</v>
      </c>
      <c r="E1861" t="s">
        <v>17</v>
      </c>
      <c r="F1861">
        <v>7500</v>
      </c>
      <c r="G1861">
        <v>17</v>
      </c>
      <c r="H1861">
        <v>18.3</v>
      </c>
      <c r="I1861">
        <v>14.8</v>
      </c>
      <c r="J1861">
        <v>15.8</v>
      </c>
      <c r="K1861">
        <v>18.100000000000001</v>
      </c>
      <c r="L1861">
        <v>1145</v>
      </c>
      <c r="M1861" t="s">
        <v>876</v>
      </c>
      <c r="N1861">
        <v>8606.35</v>
      </c>
      <c r="O1861">
        <v>2568</v>
      </c>
    </row>
    <row r="1862" spans="1:15" x14ac:dyDescent="0.2">
      <c r="A1862" s="6">
        <v>45835</v>
      </c>
      <c r="B1862" t="s">
        <v>15</v>
      </c>
      <c r="C1862" t="s">
        <v>16</v>
      </c>
      <c r="D1862" s="1">
        <v>45855</v>
      </c>
      <c r="E1862" t="s">
        <v>19</v>
      </c>
      <c r="F1862">
        <v>7150</v>
      </c>
      <c r="J1862">
        <v>1547.1</v>
      </c>
      <c r="K1862">
        <v>1525</v>
      </c>
      <c r="L1862">
        <v>0</v>
      </c>
      <c r="M1862" t="s">
        <v>18</v>
      </c>
      <c r="N1862">
        <v>0</v>
      </c>
      <c r="O1862">
        <v>0</v>
      </c>
    </row>
    <row r="1863" spans="1:15" x14ac:dyDescent="0.2">
      <c r="A1863" s="6">
        <v>45835</v>
      </c>
      <c r="B1863" t="s">
        <v>15</v>
      </c>
      <c r="C1863" t="s">
        <v>16</v>
      </c>
      <c r="D1863" s="1">
        <v>45855</v>
      </c>
      <c r="E1863" t="s">
        <v>19</v>
      </c>
      <c r="F1863">
        <v>4550</v>
      </c>
      <c r="G1863">
        <v>16</v>
      </c>
      <c r="H1863">
        <v>20.9</v>
      </c>
      <c r="I1863">
        <v>13.1</v>
      </c>
      <c r="J1863">
        <v>16</v>
      </c>
      <c r="K1863">
        <v>15.8</v>
      </c>
      <c r="L1863">
        <v>29</v>
      </c>
      <c r="M1863" t="s">
        <v>297</v>
      </c>
      <c r="N1863">
        <v>132.41999999999999</v>
      </c>
      <c r="O1863">
        <v>12</v>
      </c>
    </row>
    <row r="1864" spans="1:15" x14ac:dyDescent="0.2">
      <c r="A1864" s="6">
        <v>45835</v>
      </c>
      <c r="B1864" t="s">
        <v>15</v>
      </c>
      <c r="C1864" t="s">
        <v>16</v>
      </c>
      <c r="D1864" s="1">
        <v>45855</v>
      </c>
      <c r="E1864" t="s">
        <v>19</v>
      </c>
      <c r="F1864">
        <v>5700</v>
      </c>
      <c r="G1864">
        <v>235</v>
      </c>
      <c r="H1864">
        <v>276.89999999999998</v>
      </c>
      <c r="I1864">
        <v>210.5</v>
      </c>
      <c r="J1864">
        <v>242.4</v>
      </c>
      <c r="K1864">
        <v>236.3</v>
      </c>
      <c r="L1864">
        <v>40644</v>
      </c>
      <c r="M1864" t="s">
        <v>877</v>
      </c>
      <c r="N1864">
        <v>241368.99</v>
      </c>
      <c r="O1864">
        <v>2823</v>
      </c>
    </row>
    <row r="1865" spans="1:15" x14ac:dyDescent="0.2">
      <c r="A1865" s="6">
        <v>45835</v>
      </c>
      <c r="B1865" t="s">
        <v>15</v>
      </c>
      <c r="C1865" t="s">
        <v>16</v>
      </c>
      <c r="D1865" s="1">
        <v>45855</v>
      </c>
      <c r="E1865" t="s">
        <v>17</v>
      </c>
      <c r="F1865">
        <v>6700</v>
      </c>
      <c r="G1865">
        <v>23.1</v>
      </c>
      <c r="H1865">
        <v>29</v>
      </c>
      <c r="I1865">
        <v>22.5</v>
      </c>
      <c r="J1865">
        <v>23.3</v>
      </c>
      <c r="K1865">
        <v>28.9</v>
      </c>
      <c r="L1865">
        <v>1087</v>
      </c>
      <c r="M1865" t="s">
        <v>878</v>
      </c>
      <c r="N1865">
        <v>7310.47</v>
      </c>
      <c r="O1865">
        <v>2058</v>
      </c>
    </row>
    <row r="1866" spans="1:15" x14ac:dyDescent="0.2">
      <c r="A1866" s="6">
        <v>45835</v>
      </c>
      <c r="B1866" t="s">
        <v>15</v>
      </c>
      <c r="C1866" t="s">
        <v>16</v>
      </c>
      <c r="D1866" s="1">
        <v>45855</v>
      </c>
      <c r="E1866" t="s">
        <v>17</v>
      </c>
      <c r="F1866">
        <v>6800</v>
      </c>
      <c r="G1866">
        <v>26.1</v>
      </c>
      <c r="H1866">
        <v>26.6</v>
      </c>
      <c r="I1866">
        <v>21</v>
      </c>
      <c r="J1866">
        <v>22.7</v>
      </c>
      <c r="K1866">
        <v>27.4</v>
      </c>
      <c r="L1866">
        <v>1137</v>
      </c>
      <c r="M1866" t="s">
        <v>284</v>
      </c>
      <c r="N1866">
        <v>7759.53</v>
      </c>
      <c r="O1866">
        <v>1619</v>
      </c>
    </row>
    <row r="1867" spans="1:15" x14ac:dyDescent="0.2">
      <c r="A1867" s="6">
        <v>45835</v>
      </c>
      <c r="B1867" t="s">
        <v>15</v>
      </c>
      <c r="C1867" t="s">
        <v>16</v>
      </c>
      <c r="D1867" s="1">
        <v>45855</v>
      </c>
      <c r="E1867" t="s">
        <v>17</v>
      </c>
      <c r="F1867">
        <v>7350</v>
      </c>
      <c r="G1867">
        <v>14.1</v>
      </c>
      <c r="H1867">
        <v>23</v>
      </c>
      <c r="I1867">
        <v>12.8</v>
      </c>
      <c r="J1867">
        <v>18.100000000000001</v>
      </c>
      <c r="K1867">
        <v>15.7</v>
      </c>
      <c r="L1867">
        <v>159</v>
      </c>
      <c r="M1867" t="s">
        <v>879</v>
      </c>
      <c r="N1867">
        <v>1171.5899999999999</v>
      </c>
      <c r="O1867">
        <v>290</v>
      </c>
    </row>
    <row r="1868" spans="1:15" x14ac:dyDescent="0.2">
      <c r="A1868" s="6">
        <v>45835</v>
      </c>
      <c r="B1868" t="s">
        <v>15</v>
      </c>
      <c r="C1868" t="s">
        <v>16</v>
      </c>
      <c r="D1868" s="1">
        <v>45855</v>
      </c>
      <c r="E1868" t="s">
        <v>17</v>
      </c>
      <c r="F1868">
        <v>6850</v>
      </c>
      <c r="G1868">
        <v>27.3</v>
      </c>
      <c r="H1868">
        <v>27.3</v>
      </c>
      <c r="I1868">
        <v>19.399999999999999</v>
      </c>
      <c r="J1868">
        <v>21</v>
      </c>
      <c r="K1868">
        <v>24.7</v>
      </c>
      <c r="L1868">
        <v>364</v>
      </c>
      <c r="M1868" t="s">
        <v>880</v>
      </c>
      <c r="N1868">
        <v>2501.4499999999998</v>
      </c>
      <c r="O1868">
        <v>397</v>
      </c>
    </row>
    <row r="1869" spans="1:15" x14ac:dyDescent="0.2">
      <c r="A1869" s="6">
        <v>45835</v>
      </c>
      <c r="B1869" t="s">
        <v>15</v>
      </c>
      <c r="C1869" t="s">
        <v>16</v>
      </c>
      <c r="D1869" s="1">
        <v>45855</v>
      </c>
      <c r="E1869" t="s">
        <v>19</v>
      </c>
      <c r="F1869">
        <v>4700</v>
      </c>
      <c r="G1869">
        <v>18.899999999999999</v>
      </c>
      <c r="H1869">
        <v>20.7</v>
      </c>
      <c r="I1869">
        <v>14.2</v>
      </c>
      <c r="J1869">
        <v>15.5</v>
      </c>
      <c r="K1869">
        <v>19.399999999999999</v>
      </c>
      <c r="L1869">
        <v>677</v>
      </c>
      <c r="M1869" t="s">
        <v>101</v>
      </c>
      <c r="N1869">
        <v>3194.64</v>
      </c>
      <c r="O1869">
        <v>304</v>
      </c>
    </row>
    <row r="1870" spans="1:15" x14ac:dyDescent="0.2">
      <c r="A1870" s="6">
        <v>45835</v>
      </c>
      <c r="B1870" t="s">
        <v>15</v>
      </c>
      <c r="C1870" t="s">
        <v>16</v>
      </c>
      <c r="D1870" s="1">
        <v>45855</v>
      </c>
      <c r="E1870" t="s">
        <v>19</v>
      </c>
      <c r="F1870">
        <v>3750</v>
      </c>
      <c r="J1870">
        <v>0.1</v>
      </c>
      <c r="K1870">
        <v>0.1</v>
      </c>
      <c r="L1870">
        <v>0</v>
      </c>
      <c r="M1870" t="s">
        <v>18</v>
      </c>
      <c r="N1870">
        <v>0</v>
      </c>
      <c r="O1870">
        <v>0</v>
      </c>
    </row>
    <row r="1871" spans="1:15" x14ac:dyDescent="0.2">
      <c r="A1871" s="6">
        <v>45835</v>
      </c>
      <c r="B1871" t="s">
        <v>15</v>
      </c>
      <c r="C1871" t="s">
        <v>16</v>
      </c>
      <c r="D1871" s="1">
        <v>45855</v>
      </c>
      <c r="E1871" t="s">
        <v>19</v>
      </c>
      <c r="F1871">
        <v>5450</v>
      </c>
      <c r="G1871">
        <v>121.9</v>
      </c>
      <c r="H1871">
        <v>142.1</v>
      </c>
      <c r="I1871">
        <v>101.3</v>
      </c>
      <c r="J1871">
        <v>116.5</v>
      </c>
      <c r="K1871">
        <v>117.8</v>
      </c>
      <c r="L1871">
        <v>18595</v>
      </c>
      <c r="M1871" t="s">
        <v>881</v>
      </c>
      <c r="N1871">
        <v>103583.64</v>
      </c>
      <c r="O1871">
        <v>586</v>
      </c>
    </row>
    <row r="1872" spans="1:15" x14ac:dyDescent="0.2">
      <c r="A1872" s="6">
        <v>45835</v>
      </c>
      <c r="B1872" t="s">
        <v>15</v>
      </c>
      <c r="C1872" t="s">
        <v>16</v>
      </c>
      <c r="D1872" s="1">
        <v>45855</v>
      </c>
      <c r="E1872" t="s">
        <v>19</v>
      </c>
      <c r="F1872">
        <v>6750</v>
      </c>
      <c r="G1872">
        <v>1148.8</v>
      </c>
      <c r="H1872">
        <v>1148.8</v>
      </c>
      <c r="I1872">
        <v>1148.8</v>
      </c>
      <c r="J1872">
        <v>1148.8</v>
      </c>
      <c r="K1872">
        <v>1118.0999999999999</v>
      </c>
      <c r="L1872">
        <v>1</v>
      </c>
      <c r="M1872" t="s">
        <v>155</v>
      </c>
      <c r="N1872">
        <v>7.9</v>
      </c>
      <c r="O1872">
        <v>31</v>
      </c>
    </row>
    <row r="1873" spans="1:15" x14ac:dyDescent="0.2">
      <c r="A1873" s="6">
        <v>45835</v>
      </c>
      <c r="B1873" t="s">
        <v>15</v>
      </c>
      <c r="C1873" t="s">
        <v>16</v>
      </c>
      <c r="D1873" s="1">
        <v>45855</v>
      </c>
      <c r="E1873" t="s">
        <v>17</v>
      </c>
      <c r="F1873">
        <v>6550</v>
      </c>
      <c r="G1873">
        <v>31.3</v>
      </c>
      <c r="H1873">
        <v>33.299999999999997</v>
      </c>
      <c r="I1873">
        <v>25.5</v>
      </c>
      <c r="J1873">
        <v>27.1</v>
      </c>
      <c r="K1873">
        <v>32.9</v>
      </c>
      <c r="L1873">
        <v>451</v>
      </c>
      <c r="M1873" t="s">
        <v>212</v>
      </c>
      <c r="N1873">
        <v>2967.2</v>
      </c>
      <c r="O1873">
        <v>1156</v>
      </c>
    </row>
    <row r="1874" spans="1:15" x14ac:dyDescent="0.2">
      <c r="A1874" s="6">
        <v>45835</v>
      </c>
      <c r="B1874" t="s">
        <v>15</v>
      </c>
      <c r="C1874" t="s">
        <v>16</v>
      </c>
      <c r="D1874" s="1">
        <v>45855</v>
      </c>
      <c r="E1874" t="s">
        <v>17</v>
      </c>
      <c r="F1874">
        <v>7150</v>
      </c>
      <c r="G1874">
        <v>20.100000000000001</v>
      </c>
      <c r="H1874">
        <v>30.2</v>
      </c>
      <c r="I1874">
        <v>10</v>
      </c>
      <c r="J1874">
        <v>17.399999999999999</v>
      </c>
      <c r="K1874">
        <v>21.1</v>
      </c>
      <c r="L1874">
        <v>39</v>
      </c>
      <c r="M1874" t="s">
        <v>141</v>
      </c>
      <c r="N1874">
        <v>279.61</v>
      </c>
      <c r="O1874">
        <v>131</v>
      </c>
    </row>
    <row r="1875" spans="1:15" x14ac:dyDescent="0.2">
      <c r="A1875" s="6">
        <v>45835</v>
      </c>
      <c r="B1875" t="s">
        <v>15</v>
      </c>
      <c r="C1875" t="s">
        <v>16</v>
      </c>
      <c r="D1875" s="1">
        <v>45855</v>
      </c>
      <c r="E1875" t="s">
        <v>17</v>
      </c>
      <c r="F1875">
        <v>6650</v>
      </c>
      <c r="G1875">
        <v>25.1</v>
      </c>
      <c r="H1875">
        <v>29.9</v>
      </c>
      <c r="I1875">
        <v>24.5</v>
      </c>
      <c r="J1875">
        <v>25.4</v>
      </c>
      <c r="K1875">
        <v>30.2</v>
      </c>
      <c r="L1875">
        <v>286</v>
      </c>
      <c r="M1875" t="s">
        <v>882</v>
      </c>
      <c r="N1875">
        <v>1909.68</v>
      </c>
      <c r="O1875">
        <v>557</v>
      </c>
    </row>
    <row r="1876" spans="1:15" x14ac:dyDescent="0.2">
      <c r="A1876" s="6">
        <v>45835</v>
      </c>
      <c r="B1876" t="s">
        <v>15</v>
      </c>
      <c r="C1876" t="s">
        <v>16</v>
      </c>
      <c r="D1876" s="1">
        <v>45855</v>
      </c>
      <c r="E1876" t="s">
        <v>19</v>
      </c>
      <c r="F1876">
        <v>3700</v>
      </c>
      <c r="G1876">
        <v>4.8</v>
      </c>
      <c r="H1876">
        <v>4.8</v>
      </c>
      <c r="I1876">
        <v>4.8</v>
      </c>
      <c r="J1876">
        <v>4.8</v>
      </c>
      <c r="K1876">
        <v>2.9</v>
      </c>
      <c r="L1876">
        <v>1</v>
      </c>
      <c r="M1876" t="s">
        <v>155</v>
      </c>
      <c r="N1876">
        <v>3.7</v>
      </c>
      <c r="O1876">
        <v>1</v>
      </c>
    </row>
    <row r="1877" spans="1:15" x14ac:dyDescent="0.2">
      <c r="A1877" s="6">
        <v>45835</v>
      </c>
      <c r="B1877" t="s">
        <v>15</v>
      </c>
      <c r="C1877" t="s">
        <v>16</v>
      </c>
      <c r="D1877" s="1">
        <v>45855</v>
      </c>
      <c r="E1877" t="s">
        <v>17</v>
      </c>
      <c r="F1877">
        <v>5600</v>
      </c>
      <c r="G1877">
        <v>216.5</v>
      </c>
      <c r="H1877">
        <v>222.1</v>
      </c>
      <c r="I1877">
        <v>166.2</v>
      </c>
      <c r="J1877">
        <v>186.3</v>
      </c>
      <c r="K1877">
        <v>209.3</v>
      </c>
      <c r="L1877">
        <v>140184</v>
      </c>
      <c r="M1877" t="s">
        <v>883</v>
      </c>
      <c r="N1877">
        <v>812954.42</v>
      </c>
      <c r="O1877">
        <v>7423</v>
      </c>
    </row>
    <row r="1878" spans="1:15" x14ac:dyDescent="0.2">
      <c r="A1878" s="6">
        <v>45835</v>
      </c>
      <c r="B1878" t="s">
        <v>15</v>
      </c>
      <c r="C1878" t="s">
        <v>16</v>
      </c>
      <c r="D1878" s="1">
        <v>45855</v>
      </c>
      <c r="E1878" t="s">
        <v>17</v>
      </c>
      <c r="F1878">
        <v>6050</v>
      </c>
      <c r="G1878">
        <v>64</v>
      </c>
      <c r="H1878">
        <v>75.599999999999994</v>
      </c>
      <c r="I1878">
        <v>53.5</v>
      </c>
      <c r="J1878">
        <v>58.2</v>
      </c>
      <c r="K1878">
        <v>72.5</v>
      </c>
      <c r="L1878">
        <v>3408</v>
      </c>
      <c r="M1878" t="s">
        <v>884</v>
      </c>
      <c r="N1878">
        <v>20838.04</v>
      </c>
      <c r="O1878">
        <v>803</v>
      </c>
    </row>
    <row r="1879" spans="1:15" x14ac:dyDescent="0.2">
      <c r="A1879" s="6">
        <v>45835</v>
      </c>
      <c r="B1879" t="s">
        <v>15</v>
      </c>
      <c r="C1879" t="s">
        <v>16</v>
      </c>
      <c r="D1879" s="1">
        <v>45855</v>
      </c>
      <c r="E1879" t="s">
        <v>19</v>
      </c>
      <c r="F1879">
        <v>5300</v>
      </c>
      <c r="G1879">
        <v>72.099999999999994</v>
      </c>
      <c r="H1879">
        <v>89.1</v>
      </c>
      <c r="I1879">
        <v>61.7</v>
      </c>
      <c r="J1879">
        <v>71.099999999999994</v>
      </c>
      <c r="K1879">
        <v>74.7</v>
      </c>
      <c r="L1879">
        <v>32997</v>
      </c>
      <c r="M1879" t="s">
        <v>885</v>
      </c>
      <c r="N1879">
        <v>177343.1</v>
      </c>
      <c r="O1879">
        <v>1844</v>
      </c>
    </row>
    <row r="1880" spans="1:15" x14ac:dyDescent="0.2">
      <c r="A1880" s="6">
        <v>45835</v>
      </c>
      <c r="B1880" t="s">
        <v>15</v>
      </c>
      <c r="C1880" t="s">
        <v>16</v>
      </c>
      <c r="D1880" s="1">
        <v>45855</v>
      </c>
      <c r="E1880" t="s">
        <v>19</v>
      </c>
      <c r="F1880">
        <v>6400</v>
      </c>
      <c r="G1880">
        <v>815</v>
      </c>
      <c r="H1880">
        <v>859.9</v>
      </c>
      <c r="I1880">
        <v>785.2</v>
      </c>
      <c r="J1880">
        <v>843.2</v>
      </c>
      <c r="K1880">
        <v>811.8</v>
      </c>
      <c r="L1880">
        <v>96</v>
      </c>
      <c r="M1880" t="s">
        <v>707</v>
      </c>
      <c r="N1880">
        <v>692.71</v>
      </c>
      <c r="O1880">
        <v>755</v>
      </c>
    </row>
    <row r="1881" spans="1:15" x14ac:dyDescent="0.2">
      <c r="A1881" s="6">
        <v>45835</v>
      </c>
      <c r="B1881" t="s">
        <v>15</v>
      </c>
      <c r="C1881" t="s">
        <v>16</v>
      </c>
      <c r="D1881" s="1">
        <v>45855</v>
      </c>
      <c r="E1881" t="s">
        <v>19</v>
      </c>
      <c r="F1881">
        <v>4450</v>
      </c>
      <c r="J1881">
        <v>3.6</v>
      </c>
      <c r="K1881">
        <v>15.6</v>
      </c>
      <c r="L1881">
        <v>0</v>
      </c>
      <c r="M1881" t="s">
        <v>18</v>
      </c>
      <c r="N1881">
        <v>0</v>
      </c>
      <c r="O1881">
        <v>0</v>
      </c>
    </row>
    <row r="1882" spans="1:15" x14ac:dyDescent="0.2">
      <c r="A1882" s="6">
        <v>45835</v>
      </c>
      <c r="B1882" t="s">
        <v>15</v>
      </c>
      <c r="C1882" t="s">
        <v>16</v>
      </c>
      <c r="D1882" s="1">
        <v>45855</v>
      </c>
      <c r="E1882" t="s">
        <v>19</v>
      </c>
      <c r="F1882">
        <v>5400</v>
      </c>
      <c r="G1882">
        <v>98</v>
      </c>
      <c r="H1882">
        <v>121.3</v>
      </c>
      <c r="I1882">
        <v>85.3</v>
      </c>
      <c r="J1882">
        <v>99.6</v>
      </c>
      <c r="K1882">
        <v>100.8</v>
      </c>
      <c r="L1882">
        <v>56187</v>
      </c>
      <c r="M1882" t="s">
        <v>886</v>
      </c>
      <c r="N1882">
        <v>309195.93</v>
      </c>
      <c r="O1882">
        <v>2799</v>
      </c>
    </row>
    <row r="1883" spans="1:15" x14ac:dyDescent="0.2">
      <c r="A1883" s="6">
        <v>45835</v>
      </c>
      <c r="B1883" t="s">
        <v>15</v>
      </c>
      <c r="C1883" t="s">
        <v>16</v>
      </c>
      <c r="D1883" s="1">
        <v>45855</v>
      </c>
      <c r="E1883" t="s">
        <v>17</v>
      </c>
      <c r="F1883">
        <v>3750</v>
      </c>
      <c r="J1883">
        <v>1845</v>
      </c>
      <c r="K1883">
        <v>1868.6</v>
      </c>
      <c r="L1883">
        <v>0</v>
      </c>
      <c r="M1883" t="s">
        <v>18</v>
      </c>
      <c r="N1883">
        <v>0</v>
      </c>
      <c r="O1883">
        <v>0</v>
      </c>
    </row>
    <row r="1884" spans="1:15" x14ac:dyDescent="0.2">
      <c r="A1884" s="6">
        <v>45835</v>
      </c>
      <c r="B1884" t="s">
        <v>15</v>
      </c>
      <c r="C1884" t="s">
        <v>16</v>
      </c>
      <c r="D1884" s="1">
        <v>45855</v>
      </c>
      <c r="E1884" t="s">
        <v>19</v>
      </c>
      <c r="F1884">
        <v>7700</v>
      </c>
      <c r="J1884">
        <v>2092.5</v>
      </c>
      <c r="K1884">
        <v>2068.6999999999998</v>
      </c>
      <c r="L1884">
        <v>0</v>
      </c>
      <c r="M1884" t="s">
        <v>18</v>
      </c>
      <c r="N1884">
        <v>0</v>
      </c>
      <c r="O1884">
        <v>0</v>
      </c>
    </row>
    <row r="1885" spans="1:15" x14ac:dyDescent="0.2">
      <c r="A1885" s="6">
        <v>45835</v>
      </c>
      <c r="B1885" t="s">
        <v>15</v>
      </c>
      <c r="C1885" t="s">
        <v>16</v>
      </c>
      <c r="D1885" s="1">
        <v>45855</v>
      </c>
      <c r="E1885" t="s">
        <v>17</v>
      </c>
      <c r="F1885">
        <v>7650</v>
      </c>
      <c r="G1885">
        <v>14.4</v>
      </c>
      <c r="H1885">
        <v>17.399999999999999</v>
      </c>
      <c r="I1885">
        <v>11</v>
      </c>
      <c r="J1885">
        <v>13.6</v>
      </c>
      <c r="K1885">
        <v>16</v>
      </c>
      <c r="L1885">
        <v>69</v>
      </c>
      <c r="M1885" t="s">
        <v>887</v>
      </c>
      <c r="N1885">
        <v>528.83000000000004</v>
      </c>
      <c r="O1885">
        <v>217</v>
      </c>
    </row>
    <row r="1886" spans="1:15" x14ac:dyDescent="0.2">
      <c r="A1886" s="6">
        <v>45835</v>
      </c>
      <c r="B1886" t="s">
        <v>15</v>
      </c>
      <c r="C1886" t="s">
        <v>16</v>
      </c>
      <c r="D1886" s="1">
        <v>45855</v>
      </c>
      <c r="E1886" t="s">
        <v>19</v>
      </c>
      <c r="F1886">
        <v>4600</v>
      </c>
      <c r="G1886">
        <v>17.5</v>
      </c>
      <c r="H1886">
        <v>18.399999999999999</v>
      </c>
      <c r="I1886">
        <v>9</v>
      </c>
      <c r="J1886">
        <v>13.6</v>
      </c>
      <c r="K1886">
        <v>18.100000000000001</v>
      </c>
      <c r="L1886">
        <v>240</v>
      </c>
      <c r="M1886" t="s">
        <v>888</v>
      </c>
      <c r="N1886">
        <v>1108.08</v>
      </c>
      <c r="O1886">
        <v>30</v>
      </c>
    </row>
    <row r="1887" spans="1:15" x14ac:dyDescent="0.2">
      <c r="A1887" s="6">
        <v>45835</v>
      </c>
      <c r="B1887" t="s">
        <v>15</v>
      </c>
      <c r="C1887" t="s">
        <v>16</v>
      </c>
      <c r="D1887" s="1">
        <v>45855</v>
      </c>
      <c r="E1887" t="s">
        <v>19</v>
      </c>
      <c r="F1887">
        <v>5900</v>
      </c>
      <c r="G1887">
        <v>375.1</v>
      </c>
      <c r="H1887">
        <v>418</v>
      </c>
      <c r="I1887">
        <v>340.9</v>
      </c>
      <c r="J1887">
        <v>379.1</v>
      </c>
      <c r="K1887">
        <v>371.5</v>
      </c>
      <c r="L1887">
        <v>1548</v>
      </c>
      <c r="M1887" t="s">
        <v>889</v>
      </c>
      <c r="N1887">
        <v>9713.5499999999993</v>
      </c>
      <c r="O1887">
        <v>548</v>
      </c>
    </row>
    <row r="1888" spans="1:15" x14ac:dyDescent="0.2">
      <c r="A1888" s="6">
        <v>45835</v>
      </c>
      <c r="B1888" t="s">
        <v>15</v>
      </c>
      <c r="C1888" t="s">
        <v>16</v>
      </c>
      <c r="D1888" s="1">
        <v>45855</v>
      </c>
      <c r="E1888" t="s">
        <v>19</v>
      </c>
      <c r="F1888">
        <v>5050</v>
      </c>
      <c r="G1888">
        <v>32.6</v>
      </c>
      <c r="H1888">
        <v>43.5</v>
      </c>
      <c r="I1888">
        <v>30.2</v>
      </c>
      <c r="J1888">
        <v>32.9</v>
      </c>
      <c r="K1888">
        <v>38.299999999999997</v>
      </c>
      <c r="L1888">
        <v>1320</v>
      </c>
      <c r="M1888" t="s">
        <v>890</v>
      </c>
      <c r="N1888">
        <v>6715.45</v>
      </c>
      <c r="O1888">
        <v>371</v>
      </c>
    </row>
    <row r="1889" spans="1:15" x14ac:dyDescent="0.2">
      <c r="A1889" s="6">
        <v>45835</v>
      </c>
      <c r="B1889" t="s">
        <v>15</v>
      </c>
      <c r="C1889" t="s">
        <v>16</v>
      </c>
      <c r="D1889" s="1">
        <v>45855</v>
      </c>
      <c r="E1889" t="s">
        <v>19</v>
      </c>
      <c r="F1889">
        <v>4250</v>
      </c>
      <c r="J1889">
        <v>1</v>
      </c>
      <c r="K1889">
        <v>1.5</v>
      </c>
      <c r="L1889">
        <v>0</v>
      </c>
      <c r="M1889" t="s">
        <v>18</v>
      </c>
      <c r="N1889">
        <v>0</v>
      </c>
      <c r="O1889">
        <v>0</v>
      </c>
    </row>
    <row r="1890" spans="1:15" x14ac:dyDescent="0.2">
      <c r="A1890" s="6">
        <v>45835</v>
      </c>
      <c r="B1890" t="s">
        <v>15</v>
      </c>
      <c r="C1890" t="s">
        <v>16</v>
      </c>
      <c r="D1890" s="1">
        <v>45855</v>
      </c>
      <c r="E1890" t="s">
        <v>19</v>
      </c>
      <c r="F1890">
        <v>4950</v>
      </c>
      <c r="G1890">
        <v>30.1</v>
      </c>
      <c r="H1890">
        <v>34.700000000000003</v>
      </c>
      <c r="I1890">
        <v>23.2</v>
      </c>
      <c r="J1890">
        <v>26.1</v>
      </c>
      <c r="K1890">
        <v>30.9</v>
      </c>
      <c r="L1890">
        <v>894</v>
      </c>
      <c r="M1890" t="s">
        <v>891</v>
      </c>
      <c r="N1890">
        <v>4452.26</v>
      </c>
      <c r="O1890">
        <v>215</v>
      </c>
    </row>
    <row r="1891" spans="1:15" x14ac:dyDescent="0.2">
      <c r="A1891" s="6">
        <v>45835</v>
      </c>
      <c r="B1891" t="s">
        <v>15</v>
      </c>
      <c r="C1891" t="s">
        <v>16</v>
      </c>
      <c r="D1891" s="1">
        <v>45855</v>
      </c>
      <c r="E1891" t="s">
        <v>17</v>
      </c>
      <c r="F1891">
        <v>6750</v>
      </c>
      <c r="G1891">
        <v>27.1</v>
      </c>
      <c r="H1891">
        <v>27.1</v>
      </c>
      <c r="I1891">
        <v>20.2</v>
      </c>
      <c r="J1891">
        <v>21.2</v>
      </c>
      <c r="K1891">
        <v>27.7</v>
      </c>
      <c r="L1891">
        <v>193</v>
      </c>
      <c r="M1891" t="s">
        <v>892</v>
      </c>
      <c r="N1891">
        <v>1307.44</v>
      </c>
      <c r="O1891">
        <v>337</v>
      </c>
    </row>
    <row r="1892" spans="1:15" x14ac:dyDescent="0.2">
      <c r="A1892" s="6">
        <v>45835</v>
      </c>
      <c r="B1892" t="s">
        <v>15</v>
      </c>
      <c r="C1892" t="s">
        <v>16</v>
      </c>
      <c r="D1892" s="1">
        <v>45855</v>
      </c>
      <c r="E1892" t="s">
        <v>17</v>
      </c>
      <c r="F1892">
        <v>5750</v>
      </c>
      <c r="G1892">
        <v>149.80000000000001</v>
      </c>
      <c r="H1892">
        <v>153.1</v>
      </c>
      <c r="I1892">
        <v>113.2</v>
      </c>
      <c r="J1892">
        <v>125.1</v>
      </c>
      <c r="K1892">
        <v>145.6</v>
      </c>
      <c r="L1892">
        <v>21660</v>
      </c>
      <c r="M1892" t="s">
        <v>893</v>
      </c>
      <c r="N1892">
        <v>127466.13</v>
      </c>
      <c r="O1892">
        <v>1491</v>
      </c>
    </row>
    <row r="1893" spans="1:15" x14ac:dyDescent="0.2">
      <c r="A1893" s="6">
        <v>45835</v>
      </c>
      <c r="B1893" t="s">
        <v>15</v>
      </c>
      <c r="C1893" t="s">
        <v>16</v>
      </c>
      <c r="D1893" s="1">
        <v>45855</v>
      </c>
      <c r="E1893" t="s">
        <v>19</v>
      </c>
      <c r="F1893">
        <v>7600</v>
      </c>
      <c r="J1893">
        <v>1993</v>
      </c>
      <c r="K1893">
        <v>1969.4</v>
      </c>
      <c r="L1893">
        <v>0</v>
      </c>
      <c r="M1893" t="s">
        <v>18</v>
      </c>
      <c r="N1893">
        <v>0</v>
      </c>
      <c r="O1893">
        <v>0</v>
      </c>
    </row>
    <row r="1894" spans="1:15" x14ac:dyDescent="0.2">
      <c r="A1894" s="6">
        <v>45835</v>
      </c>
      <c r="B1894" t="s">
        <v>15</v>
      </c>
      <c r="C1894" t="s">
        <v>16</v>
      </c>
      <c r="D1894" s="1">
        <v>45855</v>
      </c>
      <c r="E1894" t="s">
        <v>17</v>
      </c>
      <c r="F1894">
        <v>7250</v>
      </c>
      <c r="G1894">
        <v>15.3</v>
      </c>
      <c r="H1894">
        <v>21</v>
      </c>
      <c r="I1894">
        <v>15.1</v>
      </c>
      <c r="J1894">
        <v>16.100000000000001</v>
      </c>
      <c r="K1894">
        <v>17</v>
      </c>
      <c r="L1894">
        <v>187</v>
      </c>
      <c r="M1894" t="s">
        <v>598</v>
      </c>
      <c r="N1894">
        <v>1359.2</v>
      </c>
      <c r="O1894">
        <v>138</v>
      </c>
    </row>
    <row r="1895" spans="1:15" x14ac:dyDescent="0.2">
      <c r="A1895" s="6">
        <v>45835</v>
      </c>
      <c r="B1895" t="s">
        <v>15</v>
      </c>
      <c r="C1895" t="s">
        <v>16</v>
      </c>
      <c r="D1895" s="1">
        <v>45855</v>
      </c>
      <c r="E1895" t="s">
        <v>17</v>
      </c>
      <c r="F1895">
        <v>6600</v>
      </c>
      <c r="G1895">
        <v>30</v>
      </c>
      <c r="H1895">
        <v>33.6</v>
      </c>
      <c r="I1895">
        <v>25.2</v>
      </c>
      <c r="J1895">
        <v>26.9</v>
      </c>
      <c r="K1895">
        <v>32.299999999999997</v>
      </c>
      <c r="L1895">
        <v>2835</v>
      </c>
      <c r="M1895" t="s">
        <v>894</v>
      </c>
      <c r="N1895">
        <v>18793.189999999999</v>
      </c>
      <c r="O1895">
        <v>3695</v>
      </c>
    </row>
    <row r="1896" spans="1:15" x14ac:dyDescent="0.2">
      <c r="A1896" s="6">
        <v>45835</v>
      </c>
      <c r="B1896" t="s">
        <v>15</v>
      </c>
      <c r="C1896" t="s">
        <v>16</v>
      </c>
      <c r="D1896" s="1">
        <v>45855</v>
      </c>
      <c r="E1896" t="s">
        <v>17</v>
      </c>
      <c r="F1896">
        <v>3850</v>
      </c>
      <c r="J1896">
        <v>1745.3</v>
      </c>
      <c r="K1896">
        <v>1769</v>
      </c>
      <c r="L1896">
        <v>0</v>
      </c>
      <c r="M1896" t="s">
        <v>18</v>
      </c>
      <c r="N1896">
        <v>0</v>
      </c>
      <c r="O1896">
        <v>0</v>
      </c>
    </row>
    <row r="1897" spans="1:15" x14ac:dyDescent="0.2">
      <c r="A1897" s="6">
        <v>45835</v>
      </c>
      <c r="B1897" t="s">
        <v>15</v>
      </c>
      <c r="C1897" t="s">
        <v>16</v>
      </c>
      <c r="D1897" s="1">
        <v>45855</v>
      </c>
      <c r="E1897" t="s">
        <v>19</v>
      </c>
      <c r="F1897">
        <v>3850</v>
      </c>
      <c r="J1897">
        <v>0.1</v>
      </c>
      <c r="K1897">
        <v>1.6</v>
      </c>
      <c r="L1897">
        <v>0</v>
      </c>
      <c r="M1897" t="s">
        <v>18</v>
      </c>
      <c r="N1897">
        <v>0</v>
      </c>
      <c r="O1897">
        <v>0</v>
      </c>
    </row>
    <row r="1898" spans="1:15" x14ac:dyDescent="0.2">
      <c r="A1898" s="6">
        <v>45835</v>
      </c>
      <c r="B1898" t="s">
        <v>15</v>
      </c>
      <c r="C1898" t="s">
        <v>16</v>
      </c>
      <c r="D1898" s="1">
        <v>45855</v>
      </c>
      <c r="E1898" t="s">
        <v>19</v>
      </c>
      <c r="F1898">
        <v>6800</v>
      </c>
      <c r="G1898">
        <v>1190.9000000000001</v>
      </c>
      <c r="H1898">
        <v>1191.5999999999999</v>
      </c>
      <c r="I1898">
        <v>1187</v>
      </c>
      <c r="J1898">
        <v>1188</v>
      </c>
      <c r="K1898">
        <v>1186.3</v>
      </c>
      <c r="L1898">
        <v>12</v>
      </c>
      <c r="M1898" t="s">
        <v>180</v>
      </c>
      <c r="N1898">
        <v>95.86</v>
      </c>
      <c r="O1898">
        <v>93</v>
      </c>
    </row>
    <row r="1899" spans="1:15" x14ac:dyDescent="0.2">
      <c r="A1899" s="6">
        <v>45835</v>
      </c>
      <c r="B1899" t="s">
        <v>15</v>
      </c>
      <c r="C1899" t="s">
        <v>16</v>
      </c>
      <c r="D1899" s="1">
        <v>45855</v>
      </c>
      <c r="E1899" t="s">
        <v>19</v>
      </c>
      <c r="F1899">
        <v>6200</v>
      </c>
      <c r="G1899">
        <v>623.6</v>
      </c>
      <c r="H1899">
        <v>675.6</v>
      </c>
      <c r="I1899">
        <v>589.5</v>
      </c>
      <c r="J1899">
        <v>659.3</v>
      </c>
      <c r="K1899">
        <v>622</v>
      </c>
      <c r="L1899">
        <v>39</v>
      </c>
      <c r="M1899" t="s">
        <v>141</v>
      </c>
      <c r="N1899">
        <v>266.23</v>
      </c>
      <c r="O1899">
        <v>754</v>
      </c>
    </row>
    <row r="1900" spans="1:15" x14ac:dyDescent="0.2">
      <c r="A1900" s="6">
        <v>45835</v>
      </c>
      <c r="B1900" t="s">
        <v>15</v>
      </c>
      <c r="C1900" t="s">
        <v>16</v>
      </c>
      <c r="D1900" s="1">
        <v>45855</v>
      </c>
      <c r="E1900" t="s">
        <v>17</v>
      </c>
      <c r="F1900">
        <v>6400</v>
      </c>
      <c r="G1900">
        <v>40.6</v>
      </c>
      <c r="H1900">
        <v>41.3</v>
      </c>
      <c r="I1900">
        <v>30.4</v>
      </c>
      <c r="J1900">
        <v>32.9</v>
      </c>
      <c r="K1900">
        <v>39.700000000000003</v>
      </c>
      <c r="L1900">
        <v>3124</v>
      </c>
      <c r="M1900" t="s">
        <v>512</v>
      </c>
      <c r="N1900">
        <v>20105.87</v>
      </c>
      <c r="O1900">
        <v>5301</v>
      </c>
    </row>
    <row r="1901" spans="1:15" x14ac:dyDescent="0.2">
      <c r="A1901" s="6">
        <v>45835</v>
      </c>
      <c r="B1901" t="s">
        <v>15</v>
      </c>
      <c r="C1901" t="s">
        <v>16</v>
      </c>
      <c r="D1901" s="1">
        <v>45855</v>
      </c>
      <c r="E1901" t="s">
        <v>17</v>
      </c>
      <c r="F1901">
        <v>5650</v>
      </c>
      <c r="G1901">
        <v>187.1</v>
      </c>
      <c r="H1901">
        <v>196.9</v>
      </c>
      <c r="I1901">
        <v>147.19999999999999</v>
      </c>
      <c r="J1901">
        <v>163.5</v>
      </c>
      <c r="K1901">
        <v>186.3</v>
      </c>
      <c r="L1901">
        <v>52941</v>
      </c>
      <c r="M1901" t="s">
        <v>895</v>
      </c>
      <c r="N1901">
        <v>308502.82</v>
      </c>
      <c r="O1901">
        <v>2663</v>
      </c>
    </row>
    <row r="1902" spans="1:15" x14ac:dyDescent="0.2">
      <c r="A1902" s="6">
        <v>45835</v>
      </c>
      <c r="B1902" t="s">
        <v>15</v>
      </c>
      <c r="C1902" t="s">
        <v>16</v>
      </c>
      <c r="D1902" s="1">
        <v>45855</v>
      </c>
      <c r="E1902" t="s">
        <v>17</v>
      </c>
      <c r="F1902">
        <v>6450</v>
      </c>
      <c r="G1902">
        <v>37.1</v>
      </c>
      <c r="H1902">
        <v>39.6</v>
      </c>
      <c r="I1902">
        <v>28.5</v>
      </c>
      <c r="J1902">
        <v>31.1</v>
      </c>
      <c r="K1902">
        <v>37.4</v>
      </c>
      <c r="L1902">
        <v>782</v>
      </c>
      <c r="M1902" t="s">
        <v>896</v>
      </c>
      <c r="N1902">
        <v>5070.9399999999996</v>
      </c>
      <c r="O1902">
        <v>1582</v>
      </c>
    </row>
    <row r="1903" spans="1:15" x14ac:dyDescent="0.2">
      <c r="A1903" s="6">
        <v>45835</v>
      </c>
      <c r="B1903" t="s">
        <v>15</v>
      </c>
      <c r="C1903" t="s">
        <v>16</v>
      </c>
      <c r="D1903" s="1">
        <v>45855</v>
      </c>
      <c r="E1903" t="s">
        <v>17</v>
      </c>
      <c r="F1903">
        <v>5500</v>
      </c>
      <c r="G1903">
        <v>267.10000000000002</v>
      </c>
      <c r="H1903">
        <v>279.89999999999998</v>
      </c>
      <c r="I1903">
        <v>216</v>
      </c>
      <c r="J1903">
        <v>238.4</v>
      </c>
      <c r="K1903">
        <v>263</v>
      </c>
      <c r="L1903">
        <v>37139</v>
      </c>
      <c r="M1903" t="s">
        <v>897</v>
      </c>
      <c r="N1903">
        <v>213484.13</v>
      </c>
      <c r="O1903">
        <v>2839</v>
      </c>
    </row>
    <row r="1904" spans="1:15" x14ac:dyDescent="0.2">
      <c r="A1904" s="6">
        <v>45835</v>
      </c>
      <c r="B1904" t="s">
        <v>15</v>
      </c>
      <c r="C1904" t="s">
        <v>16</v>
      </c>
      <c r="D1904" s="1">
        <v>45855</v>
      </c>
      <c r="E1904" t="s">
        <v>17</v>
      </c>
      <c r="F1904">
        <v>4550</v>
      </c>
      <c r="J1904">
        <v>1053.8</v>
      </c>
      <c r="K1904">
        <v>1079.0999999999999</v>
      </c>
      <c r="L1904">
        <v>0</v>
      </c>
      <c r="M1904" t="s">
        <v>18</v>
      </c>
      <c r="N1904">
        <v>0</v>
      </c>
      <c r="O1904">
        <v>0</v>
      </c>
    </row>
    <row r="1905" spans="1:15" x14ac:dyDescent="0.2">
      <c r="A1905" s="6">
        <v>45835</v>
      </c>
      <c r="B1905" t="s">
        <v>15</v>
      </c>
      <c r="C1905" t="s">
        <v>16</v>
      </c>
      <c r="D1905" s="1">
        <v>45855</v>
      </c>
      <c r="E1905" t="s">
        <v>17</v>
      </c>
      <c r="F1905">
        <v>4850</v>
      </c>
      <c r="J1905">
        <v>774</v>
      </c>
      <c r="K1905">
        <v>801.3</v>
      </c>
      <c r="L1905">
        <v>0</v>
      </c>
      <c r="M1905" t="s">
        <v>18</v>
      </c>
      <c r="N1905">
        <v>0</v>
      </c>
      <c r="O1905">
        <v>0</v>
      </c>
    </row>
    <row r="1906" spans="1:15" x14ac:dyDescent="0.2">
      <c r="A1906" s="6">
        <v>45835</v>
      </c>
      <c r="B1906" t="s">
        <v>15</v>
      </c>
      <c r="C1906" t="s">
        <v>16</v>
      </c>
      <c r="D1906" s="1">
        <v>45855</v>
      </c>
      <c r="E1906" t="s">
        <v>19</v>
      </c>
      <c r="F1906">
        <v>4100</v>
      </c>
      <c r="J1906">
        <v>0.4</v>
      </c>
      <c r="K1906">
        <v>0.5</v>
      </c>
      <c r="L1906">
        <v>0</v>
      </c>
      <c r="M1906" t="s">
        <v>18</v>
      </c>
      <c r="N1906">
        <v>0</v>
      </c>
      <c r="O1906">
        <v>0</v>
      </c>
    </row>
    <row r="1907" spans="1:15" x14ac:dyDescent="0.2">
      <c r="A1907" s="6">
        <v>45835</v>
      </c>
      <c r="B1907" t="s">
        <v>15</v>
      </c>
      <c r="C1907" t="s">
        <v>16</v>
      </c>
      <c r="D1907" s="1">
        <v>45855</v>
      </c>
      <c r="E1907" t="s">
        <v>17</v>
      </c>
      <c r="F1907">
        <v>6000</v>
      </c>
      <c r="G1907">
        <v>80.5</v>
      </c>
      <c r="H1907">
        <v>83.7</v>
      </c>
      <c r="I1907">
        <v>59.1</v>
      </c>
      <c r="J1907">
        <v>64.8</v>
      </c>
      <c r="K1907">
        <v>79.5</v>
      </c>
      <c r="L1907">
        <v>40437</v>
      </c>
      <c r="M1907" t="s">
        <v>898</v>
      </c>
      <c r="N1907">
        <v>245510.79</v>
      </c>
      <c r="O1907">
        <v>7774</v>
      </c>
    </row>
    <row r="1908" spans="1:15" x14ac:dyDescent="0.2">
      <c r="A1908" s="6">
        <v>45835</v>
      </c>
      <c r="B1908" t="s">
        <v>15</v>
      </c>
      <c r="C1908" t="s">
        <v>16</v>
      </c>
      <c r="D1908" s="1">
        <v>45855</v>
      </c>
      <c r="E1908" t="s">
        <v>17</v>
      </c>
      <c r="F1908">
        <v>6300</v>
      </c>
      <c r="G1908">
        <v>44.7</v>
      </c>
      <c r="H1908">
        <v>47.5</v>
      </c>
      <c r="I1908">
        <v>33.700000000000003</v>
      </c>
      <c r="J1908">
        <v>35.9</v>
      </c>
      <c r="K1908">
        <v>44.7</v>
      </c>
      <c r="L1908">
        <v>11016</v>
      </c>
      <c r="M1908" t="s">
        <v>899</v>
      </c>
      <c r="N1908">
        <v>69843.58</v>
      </c>
      <c r="O1908">
        <v>4902</v>
      </c>
    </row>
    <row r="1909" spans="1:15" x14ac:dyDescent="0.2">
      <c r="A1909" s="6">
        <v>45835</v>
      </c>
      <c r="B1909" t="s">
        <v>15</v>
      </c>
      <c r="C1909" t="s">
        <v>16</v>
      </c>
      <c r="D1909" s="1">
        <v>45855</v>
      </c>
      <c r="E1909" t="s">
        <v>19</v>
      </c>
      <c r="F1909">
        <v>4050</v>
      </c>
      <c r="J1909">
        <v>0.2</v>
      </c>
      <c r="K1909">
        <v>0.4</v>
      </c>
      <c r="L1909">
        <v>0</v>
      </c>
      <c r="M1909" t="s">
        <v>18</v>
      </c>
      <c r="N1909">
        <v>0</v>
      </c>
      <c r="O1909">
        <v>0</v>
      </c>
    </row>
    <row r="1910" spans="1:15" x14ac:dyDescent="0.2">
      <c r="A1910" s="6">
        <v>45835</v>
      </c>
      <c r="B1910" t="s">
        <v>15</v>
      </c>
      <c r="C1910" t="s">
        <v>16</v>
      </c>
      <c r="D1910" s="1">
        <v>45855</v>
      </c>
      <c r="E1910" t="s">
        <v>19</v>
      </c>
      <c r="F1910">
        <v>5950</v>
      </c>
      <c r="G1910">
        <v>413.7</v>
      </c>
      <c r="H1910">
        <v>448.7</v>
      </c>
      <c r="I1910">
        <v>391.8</v>
      </c>
      <c r="J1910">
        <v>434.1</v>
      </c>
      <c r="K1910">
        <v>411.5</v>
      </c>
      <c r="L1910">
        <v>28</v>
      </c>
      <c r="M1910" t="s">
        <v>900</v>
      </c>
      <c r="N1910">
        <v>178.6</v>
      </c>
      <c r="O1910">
        <v>91</v>
      </c>
    </row>
    <row r="1911" spans="1:15" x14ac:dyDescent="0.2">
      <c r="A1911" s="6">
        <v>45835</v>
      </c>
      <c r="B1911" t="s">
        <v>15</v>
      </c>
      <c r="C1911" t="s">
        <v>16</v>
      </c>
      <c r="D1911" s="1">
        <v>45855</v>
      </c>
      <c r="E1911" t="s">
        <v>19</v>
      </c>
      <c r="F1911">
        <v>5350</v>
      </c>
      <c r="G1911">
        <v>85.5</v>
      </c>
      <c r="H1911">
        <v>104.7</v>
      </c>
      <c r="I1911">
        <v>73.099999999999994</v>
      </c>
      <c r="J1911">
        <v>85.3</v>
      </c>
      <c r="K1911">
        <v>87.7</v>
      </c>
      <c r="L1911">
        <v>13008</v>
      </c>
      <c r="M1911" t="s">
        <v>901</v>
      </c>
      <c r="N1911">
        <v>70742.25</v>
      </c>
      <c r="O1911">
        <v>484</v>
      </c>
    </row>
    <row r="1912" spans="1:15" x14ac:dyDescent="0.2">
      <c r="A1912" s="6">
        <v>45835</v>
      </c>
      <c r="B1912" t="s">
        <v>15</v>
      </c>
      <c r="C1912" t="s">
        <v>16</v>
      </c>
      <c r="D1912" s="1">
        <v>45855</v>
      </c>
      <c r="E1912" t="s">
        <v>19</v>
      </c>
      <c r="F1912">
        <v>5000</v>
      </c>
      <c r="G1912">
        <v>31.9</v>
      </c>
      <c r="H1912">
        <v>36.700000000000003</v>
      </c>
      <c r="I1912">
        <v>23</v>
      </c>
      <c r="J1912">
        <v>26.7</v>
      </c>
      <c r="K1912">
        <v>33.5</v>
      </c>
      <c r="L1912">
        <v>19426</v>
      </c>
      <c r="M1912" t="s">
        <v>902</v>
      </c>
      <c r="N1912">
        <v>97740.96</v>
      </c>
      <c r="O1912">
        <v>3834</v>
      </c>
    </row>
    <row r="1913" spans="1:15" x14ac:dyDescent="0.2">
      <c r="A1913" s="6">
        <v>45835</v>
      </c>
      <c r="B1913" t="s">
        <v>15</v>
      </c>
      <c r="C1913" t="s">
        <v>16</v>
      </c>
      <c r="D1913" s="1">
        <v>45855</v>
      </c>
      <c r="E1913" t="s">
        <v>19</v>
      </c>
      <c r="F1913">
        <v>4400</v>
      </c>
      <c r="J1913">
        <v>2.7</v>
      </c>
      <c r="K1913">
        <v>3.6</v>
      </c>
      <c r="L1913">
        <v>0</v>
      </c>
      <c r="M1913" t="s">
        <v>18</v>
      </c>
      <c r="N1913">
        <v>0</v>
      </c>
      <c r="O1913">
        <v>0</v>
      </c>
    </row>
    <row r="1914" spans="1:15" x14ac:dyDescent="0.2">
      <c r="A1914" s="6">
        <v>45835</v>
      </c>
      <c r="B1914" t="s">
        <v>15</v>
      </c>
      <c r="C1914" t="s">
        <v>16</v>
      </c>
      <c r="D1914" s="1">
        <v>45855</v>
      </c>
      <c r="E1914" t="s">
        <v>19</v>
      </c>
      <c r="F1914">
        <v>4500</v>
      </c>
      <c r="G1914">
        <v>16.2</v>
      </c>
      <c r="H1914">
        <v>18.100000000000001</v>
      </c>
      <c r="I1914">
        <v>12.4</v>
      </c>
      <c r="J1914">
        <v>13.4</v>
      </c>
      <c r="K1914">
        <v>17.8</v>
      </c>
      <c r="L1914">
        <v>2366</v>
      </c>
      <c r="M1914" t="s">
        <v>903</v>
      </c>
      <c r="N1914">
        <v>10685.67</v>
      </c>
      <c r="O1914">
        <v>911</v>
      </c>
    </row>
    <row r="1915" spans="1:15" x14ac:dyDescent="0.2">
      <c r="A1915" s="6">
        <v>45835</v>
      </c>
      <c r="B1915" t="s">
        <v>15</v>
      </c>
      <c r="C1915" t="s">
        <v>16</v>
      </c>
      <c r="D1915" s="1">
        <v>45855</v>
      </c>
      <c r="E1915" t="s">
        <v>17</v>
      </c>
      <c r="F1915">
        <v>7050</v>
      </c>
      <c r="G1915">
        <v>23.7</v>
      </c>
      <c r="H1915">
        <v>24.8</v>
      </c>
      <c r="I1915">
        <v>16.5</v>
      </c>
      <c r="J1915">
        <v>20.3</v>
      </c>
      <c r="K1915">
        <v>22.6</v>
      </c>
      <c r="L1915">
        <v>52</v>
      </c>
      <c r="M1915" t="s">
        <v>904</v>
      </c>
      <c r="N1915">
        <v>367.7</v>
      </c>
      <c r="O1915">
        <v>161</v>
      </c>
    </row>
    <row r="1916" spans="1:15" x14ac:dyDescent="0.2">
      <c r="A1916" s="6">
        <v>45835</v>
      </c>
      <c r="B1916" t="s">
        <v>15</v>
      </c>
      <c r="C1916" t="s">
        <v>16</v>
      </c>
      <c r="D1916" s="1">
        <v>45855</v>
      </c>
      <c r="E1916" t="s">
        <v>19</v>
      </c>
      <c r="F1916">
        <v>7350</v>
      </c>
      <c r="J1916">
        <v>1744.8</v>
      </c>
      <c r="K1916">
        <v>1721.8</v>
      </c>
      <c r="L1916">
        <v>0</v>
      </c>
      <c r="M1916" t="s">
        <v>18</v>
      </c>
      <c r="N1916">
        <v>0</v>
      </c>
      <c r="O1916">
        <v>0</v>
      </c>
    </row>
    <row r="1917" spans="1:15" x14ac:dyDescent="0.2">
      <c r="A1917" s="6">
        <v>45835</v>
      </c>
      <c r="B1917" t="s">
        <v>15</v>
      </c>
      <c r="C1917" t="s">
        <v>16</v>
      </c>
      <c r="D1917" s="1">
        <v>45855</v>
      </c>
      <c r="E1917" t="s">
        <v>17</v>
      </c>
      <c r="F1917">
        <v>4000</v>
      </c>
      <c r="J1917">
        <v>1595.9</v>
      </c>
      <c r="K1917">
        <v>1619.7</v>
      </c>
      <c r="L1917">
        <v>0</v>
      </c>
      <c r="M1917" t="s">
        <v>18</v>
      </c>
      <c r="N1917">
        <v>0</v>
      </c>
      <c r="O1917">
        <v>0</v>
      </c>
    </row>
    <row r="1918" spans="1:15" x14ac:dyDescent="0.2">
      <c r="A1918" s="6">
        <v>45835</v>
      </c>
      <c r="B1918" t="s">
        <v>15</v>
      </c>
      <c r="C1918" t="s">
        <v>16</v>
      </c>
      <c r="D1918" s="1">
        <v>45855</v>
      </c>
      <c r="E1918" t="s">
        <v>17</v>
      </c>
      <c r="F1918">
        <v>4250</v>
      </c>
      <c r="J1918">
        <v>1347.6</v>
      </c>
      <c r="K1918">
        <v>1371.8</v>
      </c>
      <c r="L1918">
        <v>0</v>
      </c>
      <c r="M1918" t="s">
        <v>18</v>
      </c>
      <c r="N1918">
        <v>0</v>
      </c>
      <c r="O1918">
        <v>0</v>
      </c>
    </row>
    <row r="1919" spans="1:15" x14ac:dyDescent="0.2">
      <c r="A1919" s="6">
        <v>45835</v>
      </c>
      <c r="B1919" t="s">
        <v>15</v>
      </c>
      <c r="C1919" t="s">
        <v>16</v>
      </c>
      <c r="D1919" s="1">
        <v>45855</v>
      </c>
      <c r="E1919" t="s">
        <v>17</v>
      </c>
      <c r="F1919">
        <v>5800</v>
      </c>
      <c r="G1919">
        <v>121.4</v>
      </c>
      <c r="H1919">
        <v>134.80000000000001</v>
      </c>
      <c r="I1919">
        <v>97.6</v>
      </c>
      <c r="J1919">
        <v>108.8</v>
      </c>
      <c r="K1919">
        <v>127.7</v>
      </c>
      <c r="L1919">
        <v>51096</v>
      </c>
      <c r="M1919" t="s">
        <v>905</v>
      </c>
      <c r="N1919">
        <v>302343.96000000002</v>
      </c>
      <c r="O1919">
        <v>6868</v>
      </c>
    </row>
    <row r="1920" spans="1:15" x14ac:dyDescent="0.2">
      <c r="A1920" s="6">
        <v>45835</v>
      </c>
      <c r="B1920" t="s">
        <v>15</v>
      </c>
      <c r="C1920" t="s">
        <v>16</v>
      </c>
      <c r="D1920" s="1">
        <v>45855</v>
      </c>
      <c r="E1920" t="s">
        <v>17</v>
      </c>
      <c r="F1920">
        <v>5450</v>
      </c>
      <c r="G1920">
        <v>292.39999999999998</v>
      </c>
      <c r="H1920">
        <v>310.2</v>
      </c>
      <c r="I1920">
        <v>244.3</v>
      </c>
      <c r="J1920">
        <v>266.2</v>
      </c>
      <c r="K1920">
        <v>295.2</v>
      </c>
      <c r="L1920">
        <v>3741</v>
      </c>
      <c r="M1920" t="s">
        <v>906</v>
      </c>
      <c r="N1920">
        <v>21402.07</v>
      </c>
      <c r="O1920">
        <v>151</v>
      </c>
    </row>
    <row r="1921" spans="1:15" x14ac:dyDescent="0.2">
      <c r="A1921" s="6">
        <v>45835</v>
      </c>
      <c r="B1921" t="s">
        <v>15</v>
      </c>
      <c r="C1921" t="s">
        <v>16</v>
      </c>
      <c r="D1921" s="1">
        <v>45855</v>
      </c>
      <c r="E1921" t="s">
        <v>17</v>
      </c>
      <c r="F1921">
        <v>6350</v>
      </c>
      <c r="G1921">
        <v>40.6</v>
      </c>
      <c r="H1921">
        <v>44.3</v>
      </c>
      <c r="I1921">
        <v>32.4</v>
      </c>
      <c r="J1921">
        <v>34.700000000000003</v>
      </c>
      <c r="K1921">
        <v>42.7</v>
      </c>
      <c r="L1921">
        <v>1265</v>
      </c>
      <c r="M1921" t="s">
        <v>794</v>
      </c>
      <c r="N1921">
        <v>8081.07</v>
      </c>
      <c r="O1921">
        <v>1359</v>
      </c>
    </row>
    <row r="1922" spans="1:15" x14ac:dyDescent="0.2">
      <c r="A1922" s="6">
        <v>45835</v>
      </c>
      <c r="B1922" t="s">
        <v>15</v>
      </c>
      <c r="C1922" t="s">
        <v>16</v>
      </c>
      <c r="D1922" s="1">
        <v>45855</v>
      </c>
      <c r="E1922" t="s">
        <v>17</v>
      </c>
      <c r="F1922">
        <v>7000</v>
      </c>
      <c r="G1922">
        <v>24.8</v>
      </c>
      <c r="H1922">
        <v>24.8</v>
      </c>
      <c r="I1922">
        <v>19.399999999999999</v>
      </c>
      <c r="J1922">
        <v>20.2</v>
      </c>
      <c r="K1922">
        <v>23.3</v>
      </c>
      <c r="L1922">
        <v>2192</v>
      </c>
      <c r="M1922" t="s">
        <v>907</v>
      </c>
      <c r="N1922">
        <v>15391.16</v>
      </c>
      <c r="O1922">
        <v>5533</v>
      </c>
    </row>
    <row r="1923" spans="1:15" x14ac:dyDescent="0.2">
      <c r="A1923" s="6">
        <v>45835</v>
      </c>
      <c r="B1923" t="s">
        <v>15</v>
      </c>
      <c r="C1923" t="s">
        <v>16</v>
      </c>
      <c r="D1923" s="1">
        <v>45855</v>
      </c>
      <c r="E1923" t="s">
        <v>19</v>
      </c>
      <c r="F1923">
        <v>6550</v>
      </c>
      <c r="G1923">
        <v>932</v>
      </c>
      <c r="H1923">
        <v>932</v>
      </c>
      <c r="I1923">
        <v>932</v>
      </c>
      <c r="J1923">
        <v>932</v>
      </c>
      <c r="K1923">
        <v>953.1</v>
      </c>
      <c r="L1923">
        <v>2</v>
      </c>
      <c r="M1923" t="s">
        <v>28</v>
      </c>
      <c r="N1923">
        <v>14.96</v>
      </c>
      <c r="O1923">
        <v>60</v>
      </c>
    </row>
    <row r="1924" spans="1:15" x14ac:dyDescent="0.2">
      <c r="A1924" s="6">
        <v>45835</v>
      </c>
      <c r="B1924" t="s">
        <v>15</v>
      </c>
      <c r="C1924" t="s">
        <v>16</v>
      </c>
      <c r="D1924" s="1">
        <v>45855</v>
      </c>
      <c r="E1924" t="s">
        <v>19</v>
      </c>
      <c r="F1924">
        <v>4650</v>
      </c>
      <c r="G1924">
        <v>18.5</v>
      </c>
      <c r="H1924">
        <v>19.100000000000001</v>
      </c>
      <c r="I1924">
        <v>18.100000000000001</v>
      </c>
      <c r="J1924">
        <v>18.399999999999999</v>
      </c>
      <c r="K1924">
        <v>20.9</v>
      </c>
      <c r="L1924">
        <v>18</v>
      </c>
      <c r="M1924" t="s">
        <v>87</v>
      </c>
      <c r="N1924">
        <v>84.03</v>
      </c>
      <c r="O1924">
        <v>6</v>
      </c>
    </row>
    <row r="1925" spans="1:15" x14ac:dyDescent="0.2">
      <c r="A1925" s="6">
        <v>45835</v>
      </c>
      <c r="B1925" t="s">
        <v>15</v>
      </c>
      <c r="C1925" t="s">
        <v>16</v>
      </c>
      <c r="D1925" s="1">
        <v>45855</v>
      </c>
      <c r="E1925" t="s">
        <v>17</v>
      </c>
      <c r="F1925">
        <v>4150</v>
      </c>
      <c r="J1925">
        <v>1446.8</v>
      </c>
      <c r="K1925">
        <v>1470.7</v>
      </c>
      <c r="L1925">
        <v>0</v>
      </c>
      <c r="M1925" t="s">
        <v>18</v>
      </c>
      <c r="N1925">
        <v>0</v>
      </c>
      <c r="O1925">
        <v>0</v>
      </c>
    </row>
    <row r="1926" spans="1:15" x14ac:dyDescent="0.2">
      <c r="A1926" s="6">
        <v>45835</v>
      </c>
      <c r="B1926" t="s">
        <v>15</v>
      </c>
      <c r="C1926" t="s">
        <v>16</v>
      </c>
      <c r="D1926" s="1">
        <v>45855</v>
      </c>
      <c r="E1926" t="s">
        <v>17</v>
      </c>
      <c r="F1926">
        <v>4600</v>
      </c>
      <c r="J1926">
        <v>1005.9</v>
      </c>
      <c r="K1926">
        <v>1031.4000000000001</v>
      </c>
      <c r="L1926">
        <v>0</v>
      </c>
      <c r="M1926" t="s">
        <v>18</v>
      </c>
      <c r="N1926">
        <v>0</v>
      </c>
      <c r="O1926">
        <v>0</v>
      </c>
    </row>
    <row r="1927" spans="1:15" x14ac:dyDescent="0.2">
      <c r="A1927" s="6">
        <v>45835</v>
      </c>
      <c r="B1927" t="s">
        <v>15</v>
      </c>
      <c r="C1927" t="s">
        <v>16</v>
      </c>
      <c r="D1927" s="1">
        <v>45855</v>
      </c>
      <c r="E1927" t="s">
        <v>19</v>
      </c>
      <c r="F1927">
        <v>5150</v>
      </c>
      <c r="G1927">
        <v>46.6</v>
      </c>
      <c r="H1927">
        <v>56.5</v>
      </c>
      <c r="I1927">
        <v>22.3</v>
      </c>
      <c r="J1927">
        <v>44.1</v>
      </c>
      <c r="K1927">
        <v>49.7</v>
      </c>
      <c r="L1927">
        <v>3034</v>
      </c>
      <c r="M1927" t="s">
        <v>406</v>
      </c>
      <c r="N1927">
        <v>15772.57</v>
      </c>
      <c r="O1927">
        <v>386</v>
      </c>
    </row>
    <row r="1928" spans="1:15" x14ac:dyDescent="0.2">
      <c r="A1928" s="6">
        <v>45835</v>
      </c>
      <c r="B1928" t="s">
        <v>15</v>
      </c>
      <c r="C1928" t="s">
        <v>16</v>
      </c>
      <c r="D1928" s="1">
        <v>45855</v>
      </c>
      <c r="E1928" t="s">
        <v>19</v>
      </c>
      <c r="F1928">
        <v>6850</v>
      </c>
      <c r="J1928">
        <v>1253.9000000000001</v>
      </c>
      <c r="K1928">
        <v>1234</v>
      </c>
      <c r="L1928">
        <v>0</v>
      </c>
      <c r="M1928" t="s">
        <v>18</v>
      </c>
      <c r="N1928">
        <v>0</v>
      </c>
      <c r="O1928">
        <v>18</v>
      </c>
    </row>
    <row r="1929" spans="1:15" x14ac:dyDescent="0.2">
      <c r="A1929" s="6">
        <v>45835</v>
      </c>
      <c r="B1929" t="s">
        <v>15</v>
      </c>
      <c r="C1929" t="s">
        <v>16</v>
      </c>
      <c r="D1929" s="1">
        <v>45855</v>
      </c>
      <c r="E1929" t="s">
        <v>17</v>
      </c>
      <c r="F1929">
        <v>5050</v>
      </c>
      <c r="G1929">
        <v>608.6</v>
      </c>
      <c r="H1929">
        <v>618.20000000000005</v>
      </c>
      <c r="I1929">
        <v>608.6</v>
      </c>
      <c r="J1929">
        <v>613.4</v>
      </c>
      <c r="K1929">
        <v>631.79999999999995</v>
      </c>
      <c r="L1929">
        <v>2</v>
      </c>
      <c r="M1929" t="s">
        <v>28</v>
      </c>
      <c r="N1929">
        <v>11.33</v>
      </c>
      <c r="O1929">
        <v>0</v>
      </c>
    </row>
    <row r="1930" spans="1:15" x14ac:dyDescent="0.2">
      <c r="A1930" s="6">
        <v>45835</v>
      </c>
      <c r="B1930" t="s">
        <v>15</v>
      </c>
      <c r="C1930" t="s">
        <v>16</v>
      </c>
      <c r="D1930" s="1">
        <v>45855</v>
      </c>
      <c r="E1930" t="s">
        <v>19</v>
      </c>
      <c r="F1930">
        <v>7500</v>
      </c>
      <c r="J1930">
        <v>1893.6</v>
      </c>
      <c r="K1930">
        <v>1870.2</v>
      </c>
      <c r="L1930">
        <v>0</v>
      </c>
      <c r="M1930" t="s">
        <v>18</v>
      </c>
      <c r="N1930">
        <v>0</v>
      </c>
      <c r="O1930">
        <v>0</v>
      </c>
    </row>
    <row r="1931" spans="1:15" x14ac:dyDescent="0.2">
      <c r="A1931" s="6">
        <v>45835</v>
      </c>
      <c r="B1931" t="s">
        <v>15</v>
      </c>
      <c r="C1931" t="s">
        <v>16</v>
      </c>
      <c r="D1931" s="1">
        <v>45855</v>
      </c>
      <c r="E1931" t="s">
        <v>17</v>
      </c>
      <c r="F1931">
        <v>6250</v>
      </c>
      <c r="G1931">
        <v>50.6</v>
      </c>
      <c r="H1931">
        <v>52.2</v>
      </c>
      <c r="I1931">
        <v>37.799999999999997</v>
      </c>
      <c r="J1931">
        <v>40.5</v>
      </c>
      <c r="K1931">
        <v>49.4</v>
      </c>
      <c r="L1931">
        <v>2327</v>
      </c>
      <c r="M1931" t="s">
        <v>908</v>
      </c>
      <c r="N1931">
        <v>14647.22</v>
      </c>
      <c r="O1931">
        <v>1389</v>
      </c>
    </row>
    <row r="1932" spans="1:15" x14ac:dyDescent="0.2">
      <c r="A1932" s="6">
        <v>45835</v>
      </c>
      <c r="B1932" t="s">
        <v>15</v>
      </c>
      <c r="C1932" t="s">
        <v>16</v>
      </c>
      <c r="D1932" s="1">
        <v>45855</v>
      </c>
      <c r="E1932" t="s">
        <v>17</v>
      </c>
      <c r="F1932">
        <v>6200</v>
      </c>
      <c r="G1932">
        <v>53.1</v>
      </c>
      <c r="H1932">
        <v>57</v>
      </c>
      <c r="I1932">
        <v>39.4</v>
      </c>
      <c r="J1932">
        <v>42.8</v>
      </c>
      <c r="K1932">
        <v>53.1</v>
      </c>
      <c r="L1932">
        <v>12962</v>
      </c>
      <c r="M1932" t="s">
        <v>909</v>
      </c>
      <c r="N1932">
        <v>80976.75</v>
      </c>
      <c r="O1932">
        <v>3920</v>
      </c>
    </row>
    <row r="1933" spans="1:15" x14ac:dyDescent="0.2">
      <c r="A1933" s="6">
        <v>45835</v>
      </c>
      <c r="B1933" t="s">
        <v>15</v>
      </c>
      <c r="C1933" t="s">
        <v>16</v>
      </c>
      <c r="D1933" s="1">
        <v>45855</v>
      </c>
      <c r="E1933" t="s">
        <v>17</v>
      </c>
      <c r="F1933">
        <v>6500</v>
      </c>
      <c r="G1933">
        <v>36.299999999999997</v>
      </c>
      <c r="H1933">
        <v>36.299999999999997</v>
      </c>
      <c r="I1933">
        <v>26.1</v>
      </c>
      <c r="J1933">
        <v>29.2</v>
      </c>
      <c r="K1933">
        <v>34.6</v>
      </c>
      <c r="L1933">
        <v>12877</v>
      </c>
      <c r="M1933" t="s">
        <v>910</v>
      </c>
      <c r="N1933">
        <v>84103.45</v>
      </c>
      <c r="O1933">
        <v>11291</v>
      </c>
    </row>
    <row r="1934" spans="1:15" x14ac:dyDescent="0.2">
      <c r="A1934" s="6">
        <v>45835</v>
      </c>
      <c r="B1934" t="s">
        <v>15</v>
      </c>
      <c r="C1934" t="s">
        <v>16</v>
      </c>
      <c r="D1934" s="1">
        <v>45855</v>
      </c>
      <c r="E1934" t="s">
        <v>17</v>
      </c>
      <c r="F1934">
        <v>5900</v>
      </c>
      <c r="G1934">
        <v>101</v>
      </c>
      <c r="H1934">
        <v>105.3</v>
      </c>
      <c r="I1934">
        <v>75.099999999999994</v>
      </c>
      <c r="J1934">
        <v>83.2</v>
      </c>
      <c r="K1934">
        <v>100.1</v>
      </c>
      <c r="L1934">
        <v>38039</v>
      </c>
      <c r="M1934" t="s">
        <v>911</v>
      </c>
      <c r="N1934">
        <v>227870.39</v>
      </c>
      <c r="O1934">
        <v>3868</v>
      </c>
    </row>
    <row r="1935" spans="1:15" x14ac:dyDescent="0.2">
      <c r="A1935" s="6">
        <v>45835</v>
      </c>
      <c r="B1935" t="s">
        <v>15</v>
      </c>
      <c r="C1935" t="s">
        <v>16</v>
      </c>
      <c r="D1935" s="1">
        <v>45855</v>
      </c>
      <c r="E1935" t="s">
        <v>19</v>
      </c>
      <c r="F1935">
        <v>3900</v>
      </c>
      <c r="J1935">
        <v>0.1</v>
      </c>
      <c r="K1935">
        <v>0.1</v>
      </c>
      <c r="L1935">
        <v>0</v>
      </c>
      <c r="M1935" t="s">
        <v>18</v>
      </c>
      <c r="N1935">
        <v>0</v>
      </c>
      <c r="O1935">
        <v>0</v>
      </c>
    </row>
    <row r="1936" spans="1:15" x14ac:dyDescent="0.2">
      <c r="A1936" s="6">
        <v>45835</v>
      </c>
      <c r="B1936" t="s">
        <v>15</v>
      </c>
      <c r="C1936" t="s">
        <v>16</v>
      </c>
      <c r="D1936" s="1">
        <v>45855</v>
      </c>
      <c r="E1936" t="s">
        <v>17</v>
      </c>
      <c r="F1936">
        <v>6950</v>
      </c>
      <c r="G1936">
        <v>22.5</v>
      </c>
      <c r="H1936">
        <v>23</v>
      </c>
      <c r="I1936">
        <v>18</v>
      </c>
      <c r="J1936">
        <v>19.8</v>
      </c>
      <c r="K1936">
        <v>24</v>
      </c>
      <c r="L1936">
        <v>226</v>
      </c>
      <c r="M1936" t="s">
        <v>912</v>
      </c>
      <c r="N1936">
        <v>1575.38</v>
      </c>
      <c r="O1936">
        <v>320</v>
      </c>
    </row>
    <row r="1937" spans="1:15" x14ac:dyDescent="0.2">
      <c r="A1937" s="6">
        <v>45835</v>
      </c>
      <c r="B1937" t="s">
        <v>15</v>
      </c>
      <c r="C1937" t="s">
        <v>16</v>
      </c>
      <c r="D1937" s="1">
        <v>45855</v>
      </c>
      <c r="E1937" t="s">
        <v>19</v>
      </c>
      <c r="F1937">
        <v>7250</v>
      </c>
      <c r="J1937">
        <v>1645.8</v>
      </c>
      <c r="K1937">
        <v>1623.2</v>
      </c>
      <c r="L1937">
        <v>0</v>
      </c>
      <c r="M1937" t="s">
        <v>18</v>
      </c>
      <c r="N1937">
        <v>0</v>
      </c>
      <c r="O1937">
        <v>0</v>
      </c>
    </row>
    <row r="1938" spans="1:15" x14ac:dyDescent="0.2">
      <c r="A1938" s="6">
        <v>45835</v>
      </c>
      <c r="B1938" t="s">
        <v>15</v>
      </c>
      <c r="C1938" t="s">
        <v>16</v>
      </c>
      <c r="D1938" s="1">
        <v>45855</v>
      </c>
      <c r="E1938" t="s">
        <v>19</v>
      </c>
      <c r="F1938">
        <v>5200</v>
      </c>
      <c r="G1938">
        <v>53.7</v>
      </c>
      <c r="H1938">
        <v>64.7</v>
      </c>
      <c r="I1938">
        <v>41</v>
      </c>
      <c r="J1938">
        <v>50.2</v>
      </c>
      <c r="K1938">
        <v>56.2</v>
      </c>
      <c r="L1938">
        <v>25197</v>
      </c>
      <c r="M1938" t="s">
        <v>913</v>
      </c>
      <c r="N1938">
        <v>132391.32999999999</v>
      </c>
      <c r="O1938">
        <v>3095</v>
      </c>
    </row>
    <row r="1939" spans="1:15" x14ac:dyDescent="0.2">
      <c r="A1939" s="6">
        <v>45835</v>
      </c>
      <c r="B1939" t="s">
        <v>15</v>
      </c>
      <c r="C1939" t="s">
        <v>16</v>
      </c>
      <c r="D1939" s="1">
        <v>45855</v>
      </c>
      <c r="E1939" t="s">
        <v>19</v>
      </c>
      <c r="F1939">
        <v>6250</v>
      </c>
      <c r="G1939">
        <v>645.5</v>
      </c>
      <c r="H1939">
        <v>645.5</v>
      </c>
      <c r="I1939">
        <v>645.5</v>
      </c>
      <c r="J1939">
        <v>645.5</v>
      </c>
      <c r="K1939">
        <v>708.4</v>
      </c>
      <c r="L1939">
        <v>2</v>
      </c>
      <c r="M1939" t="s">
        <v>28</v>
      </c>
      <c r="N1939">
        <v>13.79</v>
      </c>
      <c r="O1939">
        <v>95</v>
      </c>
    </row>
    <row r="1940" spans="1:15" x14ac:dyDescent="0.2">
      <c r="A1940" s="6">
        <v>45835</v>
      </c>
      <c r="B1940" t="s">
        <v>15</v>
      </c>
      <c r="C1940" t="s">
        <v>16</v>
      </c>
      <c r="D1940" s="1">
        <v>45855</v>
      </c>
      <c r="E1940" t="s">
        <v>19</v>
      </c>
      <c r="F1940">
        <v>7450</v>
      </c>
      <c r="J1940">
        <v>1844</v>
      </c>
      <c r="K1940">
        <v>1820.7</v>
      </c>
      <c r="L1940">
        <v>0</v>
      </c>
      <c r="M1940" t="s">
        <v>18</v>
      </c>
      <c r="N1940">
        <v>0</v>
      </c>
      <c r="O1940">
        <v>0</v>
      </c>
    </row>
    <row r="1941" spans="1:15" x14ac:dyDescent="0.2">
      <c r="A1941" s="6">
        <v>45835</v>
      </c>
      <c r="B1941" t="s">
        <v>15</v>
      </c>
      <c r="C1941" t="s">
        <v>16</v>
      </c>
      <c r="D1941" s="1">
        <v>45855</v>
      </c>
      <c r="E1941" t="s">
        <v>17</v>
      </c>
      <c r="F1941">
        <v>3950</v>
      </c>
      <c r="J1941">
        <v>1645.7</v>
      </c>
      <c r="K1941">
        <v>1669.4</v>
      </c>
      <c r="L1941">
        <v>0</v>
      </c>
      <c r="M1941" t="s">
        <v>18</v>
      </c>
      <c r="N1941">
        <v>0</v>
      </c>
      <c r="O1941">
        <v>0</v>
      </c>
    </row>
    <row r="1942" spans="1:15" x14ac:dyDescent="0.2">
      <c r="A1942" s="6">
        <v>45835</v>
      </c>
      <c r="B1942" t="s">
        <v>15</v>
      </c>
      <c r="C1942" t="s">
        <v>16</v>
      </c>
      <c r="D1942" s="1">
        <v>45855</v>
      </c>
      <c r="E1942" t="s">
        <v>17</v>
      </c>
      <c r="F1942">
        <v>7550</v>
      </c>
      <c r="G1942">
        <v>15.8</v>
      </c>
      <c r="H1942">
        <v>16</v>
      </c>
      <c r="I1942">
        <v>14</v>
      </c>
      <c r="J1942">
        <v>14.9</v>
      </c>
      <c r="K1942">
        <v>16.3</v>
      </c>
      <c r="L1942">
        <v>98</v>
      </c>
      <c r="M1942" t="s">
        <v>487</v>
      </c>
      <c r="N1942">
        <v>741.34</v>
      </c>
      <c r="O1942">
        <v>243</v>
      </c>
    </row>
    <row r="1943" spans="1:15" x14ac:dyDescent="0.2">
      <c r="A1943" s="6">
        <v>45835</v>
      </c>
      <c r="B1943" t="s">
        <v>15</v>
      </c>
      <c r="C1943" t="s">
        <v>16</v>
      </c>
      <c r="D1943" s="1">
        <v>45855</v>
      </c>
      <c r="E1943" t="s">
        <v>19</v>
      </c>
      <c r="F1943">
        <v>5600</v>
      </c>
      <c r="G1943">
        <v>183</v>
      </c>
      <c r="H1943">
        <v>217.3</v>
      </c>
      <c r="I1943">
        <v>160.69999999999999</v>
      </c>
      <c r="J1943">
        <v>184.3</v>
      </c>
      <c r="K1943">
        <v>183.3</v>
      </c>
      <c r="L1943">
        <v>129486</v>
      </c>
      <c r="M1943" t="s">
        <v>914</v>
      </c>
      <c r="N1943">
        <v>749184.16</v>
      </c>
      <c r="O1943">
        <v>5814</v>
      </c>
    </row>
    <row r="1944" spans="1:15" x14ac:dyDescent="0.2">
      <c r="A1944" s="6">
        <v>45835</v>
      </c>
      <c r="B1944" t="s">
        <v>15</v>
      </c>
      <c r="C1944" t="s">
        <v>16</v>
      </c>
      <c r="D1944" s="1">
        <v>45855</v>
      </c>
      <c r="E1944" t="s">
        <v>19</v>
      </c>
      <c r="F1944">
        <v>5650</v>
      </c>
      <c r="G1944">
        <v>217.3</v>
      </c>
      <c r="H1944">
        <v>245.4</v>
      </c>
      <c r="I1944">
        <v>184.5</v>
      </c>
      <c r="J1944">
        <v>210.3</v>
      </c>
      <c r="K1944">
        <v>206.8</v>
      </c>
      <c r="L1944">
        <v>34721</v>
      </c>
      <c r="M1944" t="s">
        <v>915</v>
      </c>
      <c r="N1944">
        <v>203433.88</v>
      </c>
      <c r="O1944">
        <v>1811</v>
      </c>
    </row>
    <row r="1945" spans="1:15" x14ac:dyDescent="0.2">
      <c r="A1945" s="6">
        <v>45835</v>
      </c>
      <c r="B1945" t="s">
        <v>15</v>
      </c>
      <c r="C1945" t="s">
        <v>16</v>
      </c>
      <c r="D1945" s="1">
        <v>45855</v>
      </c>
      <c r="E1945" t="s">
        <v>19</v>
      </c>
      <c r="F1945">
        <v>6350</v>
      </c>
      <c r="G1945">
        <v>769.6</v>
      </c>
      <c r="H1945">
        <v>791.9</v>
      </c>
      <c r="I1945">
        <v>736.5</v>
      </c>
      <c r="J1945">
        <v>766.9</v>
      </c>
      <c r="K1945">
        <v>769.6</v>
      </c>
      <c r="L1945">
        <v>4</v>
      </c>
      <c r="M1945" t="s">
        <v>78</v>
      </c>
      <c r="N1945">
        <v>28.47</v>
      </c>
      <c r="O1945">
        <v>80</v>
      </c>
    </row>
    <row r="1946" spans="1:15" x14ac:dyDescent="0.2">
      <c r="A1946" s="6">
        <v>45835</v>
      </c>
      <c r="B1946" t="s">
        <v>15</v>
      </c>
      <c r="C1946" t="s">
        <v>16</v>
      </c>
      <c r="D1946" s="1">
        <v>45855</v>
      </c>
      <c r="E1946" t="s">
        <v>19</v>
      </c>
      <c r="F1946">
        <v>4000</v>
      </c>
      <c r="G1946">
        <v>8.5</v>
      </c>
      <c r="H1946">
        <v>12.7</v>
      </c>
      <c r="I1946">
        <v>8.5</v>
      </c>
      <c r="J1946">
        <v>9.6999999999999993</v>
      </c>
      <c r="K1946">
        <v>12</v>
      </c>
      <c r="L1946">
        <v>1635</v>
      </c>
      <c r="M1946" t="s">
        <v>405</v>
      </c>
      <c r="N1946">
        <v>6559.11</v>
      </c>
      <c r="O1946">
        <v>924</v>
      </c>
    </row>
    <row r="1947" spans="1:15" x14ac:dyDescent="0.2">
      <c r="A1947" s="6">
        <v>45835</v>
      </c>
      <c r="B1947" t="s">
        <v>15</v>
      </c>
      <c r="C1947" t="s">
        <v>16</v>
      </c>
      <c r="D1947" s="1">
        <v>45855</v>
      </c>
      <c r="E1947" t="s">
        <v>19</v>
      </c>
      <c r="F1947">
        <v>4850</v>
      </c>
      <c r="G1947">
        <v>25</v>
      </c>
      <c r="H1947">
        <v>27.8</v>
      </c>
      <c r="I1947">
        <v>20.7</v>
      </c>
      <c r="J1947">
        <v>21.4</v>
      </c>
      <c r="K1947">
        <v>26.8</v>
      </c>
      <c r="L1947">
        <v>280</v>
      </c>
      <c r="M1947" t="s">
        <v>327</v>
      </c>
      <c r="N1947">
        <v>1365</v>
      </c>
      <c r="O1947">
        <v>148</v>
      </c>
    </row>
    <row r="1948" spans="1:15" x14ac:dyDescent="0.2">
      <c r="A1948" s="6">
        <v>45835</v>
      </c>
      <c r="B1948" t="s">
        <v>15</v>
      </c>
      <c r="C1948" t="s">
        <v>16</v>
      </c>
      <c r="D1948" s="1">
        <v>45855</v>
      </c>
      <c r="E1948" t="s">
        <v>17</v>
      </c>
      <c r="F1948">
        <v>6100</v>
      </c>
      <c r="G1948">
        <v>67.599999999999994</v>
      </c>
      <c r="H1948">
        <v>72</v>
      </c>
      <c r="I1948">
        <v>45.8</v>
      </c>
      <c r="J1948">
        <v>52.3</v>
      </c>
      <c r="K1948">
        <v>65</v>
      </c>
      <c r="L1948">
        <v>12780</v>
      </c>
      <c r="M1948" t="s">
        <v>916</v>
      </c>
      <c r="N1948">
        <v>78691.850000000006</v>
      </c>
      <c r="O1948">
        <v>2506</v>
      </c>
    </row>
    <row r="1949" spans="1:15" x14ac:dyDescent="0.2">
      <c r="A1949" s="6">
        <v>45835</v>
      </c>
      <c r="B1949" t="s">
        <v>15</v>
      </c>
      <c r="C1949" t="s">
        <v>16</v>
      </c>
      <c r="D1949" s="1">
        <v>45855</v>
      </c>
      <c r="E1949" t="s">
        <v>17</v>
      </c>
      <c r="F1949">
        <v>5350</v>
      </c>
      <c r="G1949">
        <v>359.1</v>
      </c>
      <c r="H1949">
        <v>381</v>
      </c>
      <c r="I1949">
        <v>310.3</v>
      </c>
      <c r="J1949">
        <v>334.6</v>
      </c>
      <c r="K1949">
        <v>364.9</v>
      </c>
      <c r="L1949">
        <v>461</v>
      </c>
      <c r="M1949" t="s">
        <v>917</v>
      </c>
      <c r="N1949">
        <v>2624.31</v>
      </c>
      <c r="O1949">
        <v>53</v>
      </c>
    </row>
    <row r="1950" spans="1:15" x14ac:dyDescent="0.2">
      <c r="A1950" s="6">
        <v>45835</v>
      </c>
      <c r="B1950" t="s">
        <v>15</v>
      </c>
      <c r="C1950" t="s">
        <v>16</v>
      </c>
      <c r="D1950" s="1">
        <v>45855</v>
      </c>
      <c r="E1950" t="s">
        <v>17</v>
      </c>
      <c r="F1950">
        <v>7200</v>
      </c>
      <c r="G1950">
        <v>21</v>
      </c>
      <c r="H1950">
        <v>21.3</v>
      </c>
      <c r="I1950">
        <v>17.399999999999999</v>
      </c>
      <c r="J1950">
        <v>18.3</v>
      </c>
      <c r="K1950">
        <v>21</v>
      </c>
      <c r="L1950">
        <v>417</v>
      </c>
      <c r="M1950" t="s">
        <v>918</v>
      </c>
      <c r="N1950">
        <v>3010.34</v>
      </c>
      <c r="O1950">
        <v>1002</v>
      </c>
    </row>
    <row r="1951" spans="1:15" x14ac:dyDescent="0.2">
      <c r="A1951" s="6">
        <v>45835</v>
      </c>
      <c r="B1951" t="s">
        <v>15</v>
      </c>
      <c r="C1951" t="s">
        <v>16</v>
      </c>
      <c r="D1951" s="1">
        <v>45855</v>
      </c>
      <c r="E1951" t="s">
        <v>19</v>
      </c>
      <c r="F1951">
        <v>7100</v>
      </c>
      <c r="J1951">
        <v>1497.9</v>
      </c>
      <c r="K1951">
        <v>1476.1</v>
      </c>
      <c r="L1951">
        <v>0</v>
      </c>
      <c r="M1951" t="s">
        <v>18</v>
      </c>
      <c r="N1951">
        <v>0</v>
      </c>
      <c r="O1951">
        <v>0</v>
      </c>
    </row>
    <row r="1952" spans="1:15" x14ac:dyDescent="0.2">
      <c r="A1952" s="6">
        <v>45835</v>
      </c>
      <c r="B1952" t="s">
        <v>15</v>
      </c>
      <c r="C1952" t="s">
        <v>16</v>
      </c>
      <c r="D1952" s="1">
        <v>45855</v>
      </c>
      <c r="E1952" t="s">
        <v>19</v>
      </c>
      <c r="F1952">
        <v>6900</v>
      </c>
      <c r="G1952">
        <v>1316.8</v>
      </c>
      <c r="H1952">
        <v>1316.8</v>
      </c>
      <c r="I1952">
        <v>1316.8</v>
      </c>
      <c r="J1952">
        <v>1316.8</v>
      </c>
      <c r="K1952">
        <v>1282</v>
      </c>
      <c r="L1952">
        <v>1</v>
      </c>
      <c r="M1952" t="s">
        <v>155</v>
      </c>
      <c r="N1952">
        <v>8.2200000000000006</v>
      </c>
      <c r="O1952">
        <v>40</v>
      </c>
    </row>
    <row r="1953" spans="1:15" x14ac:dyDescent="0.2">
      <c r="A1953" s="6">
        <v>45835</v>
      </c>
      <c r="B1953" t="s">
        <v>15</v>
      </c>
      <c r="C1953" t="s">
        <v>16</v>
      </c>
      <c r="D1953" s="1">
        <v>45855</v>
      </c>
      <c r="E1953" t="s">
        <v>19</v>
      </c>
      <c r="F1953">
        <v>3650</v>
      </c>
      <c r="J1953">
        <v>0.1</v>
      </c>
      <c r="K1953">
        <v>0.1</v>
      </c>
      <c r="L1953">
        <v>0</v>
      </c>
      <c r="M1953" t="s">
        <v>18</v>
      </c>
      <c r="N1953">
        <v>0</v>
      </c>
      <c r="O1953">
        <v>0</v>
      </c>
    </row>
    <row r="1954" spans="1:15" x14ac:dyDescent="0.2">
      <c r="A1954" s="6">
        <v>45835</v>
      </c>
      <c r="B1954" t="s">
        <v>15</v>
      </c>
      <c r="C1954" t="s">
        <v>16</v>
      </c>
      <c r="D1954" s="1">
        <v>45855</v>
      </c>
      <c r="E1954" t="s">
        <v>19</v>
      </c>
      <c r="F1954">
        <v>5800</v>
      </c>
      <c r="G1954">
        <v>300</v>
      </c>
      <c r="H1954">
        <v>345</v>
      </c>
      <c r="I1954">
        <v>271.3</v>
      </c>
      <c r="J1954">
        <v>307</v>
      </c>
      <c r="K1954">
        <v>300.8</v>
      </c>
      <c r="L1954">
        <v>8451</v>
      </c>
      <c r="M1954" t="s">
        <v>919</v>
      </c>
      <c r="N1954">
        <v>51575.67</v>
      </c>
      <c r="O1954">
        <v>2003</v>
      </c>
    </row>
    <row r="1955" spans="1:15" x14ac:dyDescent="0.2">
      <c r="A1955" s="6">
        <v>45835</v>
      </c>
      <c r="B1955" t="s">
        <v>15</v>
      </c>
      <c r="C1955" t="s">
        <v>16</v>
      </c>
      <c r="D1955" s="1">
        <v>45855</v>
      </c>
      <c r="E1955" t="s">
        <v>19</v>
      </c>
      <c r="F1955">
        <v>6700</v>
      </c>
      <c r="G1955">
        <v>1103.2</v>
      </c>
      <c r="H1955">
        <v>1103.2</v>
      </c>
      <c r="I1955">
        <v>1075.3</v>
      </c>
      <c r="J1955">
        <v>1093.9000000000001</v>
      </c>
      <c r="K1955">
        <v>1110.7</v>
      </c>
      <c r="L1955">
        <v>3</v>
      </c>
      <c r="M1955" t="s">
        <v>34</v>
      </c>
      <c r="N1955">
        <v>23.38</v>
      </c>
      <c r="O1955">
        <v>187</v>
      </c>
    </row>
    <row r="1956" spans="1:15" x14ac:dyDescent="0.2">
      <c r="A1956" s="6">
        <v>45835</v>
      </c>
      <c r="B1956" t="s">
        <v>15</v>
      </c>
      <c r="C1956" t="s">
        <v>16</v>
      </c>
      <c r="D1956" s="1">
        <v>45855</v>
      </c>
      <c r="E1956" t="s">
        <v>19</v>
      </c>
      <c r="F1956">
        <v>7400</v>
      </c>
      <c r="J1956">
        <v>1794.4</v>
      </c>
      <c r="K1956">
        <v>1771.2</v>
      </c>
      <c r="L1956">
        <v>0</v>
      </c>
      <c r="M1956" t="s">
        <v>18</v>
      </c>
      <c r="N1956">
        <v>0</v>
      </c>
      <c r="O1956">
        <v>0</v>
      </c>
    </row>
    <row r="1957" spans="1:15" x14ac:dyDescent="0.2">
      <c r="A1957" s="6">
        <v>45835</v>
      </c>
      <c r="B1957" t="s">
        <v>15</v>
      </c>
      <c r="C1957" t="s">
        <v>16</v>
      </c>
      <c r="D1957" s="1">
        <v>45855</v>
      </c>
      <c r="E1957" t="s">
        <v>17</v>
      </c>
      <c r="F1957">
        <v>3650</v>
      </c>
      <c r="J1957">
        <v>1944.6</v>
      </c>
      <c r="K1957">
        <v>1968.2</v>
      </c>
      <c r="L1957">
        <v>0</v>
      </c>
      <c r="M1957" t="s">
        <v>18</v>
      </c>
      <c r="N1957">
        <v>0</v>
      </c>
      <c r="O1957">
        <v>0</v>
      </c>
    </row>
    <row r="1958" spans="1:15" x14ac:dyDescent="0.2">
      <c r="A1958" s="6">
        <v>45835</v>
      </c>
      <c r="B1958" t="s">
        <v>15</v>
      </c>
      <c r="C1958" t="s">
        <v>16</v>
      </c>
      <c r="D1958" s="1">
        <v>45855</v>
      </c>
      <c r="E1958" t="s">
        <v>17</v>
      </c>
      <c r="F1958">
        <v>3600</v>
      </c>
      <c r="J1958">
        <v>1994.4</v>
      </c>
      <c r="K1958">
        <v>2018.1</v>
      </c>
      <c r="L1958">
        <v>0</v>
      </c>
      <c r="M1958" t="s">
        <v>18</v>
      </c>
      <c r="N1958">
        <v>0</v>
      </c>
      <c r="O1958">
        <v>0</v>
      </c>
    </row>
    <row r="1959" spans="1:15" x14ac:dyDescent="0.2">
      <c r="A1959" s="6">
        <v>45835</v>
      </c>
      <c r="B1959" t="s">
        <v>15</v>
      </c>
      <c r="C1959" t="s">
        <v>16</v>
      </c>
      <c r="D1959" s="1">
        <v>45855</v>
      </c>
      <c r="E1959" t="s">
        <v>19</v>
      </c>
      <c r="F1959">
        <v>7550</v>
      </c>
      <c r="J1959">
        <v>1943.3</v>
      </c>
      <c r="K1959">
        <v>1919.7</v>
      </c>
      <c r="L1959">
        <v>0</v>
      </c>
      <c r="M1959" t="s">
        <v>18</v>
      </c>
      <c r="N1959">
        <v>0</v>
      </c>
      <c r="O1959">
        <v>0</v>
      </c>
    </row>
    <row r="1960" spans="1:15" x14ac:dyDescent="0.2">
      <c r="A1960" s="6">
        <v>45835</v>
      </c>
      <c r="B1960" t="s">
        <v>15</v>
      </c>
      <c r="C1960" t="s">
        <v>16</v>
      </c>
      <c r="D1960" s="1">
        <v>45855</v>
      </c>
      <c r="E1960" t="s">
        <v>17</v>
      </c>
      <c r="F1960">
        <v>5550</v>
      </c>
      <c r="G1960">
        <v>240.9</v>
      </c>
      <c r="H1960">
        <v>249.9</v>
      </c>
      <c r="I1960">
        <v>191.7</v>
      </c>
      <c r="J1960">
        <v>211.2</v>
      </c>
      <c r="K1960">
        <v>235.7</v>
      </c>
      <c r="L1960">
        <v>27047</v>
      </c>
      <c r="M1960" t="s">
        <v>920</v>
      </c>
      <c r="N1960">
        <v>156093.72</v>
      </c>
      <c r="O1960">
        <v>1044</v>
      </c>
    </row>
    <row r="1961" spans="1:15" x14ac:dyDescent="0.2">
      <c r="A1961" s="6">
        <v>45835</v>
      </c>
      <c r="B1961" t="s">
        <v>15</v>
      </c>
      <c r="C1961" t="s">
        <v>16</v>
      </c>
      <c r="D1961" s="1">
        <v>45855</v>
      </c>
      <c r="E1961" t="s">
        <v>19</v>
      </c>
      <c r="F1961">
        <v>6000</v>
      </c>
      <c r="G1961">
        <v>451.7</v>
      </c>
      <c r="H1961">
        <v>499.9</v>
      </c>
      <c r="I1961">
        <v>418</v>
      </c>
      <c r="J1961">
        <v>457.7</v>
      </c>
      <c r="K1961">
        <v>448.3</v>
      </c>
      <c r="L1961">
        <v>1989</v>
      </c>
      <c r="M1961" t="s">
        <v>921</v>
      </c>
      <c r="N1961">
        <v>12837.97</v>
      </c>
      <c r="O1961">
        <v>2458</v>
      </c>
    </row>
    <row r="1962" spans="1:15" x14ac:dyDescent="0.2">
      <c r="A1962" s="6">
        <v>45835</v>
      </c>
      <c r="B1962" t="s">
        <v>15</v>
      </c>
      <c r="C1962" t="s">
        <v>16</v>
      </c>
      <c r="D1962" s="1">
        <v>45855</v>
      </c>
      <c r="E1962" t="s">
        <v>17</v>
      </c>
      <c r="F1962">
        <v>3800</v>
      </c>
      <c r="G1962">
        <v>1836.5</v>
      </c>
      <c r="H1962">
        <v>1836.5</v>
      </c>
      <c r="I1962">
        <v>1836.5</v>
      </c>
      <c r="J1962">
        <v>1836.5</v>
      </c>
      <c r="K1962">
        <v>1818.8</v>
      </c>
      <c r="L1962">
        <v>4</v>
      </c>
      <c r="M1962" t="s">
        <v>78</v>
      </c>
      <c r="N1962">
        <v>22.55</v>
      </c>
      <c r="O1962">
        <v>0</v>
      </c>
    </row>
    <row r="1963" spans="1:15" x14ac:dyDescent="0.2">
      <c r="A1963" s="6">
        <v>45835</v>
      </c>
      <c r="B1963" t="s">
        <v>15</v>
      </c>
      <c r="C1963" t="s">
        <v>16</v>
      </c>
      <c r="D1963" s="1">
        <v>45855</v>
      </c>
      <c r="E1963" t="s">
        <v>19</v>
      </c>
      <c r="F1963">
        <v>4750</v>
      </c>
      <c r="G1963">
        <v>20.9</v>
      </c>
      <c r="H1963">
        <v>22.1</v>
      </c>
      <c r="I1963">
        <v>20</v>
      </c>
      <c r="J1963">
        <v>21</v>
      </c>
      <c r="K1963">
        <v>24</v>
      </c>
      <c r="L1963">
        <v>27</v>
      </c>
      <c r="M1963" t="s">
        <v>54</v>
      </c>
      <c r="N1963">
        <v>128.82</v>
      </c>
      <c r="O1963">
        <v>11</v>
      </c>
    </row>
    <row r="1964" spans="1:15" x14ac:dyDescent="0.2">
      <c r="A1964" s="6">
        <v>45835</v>
      </c>
      <c r="B1964" t="s">
        <v>15</v>
      </c>
      <c r="C1964" t="s">
        <v>16</v>
      </c>
      <c r="D1964" s="1">
        <v>45855</v>
      </c>
      <c r="E1964" t="s">
        <v>17</v>
      </c>
      <c r="F1964">
        <v>7600</v>
      </c>
      <c r="G1964">
        <v>16.899999999999999</v>
      </c>
      <c r="H1964">
        <v>18</v>
      </c>
      <c r="I1964">
        <v>9.1999999999999993</v>
      </c>
      <c r="J1964">
        <v>13</v>
      </c>
      <c r="K1964">
        <v>16.899999999999999</v>
      </c>
      <c r="L1964">
        <v>436</v>
      </c>
      <c r="M1964" t="s">
        <v>922</v>
      </c>
      <c r="N1964">
        <v>3319.63</v>
      </c>
      <c r="O1964">
        <v>1189</v>
      </c>
    </row>
    <row r="1965" spans="1:15" x14ac:dyDescent="0.2">
      <c r="A1965" s="6">
        <v>45835</v>
      </c>
      <c r="B1965" t="s">
        <v>15</v>
      </c>
      <c r="C1965" t="s">
        <v>16</v>
      </c>
      <c r="D1965" s="1">
        <v>45855</v>
      </c>
      <c r="E1965" t="s">
        <v>19</v>
      </c>
      <c r="F1965">
        <v>4300</v>
      </c>
      <c r="J1965">
        <v>1.4</v>
      </c>
      <c r="K1965">
        <v>2</v>
      </c>
      <c r="L1965">
        <v>0</v>
      </c>
      <c r="M1965" t="s">
        <v>18</v>
      </c>
      <c r="N1965">
        <v>0</v>
      </c>
      <c r="O1965">
        <v>0</v>
      </c>
    </row>
    <row r="1966" spans="1:15" x14ac:dyDescent="0.2">
      <c r="A1966" s="6">
        <v>45835</v>
      </c>
      <c r="B1966" t="s">
        <v>15</v>
      </c>
      <c r="C1966" t="s">
        <v>16</v>
      </c>
      <c r="D1966" s="1">
        <v>45855</v>
      </c>
      <c r="E1966" t="s">
        <v>19</v>
      </c>
      <c r="F1966">
        <v>4800</v>
      </c>
      <c r="G1966">
        <v>22.4</v>
      </c>
      <c r="H1966">
        <v>25.9</v>
      </c>
      <c r="I1966">
        <v>18.5</v>
      </c>
      <c r="J1966">
        <v>19.399999999999999</v>
      </c>
      <c r="K1966">
        <v>23.6</v>
      </c>
      <c r="L1966">
        <v>1249</v>
      </c>
      <c r="M1966" t="s">
        <v>923</v>
      </c>
      <c r="N1966">
        <v>6023.61</v>
      </c>
      <c r="O1966">
        <v>694</v>
      </c>
    </row>
    <row r="1967" spans="1:15" x14ac:dyDescent="0.2">
      <c r="A1967" s="6">
        <v>45835</v>
      </c>
      <c r="B1967" t="s">
        <v>15</v>
      </c>
      <c r="C1967" t="s">
        <v>16</v>
      </c>
      <c r="D1967" s="1">
        <v>45855</v>
      </c>
      <c r="E1967" t="s">
        <v>19</v>
      </c>
      <c r="F1967">
        <v>3950</v>
      </c>
      <c r="J1967">
        <v>0.1</v>
      </c>
      <c r="K1967">
        <v>0.2</v>
      </c>
      <c r="L1967">
        <v>0</v>
      </c>
      <c r="M1967" t="s">
        <v>18</v>
      </c>
      <c r="N1967">
        <v>0</v>
      </c>
      <c r="O1967">
        <v>0</v>
      </c>
    </row>
    <row r="1968" spans="1:15" x14ac:dyDescent="0.2">
      <c r="A1968" s="6">
        <v>45835</v>
      </c>
      <c r="B1968" t="s">
        <v>15</v>
      </c>
      <c r="C1968" t="s">
        <v>16</v>
      </c>
      <c r="D1968" s="1">
        <v>45855</v>
      </c>
      <c r="E1968" t="s">
        <v>17</v>
      </c>
      <c r="F1968">
        <v>3900</v>
      </c>
      <c r="J1968">
        <v>1695.5</v>
      </c>
      <c r="K1968">
        <v>1719.2</v>
      </c>
      <c r="L1968">
        <v>0</v>
      </c>
      <c r="M1968" t="s">
        <v>18</v>
      </c>
      <c r="N1968">
        <v>0</v>
      </c>
      <c r="O1968">
        <v>0</v>
      </c>
    </row>
    <row r="1969" spans="1:15" x14ac:dyDescent="0.2">
      <c r="A1969" s="6">
        <v>45835</v>
      </c>
      <c r="B1969" t="s">
        <v>15</v>
      </c>
      <c r="C1969" t="s">
        <v>16</v>
      </c>
      <c r="D1969" s="1">
        <v>45855</v>
      </c>
      <c r="E1969" t="s">
        <v>17</v>
      </c>
      <c r="F1969">
        <v>5400</v>
      </c>
      <c r="G1969">
        <v>323.39999999999998</v>
      </c>
      <c r="H1969">
        <v>344.6</v>
      </c>
      <c r="I1969">
        <v>274.2</v>
      </c>
      <c r="J1969">
        <v>300.60000000000002</v>
      </c>
      <c r="K1969">
        <v>327.10000000000002</v>
      </c>
      <c r="L1969">
        <v>4943</v>
      </c>
      <c r="M1969" t="s">
        <v>924</v>
      </c>
      <c r="N1969">
        <v>28214.76</v>
      </c>
      <c r="O1969">
        <v>812</v>
      </c>
    </row>
    <row r="1970" spans="1:15" x14ac:dyDescent="0.2">
      <c r="A1970" s="6">
        <v>45835</v>
      </c>
      <c r="B1970" t="s">
        <v>15</v>
      </c>
      <c r="C1970" t="s">
        <v>16</v>
      </c>
      <c r="D1970" s="1">
        <v>45855</v>
      </c>
      <c r="E1970" t="s">
        <v>19</v>
      </c>
      <c r="F1970">
        <v>6500</v>
      </c>
      <c r="G1970">
        <v>912.1</v>
      </c>
      <c r="H1970">
        <v>950.3</v>
      </c>
      <c r="I1970">
        <v>888</v>
      </c>
      <c r="J1970">
        <v>909.5</v>
      </c>
      <c r="K1970">
        <v>874.7</v>
      </c>
      <c r="L1970">
        <v>21</v>
      </c>
      <c r="M1970" t="s">
        <v>186</v>
      </c>
      <c r="N1970">
        <v>155.57</v>
      </c>
      <c r="O1970">
        <v>742</v>
      </c>
    </row>
    <row r="1971" spans="1:15" x14ac:dyDescent="0.2">
      <c r="A1971" s="6">
        <v>45835</v>
      </c>
      <c r="B1971" t="s">
        <v>15</v>
      </c>
      <c r="C1971" t="s">
        <v>16</v>
      </c>
      <c r="D1971" s="1">
        <v>45855</v>
      </c>
      <c r="E1971" t="s">
        <v>19</v>
      </c>
      <c r="F1971">
        <v>6300</v>
      </c>
      <c r="G1971">
        <v>715.8</v>
      </c>
      <c r="H1971">
        <v>778</v>
      </c>
      <c r="I1971">
        <v>693.2</v>
      </c>
      <c r="J1971">
        <v>743.7</v>
      </c>
      <c r="K1971">
        <v>681.5</v>
      </c>
      <c r="L1971">
        <v>49</v>
      </c>
      <c r="M1971" t="s">
        <v>151</v>
      </c>
      <c r="N1971">
        <v>344.13</v>
      </c>
      <c r="O1971">
        <v>614</v>
      </c>
    </row>
    <row r="1972" spans="1:15" x14ac:dyDescent="0.2">
      <c r="A1972" s="6">
        <v>45835</v>
      </c>
      <c r="B1972" t="s">
        <v>15</v>
      </c>
      <c r="C1972" t="s">
        <v>16</v>
      </c>
      <c r="D1972" s="1">
        <v>45855</v>
      </c>
      <c r="E1972" t="s">
        <v>17</v>
      </c>
      <c r="F1972">
        <v>5850</v>
      </c>
      <c r="G1972">
        <v>111.1</v>
      </c>
      <c r="H1972">
        <v>119.1</v>
      </c>
      <c r="I1972">
        <v>86.3</v>
      </c>
      <c r="J1972">
        <v>94.9</v>
      </c>
      <c r="K1972">
        <v>113.6</v>
      </c>
      <c r="L1972">
        <v>12152</v>
      </c>
      <c r="M1972" t="s">
        <v>925</v>
      </c>
      <c r="N1972">
        <v>72328.69</v>
      </c>
      <c r="O1972">
        <v>1194</v>
      </c>
    </row>
    <row r="1973" spans="1:15" x14ac:dyDescent="0.2">
      <c r="A1973" s="6">
        <v>45835</v>
      </c>
      <c r="B1973" t="s">
        <v>15</v>
      </c>
      <c r="C1973" t="s">
        <v>16</v>
      </c>
      <c r="D1973" s="1">
        <v>45855</v>
      </c>
      <c r="E1973" t="s">
        <v>19</v>
      </c>
      <c r="F1973">
        <v>4350</v>
      </c>
      <c r="J1973">
        <v>2</v>
      </c>
      <c r="K1973">
        <v>2.7</v>
      </c>
      <c r="L1973">
        <v>0</v>
      </c>
      <c r="M1973" t="s">
        <v>18</v>
      </c>
      <c r="N1973">
        <v>0</v>
      </c>
      <c r="O1973">
        <v>0</v>
      </c>
    </row>
    <row r="1974" spans="1:15" x14ac:dyDescent="0.2">
      <c r="A1974" s="6">
        <v>45835</v>
      </c>
      <c r="B1974" t="s">
        <v>15</v>
      </c>
      <c r="C1974" t="s">
        <v>16</v>
      </c>
      <c r="D1974" s="1">
        <v>45855</v>
      </c>
      <c r="E1974" t="s">
        <v>19</v>
      </c>
      <c r="F1974">
        <v>7050</v>
      </c>
      <c r="J1974">
        <v>1448.8</v>
      </c>
      <c r="K1974">
        <v>1427.3</v>
      </c>
      <c r="L1974">
        <v>0</v>
      </c>
      <c r="M1974" t="s">
        <v>18</v>
      </c>
      <c r="N1974">
        <v>0</v>
      </c>
      <c r="O1974">
        <v>0</v>
      </c>
    </row>
    <row r="1975" spans="1:15" x14ac:dyDescent="0.2">
      <c r="A1975" s="6">
        <v>45835</v>
      </c>
      <c r="B1975" t="s">
        <v>15</v>
      </c>
      <c r="C1975" t="s">
        <v>16</v>
      </c>
      <c r="D1975" s="1">
        <v>45855</v>
      </c>
      <c r="E1975" t="s">
        <v>19</v>
      </c>
      <c r="F1975">
        <v>6600</v>
      </c>
      <c r="G1975">
        <v>997.4</v>
      </c>
      <c r="H1975">
        <v>997.4</v>
      </c>
      <c r="I1975">
        <v>996.2</v>
      </c>
      <c r="J1975">
        <v>996.3</v>
      </c>
      <c r="K1975">
        <v>1020.3</v>
      </c>
      <c r="L1975">
        <v>11</v>
      </c>
      <c r="M1975" t="s">
        <v>236</v>
      </c>
      <c r="N1975">
        <v>83.56</v>
      </c>
      <c r="O1975">
        <v>179</v>
      </c>
    </row>
    <row r="1976" spans="1:15" x14ac:dyDescent="0.2">
      <c r="A1976" s="6">
        <v>45835</v>
      </c>
      <c r="B1976" t="s">
        <v>15</v>
      </c>
      <c r="C1976" t="s">
        <v>16</v>
      </c>
      <c r="D1976" s="1">
        <v>45855</v>
      </c>
      <c r="E1976" t="s">
        <v>17</v>
      </c>
      <c r="F1976">
        <v>6150</v>
      </c>
      <c r="G1976">
        <v>59.8</v>
      </c>
      <c r="H1976">
        <v>62.2</v>
      </c>
      <c r="I1976">
        <v>44.1</v>
      </c>
      <c r="J1976">
        <v>47.9</v>
      </c>
      <c r="K1976">
        <v>60</v>
      </c>
      <c r="L1976">
        <v>1700</v>
      </c>
      <c r="M1976" t="s">
        <v>926</v>
      </c>
      <c r="N1976">
        <v>10545.03</v>
      </c>
      <c r="O1976">
        <v>655</v>
      </c>
    </row>
    <row r="1977" spans="1:15" x14ac:dyDescent="0.2">
      <c r="A1977" s="6">
        <v>45835</v>
      </c>
      <c r="B1977" t="s">
        <v>15</v>
      </c>
      <c r="C1977" t="s">
        <v>16</v>
      </c>
      <c r="D1977" s="1">
        <v>45855</v>
      </c>
      <c r="E1977" t="s">
        <v>19</v>
      </c>
      <c r="F1977">
        <v>5550</v>
      </c>
      <c r="G1977">
        <v>163.80000000000001</v>
      </c>
      <c r="H1977">
        <v>189.3</v>
      </c>
      <c r="I1977">
        <v>138.9</v>
      </c>
      <c r="J1977">
        <v>159.80000000000001</v>
      </c>
      <c r="K1977">
        <v>158.69999999999999</v>
      </c>
      <c r="L1977">
        <v>43075</v>
      </c>
      <c r="M1977" t="s">
        <v>927</v>
      </c>
      <c r="N1977">
        <v>246093.38</v>
      </c>
      <c r="O1977">
        <v>1418</v>
      </c>
    </row>
    <row r="1978" spans="1:15" x14ac:dyDescent="0.2">
      <c r="A1978" s="6">
        <v>45835</v>
      </c>
      <c r="B1978" t="s">
        <v>15</v>
      </c>
      <c r="C1978" t="s">
        <v>16</v>
      </c>
      <c r="D1978" s="1">
        <v>45855</v>
      </c>
      <c r="E1978" t="s">
        <v>19</v>
      </c>
      <c r="F1978">
        <v>4150</v>
      </c>
      <c r="J1978">
        <v>0.5</v>
      </c>
      <c r="K1978">
        <v>0.8</v>
      </c>
      <c r="L1978">
        <v>0</v>
      </c>
      <c r="M1978" t="s">
        <v>18</v>
      </c>
      <c r="N1978">
        <v>0</v>
      </c>
      <c r="O1978">
        <v>0</v>
      </c>
    </row>
    <row r="1979" spans="1:15" x14ac:dyDescent="0.2">
      <c r="A1979" s="6">
        <v>45835</v>
      </c>
      <c r="B1979" t="s">
        <v>15</v>
      </c>
      <c r="C1979" t="s">
        <v>16</v>
      </c>
      <c r="D1979" s="1">
        <v>45855</v>
      </c>
      <c r="E1979" t="s">
        <v>17</v>
      </c>
      <c r="F1979">
        <v>4050</v>
      </c>
      <c r="J1979">
        <v>1546.2</v>
      </c>
      <c r="K1979">
        <v>1570</v>
      </c>
      <c r="L1979">
        <v>0</v>
      </c>
      <c r="M1979" t="s">
        <v>18</v>
      </c>
      <c r="N1979">
        <v>0</v>
      </c>
      <c r="O1979">
        <v>0</v>
      </c>
    </row>
    <row r="1980" spans="1:15" x14ac:dyDescent="0.2">
      <c r="A1980" s="6">
        <v>45835</v>
      </c>
      <c r="B1980" t="s">
        <v>15</v>
      </c>
      <c r="C1980" t="s">
        <v>16</v>
      </c>
      <c r="D1980" s="1">
        <v>45855</v>
      </c>
      <c r="E1980" t="s">
        <v>17</v>
      </c>
      <c r="F1980">
        <v>7400</v>
      </c>
      <c r="G1980">
        <v>18.5</v>
      </c>
      <c r="H1980">
        <v>19.5</v>
      </c>
      <c r="I1980">
        <v>15.7</v>
      </c>
      <c r="J1980">
        <v>16.8</v>
      </c>
      <c r="K1980">
        <v>18.5</v>
      </c>
      <c r="L1980">
        <v>664</v>
      </c>
      <c r="M1980" t="s">
        <v>928</v>
      </c>
      <c r="N1980">
        <v>4925.3500000000004</v>
      </c>
      <c r="O1980">
        <v>2036</v>
      </c>
    </row>
    <row r="1981" spans="1:15" x14ac:dyDescent="0.2">
      <c r="A1981" s="6">
        <v>45835</v>
      </c>
      <c r="B1981" t="s">
        <v>15</v>
      </c>
      <c r="C1981" t="s">
        <v>16</v>
      </c>
      <c r="D1981" s="1">
        <v>45855</v>
      </c>
      <c r="E1981" t="s">
        <v>19</v>
      </c>
      <c r="F1981">
        <v>7650</v>
      </c>
      <c r="J1981">
        <v>2042.8</v>
      </c>
      <c r="K1981">
        <v>2019</v>
      </c>
      <c r="L1981">
        <v>0</v>
      </c>
      <c r="M1981" t="s">
        <v>18</v>
      </c>
      <c r="N1981">
        <v>0</v>
      </c>
      <c r="O1981">
        <v>0</v>
      </c>
    </row>
    <row r="1982" spans="1:15" x14ac:dyDescent="0.2">
      <c r="A1982" s="6">
        <v>45835</v>
      </c>
      <c r="B1982" t="s">
        <v>15</v>
      </c>
      <c r="C1982" t="s">
        <v>16</v>
      </c>
      <c r="D1982" s="1">
        <v>45855</v>
      </c>
      <c r="E1982" t="s">
        <v>17</v>
      </c>
      <c r="F1982">
        <v>7700</v>
      </c>
      <c r="G1982">
        <v>13.2</v>
      </c>
      <c r="H1982">
        <v>14.3</v>
      </c>
      <c r="I1982">
        <v>11</v>
      </c>
      <c r="J1982">
        <v>12.1</v>
      </c>
      <c r="K1982">
        <v>14.6</v>
      </c>
      <c r="L1982">
        <v>761</v>
      </c>
      <c r="M1982" t="s">
        <v>929</v>
      </c>
      <c r="N1982">
        <v>5869.83</v>
      </c>
      <c r="O1982">
        <v>2216</v>
      </c>
    </row>
    <row r="1983" spans="1:15" x14ac:dyDescent="0.2">
      <c r="A1983" s="6">
        <v>45835</v>
      </c>
      <c r="B1983" t="s">
        <v>15</v>
      </c>
      <c r="C1983" t="s">
        <v>16</v>
      </c>
      <c r="D1983" s="1">
        <v>45855</v>
      </c>
      <c r="E1983" t="s">
        <v>19</v>
      </c>
      <c r="F1983">
        <v>3800</v>
      </c>
      <c r="J1983">
        <v>0.1</v>
      </c>
      <c r="K1983">
        <v>0.1</v>
      </c>
      <c r="L1983">
        <v>0</v>
      </c>
      <c r="M1983" t="s">
        <v>18</v>
      </c>
      <c r="N1983">
        <v>0</v>
      </c>
      <c r="O1983">
        <v>0</v>
      </c>
    </row>
    <row r="1984" spans="1:15" x14ac:dyDescent="0.2">
      <c r="A1984" s="6">
        <v>45835</v>
      </c>
      <c r="B1984" t="s">
        <v>15</v>
      </c>
      <c r="C1984" t="s">
        <v>16</v>
      </c>
      <c r="D1984" s="1">
        <v>45855</v>
      </c>
      <c r="E1984" t="s">
        <v>19</v>
      </c>
      <c r="F1984">
        <v>7000</v>
      </c>
      <c r="J1984">
        <v>1399.8</v>
      </c>
      <c r="K1984">
        <v>1378.7</v>
      </c>
      <c r="L1984">
        <v>0</v>
      </c>
      <c r="M1984" t="s">
        <v>18</v>
      </c>
      <c r="N1984">
        <v>0</v>
      </c>
      <c r="O1984">
        <v>12</v>
      </c>
    </row>
    <row r="1985" spans="1:15" x14ac:dyDescent="0.2">
      <c r="A1985" s="6">
        <v>45835</v>
      </c>
      <c r="B1985" t="s">
        <v>15</v>
      </c>
      <c r="C1985" t="s">
        <v>16</v>
      </c>
      <c r="D1985" s="1">
        <v>45855</v>
      </c>
      <c r="E1985" t="s">
        <v>19</v>
      </c>
      <c r="F1985">
        <v>5500</v>
      </c>
      <c r="G1985">
        <v>134.9</v>
      </c>
      <c r="H1985">
        <v>164.3</v>
      </c>
      <c r="I1985">
        <v>118.7</v>
      </c>
      <c r="J1985">
        <v>138.1</v>
      </c>
      <c r="K1985">
        <v>136.5</v>
      </c>
      <c r="L1985">
        <v>105717</v>
      </c>
      <c r="M1985" t="s">
        <v>930</v>
      </c>
      <c r="N1985">
        <v>596173.17000000004</v>
      </c>
      <c r="O1985">
        <v>6260</v>
      </c>
    </row>
    <row r="1986" spans="1:15" x14ac:dyDescent="0.2">
      <c r="A1986" s="6">
        <v>45835</v>
      </c>
      <c r="B1986" t="s">
        <v>15</v>
      </c>
      <c r="C1986" t="s">
        <v>16</v>
      </c>
      <c r="D1986" s="1">
        <v>45855</v>
      </c>
      <c r="E1986" t="s">
        <v>19</v>
      </c>
      <c r="F1986">
        <v>5850</v>
      </c>
      <c r="G1986">
        <v>336</v>
      </c>
      <c r="H1986">
        <v>376.6</v>
      </c>
      <c r="I1986">
        <v>307</v>
      </c>
      <c r="J1986">
        <v>343.4</v>
      </c>
      <c r="K1986">
        <v>334.1</v>
      </c>
      <c r="L1986">
        <v>842</v>
      </c>
      <c r="M1986" t="s">
        <v>931</v>
      </c>
      <c r="N1986">
        <v>5211.47</v>
      </c>
      <c r="O1986">
        <v>90</v>
      </c>
    </row>
    <row r="1987" spans="1:15" x14ac:dyDescent="0.2">
      <c r="A1987" s="6">
        <v>45835</v>
      </c>
      <c r="B1987" t="s">
        <v>15</v>
      </c>
      <c r="C1987" t="s">
        <v>16</v>
      </c>
      <c r="D1987" s="1">
        <v>45855</v>
      </c>
      <c r="E1987" t="s">
        <v>19</v>
      </c>
      <c r="F1987">
        <v>6450</v>
      </c>
      <c r="G1987">
        <v>862.2</v>
      </c>
      <c r="H1987">
        <v>862.2</v>
      </c>
      <c r="I1987">
        <v>846.4</v>
      </c>
      <c r="J1987">
        <v>856.4</v>
      </c>
      <c r="K1987">
        <v>835.1</v>
      </c>
      <c r="L1987">
        <v>15</v>
      </c>
      <c r="M1987" t="s">
        <v>278</v>
      </c>
      <c r="N1987">
        <v>109.6</v>
      </c>
      <c r="O1987">
        <v>837</v>
      </c>
    </row>
    <row r="1988" spans="1:15" x14ac:dyDescent="0.2">
      <c r="A1988" s="6">
        <v>45835</v>
      </c>
      <c r="B1988" t="s">
        <v>15</v>
      </c>
      <c r="C1988" t="s">
        <v>16</v>
      </c>
      <c r="D1988" s="1">
        <v>45855</v>
      </c>
      <c r="E1988" t="s">
        <v>19</v>
      </c>
      <c r="F1988">
        <v>6100</v>
      </c>
      <c r="G1988">
        <v>541.5</v>
      </c>
      <c r="H1988">
        <v>580</v>
      </c>
      <c r="I1988">
        <v>505</v>
      </c>
      <c r="J1988">
        <v>552.9</v>
      </c>
      <c r="K1988">
        <v>539.20000000000005</v>
      </c>
      <c r="L1988">
        <v>212</v>
      </c>
      <c r="M1988" t="s">
        <v>932</v>
      </c>
      <c r="N1988">
        <v>1409.33</v>
      </c>
      <c r="O1988">
        <v>378</v>
      </c>
    </row>
    <row r="1989" spans="1:15" x14ac:dyDescent="0.2">
      <c r="A1989" s="6">
        <v>45835</v>
      </c>
      <c r="B1989" t="s">
        <v>15</v>
      </c>
      <c r="C1989" t="s">
        <v>16</v>
      </c>
      <c r="D1989" s="1">
        <v>45855</v>
      </c>
      <c r="E1989" t="s">
        <v>17</v>
      </c>
      <c r="F1989">
        <v>7100</v>
      </c>
      <c r="G1989">
        <v>21</v>
      </c>
      <c r="H1989">
        <v>21.2</v>
      </c>
      <c r="I1989">
        <v>17.8</v>
      </c>
      <c r="J1989">
        <v>19.100000000000001</v>
      </c>
      <c r="K1989">
        <v>21.8</v>
      </c>
      <c r="L1989">
        <v>378</v>
      </c>
      <c r="M1989" t="s">
        <v>933</v>
      </c>
      <c r="N1989">
        <v>2691.23</v>
      </c>
      <c r="O1989">
        <v>438</v>
      </c>
    </row>
    <row r="1990" spans="1:15" x14ac:dyDescent="0.2">
      <c r="A1990" s="6">
        <v>45835</v>
      </c>
      <c r="B1990" t="s">
        <v>15</v>
      </c>
      <c r="C1990" t="s">
        <v>16</v>
      </c>
      <c r="D1990" s="1">
        <v>45855</v>
      </c>
      <c r="E1990" t="s">
        <v>19</v>
      </c>
      <c r="F1990">
        <v>7300</v>
      </c>
      <c r="J1990">
        <v>1695.3</v>
      </c>
      <c r="K1990">
        <v>1672.4</v>
      </c>
      <c r="L1990">
        <v>0</v>
      </c>
      <c r="M1990" t="s">
        <v>18</v>
      </c>
      <c r="N1990">
        <v>0</v>
      </c>
      <c r="O1990">
        <v>0</v>
      </c>
    </row>
    <row r="1991" spans="1:15" x14ac:dyDescent="0.2">
      <c r="A1991" s="6">
        <v>45835</v>
      </c>
      <c r="B1991" t="s">
        <v>15</v>
      </c>
      <c r="C1991" t="s">
        <v>16</v>
      </c>
      <c r="D1991" s="1">
        <v>45855</v>
      </c>
      <c r="E1991" t="s">
        <v>19</v>
      </c>
      <c r="F1991">
        <v>5750</v>
      </c>
      <c r="G1991">
        <v>275.7</v>
      </c>
      <c r="H1991">
        <v>308</v>
      </c>
      <c r="I1991">
        <v>239.9</v>
      </c>
      <c r="J1991">
        <v>269.5</v>
      </c>
      <c r="K1991">
        <v>265.8</v>
      </c>
      <c r="L1991">
        <v>5378</v>
      </c>
      <c r="M1991" t="s">
        <v>934</v>
      </c>
      <c r="N1991">
        <v>32357.279999999999</v>
      </c>
      <c r="O1991">
        <v>1012</v>
      </c>
    </row>
    <row r="1992" spans="1:15" x14ac:dyDescent="0.2">
      <c r="A1992" s="6">
        <v>45835</v>
      </c>
      <c r="B1992" t="s">
        <v>15</v>
      </c>
      <c r="C1992" t="s">
        <v>16</v>
      </c>
      <c r="D1992" s="1">
        <v>45855</v>
      </c>
      <c r="E1992" t="s">
        <v>17</v>
      </c>
      <c r="F1992">
        <v>4300</v>
      </c>
      <c r="J1992">
        <v>1298.2</v>
      </c>
      <c r="K1992">
        <v>1322.5</v>
      </c>
      <c r="L1992">
        <v>0</v>
      </c>
      <c r="M1992" t="s">
        <v>18</v>
      </c>
      <c r="N1992">
        <v>0</v>
      </c>
      <c r="O1992">
        <v>0</v>
      </c>
    </row>
    <row r="1993" spans="1:15" x14ac:dyDescent="0.2">
      <c r="A1993" s="6">
        <v>45835</v>
      </c>
      <c r="B1993" t="s">
        <v>15</v>
      </c>
      <c r="C1993" t="s">
        <v>16</v>
      </c>
      <c r="D1993" s="1">
        <v>45855</v>
      </c>
      <c r="E1993" t="s">
        <v>17</v>
      </c>
      <c r="F1993">
        <v>4700</v>
      </c>
      <c r="J1993">
        <v>911.3</v>
      </c>
      <c r="K1993">
        <v>937.5</v>
      </c>
      <c r="L1993">
        <v>0</v>
      </c>
      <c r="M1993" t="s">
        <v>18</v>
      </c>
      <c r="N1993">
        <v>0</v>
      </c>
      <c r="O1993">
        <v>0</v>
      </c>
    </row>
    <row r="1994" spans="1:15" x14ac:dyDescent="0.2">
      <c r="A1994" s="6">
        <v>45834</v>
      </c>
      <c r="B1994" t="s">
        <v>15</v>
      </c>
      <c r="C1994" t="s">
        <v>16</v>
      </c>
      <c r="D1994" s="1">
        <v>45855</v>
      </c>
      <c r="E1994" t="s">
        <v>19</v>
      </c>
      <c r="F1994">
        <v>6650</v>
      </c>
      <c r="G1994">
        <v>1061.9000000000001</v>
      </c>
      <c r="H1994">
        <v>1064.8</v>
      </c>
      <c r="I1994">
        <v>1061.9000000000001</v>
      </c>
      <c r="J1994">
        <v>1063.4000000000001</v>
      </c>
      <c r="K1994">
        <v>1034.5999999999999</v>
      </c>
      <c r="L1994">
        <v>4</v>
      </c>
      <c r="M1994" t="s">
        <v>78</v>
      </c>
      <c r="N1994">
        <v>30.85</v>
      </c>
      <c r="O1994">
        <v>25</v>
      </c>
    </row>
    <row r="1995" spans="1:15" x14ac:dyDescent="0.2">
      <c r="A1995" s="6">
        <v>45834</v>
      </c>
      <c r="B1995" t="s">
        <v>15</v>
      </c>
      <c r="C1995" t="s">
        <v>16</v>
      </c>
      <c r="D1995" s="1">
        <v>45855</v>
      </c>
      <c r="E1995" t="s">
        <v>19</v>
      </c>
      <c r="F1995">
        <v>6050</v>
      </c>
      <c r="G1995">
        <v>525</v>
      </c>
      <c r="H1995">
        <v>553.6</v>
      </c>
      <c r="I1995">
        <v>449.4</v>
      </c>
      <c r="J1995">
        <v>487.7</v>
      </c>
      <c r="K1995">
        <v>491.3</v>
      </c>
      <c r="L1995">
        <v>27</v>
      </c>
      <c r="M1995" t="s">
        <v>54</v>
      </c>
      <c r="N1995">
        <v>177.14</v>
      </c>
      <c r="O1995">
        <v>123</v>
      </c>
    </row>
    <row r="1996" spans="1:15" x14ac:dyDescent="0.2">
      <c r="A1996" s="6">
        <v>45834</v>
      </c>
      <c r="B1996" t="s">
        <v>15</v>
      </c>
      <c r="C1996" t="s">
        <v>16</v>
      </c>
      <c r="D1996" s="1">
        <v>45855</v>
      </c>
      <c r="E1996" t="s">
        <v>17</v>
      </c>
      <c r="F1996">
        <v>5100</v>
      </c>
      <c r="G1996">
        <v>549.6</v>
      </c>
      <c r="H1996">
        <v>576</v>
      </c>
      <c r="I1996">
        <v>515.29999999999995</v>
      </c>
      <c r="J1996">
        <v>549.20000000000005</v>
      </c>
      <c r="K1996">
        <v>591.79999999999995</v>
      </c>
      <c r="L1996">
        <v>11</v>
      </c>
      <c r="M1996" t="s">
        <v>236</v>
      </c>
      <c r="N1996">
        <v>62.14</v>
      </c>
      <c r="O1996">
        <v>10</v>
      </c>
    </row>
    <row r="1997" spans="1:15" x14ac:dyDescent="0.2">
      <c r="A1997" s="6">
        <v>45834</v>
      </c>
      <c r="B1997" t="s">
        <v>15</v>
      </c>
      <c r="C1997" t="s">
        <v>16</v>
      </c>
      <c r="D1997" s="1">
        <v>45855</v>
      </c>
      <c r="E1997" t="s">
        <v>17</v>
      </c>
      <c r="F1997">
        <v>5250</v>
      </c>
      <c r="G1997">
        <v>430.5</v>
      </c>
      <c r="H1997">
        <v>451.2</v>
      </c>
      <c r="I1997">
        <v>420</v>
      </c>
      <c r="J1997">
        <v>441</v>
      </c>
      <c r="K1997">
        <v>448.6</v>
      </c>
      <c r="L1997">
        <v>22</v>
      </c>
      <c r="M1997" t="s">
        <v>935</v>
      </c>
      <c r="N1997">
        <v>125.1</v>
      </c>
      <c r="O1997">
        <v>31</v>
      </c>
    </row>
    <row r="1998" spans="1:15" x14ac:dyDescent="0.2">
      <c r="A1998" s="6">
        <v>45834</v>
      </c>
      <c r="B1998" t="s">
        <v>15</v>
      </c>
      <c r="C1998" t="s">
        <v>16</v>
      </c>
      <c r="D1998" s="1">
        <v>45855</v>
      </c>
      <c r="E1998" t="s">
        <v>17</v>
      </c>
      <c r="F1998">
        <v>4200</v>
      </c>
      <c r="J1998">
        <v>1421.2</v>
      </c>
      <c r="K1998">
        <v>1439.4</v>
      </c>
      <c r="L1998">
        <v>0</v>
      </c>
      <c r="M1998" t="s">
        <v>18</v>
      </c>
      <c r="N1998">
        <v>0</v>
      </c>
      <c r="O1998">
        <v>0</v>
      </c>
    </row>
    <row r="1999" spans="1:15" x14ac:dyDescent="0.2">
      <c r="A1999" s="6">
        <v>45834</v>
      </c>
      <c r="B1999" t="s">
        <v>15</v>
      </c>
      <c r="C1999" t="s">
        <v>16</v>
      </c>
      <c r="D1999" s="1">
        <v>45855</v>
      </c>
      <c r="E1999" t="s">
        <v>17</v>
      </c>
      <c r="F1999">
        <v>4650</v>
      </c>
      <c r="J1999">
        <v>984.2</v>
      </c>
      <c r="K1999">
        <v>1004.7</v>
      </c>
      <c r="L1999">
        <v>0</v>
      </c>
      <c r="M1999" t="s">
        <v>18</v>
      </c>
      <c r="N1999">
        <v>0</v>
      </c>
      <c r="O1999">
        <v>0</v>
      </c>
    </row>
    <row r="2000" spans="1:15" x14ac:dyDescent="0.2">
      <c r="A2000" s="6">
        <v>45834</v>
      </c>
      <c r="B2000" t="s">
        <v>15</v>
      </c>
      <c r="C2000" t="s">
        <v>16</v>
      </c>
      <c r="D2000" s="1">
        <v>45855</v>
      </c>
      <c r="E2000" t="s">
        <v>19</v>
      </c>
      <c r="F2000">
        <v>5100</v>
      </c>
      <c r="G2000">
        <v>48.2</v>
      </c>
      <c r="H2000">
        <v>53.5</v>
      </c>
      <c r="I2000">
        <v>35.5</v>
      </c>
      <c r="J2000">
        <v>42.2</v>
      </c>
      <c r="K2000">
        <v>44.8</v>
      </c>
      <c r="L2000">
        <v>14587</v>
      </c>
      <c r="M2000" t="s">
        <v>936</v>
      </c>
      <c r="N2000">
        <v>75044.39</v>
      </c>
      <c r="O2000">
        <v>1755</v>
      </c>
    </row>
    <row r="2001" spans="1:15" x14ac:dyDescent="0.2">
      <c r="A2001" s="6">
        <v>45834</v>
      </c>
      <c r="B2001" t="s">
        <v>15</v>
      </c>
      <c r="C2001" t="s">
        <v>16</v>
      </c>
      <c r="D2001" s="1">
        <v>45855</v>
      </c>
      <c r="E2001" t="s">
        <v>17</v>
      </c>
      <c r="F2001">
        <v>4900</v>
      </c>
      <c r="G2001">
        <v>721.1</v>
      </c>
      <c r="H2001">
        <v>721.1</v>
      </c>
      <c r="I2001">
        <v>706.1</v>
      </c>
      <c r="J2001">
        <v>711.3</v>
      </c>
      <c r="K2001">
        <v>780</v>
      </c>
      <c r="L2001">
        <v>3</v>
      </c>
      <c r="M2001" t="s">
        <v>34</v>
      </c>
      <c r="N2001">
        <v>16.829999999999998</v>
      </c>
      <c r="O2001">
        <v>0</v>
      </c>
    </row>
    <row r="2002" spans="1:15" x14ac:dyDescent="0.2">
      <c r="A2002" s="6">
        <v>45834</v>
      </c>
      <c r="B2002" t="s">
        <v>15</v>
      </c>
      <c r="C2002" t="s">
        <v>16</v>
      </c>
      <c r="D2002" s="1">
        <v>45855</v>
      </c>
      <c r="E2002" t="s">
        <v>17</v>
      </c>
      <c r="F2002">
        <v>4800</v>
      </c>
      <c r="J2002">
        <v>845.9</v>
      </c>
      <c r="K2002">
        <v>867.7</v>
      </c>
      <c r="L2002">
        <v>0</v>
      </c>
      <c r="M2002" t="s">
        <v>18</v>
      </c>
      <c r="N2002">
        <v>0</v>
      </c>
      <c r="O2002">
        <v>0</v>
      </c>
    </row>
    <row r="2003" spans="1:15" x14ac:dyDescent="0.2">
      <c r="A2003" s="6">
        <v>45834</v>
      </c>
      <c r="B2003" t="s">
        <v>15</v>
      </c>
      <c r="C2003" t="s">
        <v>16</v>
      </c>
      <c r="D2003" s="1">
        <v>45855</v>
      </c>
      <c r="E2003" t="s">
        <v>19</v>
      </c>
      <c r="F2003">
        <v>4200</v>
      </c>
      <c r="J2003">
        <v>1.1000000000000001</v>
      </c>
      <c r="K2003">
        <v>1.6</v>
      </c>
      <c r="L2003">
        <v>0</v>
      </c>
      <c r="M2003" t="s">
        <v>18</v>
      </c>
      <c r="N2003">
        <v>0</v>
      </c>
      <c r="O2003">
        <v>0</v>
      </c>
    </row>
    <row r="2004" spans="1:15" x14ac:dyDescent="0.2">
      <c r="A2004" s="6">
        <v>45834</v>
      </c>
      <c r="B2004" t="s">
        <v>15</v>
      </c>
      <c r="C2004" t="s">
        <v>16</v>
      </c>
      <c r="D2004" s="1">
        <v>45855</v>
      </c>
      <c r="E2004" t="s">
        <v>17</v>
      </c>
      <c r="F2004">
        <v>5700</v>
      </c>
      <c r="G2004">
        <v>183.4</v>
      </c>
      <c r="H2004">
        <v>205.5</v>
      </c>
      <c r="I2004">
        <v>144.4</v>
      </c>
      <c r="J2004">
        <v>163.1</v>
      </c>
      <c r="K2004">
        <v>182</v>
      </c>
      <c r="L2004">
        <v>104162</v>
      </c>
      <c r="M2004" t="s">
        <v>937</v>
      </c>
      <c r="N2004">
        <v>611789</v>
      </c>
      <c r="O2004">
        <v>7179</v>
      </c>
    </row>
    <row r="2005" spans="1:15" x14ac:dyDescent="0.2">
      <c r="A2005" s="6">
        <v>45834</v>
      </c>
      <c r="B2005" t="s">
        <v>15</v>
      </c>
      <c r="C2005" t="s">
        <v>16</v>
      </c>
      <c r="D2005" s="1">
        <v>45855</v>
      </c>
      <c r="E2005" t="s">
        <v>17</v>
      </c>
      <c r="F2005">
        <v>5300</v>
      </c>
      <c r="G2005">
        <v>397.1</v>
      </c>
      <c r="H2005">
        <v>463.3</v>
      </c>
      <c r="I2005">
        <v>356.2</v>
      </c>
      <c r="J2005">
        <v>402.3</v>
      </c>
      <c r="K2005">
        <v>419</v>
      </c>
      <c r="L2005">
        <v>904</v>
      </c>
      <c r="M2005" t="s">
        <v>938</v>
      </c>
      <c r="N2005">
        <v>5156.03</v>
      </c>
      <c r="O2005">
        <v>86</v>
      </c>
    </row>
    <row r="2006" spans="1:15" x14ac:dyDescent="0.2">
      <c r="A2006" s="6">
        <v>45834</v>
      </c>
      <c r="B2006" t="s">
        <v>15</v>
      </c>
      <c r="C2006" t="s">
        <v>16</v>
      </c>
      <c r="D2006" s="1">
        <v>45855</v>
      </c>
      <c r="E2006" t="s">
        <v>17</v>
      </c>
      <c r="F2006">
        <v>4950</v>
      </c>
      <c r="J2006">
        <v>714.5</v>
      </c>
      <c r="K2006">
        <v>737.5</v>
      </c>
      <c r="L2006">
        <v>0</v>
      </c>
      <c r="M2006" t="s">
        <v>18</v>
      </c>
      <c r="N2006">
        <v>0</v>
      </c>
      <c r="O2006">
        <v>0</v>
      </c>
    </row>
    <row r="2007" spans="1:15" x14ac:dyDescent="0.2">
      <c r="A2007" s="6">
        <v>45834</v>
      </c>
      <c r="B2007" t="s">
        <v>15</v>
      </c>
      <c r="C2007" t="s">
        <v>16</v>
      </c>
      <c r="D2007" s="1">
        <v>45855</v>
      </c>
      <c r="E2007" t="s">
        <v>19</v>
      </c>
      <c r="F2007">
        <v>5250</v>
      </c>
      <c r="G2007">
        <v>72.8</v>
      </c>
      <c r="H2007">
        <v>84.3</v>
      </c>
      <c r="I2007">
        <v>55.5</v>
      </c>
      <c r="J2007">
        <v>65.7</v>
      </c>
      <c r="K2007">
        <v>70.3</v>
      </c>
      <c r="L2007">
        <v>4961</v>
      </c>
      <c r="M2007" t="s">
        <v>939</v>
      </c>
      <c r="N2007">
        <v>26387</v>
      </c>
      <c r="O2007">
        <v>660</v>
      </c>
    </row>
    <row r="2008" spans="1:15" x14ac:dyDescent="0.2">
      <c r="A2008" s="6">
        <v>45834</v>
      </c>
      <c r="B2008" t="s">
        <v>15</v>
      </c>
      <c r="C2008" t="s">
        <v>16</v>
      </c>
      <c r="D2008" s="1">
        <v>45855</v>
      </c>
      <c r="E2008" t="s">
        <v>19</v>
      </c>
      <c r="F2008">
        <v>7200</v>
      </c>
      <c r="J2008">
        <v>1574</v>
      </c>
      <c r="K2008">
        <v>1558.2</v>
      </c>
      <c r="L2008">
        <v>0</v>
      </c>
      <c r="M2008" t="s">
        <v>18</v>
      </c>
      <c r="N2008">
        <v>0</v>
      </c>
      <c r="O2008">
        <v>0</v>
      </c>
    </row>
    <row r="2009" spans="1:15" x14ac:dyDescent="0.2">
      <c r="A2009" s="6">
        <v>45834</v>
      </c>
      <c r="B2009" t="s">
        <v>15</v>
      </c>
      <c r="C2009" t="s">
        <v>16</v>
      </c>
      <c r="D2009" s="1">
        <v>45855</v>
      </c>
      <c r="E2009" t="s">
        <v>17</v>
      </c>
      <c r="F2009">
        <v>7300</v>
      </c>
      <c r="G2009">
        <v>17</v>
      </c>
      <c r="H2009">
        <v>22.2</v>
      </c>
      <c r="I2009">
        <v>16</v>
      </c>
      <c r="J2009">
        <v>17.5</v>
      </c>
      <c r="K2009">
        <v>20.9</v>
      </c>
      <c r="L2009">
        <v>1201</v>
      </c>
      <c r="M2009" t="s">
        <v>940</v>
      </c>
      <c r="N2009">
        <v>8788.94</v>
      </c>
      <c r="O2009">
        <v>1377</v>
      </c>
    </row>
    <row r="2010" spans="1:15" x14ac:dyDescent="0.2">
      <c r="A2010" s="6">
        <v>45834</v>
      </c>
      <c r="B2010" t="s">
        <v>15</v>
      </c>
      <c r="C2010" t="s">
        <v>16</v>
      </c>
      <c r="D2010" s="1">
        <v>45855</v>
      </c>
      <c r="E2010" t="s">
        <v>17</v>
      </c>
      <c r="F2010">
        <v>4450</v>
      </c>
      <c r="J2010">
        <v>1175.7</v>
      </c>
      <c r="K2010">
        <v>1194.8</v>
      </c>
      <c r="L2010">
        <v>0</v>
      </c>
      <c r="M2010" t="s">
        <v>18</v>
      </c>
      <c r="N2010">
        <v>0</v>
      </c>
      <c r="O2010">
        <v>0</v>
      </c>
    </row>
    <row r="2011" spans="1:15" x14ac:dyDescent="0.2">
      <c r="A2011" s="6">
        <v>45834</v>
      </c>
      <c r="B2011" t="s">
        <v>15</v>
      </c>
      <c r="C2011" t="s">
        <v>16</v>
      </c>
      <c r="D2011" s="1">
        <v>45855</v>
      </c>
      <c r="E2011" t="s">
        <v>17</v>
      </c>
      <c r="F2011">
        <v>4750</v>
      </c>
      <c r="J2011">
        <v>891.4</v>
      </c>
      <c r="K2011">
        <v>912.7</v>
      </c>
      <c r="L2011">
        <v>0</v>
      </c>
      <c r="M2011" t="s">
        <v>18</v>
      </c>
      <c r="N2011">
        <v>0</v>
      </c>
      <c r="O2011">
        <v>0</v>
      </c>
    </row>
    <row r="2012" spans="1:15" x14ac:dyDescent="0.2">
      <c r="A2012" s="6">
        <v>45834</v>
      </c>
      <c r="B2012" t="s">
        <v>15</v>
      </c>
      <c r="C2012" t="s">
        <v>16</v>
      </c>
      <c r="D2012" s="1">
        <v>45855</v>
      </c>
      <c r="E2012" t="s">
        <v>17</v>
      </c>
      <c r="F2012">
        <v>5200</v>
      </c>
      <c r="G2012">
        <v>472.5</v>
      </c>
      <c r="H2012">
        <v>535</v>
      </c>
      <c r="I2012">
        <v>435</v>
      </c>
      <c r="J2012">
        <v>480.6</v>
      </c>
      <c r="K2012">
        <v>501.3</v>
      </c>
      <c r="L2012">
        <v>317</v>
      </c>
      <c r="M2012" t="s">
        <v>609</v>
      </c>
      <c r="N2012">
        <v>1799.71</v>
      </c>
      <c r="O2012">
        <v>71</v>
      </c>
    </row>
    <row r="2013" spans="1:15" x14ac:dyDescent="0.2">
      <c r="A2013" s="6">
        <v>45834</v>
      </c>
      <c r="B2013" t="s">
        <v>15</v>
      </c>
      <c r="C2013" t="s">
        <v>16</v>
      </c>
      <c r="D2013" s="1">
        <v>45855</v>
      </c>
      <c r="E2013" t="s">
        <v>19</v>
      </c>
      <c r="F2013">
        <v>6950</v>
      </c>
      <c r="G2013">
        <v>1340</v>
      </c>
      <c r="H2013">
        <v>1340</v>
      </c>
      <c r="I2013">
        <v>1340</v>
      </c>
      <c r="J2013">
        <v>1340</v>
      </c>
      <c r="K2013">
        <v>1370.4</v>
      </c>
      <c r="L2013">
        <v>1</v>
      </c>
      <c r="M2013" t="s">
        <v>155</v>
      </c>
      <c r="N2013">
        <v>8.2899999999999991</v>
      </c>
      <c r="O2013">
        <v>15</v>
      </c>
    </row>
    <row r="2014" spans="1:15" x14ac:dyDescent="0.2">
      <c r="A2014" s="6">
        <v>45834</v>
      </c>
      <c r="B2014" t="s">
        <v>15</v>
      </c>
      <c r="C2014" t="s">
        <v>16</v>
      </c>
      <c r="D2014" s="1">
        <v>45855</v>
      </c>
      <c r="E2014" t="s">
        <v>19</v>
      </c>
      <c r="F2014">
        <v>3600</v>
      </c>
      <c r="J2014">
        <v>0.1</v>
      </c>
      <c r="K2014">
        <v>0.1</v>
      </c>
      <c r="L2014">
        <v>0</v>
      </c>
      <c r="M2014" t="s">
        <v>18</v>
      </c>
      <c r="N2014">
        <v>0</v>
      </c>
      <c r="O2014">
        <v>0</v>
      </c>
    </row>
    <row r="2015" spans="1:15" x14ac:dyDescent="0.2">
      <c r="A2015" s="6">
        <v>45834</v>
      </c>
      <c r="B2015" t="s">
        <v>15</v>
      </c>
      <c r="C2015" t="s">
        <v>16</v>
      </c>
      <c r="D2015" s="1">
        <v>45855</v>
      </c>
      <c r="E2015" t="s">
        <v>19</v>
      </c>
      <c r="F2015">
        <v>4900</v>
      </c>
      <c r="G2015">
        <v>28.1</v>
      </c>
      <c r="H2015">
        <v>34</v>
      </c>
      <c r="I2015">
        <v>23.9</v>
      </c>
      <c r="J2015">
        <v>27.8</v>
      </c>
      <c r="K2015">
        <v>30.3</v>
      </c>
      <c r="L2015">
        <v>1798</v>
      </c>
      <c r="M2015" t="s">
        <v>941</v>
      </c>
      <c r="N2015">
        <v>8863.56</v>
      </c>
      <c r="O2015">
        <v>446</v>
      </c>
    </row>
    <row r="2016" spans="1:15" x14ac:dyDescent="0.2">
      <c r="A2016" s="6">
        <v>45834</v>
      </c>
      <c r="B2016" t="s">
        <v>15</v>
      </c>
      <c r="C2016" t="s">
        <v>16</v>
      </c>
      <c r="D2016" s="1">
        <v>45855</v>
      </c>
      <c r="E2016" t="s">
        <v>17</v>
      </c>
      <c r="F2016">
        <v>4100</v>
      </c>
      <c r="J2016">
        <v>1520.3</v>
      </c>
      <c r="K2016">
        <v>1538.3</v>
      </c>
      <c r="L2016">
        <v>0</v>
      </c>
      <c r="M2016" t="s">
        <v>18</v>
      </c>
      <c r="N2016">
        <v>0</v>
      </c>
      <c r="O2016">
        <v>0</v>
      </c>
    </row>
    <row r="2017" spans="1:15" x14ac:dyDescent="0.2">
      <c r="A2017" s="6">
        <v>45834</v>
      </c>
      <c r="B2017" t="s">
        <v>15</v>
      </c>
      <c r="C2017" t="s">
        <v>16</v>
      </c>
      <c r="D2017" s="1">
        <v>45855</v>
      </c>
      <c r="E2017" t="s">
        <v>17</v>
      </c>
      <c r="F2017">
        <v>4400</v>
      </c>
      <c r="J2017">
        <v>1224.4000000000001</v>
      </c>
      <c r="K2017">
        <v>1243.3</v>
      </c>
      <c r="L2017">
        <v>0</v>
      </c>
      <c r="M2017" t="s">
        <v>18</v>
      </c>
      <c r="N2017">
        <v>0</v>
      </c>
      <c r="O2017">
        <v>0</v>
      </c>
    </row>
    <row r="2018" spans="1:15" x14ac:dyDescent="0.2">
      <c r="A2018" s="6">
        <v>45834</v>
      </c>
      <c r="B2018" t="s">
        <v>15</v>
      </c>
      <c r="C2018" t="s">
        <v>16</v>
      </c>
      <c r="D2018" s="1">
        <v>45855</v>
      </c>
      <c r="E2018" t="s">
        <v>17</v>
      </c>
      <c r="F2018">
        <v>5000</v>
      </c>
      <c r="G2018">
        <v>650</v>
      </c>
      <c r="H2018">
        <v>720.7</v>
      </c>
      <c r="I2018">
        <v>604</v>
      </c>
      <c r="J2018">
        <v>697.1</v>
      </c>
      <c r="K2018">
        <v>673.5</v>
      </c>
      <c r="L2018">
        <v>52</v>
      </c>
      <c r="M2018" t="s">
        <v>904</v>
      </c>
      <c r="N2018">
        <v>293.95</v>
      </c>
      <c r="O2018">
        <v>27</v>
      </c>
    </row>
    <row r="2019" spans="1:15" x14ac:dyDescent="0.2">
      <c r="A2019" s="6">
        <v>45834</v>
      </c>
      <c r="B2019" t="s">
        <v>15</v>
      </c>
      <c r="C2019" t="s">
        <v>16</v>
      </c>
      <c r="D2019" s="1">
        <v>45855</v>
      </c>
      <c r="E2019" t="s">
        <v>17</v>
      </c>
      <c r="F2019">
        <v>5150</v>
      </c>
      <c r="J2019">
        <v>553.70000000000005</v>
      </c>
      <c r="K2019">
        <v>527.4</v>
      </c>
      <c r="L2019">
        <v>0</v>
      </c>
      <c r="M2019" t="s">
        <v>18</v>
      </c>
      <c r="N2019">
        <v>0</v>
      </c>
      <c r="O2019">
        <v>3</v>
      </c>
    </row>
    <row r="2020" spans="1:15" x14ac:dyDescent="0.2">
      <c r="A2020" s="6">
        <v>45834</v>
      </c>
      <c r="B2020" t="s">
        <v>15</v>
      </c>
      <c r="C2020" t="s">
        <v>16</v>
      </c>
      <c r="D2020" s="1">
        <v>45855</v>
      </c>
      <c r="E2020" t="s">
        <v>17</v>
      </c>
      <c r="F2020">
        <v>4500</v>
      </c>
      <c r="J2020">
        <v>1127.2</v>
      </c>
      <c r="K2020">
        <v>1146.7</v>
      </c>
      <c r="L2020">
        <v>0</v>
      </c>
      <c r="M2020" t="s">
        <v>18</v>
      </c>
      <c r="N2020">
        <v>0</v>
      </c>
      <c r="O2020">
        <v>0</v>
      </c>
    </row>
    <row r="2021" spans="1:15" x14ac:dyDescent="0.2">
      <c r="A2021" s="6">
        <v>45834</v>
      </c>
      <c r="B2021" t="s">
        <v>15</v>
      </c>
      <c r="C2021" t="s">
        <v>16</v>
      </c>
      <c r="D2021" s="1">
        <v>45855</v>
      </c>
      <c r="E2021" t="s">
        <v>17</v>
      </c>
      <c r="F2021">
        <v>3700</v>
      </c>
      <c r="J2021">
        <v>1918.4</v>
      </c>
      <c r="K2021">
        <v>1936.1</v>
      </c>
      <c r="L2021">
        <v>0</v>
      </c>
      <c r="M2021" t="s">
        <v>18</v>
      </c>
      <c r="N2021">
        <v>0</v>
      </c>
      <c r="O2021">
        <v>0</v>
      </c>
    </row>
    <row r="2022" spans="1:15" x14ac:dyDescent="0.2">
      <c r="A2022" s="6">
        <v>45834</v>
      </c>
      <c r="B2022" t="s">
        <v>15</v>
      </c>
      <c r="C2022" t="s">
        <v>16</v>
      </c>
      <c r="D2022" s="1">
        <v>45855</v>
      </c>
      <c r="E2022" t="s">
        <v>17</v>
      </c>
      <c r="F2022">
        <v>4350</v>
      </c>
      <c r="J2022">
        <v>1273.3</v>
      </c>
      <c r="K2022">
        <v>1292</v>
      </c>
      <c r="L2022">
        <v>0</v>
      </c>
      <c r="M2022" t="s">
        <v>18</v>
      </c>
      <c r="N2022">
        <v>0</v>
      </c>
      <c r="O2022">
        <v>0</v>
      </c>
    </row>
    <row r="2023" spans="1:15" x14ac:dyDescent="0.2">
      <c r="A2023" s="6">
        <v>45834</v>
      </c>
      <c r="B2023" t="s">
        <v>15</v>
      </c>
      <c r="C2023" t="s">
        <v>16</v>
      </c>
      <c r="D2023" s="1">
        <v>45855</v>
      </c>
      <c r="E2023" t="s">
        <v>19</v>
      </c>
      <c r="F2023">
        <v>6150</v>
      </c>
      <c r="G2023">
        <v>593.9</v>
      </c>
      <c r="H2023">
        <v>621.9</v>
      </c>
      <c r="I2023">
        <v>526.79999999999995</v>
      </c>
      <c r="J2023">
        <v>541.70000000000005</v>
      </c>
      <c r="K2023">
        <v>587.6</v>
      </c>
      <c r="L2023">
        <v>80</v>
      </c>
      <c r="M2023" t="s">
        <v>769</v>
      </c>
      <c r="N2023">
        <v>539.79</v>
      </c>
      <c r="O2023">
        <v>136</v>
      </c>
    </row>
    <row r="2024" spans="1:15" x14ac:dyDescent="0.2">
      <c r="A2024" s="6">
        <v>45834</v>
      </c>
      <c r="B2024" t="s">
        <v>15</v>
      </c>
      <c r="C2024" t="s">
        <v>16</v>
      </c>
      <c r="D2024" s="1">
        <v>45855</v>
      </c>
      <c r="E2024" t="s">
        <v>17</v>
      </c>
      <c r="F2024">
        <v>7450</v>
      </c>
      <c r="G2024">
        <v>20.9</v>
      </c>
      <c r="H2024">
        <v>22.3</v>
      </c>
      <c r="I2024">
        <v>15.8</v>
      </c>
      <c r="J2024">
        <v>18.600000000000001</v>
      </c>
      <c r="K2024">
        <v>21.9</v>
      </c>
      <c r="L2024">
        <v>342</v>
      </c>
      <c r="M2024" t="s">
        <v>942</v>
      </c>
      <c r="N2024">
        <v>2554.34</v>
      </c>
      <c r="O2024">
        <v>243</v>
      </c>
    </row>
    <row r="2025" spans="1:15" x14ac:dyDescent="0.2">
      <c r="A2025" s="6">
        <v>45834</v>
      </c>
      <c r="B2025" t="s">
        <v>15</v>
      </c>
      <c r="C2025" t="s">
        <v>16</v>
      </c>
      <c r="D2025" s="1">
        <v>45855</v>
      </c>
      <c r="E2025" t="s">
        <v>17</v>
      </c>
      <c r="F2025">
        <v>5950</v>
      </c>
      <c r="G2025">
        <v>93.8</v>
      </c>
      <c r="H2025">
        <v>115.4</v>
      </c>
      <c r="I2025">
        <v>81.099999999999994</v>
      </c>
      <c r="J2025">
        <v>88.8</v>
      </c>
      <c r="K2025">
        <v>104.5</v>
      </c>
      <c r="L2025">
        <v>8348</v>
      </c>
      <c r="M2025" t="s">
        <v>943</v>
      </c>
      <c r="N2025">
        <v>50480.32</v>
      </c>
      <c r="O2025">
        <v>935</v>
      </c>
    </row>
    <row r="2026" spans="1:15" x14ac:dyDescent="0.2">
      <c r="A2026" s="6">
        <v>45834</v>
      </c>
      <c r="B2026" t="s">
        <v>15</v>
      </c>
      <c r="C2026" t="s">
        <v>16</v>
      </c>
      <c r="D2026" s="1">
        <v>45855</v>
      </c>
      <c r="E2026" t="s">
        <v>17</v>
      </c>
      <c r="F2026">
        <v>6400</v>
      </c>
      <c r="G2026">
        <v>44.9</v>
      </c>
      <c r="H2026">
        <v>49.3</v>
      </c>
      <c r="I2026">
        <v>36.4</v>
      </c>
      <c r="J2026">
        <v>39.700000000000003</v>
      </c>
      <c r="K2026">
        <v>49</v>
      </c>
      <c r="L2026">
        <v>6047</v>
      </c>
      <c r="M2026" t="s">
        <v>944</v>
      </c>
      <c r="N2026">
        <v>38954.06</v>
      </c>
      <c r="O2026">
        <v>5433</v>
      </c>
    </row>
    <row r="2027" spans="1:15" x14ac:dyDescent="0.2">
      <c r="A2027" s="6">
        <v>45834</v>
      </c>
      <c r="B2027" t="s">
        <v>15</v>
      </c>
      <c r="C2027" t="s">
        <v>16</v>
      </c>
      <c r="D2027" s="1">
        <v>45855</v>
      </c>
      <c r="E2027" t="s">
        <v>19</v>
      </c>
      <c r="F2027">
        <v>4950</v>
      </c>
      <c r="G2027">
        <v>33.299999999999997</v>
      </c>
      <c r="H2027">
        <v>37.5</v>
      </c>
      <c r="I2027">
        <v>26.6</v>
      </c>
      <c r="J2027">
        <v>30.9</v>
      </c>
      <c r="K2027">
        <v>33.299999999999997</v>
      </c>
      <c r="L2027">
        <v>834</v>
      </c>
      <c r="M2027" t="s">
        <v>768</v>
      </c>
      <c r="N2027">
        <v>4155</v>
      </c>
      <c r="O2027">
        <v>147</v>
      </c>
    </row>
    <row r="2028" spans="1:15" x14ac:dyDescent="0.2">
      <c r="A2028" s="6">
        <v>45834</v>
      </c>
      <c r="B2028" t="s">
        <v>15</v>
      </c>
      <c r="C2028" t="s">
        <v>16</v>
      </c>
      <c r="D2028" s="1">
        <v>45855</v>
      </c>
      <c r="E2028" t="s">
        <v>19</v>
      </c>
      <c r="F2028">
        <v>6200</v>
      </c>
      <c r="G2028">
        <v>642.9</v>
      </c>
      <c r="H2028">
        <v>678.8</v>
      </c>
      <c r="I2028">
        <v>571</v>
      </c>
      <c r="J2028">
        <v>622</v>
      </c>
      <c r="K2028">
        <v>616.9</v>
      </c>
      <c r="L2028">
        <v>278</v>
      </c>
      <c r="M2028" t="s">
        <v>945</v>
      </c>
      <c r="N2028">
        <v>1900.42</v>
      </c>
      <c r="O2028">
        <v>761</v>
      </c>
    </row>
    <row r="2029" spans="1:15" x14ac:dyDescent="0.2">
      <c r="A2029" s="6">
        <v>45834</v>
      </c>
      <c r="B2029" t="s">
        <v>15</v>
      </c>
      <c r="C2029" t="s">
        <v>16</v>
      </c>
      <c r="D2029" s="1">
        <v>45855</v>
      </c>
      <c r="E2029" t="s">
        <v>19</v>
      </c>
      <c r="F2029">
        <v>6800</v>
      </c>
      <c r="J2029">
        <v>1186.3</v>
      </c>
      <c r="K2029">
        <v>1211.8</v>
      </c>
      <c r="L2029">
        <v>0</v>
      </c>
      <c r="M2029" t="s">
        <v>18</v>
      </c>
      <c r="N2029">
        <v>0</v>
      </c>
      <c r="O2029">
        <v>93</v>
      </c>
    </row>
    <row r="2030" spans="1:15" x14ac:dyDescent="0.2">
      <c r="A2030" s="6">
        <v>45834</v>
      </c>
      <c r="B2030" t="s">
        <v>15</v>
      </c>
      <c r="C2030" t="s">
        <v>16</v>
      </c>
      <c r="D2030" s="1">
        <v>45855</v>
      </c>
      <c r="E2030" t="s">
        <v>19</v>
      </c>
      <c r="F2030">
        <v>3850</v>
      </c>
      <c r="G2030">
        <v>1.5</v>
      </c>
      <c r="H2030">
        <v>1.6</v>
      </c>
      <c r="I2030">
        <v>1.5</v>
      </c>
      <c r="J2030">
        <v>1.6</v>
      </c>
      <c r="K2030">
        <v>0.1</v>
      </c>
      <c r="L2030">
        <v>2</v>
      </c>
      <c r="M2030" t="s">
        <v>28</v>
      </c>
      <c r="N2030">
        <v>7.7</v>
      </c>
      <c r="O2030">
        <v>0</v>
      </c>
    </row>
    <row r="2031" spans="1:15" x14ac:dyDescent="0.2">
      <c r="A2031" s="6">
        <v>45834</v>
      </c>
      <c r="B2031" t="s">
        <v>15</v>
      </c>
      <c r="C2031" t="s">
        <v>16</v>
      </c>
      <c r="D2031" s="1">
        <v>45855</v>
      </c>
      <c r="E2031" t="s">
        <v>17</v>
      </c>
      <c r="F2031">
        <v>3850</v>
      </c>
      <c r="J2031">
        <v>1769</v>
      </c>
      <c r="K2031">
        <v>1786.7</v>
      </c>
      <c r="L2031">
        <v>0</v>
      </c>
      <c r="M2031" t="s">
        <v>18</v>
      </c>
      <c r="N2031">
        <v>0</v>
      </c>
      <c r="O2031">
        <v>0</v>
      </c>
    </row>
    <row r="2032" spans="1:15" x14ac:dyDescent="0.2">
      <c r="A2032" s="6">
        <v>45834</v>
      </c>
      <c r="B2032" t="s">
        <v>15</v>
      </c>
      <c r="C2032" t="s">
        <v>16</v>
      </c>
      <c r="D2032" s="1">
        <v>45855</v>
      </c>
      <c r="E2032" t="s">
        <v>17</v>
      </c>
      <c r="F2032">
        <v>6600</v>
      </c>
      <c r="G2032">
        <v>36.5</v>
      </c>
      <c r="H2032">
        <v>38.9</v>
      </c>
      <c r="I2032">
        <v>29.2</v>
      </c>
      <c r="J2032">
        <v>32.299999999999997</v>
      </c>
      <c r="K2032">
        <v>38.4</v>
      </c>
      <c r="L2032">
        <v>4326</v>
      </c>
      <c r="M2032" t="s">
        <v>946</v>
      </c>
      <c r="N2032">
        <v>28694.87</v>
      </c>
      <c r="O2032">
        <v>3564</v>
      </c>
    </row>
    <row r="2033" spans="1:15" x14ac:dyDescent="0.2">
      <c r="A2033" s="6">
        <v>45834</v>
      </c>
      <c r="B2033" t="s">
        <v>15</v>
      </c>
      <c r="C2033" t="s">
        <v>16</v>
      </c>
      <c r="D2033" s="1">
        <v>45855</v>
      </c>
      <c r="E2033" t="s">
        <v>17</v>
      </c>
      <c r="F2033">
        <v>7250</v>
      </c>
      <c r="G2033">
        <v>22.5</v>
      </c>
      <c r="H2033">
        <v>24.5</v>
      </c>
      <c r="I2033">
        <v>13.1</v>
      </c>
      <c r="J2033">
        <v>17</v>
      </c>
      <c r="K2033">
        <v>23.6</v>
      </c>
      <c r="L2033">
        <v>142</v>
      </c>
      <c r="M2033" t="s">
        <v>538</v>
      </c>
      <c r="N2033">
        <v>1032.43</v>
      </c>
      <c r="O2033">
        <v>147</v>
      </c>
    </row>
    <row r="2034" spans="1:15" x14ac:dyDescent="0.2">
      <c r="A2034" s="6">
        <v>45834</v>
      </c>
      <c r="B2034" t="s">
        <v>15</v>
      </c>
      <c r="C2034" t="s">
        <v>16</v>
      </c>
      <c r="D2034" s="1">
        <v>45855</v>
      </c>
      <c r="E2034" t="s">
        <v>17</v>
      </c>
      <c r="F2034">
        <v>5750</v>
      </c>
      <c r="G2034">
        <v>154.19999999999999</v>
      </c>
      <c r="H2034">
        <v>184.1</v>
      </c>
      <c r="I2034">
        <v>128</v>
      </c>
      <c r="J2034">
        <v>145.6</v>
      </c>
      <c r="K2034">
        <v>163.80000000000001</v>
      </c>
      <c r="L2034">
        <v>21960</v>
      </c>
      <c r="M2034" t="s">
        <v>947</v>
      </c>
      <c r="N2034">
        <v>129622.6</v>
      </c>
      <c r="O2034">
        <v>1299</v>
      </c>
    </row>
    <row r="2035" spans="1:15" x14ac:dyDescent="0.2">
      <c r="A2035" s="6">
        <v>45834</v>
      </c>
      <c r="B2035" t="s">
        <v>15</v>
      </c>
      <c r="C2035" t="s">
        <v>16</v>
      </c>
      <c r="D2035" s="1">
        <v>45855</v>
      </c>
      <c r="E2035" t="s">
        <v>17</v>
      </c>
      <c r="F2035">
        <v>6750</v>
      </c>
      <c r="G2035">
        <v>30.1</v>
      </c>
      <c r="H2035">
        <v>33.5</v>
      </c>
      <c r="I2035">
        <v>25.2</v>
      </c>
      <c r="J2035">
        <v>27.7</v>
      </c>
      <c r="K2035">
        <v>32.9</v>
      </c>
      <c r="L2035">
        <v>544</v>
      </c>
      <c r="M2035" t="s">
        <v>526</v>
      </c>
      <c r="N2035">
        <v>3687.76</v>
      </c>
      <c r="O2035">
        <v>374</v>
      </c>
    </row>
    <row r="2036" spans="1:15" x14ac:dyDescent="0.2">
      <c r="A2036" s="6">
        <v>45834</v>
      </c>
      <c r="B2036" t="s">
        <v>15</v>
      </c>
      <c r="C2036" t="s">
        <v>16</v>
      </c>
      <c r="D2036" s="1">
        <v>45855</v>
      </c>
      <c r="E2036" t="s">
        <v>19</v>
      </c>
      <c r="F2036">
        <v>5050</v>
      </c>
      <c r="G2036">
        <v>43.2</v>
      </c>
      <c r="H2036">
        <v>47.3</v>
      </c>
      <c r="I2036">
        <v>32.700000000000003</v>
      </c>
      <c r="J2036">
        <v>38.299999999999997</v>
      </c>
      <c r="K2036">
        <v>40.799999999999997</v>
      </c>
      <c r="L2036">
        <v>1627</v>
      </c>
      <c r="M2036" t="s">
        <v>948</v>
      </c>
      <c r="N2036">
        <v>8280.31</v>
      </c>
      <c r="O2036">
        <v>317</v>
      </c>
    </row>
    <row r="2037" spans="1:15" x14ac:dyDescent="0.2">
      <c r="A2037" s="6">
        <v>45834</v>
      </c>
      <c r="B2037" t="s">
        <v>15</v>
      </c>
      <c r="C2037" t="s">
        <v>16</v>
      </c>
      <c r="D2037" s="1">
        <v>45855</v>
      </c>
      <c r="E2037" t="s">
        <v>19</v>
      </c>
      <c r="F2037">
        <v>5900</v>
      </c>
      <c r="G2037">
        <v>395.1</v>
      </c>
      <c r="H2037">
        <v>423.2</v>
      </c>
      <c r="I2037">
        <v>326</v>
      </c>
      <c r="J2037">
        <v>371.5</v>
      </c>
      <c r="K2037">
        <v>371.7</v>
      </c>
      <c r="L2037">
        <v>1745</v>
      </c>
      <c r="M2037" t="s">
        <v>949</v>
      </c>
      <c r="N2037">
        <v>10940.46</v>
      </c>
      <c r="O2037">
        <v>588</v>
      </c>
    </row>
    <row r="2038" spans="1:15" x14ac:dyDescent="0.2">
      <c r="A2038" s="6">
        <v>45834</v>
      </c>
      <c r="B2038" t="s">
        <v>15</v>
      </c>
      <c r="C2038" t="s">
        <v>16</v>
      </c>
      <c r="D2038" s="1">
        <v>45855</v>
      </c>
      <c r="E2038" t="s">
        <v>19</v>
      </c>
      <c r="F2038">
        <v>4600</v>
      </c>
      <c r="G2038">
        <v>20</v>
      </c>
      <c r="H2038">
        <v>23.5</v>
      </c>
      <c r="I2038">
        <v>16.2</v>
      </c>
      <c r="J2038">
        <v>18.100000000000001</v>
      </c>
      <c r="K2038">
        <v>20.9</v>
      </c>
      <c r="L2038">
        <v>429</v>
      </c>
      <c r="M2038" t="s">
        <v>950</v>
      </c>
      <c r="N2038">
        <v>1981.72</v>
      </c>
      <c r="O2038">
        <v>66</v>
      </c>
    </row>
    <row r="2039" spans="1:15" x14ac:dyDescent="0.2">
      <c r="A2039" s="6">
        <v>45834</v>
      </c>
      <c r="B2039" t="s">
        <v>15</v>
      </c>
      <c r="C2039" t="s">
        <v>16</v>
      </c>
      <c r="D2039" s="1">
        <v>45855</v>
      </c>
      <c r="E2039" t="s">
        <v>19</v>
      </c>
      <c r="F2039">
        <v>5300</v>
      </c>
      <c r="G2039">
        <v>83.1</v>
      </c>
      <c r="H2039">
        <v>96.7</v>
      </c>
      <c r="I2039">
        <v>63</v>
      </c>
      <c r="J2039">
        <v>74.7</v>
      </c>
      <c r="K2039">
        <v>80.099999999999994</v>
      </c>
      <c r="L2039">
        <v>30026</v>
      </c>
      <c r="M2039" t="s">
        <v>951</v>
      </c>
      <c r="N2039">
        <v>161507.92000000001</v>
      </c>
      <c r="O2039">
        <v>2088</v>
      </c>
    </row>
    <row r="2040" spans="1:15" x14ac:dyDescent="0.2">
      <c r="A2040" s="6">
        <v>45834</v>
      </c>
      <c r="B2040" t="s">
        <v>15</v>
      </c>
      <c r="C2040" t="s">
        <v>16</v>
      </c>
      <c r="D2040" s="1">
        <v>45855</v>
      </c>
      <c r="E2040" t="s">
        <v>17</v>
      </c>
      <c r="F2040">
        <v>7650</v>
      </c>
      <c r="G2040">
        <v>16.5</v>
      </c>
      <c r="H2040">
        <v>18.8</v>
      </c>
      <c r="I2040">
        <v>12.6</v>
      </c>
      <c r="J2040">
        <v>16</v>
      </c>
      <c r="K2040">
        <v>16.5</v>
      </c>
      <c r="L2040">
        <v>326</v>
      </c>
      <c r="M2040" t="s">
        <v>952</v>
      </c>
      <c r="N2040">
        <v>2499.08</v>
      </c>
      <c r="O2040">
        <v>202</v>
      </c>
    </row>
    <row r="2041" spans="1:15" x14ac:dyDescent="0.2">
      <c r="A2041" s="6">
        <v>45834</v>
      </c>
      <c r="B2041" t="s">
        <v>15</v>
      </c>
      <c r="C2041" t="s">
        <v>16</v>
      </c>
      <c r="D2041" s="1">
        <v>45855</v>
      </c>
      <c r="E2041" t="s">
        <v>19</v>
      </c>
      <c r="F2041">
        <v>7700</v>
      </c>
      <c r="J2041">
        <v>2068.6999999999998</v>
      </c>
      <c r="K2041">
        <v>2051.1</v>
      </c>
      <c r="L2041">
        <v>0</v>
      </c>
      <c r="M2041" t="s">
        <v>18</v>
      </c>
      <c r="N2041">
        <v>0</v>
      </c>
      <c r="O2041">
        <v>0</v>
      </c>
    </row>
    <row r="2042" spans="1:15" x14ac:dyDescent="0.2">
      <c r="A2042" s="6">
        <v>45834</v>
      </c>
      <c r="B2042" t="s">
        <v>15</v>
      </c>
      <c r="C2042" t="s">
        <v>16</v>
      </c>
      <c r="D2042" s="1">
        <v>45855</v>
      </c>
      <c r="E2042" t="s">
        <v>19</v>
      </c>
      <c r="F2042">
        <v>4450</v>
      </c>
      <c r="G2042">
        <v>8.6999999999999993</v>
      </c>
      <c r="H2042">
        <v>22.5</v>
      </c>
      <c r="I2042">
        <v>8.6999999999999993</v>
      </c>
      <c r="J2042">
        <v>15.6</v>
      </c>
      <c r="K2042">
        <v>6.1</v>
      </c>
      <c r="L2042">
        <v>2</v>
      </c>
      <c r="M2042" t="s">
        <v>28</v>
      </c>
      <c r="N2042">
        <v>8.93</v>
      </c>
      <c r="O2042">
        <v>0</v>
      </c>
    </row>
    <row r="2043" spans="1:15" x14ac:dyDescent="0.2">
      <c r="A2043" s="6">
        <v>45834</v>
      </c>
      <c r="B2043" t="s">
        <v>15</v>
      </c>
      <c r="C2043" t="s">
        <v>16</v>
      </c>
      <c r="D2043" s="1">
        <v>45855</v>
      </c>
      <c r="E2043" t="s">
        <v>17</v>
      </c>
      <c r="F2043">
        <v>3750</v>
      </c>
      <c r="J2043">
        <v>1868.6</v>
      </c>
      <c r="K2043">
        <v>1886.3</v>
      </c>
      <c r="L2043">
        <v>0</v>
      </c>
      <c r="M2043" t="s">
        <v>18</v>
      </c>
      <c r="N2043">
        <v>0</v>
      </c>
      <c r="O2043">
        <v>0</v>
      </c>
    </row>
    <row r="2044" spans="1:15" x14ac:dyDescent="0.2">
      <c r="A2044" s="6">
        <v>45834</v>
      </c>
      <c r="B2044" t="s">
        <v>15</v>
      </c>
      <c r="C2044" t="s">
        <v>16</v>
      </c>
      <c r="D2044" s="1">
        <v>45855</v>
      </c>
      <c r="E2044" t="s">
        <v>19</v>
      </c>
      <c r="F2044">
        <v>5400</v>
      </c>
      <c r="G2044">
        <v>106</v>
      </c>
      <c r="H2044">
        <v>130</v>
      </c>
      <c r="I2044">
        <v>85.3</v>
      </c>
      <c r="J2044">
        <v>100.8</v>
      </c>
      <c r="K2044">
        <v>106.9</v>
      </c>
      <c r="L2044">
        <v>43319</v>
      </c>
      <c r="M2044" t="s">
        <v>953</v>
      </c>
      <c r="N2044">
        <v>238427.14</v>
      </c>
      <c r="O2044">
        <v>2896</v>
      </c>
    </row>
    <row r="2045" spans="1:15" x14ac:dyDescent="0.2">
      <c r="A2045" s="6">
        <v>45834</v>
      </c>
      <c r="B2045" t="s">
        <v>15</v>
      </c>
      <c r="C2045" t="s">
        <v>16</v>
      </c>
      <c r="D2045" s="1">
        <v>45855</v>
      </c>
      <c r="E2045" t="s">
        <v>19</v>
      </c>
      <c r="F2045">
        <v>6400</v>
      </c>
      <c r="G2045">
        <v>829.7</v>
      </c>
      <c r="H2045">
        <v>878.9</v>
      </c>
      <c r="I2045">
        <v>750</v>
      </c>
      <c r="J2045">
        <v>811.8</v>
      </c>
      <c r="K2045">
        <v>781.4</v>
      </c>
      <c r="L2045">
        <v>149</v>
      </c>
      <c r="M2045" t="s">
        <v>824</v>
      </c>
      <c r="N2045">
        <v>1077.23</v>
      </c>
      <c r="O2045">
        <v>796</v>
      </c>
    </row>
    <row r="2046" spans="1:15" x14ac:dyDescent="0.2">
      <c r="A2046" s="6">
        <v>45834</v>
      </c>
      <c r="B2046" t="s">
        <v>15</v>
      </c>
      <c r="C2046" t="s">
        <v>16</v>
      </c>
      <c r="D2046" s="1">
        <v>45855</v>
      </c>
      <c r="E2046" t="s">
        <v>17</v>
      </c>
      <c r="F2046">
        <v>6050</v>
      </c>
      <c r="G2046">
        <v>76.3</v>
      </c>
      <c r="H2046">
        <v>92</v>
      </c>
      <c r="I2046">
        <v>66</v>
      </c>
      <c r="J2046">
        <v>72.5</v>
      </c>
      <c r="K2046">
        <v>85</v>
      </c>
      <c r="L2046">
        <v>4962</v>
      </c>
      <c r="M2046" t="s">
        <v>954</v>
      </c>
      <c r="N2046">
        <v>30406.82</v>
      </c>
      <c r="O2046">
        <v>699</v>
      </c>
    </row>
    <row r="2047" spans="1:15" x14ac:dyDescent="0.2">
      <c r="A2047" s="6">
        <v>45834</v>
      </c>
      <c r="B2047" t="s">
        <v>15</v>
      </c>
      <c r="C2047" t="s">
        <v>16</v>
      </c>
      <c r="D2047" s="1">
        <v>45855</v>
      </c>
      <c r="E2047" t="s">
        <v>17</v>
      </c>
      <c r="F2047">
        <v>5600</v>
      </c>
      <c r="G2047">
        <v>227</v>
      </c>
      <c r="H2047">
        <v>258.7</v>
      </c>
      <c r="I2047">
        <v>184.7</v>
      </c>
      <c r="J2047">
        <v>209.3</v>
      </c>
      <c r="K2047">
        <v>229.2</v>
      </c>
      <c r="L2047">
        <v>138400</v>
      </c>
      <c r="M2047" t="s">
        <v>955</v>
      </c>
      <c r="N2047">
        <v>804981.24</v>
      </c>
      <c r="O2047">
        <v>4937</v>
      </c>
    </row>
    <row r="2048" spans="1:15" x14ac:dyDescent="0.2">
      <c r="A2048" s="6">
        <v>45834</v>
      </c>
      <c r="B2048" t="s">
        <v>15</v>
      </c>
      <c r="C2048" t="s">
        <v>16</v>
      </c>
      <c r="D2048" s="1">
        <v>45855</v>
      </c>
      <c r="E2048" t="s">
        <v>17</v>
      </c>
      <c r="F2048">
        <v>6550</v>
      </c>
      <c r="G2048">
        <v>37.1</v>
      </c>
      <c r="H2048">
        <v>40.5</v>
      </c>
      <c r="I2048">
        <v>30.7</v>
      </c>
      <c r="J2048">
        <v>32.9</v>
      </c>
      <c r="K2048">
        <v>41.2</v>
      </c>
      <c r="L2048">
        <v>1477</v>
      </c>
      <c r="M2048" t="s">
        <v>956</v>
      </c>
      <c r="N2048">
        <v>9725.4699999999993</v>
      </c>
      <c r="O2048">
        <v>1149</v>
      </c>
    </row>
    <row r="2049" spans="1:15" x14ac:dyDescent="0.2">
      <c r="A2049" s="6">
        <v>45834</v>
      </c>
      <c r="B2049" t="s">
        <v>15</v>
      </c>
      <c r="C2049" t="s">
        <v>16</v>
      </c>
      <c r="D2049" s="1">
        <v>45855</v>
      </c>
      <c r="E2049" t="s">
        <v>17</v>
      </c>
      <c r="F2049">
        <v>6650</v>
      </c>
      <c r="G2049">
        <v>34</v>
      </c>
      <c r="H2049">
        <v>37.200000000000003</v>
      </c>
      <c r="I2049">
        <v>27.2</v>
      </c>
      <c r="J2049">
        <v>30.2</v>
      </c>
      <c r="K2049">
        <v>37.299999999999997</v>
      </c>
      <c r="L2049">
        <v>936</v>
      </c>
      <c r="M2049" t="s">
        <v>957</v>
      </c>
      <c r="N2049">
        <v>6253.18</v>
      </c>
      <c r="O2049">
        <v>567</v>
      </c>
    </row>
    <row r="2050" spans="1:15" x14ac:dyDescent="0.2">
      <c r="A2050" s="6">
        <v>45834</v>
      </c>
      <c r="B2050" t="s">
        <v>15</v>
      </c>
      <c r="C2050" t="s">
        <v>16</v>
      </c>
      <c r="D2050" s="1">
        <v>45855</v>
      </c>
      <c r="E2050" t="s">
        <v>17</v>
      </c>
      <c r="F2050">
        <v>7150</v>
      </c>
      <c r="G2050">
        <v>25</v>
      </c>
      <c r="H2050">
        <v>25.6</v>
      </c>
      <c r="I2050">
        <v>18.8</v>
      </c>
      <c r="J2050">
        <v>21.1</v>
      </c>
      <c r="K2050">
        <v>26.9</v>
      </c>
      <c r="L2050">
        <v>340</v>
      </c>
      <c r="M2050" t="s">
        <v>958</v>
      </c>
      <c r="N2050">
        <v>2438.13</v>
      </c>
      <c r="O2050">
        <v>142</v>
      </c>
    </row>
    <row r="2051" spans="1:15" x14ac:dyDescent="0.2">
      <c r="A2051" s="6">
        <v>45834</v>
      </c>
      <c r="B2051" t="s">
        <v>15</v>
      </c>
      <c r="C2051" t="s">
        <v>16</v>
      </c>
      <c r="D2051" s="1">
        <v>45855</v>
      </c>
      <c r="E2051" t="s">
        <v>19</v>
      </c>
      <c r="F2051">
        <v>6750</v>
      </c>
      <c r="G2051">
        <v>1120.7</v>
      </c>
      <c r="H2051">
        <v>1120.7</v>
      </c>
      <c r="I2051">
        <v>1115.5</v>
      </c>
      <c r="J2051">
        <v>1118.0999999999999</v>
      </c>
      <c r="K2051">
        <v>1127.0999999999999</v>
      </c>
      <c r="L2051">
        <v>4</v>
      </c>
      <c r="M2051" t="s">
        <v>78</v>
      </c>
      <c r="N2051">
        <v>31.47</v>
      </c>
      <c r="O2051">
        <v>31</v>
      </c>
    </row>
    <row r="2052" spans="1:15" x14ac:dyDescent="0.2">
      <c r="A2052" s="6">
        <v>45834</v>
      </c>
      <c r="B2052" t="s">
        <v>15</v>
      </c>
      <c r="C2052" t="s">
        <v>16</v>
      </c>
      <c r="D2052" s="1">
        <v>45855</v>
      </c>
      <c r="E2052" t="s">
        <v>19</v>
      </c>
      <c r="F2052">
        <v>3700</v>
      </c>
      <c r="G2052">
        <v>2.2000000000000002</v>
      </c>
      <c r="H2052">
        <v>3.5</v>
      </c>
      <c r="I2052">
        <v>2.2000000000000002</v>
      </c>
      <c r="J2052">
        <v>2.9</v>
      </c>
      <c r="K2052">
        <v>0.1</v>
      </c>
      <c r="L2052">
        <v>2</v>
      </c>
      <c r="M2052" t="s">
        <v>28</v>
      </c>
      <c r="N2052">
        <v>7.41</v>
      </c>
      <c r="O2052">
        <v>1</v>
      </c>
    </row>
    <row r="2053" spans="1:15" x14ac:dyDescent="0.2">
      <c r="A2053" s="6">
        <v>45834</v>
      </c>
      <c r="B2053" t="s">
        <v>15</v>
      </c>
      <c r="C2053" t="s">
        <v>16</v>
      </c>
      <c r="D2053" s="1">
        <v>45855</v>
      </c>
      <c r="E2053" t="s">
        <v>19</v>
      </c>
      <c r="F2053">
        <v>5450</v>
      </c>
      <c r="G2053">
        <v>128.19999999999999</v>
      </c>
      <c r="H2053">
        <v>151</v>
      </c>
      <c r="I2053">
        <v>100.2</v>
      </c>
      <c r="J2053">
        <v>117.8</v>
      </c>
      <c r="K2053">
        <v>124.2</v>
      </c>
      <c r="L2053">
        <v>13120</v>
      </c>
      <c r="M2053" t="s">
        <v>959</v>
      </c>
      <c r="N2053">
        <v>73122.78</v>
      </c>
      <c r="O2053">
        <v>636</v>
      </c>
    </row>
    <row r="2054" spans="1:15" x14ac:dyDescent="0.2">
      <c r="A2054" s="6">
        <v>45834</v>
      </c>
      <c r="B2054" t="s">
        <v>15</v>
      </c>
      <c r="C2054" t="s">
        <v>16</v>
      </c>
      <c r="D2054" s="1">
        <v>45855</v>
      </c>
      <c r="E2054" t="s">
        <v>19</v>
      </c>
      <c r="F2054">
        <v>3750</v>
      </c>
      <c r="J2054">
        <v>0.1</v>
      </c>
      <c r="K2054">
        <v>0.1</v>
      </c>
      <c r="L2054">
        <v>0</v>
      </c>
      <c r="M2054" t="s">
        <v>18</v>
      </c>
      <c r="N2054">
        <v>0</v>
      </c>
      <c r="O2054">
        <v>0</v>
      </c>
    </row>
    <row r="2055" spans="1:15" x14ac:dyDescent="0.2">
      <c r="A2055" s="6">
        <v>45834</v>
      </c>
      <c r="B2055" t="s">
        <v>15</v>
      </c>
      <c r="C2055" t="s">
        <v>16</v>
      </c>
      <c r="D2055" s="1">
        <v>45855</v>
      </c>
      <c r="E2055" t="s">
        <v>17</v>
      </c>
      <c r="F2055">
        <v>6850</v>
      </c>
      <c r="G2055">
        <v>25.9</v>
      </c>
      <c r="H2055">
        <v>30.1</v>
      </c>
      <c r="I2055">
        <v>22.2</v>
      </c>
      <c r="J2055">
        <v>24.7</v>
      </c>
      <c r="K2055">
        <v>29.1</v>
      </c>
      <c r="L2055">
        <v>602</v>
      </c>
      <c r="M2055" t="s">
        <v>143</v>
      </c>
      <c r="N2055">
        <v>4139.13</v>
      </c>
      <c r="O2055">
        <v>397</v>
      </c>
    </row>
    <row r="2056" spans="1:15" x14ac:dyDescent="0.2">
      <c r="A2056" s="6">
        <v>45834</v>
      </c>
      <c r="B2056" t="s">
        <v>15</v>
      </c>
      <c r="C2056" t="s">
        <v>16</v>
      </c>
      <c r="D2056" s="1">
        <v>45855</v>
      </c>
      <c r="E2056" t="s">
        <v>17</v>
      </c>
      <c r="F2056">
        <v>7350</v>
      </c>
      <c r="G2056">
        <v>14.3</v>
      </c>
      <c r="H2056">
        <v>22</v>
      </c>
      <c r="I2056">
        <v>14</v>
      </c>
      <c r="J2056">
        <v>15.7</v>
      </c>
      <c r="K2056">
        <v>23.5</v>
      </c>
      <c r="L2056">
        <v>99</v>
      </c>
      <c r="M2056" t="s">
        <v>960</v>
      </c>
      <c r="N2056">
        <v>729.53</v>
      </c>
      <c r="O2056">
        <v>236</v>
      </c>
    </row>
    <row r="2057" spans="1:15" x14ac:dyDescent="0.2">
      <c r="A2057" s="6">
        <v>45834</v>
      </c>
      <c r="B2057" t="s">
        <v>15</v>
      </c>
      <c r="C2057" t="s">
        <v>16</v>
      </c>
      <c r="D2057" s="1">
        <v>45855</v>
      </c>
      <c r="E2057" t="s">
        <v>17</v>
      </c>
      <c r="F2057">
        <v>6700</v>
      </c>
      <c r="G2057">
        <v>33.4</v>
      </c>
      <c r="H2057">
        <v>35.299999999999997</v>
      </c>
      <c r="I2057">
        <v>26.2</v>
      </c>
      <c r="J2057">
        <v>28.9</v>
      </c>
      <c r="K2057">
        <v>35.200000000000003</v>
      </c>
      <c r="L2057">
        <v>2328</v>
      </c>
      <c r="M2057" t="s">
        <v>961</v>
      </c>
      <c r="N2057">
        <v>15666.71</v>
      </c>
      <c r="O2057">
        <v>2140</v>
      </c>
    </row>
    <row r="2058" spans="1:15" x14ac:dyDescent="0.2">
      <c r="A2058" s="6">
        <v>45834</v>
      </c>
      <c r="B2058" t="s">
        <v>15</v>
      </c>
      <c r="C2058" t="s">
        <v>16</v>
      </c>
      <c r="D2058" s="1">
        <v>45855</v>
      </c>
      <c r="E2058" t="s">
        <v>17</v>
      </c>
      <c r="F2058">
        <v>6800</v>
      </c>
      <c r="G2058">
        <v>26.4</v>
      </c>
      <c r="H2058">
        <v>33.1</v>
      </c>
      <c r="I2058">
        <v>24.6</v>
      </c>
      <c r="J2058">
        <v>27.4</v>
      </c>
      <c r="K2058">
        <v>32.5</v>
      </c>
      <c r="L2058">
        <v>2804</v>
      </c>
      <c r="M2058" t="s">
        <v>962</v>
      </c>
      <c r="N2058">
        <v>19146.54</v>
      </c>
      <c r="O2058">
        <v>1564</v>
      </c>
    </row>
    <row r="2059" spans="1:15" x14ac:dyDescent="0.2">
      <c r="A2059" s="6">
        <v>45834</v>
      </c>
      <c r="B2059" t="s">
        <v>15</v>
      </c>
      <c r="C2059" t="s">
        <v>16</v>
      </c>
      <c r="D2059" s="1">
        <v>45855</v>
      </c>
      <c r="E2059" t="s">
        <v>19</v>
      </c>
      <c r="F2059">
        <v>5700</v>
      </c>
      <c r="G2059">
        <v>261.8</v>
      </c>
      <c r="H2059">
        <v>285.8</v>
      </c>
      <c r="I2059">
        <v>202.5</v>
      </c>
      <c r="J2059">
        <v>236.3</v>
      </c>
      <c r="K2059">
        <v>240.3</v>
      </c>
      <c r="L2059">
        <v>51075</v>
      </c>
      <c r="M2059" t="s">
        <v>963</v>
      </c>
      <c r="N2059">
        <v>303014.84000000003</v>
      </c>
      <c r="O2059">
        <v>2849</v>
      </c>
    </row>
    <row r="2060" spans="1:15" x14ac:dyDescent="0.2">
      <c r="A2060" s="6">
        <v>45834</v>
      </c>
      <c r="B2060" t="s">
        <v>15</v>
      </c>
      <c r="C2060" t="s">
        <v>16</v>
      </c>
      <c r="D2060" s="1">
        <v>45855</v>
      </c>
      <c r="E2060" t="s">
        <v>19</v>
      </c>
      <c r="F2060">
        <v>4700</v>
      </c>
      <c r="G2060">
        <v>20</v>
      </c>
      <c r="H2060">
        <v>24.1</v>
      </c>
      <c r="I2060">
        <v>17.100000000000001</v>
      </c>
      <c r="J2060">
        <v>19.399999999999999</v>
      </c>
      <c r="K2060">
        <v>24.3</v>
      </c>
      <c r="L2060">
        <v>1363</v>
      </c>
      <c r="M2060" t="s">
        <v>964</v>
      </c>
      <c r="N2060">
        <v>6435.24</v>
      </c>
      <c r="O2060">
        <v>311</v>
      </c>
    </row>
    <row r="2061" spans="1:15" x14ac:dyDescent="0.2">
      <c r="A2061" s="6">
        <v>45834</v>
      </c>
      <c r="B2061" t="s">
        <v>15</v>
      </c>
      <c r="C2061" t="s">
        <v>16</v>
      </c>
      <c r="D2061" s="1">
        <v>45855</v>
      </c>
      <c r="E2061" t="s">
        <v>19</v>
      </c>
      <c r="F2061">
        <v>4550</v>
      </c>
      <c r="G2061">
        <v>17</v>
      </c>
      <c r="H2061">
        <v>18.899999999999999</v>
      </c>
      <c r="I2061">
        <v>14.2</v>
      </c>
      <c r="J2061">
        <v>15.8</v>
      </c>
      <c r="K2061">
        <v>9.8000000000000007</v>
      </c>
      <c r="L2061">
        <v>39</v>
      </c>
      <c r="M2061" t="s">
        <v>141</v>
      </c>
      <c r="N2061">
        <v>178.13</v>
      </c>
      <c r="O2061">
        <v>5</v>
      </c>
    </row>
    <row r="2062" spans="1:15" x14ac:dyDescent="0.2">
      <c r="A2062" s="6">
        <v>45834</v>
      </c>
      <c r="B2062" t="s">
        <v>15</v>
      </c>
      <c r="C2062" t="s">
        <v>16</v>
      </c>
      <c r="D2062" s="1">
        <v>45855</v>
      </c>
      <c r="E2062" t="s">
        <v>19</v>
      </c>
      <c r="F2062">
        <v>7150</v>
      </c>
      <c r="J2062">
        <v>1525</v>
      </c>
      <c r="K2062">
        <v>1509.5</v>
      </c>
      <c r="L2062">
        <v>0</v>
      </c>
      <c r="M2062" t="s">
        <v>18</v>
      </c>
      <c r="N2062">
        <v>0</v>
      </c>
      <c r="O2062">
        <v>0</v>
      </c>
    </row>
    <row r="2063" spans="1:15" x14ac:dyDescent="0.2">
      <c r="A2063" s="6">
        <v>45834</v>
      </c>
      <c r="B2063" t="s">
        <v>15</v>
      </c>
      <c r="C2063" t="s">
        <v>16</v>
      </c>
      <c r="D2063" s="1">
        <v>45855</v>
      </c>
      <c r="E2063" t="s">
        <v>17</v>
      </c>
      <c r="F2063">
        <v>7500</v>
      </c>
      <c r="G2063">
        <v>17.8</v>
      </c>
      <c r="H2063">
        <v>21.5</v>
      </c>
      <c r="I2063">
        <v>15.4</v>
      </c>
      <c r="J2063">
        <v>18.100000000000001</v>
      </c>
      <c r="K2063">
        <v>20.100000000000001</v>
      </c>
      <c r="L2063">
        <v>2364</v>
      </c>
      <c r="M2063" t="s">
        <v>965</v>
      </c>
      <c r="N2063">
        <v>17772.38</v>
      </c>
      <c r="O2063">
        <v>2483</v>
      </c>
    </row>
    <row r="2064" spans="1:15" x14ac:dyDescent="0.2">
      <c r="A2064" s="6">
        <v>45834</v>
      </c>
      <c r="B2064" t="s">
        <v>15</v>
      </c>
      <c r="C2064" t="s">
        <v>16</v>
      </c>
      <c r="D2064" s="1">
        <v>45855</v>
      </c>
      <c r="E2064" t="s">
        <v>17</v>
      </c>
      <c r="F2064">
        <v>6900</v>
      </c>
      <c r="G2064">
        <v>22.9</v>
      </c>
      <c r="H2064">
        <v>29.3</v>
      </c>
      <c r="I2064">
        <v>21.8</v>
      </c>
      <c r="J2064">
        <v>25</v>
      </c>
      <c r="K2064">
        <v>28.2</v>
      </c>
      <c r="L2064">
        <v>1257</v>
      </c>
      <c r="M2064" t="s">
        <v>636</v>
      </c>
      <c r="N2064">
        <v>8704.15</v>
      </c>
      <c r="O2064">
        <v>1435</v>
      </c>
    </row>
    <row r="2065" spans="1:15" x14ac:dyDescent="0.2">
      <c r="A2065" s="6">
        <v>45834</v>
      </c>
      <c r="B2065" t="s">
        <v>15</v>
      </c>
      <c r="C2065" t="s">
        <v>16</v>
      </c>
      <c r="D2065" s="1">
        <v>45855</v>
      </c>
      <c r="E2065" t="s">
        <v>19</v>
      </c>
      <c r="F2065">
        <v>6250</v>
      </c>
      <c r="G2065">
        <v>701.7</v>
      </c>
      <c r="H2065">
        <v>712.3</v>
      </c>
      <c r="I2065">
        <v>641.29999999999995</v>
      </c>
      <c r="J2065">
        <v>708.4</v>
      </c>
      <c r="K2065">
        <v>671.7</v>
      </c>
      <c r="L2065">
        <v>126</v>
      </c>
      <c r="M2065" t="s">
        <v>966</v>
      </c>
      <c r="N2065">
        <v>875.07</v>
      </c>
      <c r="O2065">
        <v>97</v>
      </c>
    </row>
    <row r="2066" spans="1:15" x14ac:dyDescent="0.2">
      <c r="A2066" s="6">
        <v>45834</v>
      </c>
      <c r="B2066" t="s">
        <v>15</v>
      </c>
      <c r="C2066" t="s">
        <v>16</v>
      </c>
      <c r="D2066" s="1">
        <v>45855</v>
      </c>
      <c r="E2066" t="s">
        <v>19</v>
      </c>
      <c r="F2066">
        <v>5200</v>
      </c>
      <c r="G2066">
        <v>62</v>
      </c>
      <c r="H2066">
        <v>71.8</v>
      </c>
      <c r="I2066">
        <v>47.7</v>
      </c>
      <c r="J2066">
        <v>56.2</v>
      </c>
      <c r="K2066">
        <v>60.3</v>
      </c>
      <c r="L2066">
        <v>22246</v>
      </c>
      <c r="M2066" t="s">
        <v>967</v>
      </c>
      <c r="N2066">
        <v>116996.49</v>
      </c>
      <c r="O2066">
        <v>3037</v>
      </c>
    </row>
    <row r="2067" spans="1:15" x14ac:dyDescent="0.2">
      <c r="A2067" s="6">
        <v>45834</v>
      </c>
      <c r="B2067" t="s">
        <v>15</v>
      </c>
      <c r="C2067" t="s">
        <v>16</v>
      </c>
      <c r="D2067" s="1">
        <v>45855</v>
      </c>
      <c r="E2067" t="s">
        <v>19</v>
      </c>
      <c r="F2067">
        <v>7250</v>
      </c>
      <c r="J2067">
        <v>1623.2</v>
      </c>
      <c r="K2067">
        <v>1607.1</v>
      </c>
      <c r="L2067">
        <v>0</v>
      </c>
      <c r="M2067" t="s">
        <v>18</v>
      </c>
      <c r="N2067">
        <v>0</v>
      </c>
      <c r="O2067">
        <v>0</v>
      </c>
    </row>
    <row r="2068" spans="1:15" x14ac:dyDescent="0.2">
      <c r="A2068" s="6">
        <v>45834</v>
      </c>
      <c r="B2068" t="s">
        <v>15</v>
      </c>
      <c r="C2068" t="s">
        <v>16</v>
      </c>
      <c r="D2068" s="1">
        <v>45855</v>
      </c>
      <c r="E2068" t="s">
        <v>17</v>
      </c>
      <c r="F2068">
        <v>6950</v>
      </c>
      <c r="G2068">
        <v>27.7</v>
      </c>
      <c r="H2068">
        <v>28.1</v>
      </c>
      <c r="I2068">
        <v>21</v>
      </c>
      <c r="J2068">
        <v>24</v>
      </c>
      <c r="K2068">
        <v>27.7</v>
      </c>
      <c r="L2068">
        <v>381</v>
      </c>
      <c r="M2068" t="s">
        <v>968</v>
      </c>
      <c r="N2068">
        <v>2656.91</v>
      </c>
      <c r="O2068">
        <v>312</v>
      </c>
    </row>
    <row r="2069" spans="1:15" x14ac:dyDescent="0.2">
      <c r="A2069" s="6">
        <v>45834</v>
      </c>
      <c r="B2069" t="s">
        <v>15</v>
      </c>
      <c r="C2069" t="s">
        <v>16</v>
      </c>
      <c r="D2069" s="1">
        <v>45855</v>
      </c>
      <c r="E2069" t="s">
        <v>19</v>
      </c>
      <c r="F2069">
        <v>3900</v>
      </c>
      <c r="J2069">
        <v>0.1</v>
      </c>
      <c r="K2069">
        <v>0.2</v>
      </c>
      <c r="L2069">
        <v>0</v>
      </c>
      <c r="M2069" t="s">
        <v>18</v>
      </c>
      <c r="N2069">
        <v>0</v>
      </c>
      <c r="O2069">
        <v>0</v>
      </c>
    </row>
    <row r="2070" spans="1:15" x14ac:dyDescent="0.2">
      <c r="A2070" s="6">
        <v>45834</v>
      </c>
      <c r="B2070" t="s">
        <v>15</v>
      </c>
      <c r="C2070" t="s">
        <v>16</v>
      </c>
      <c r="D2070" s="1">
        <v>45855</v>
      </c>
      <c r="E2070" t="s">
        <v>17</v>
      </c>
      <c r="F2070">
        <v>5900</v>
      </c>
      <c r="G2070">
        <v>108.7</v>
      </c>
      <c r="H2070">
        <v>128.5</v>
      </c>
      <c r="I2070">
        <v>89.8</v>
      </c>
      <c r="J2070">
        <v>100.1</v>
      </c>
      <c r="K2070">
        <v>115.6</v>
      </c>
      <c r="L2070">
        <v>33256</v>
      </c>
      <c r="M2070" t="s">
        <v>969</v>
      </c>
      <c r="N2070">
        <v>199746.31</v>
      </c>
      <c r="O2070">
        <v>3407</v>
      </c>
    </row>
    <row r="2071" spans="1:15" x14ac:dyDescent="0.2">
      <c r="A2071" s="6">
        <v>45834</v>
      </c>
      <c r="B2071" t="s">
        <v>15</v>
      </c>
      <c r="C2071" t="s">
        <v>16</v>
      </c>
      <c r="D2071" s="1">
        <v>45855</v>
      </c>
      <c r="E2071" t="s">
        <v>17</v>
      </c>
      <c r="F2071">
        <v>6500</v>
      </c>
      <c r="G2071">
        <v>40.1</v>
      </c>
      <c r="H2071">
        <v>44.4</v>
      </c>
      <c r="I2071">
        <v>32.700000000000003</v>
      </c>
      <c r="J2071">
        <v>34.6</v>
      </c>
      <c r="K2071">
        <v>44</v>
      </c>
      <c r="L2071">
        <v>17052</v>
      </c>
      <c r="M2071" t="s">
        <v>970</v>
      </c>
      <c r="N2071">
        <v>111472.17</v>
      </c>
      <c r="O2071">
        <v>11249</v>
      </c>
    </row>
    <row r="2072" spans="1:15" x14ac:dyDescent="0.2">
      <c r="A2072" s="6">
        <v>45834</v>
      </c>
      <c r="B2072" t="s">
        <v>15</v>
      </c>
      <c r="C2072" t="s">
        <v>16</v>
      </c>
      <c r="D2072" s="1">
        <v>45855</v>
      </c>
      <c r="E2072" t="s">
        <v>17</v>
      </c>
      <c r="F2072">
        <v>6200</v>
      </c>
      <c r="G2072">
        <v>58.6</v>
      </c>
      <c r="H2072">
        <v>68.5</v>
      </c>
      <c r="I2072">
        <v>50.3</v>
      </c>
      <c r="J2072">
        <v>53.1</v>
      </c>
      <c r="K2072">
        <v>65.3</v>
      </c>
      <c r="L2072">
        <v>14119</v>
      </c>
      <c r="M2072" t="s">
        <v>971</v>
      </c>
      <c r="N2072">
        <v>88353.66</v>
      </c>
      <c r="O2072">
        <v>3403</v>
      </c>
    </row>
    <row r="2073" spans="1:15" x14ac:dyDescent="0.2">
      <c r="A2073" s="6">
        <v>45834</v>
      </c>
      <c r="B2073" t="s">
        <v>15</v>
      </c>
      <c r="C2073" t="s">
        <v>16</v>
      </c>
      <c r="D2073" s="1">
        <v>45855</v>
      </c>
      <c r="E2073" t="s">
        <v>19</v>
      </c>
      <c r="F2073">
        <v>7500</v>
      </c>
      <c r="J2073">
        <v>1870.2</v>
      </c>
      <c r="K2073">
        <v>1853.1</v>
      </c>
      <c r="L2073">
        <v>0</v>
      </c>
      <c r="M2073" t="s">
        <v>18</v>
      </c>
      <c r="N2073">
        <v>0</v>
      </c>
      <c r="O2073">
        <v>0</v>
      </c>
    </row>
    <row r="2074" spans="1:15" x14ac:dyDescent="0.2">
      <c r="A2074" s="6">
        <v>45834</v>
      </c>
      <c r="B2074" t="s">
        <v>15</v>
      </c>
      <c r="C2074" t="s">
        <v>16</v>
      </c>
      <c r="D2074" s="1">
        <v>45855</v>
      </c>
      <c r="E2074" t="s">
        <v>17</v>
      </c>
      <c r="F2074">
        <v>5050</v>
      </c>
      <c r="J2074">
        <v>631.79999999999995</v>
      </c>
      <c r="K2074">
        <v>655.6</v>
      </c>
      <c r="L2074">
        <v>0</v>
      </c>
      <c r="M2074" t="s">
        <v>18</v>
      </c>
      <c r="N2074">
        <v>0</v>
      </c>
      <c r="O2074">
        <v>0</v>
      </c>
    </row>
    <row r="2075" spans="1:15" x14ac:dyDescent="0.2">
      <c r="A2075" s="6">
        <v>45834</v>
      </c>
      <c r="B2075" t="s">
        <v>15</v>
      </c>
      <c r="C2075" t="s">
        <v>16</v>
      </c>
      <c r="D2075" s="1">
        <v>45855</v>
      </c>
      <c r="E2075" t="s">
        <v>17</v>
      </c>
      <c r="F2075">
        <v>6250</v>
      </c>
      <c r="G2075">
        <v>51.8</v>
      </c>
      <c r="H2075">
        <v>63.6</v>
      </c>
      <c r="I2075">
        <v>46.5</v>
      </c>
      <c r="J2075">
        <v>49.4</v>
      </c>
      <c r="K2075">
        <v>60.1</v>
      </c>
      <c r="L2075">
        <v>3229</v>
      </c>
      <c r="M2075" t="s">
        <v>972</v>
      </c>
      <c r="N2075">
        <v>20351.57</v>
      </c>
      <c r="O2075">
        <v>1193</v>
      </c>
    </row>
    <row r="2076" spans="1:15" x14ac:dyDescent="0.2">
      <c r="A2076" s="6">
        <v>45834</v>
      </c>
      <c r="B2076" t="s">
        <v>15</v>
      </c>
      <c r="C2076" t="s">
        <v>16</v>
      </c>
      <c r="D2076" s="1">
        <v>45855</v>
      </c>
      <c r="E2076" t="s">
        <v>19</v>
      </c>
      <c r="F2076">
        <v>5150</v>
      </c>
      <c r="G2076">
        <v>54.9</v>
      </c>
      <c r="H2076">
        <v>62.2</v>
      </c>
      <c r="I2076">
        <v>42.1</v>
      </c>
      <c r="J2076">
        <v>49.7</v>
      </c>
      <c r="K2076">
        <v>53.3</v>
      </c>
      <c r="L2076">
        <v>2778</v>
      </c>
      <c r="M2076" t="s">
        <v>973</v>
      </c>
      <c r="N2076">
        <v>14452.4</v>
      </c>
      <c r="O2076">
        <v>577</v>
      </c>
    </row>
    <row r="2077" spans="1:15" x14ac:dyDescent="0.2">
      <c r="A2077" s="6">
        <v>45834</v>
      </c>
      <c r="B2077" t="s">
        <v>15</v>
      </c>
      <c r="C2077" t="s">
        <v>16</v>
      </c>
      <c r="D2077" s="1">
        <v>45855</v>
      </c>
      <c r="E2077" t="s">
        <v>17</v>
      </c>
      <c r="F2077">
        <v>4600</v>
      </c>
      <c r="J2077">
        <v>1031.4000000000001</v>
      </c>
      <c r="K2077">
        <v>1051.5999999999999</v>
      </c>
      <c r="L2077">
        <v>0</v>
      </c>
      <c r="M2077" t="s">
        <v>18</v>
      </c>
      <c r="N2077">
        <v>0</v>
      </c>
      <c r="O2077">
        <v>0</v>
      </c>
    </row>
    <row r="2078" spans="1:15" x14ac:dyDescent="0.2">
      <c r="A2078" s="6">
        <v>45834</v>
      </c>
      <c r="B2078" t="s">
        <v>15</v>
      </c>
      <c r="C2078" t="s">
        <v>16</v>
      </c>
      <c r="D2078" s="1">
        <v>45855</v>
      </c>
      <c r="E2078" t="s">
        <v>19</v>
      </c>
      <c r="F2078">
        <v>6850</v>
      </c>
      <c r="J2078">
        <v>1234</v>
      </c>
      <c r="K2078">
        <v>1221.0999999999999</v>
      </c>
      <c r="L2078">
        <v>0</v>
      </c>
      <c r="M2078" t="s">
        <v>18</v>
      </c>
      <c r="N2078">
        <v>0</v>
      </c>
      <c r="O2078">
        <v>18</v>
      </c>
    </row>
    <row r="2079" spans="1:15" x14ac:dyDescent="0.2">
      <c r="A2079" s="6">
        <v>45834</v>
      </c>
      <c r="B2079" t="s">
        <v>15</v>
      </c>
      <c r="C2079" t="s">
        <v>16</v>
      </c>
      <c r="D2079" s="1">
        <v>45855</v>
      </c>
      <c r="E2079" t="s">
        <v>19</v>
      </c>
      <c r="F2079">
        <v>4650</v>
      </c>
      <c r="G2079">
        <v>21.4</v>
      </c>
      <c r="H2079">
        <v>21.4</v>
      </c>
      <c r="I2079">
        <v>20.6</v>
      </c>
      <c r="J2079">
        <v>20.9</v>
      </c>
      <c r="K2079">
        <v>23.7</v>
      </c>
      <c r="L2079">
        <v>18</v>
      </c>
      <c r="M2079" t="s">
        <v>87</v>
      </c>
      <c r="N2079">
        <v>84.08</v>
      </c>
      <c r="O2079">
        <v>5</v>
      </c>
    </row>
    <row r="2080" spans="1:15" x14ac:dyDescent="0.2">
      <c r="A2080" s="6">
        <v>45834</v>
      </c>
      <c r="B2080" t="s">
        <v>15</v>
      </c>
      <c r="C2080" t="s">
        <v>16</v>
      </c>
      <c r="D2080" s="1">
        <v>45855</v>
      </c>
      <c r="E2080" t="s">
        <v>19</v>
      </c>
      <c r="F2080">
        <v>6550</v>
      </c>
      <c r="J2080">
        <v>953.1</v>
      </c>
      <c r="K2080">
        <v>966.5</v>
      </c>
      <c r="L2080">
        <v>0</v>
      </c>
      <c r="M2080" t="s">
        <v>18</v>
      </c>
      <c r="N2080">
        <v>0</v>
      </c>
      <c r="O2080">
        <v>62</v>
      </c>
    </row>
    <row r="2081" spans="1:15" x14ac:dyDescent="0.2">
      <c r="A2081" s="6">
        <v>45834</v>
      </c>
      <c r="B2081" t="s">
        <v>15</v>
      </c>
      <c r="C2081" t="s">
        <v>16</v>
      </c>
      <c r="D2081" s="1">
        <v>45855</v>
      </c>
      <c r="E2081" t="s">
        <v>17</v>
      </c>
      <c r="F2081">
        <v>7000</v>
      </c>
      <c r="G2081">
        <v>30.1</v>
      </c>
      <c r="H2081">
        <v>30.1</v>
      </c>
      <c r="I2081">
        <v>20.7</v>
      </c>
      <c r="J2081">
        <v>23.3</v>
      </c>
      <c r="K2081">
        <v>27</v>
      </c>
      <c r="L2081">
        <v>5315</v>
      </c>
      <c r="M2081" t="s">
        <v>974</v>
      </c>
      <c r="N2081">
        <v>37332.660000000003</v>
      </c>
      <c r="O2081">
        <v>5388</v>
      </c>
    </row>
    <row r="2082" spans="1:15" x14ac:dyDescent="0.2">
      <c r="A2082" s="6">
        <v>45834</v>
      </c>
      <c r="B2082" t="s">
        <v>15</v>
      </c>
      <c r="C2082" t="s">
        <v>16</v>
      </c>
      <c r="D2082" s="1">
        <v>45855</v>
      </c>
      <c r="E2082" t="s">
        <v>17</v>
      </c>
      <c r="F2082">
        <v>6350</v>
      </c>
      <c r="G2082">
        <v>54</v>
      </c>
      <c r="H2082">
        <v>54</v>
      </c>
      <c r="I2082">
        <v>38.700000000000003</v>
      </c>
      <c r="J2082">
        <v>42.7</v>
      </c>
      <c r="K2082">
        <v>51.4</v>
      </c>
      <c r="L2082">
        <v>2067</v>
      </c>
      <c r="M2082" t="s">
        <v>975</v>
      </c>
      <c r="N2082">
        <v>13220.1</v>
      </c>
      <c r="O2082">
        <v>1542</v>
      </c>
    </row>
    <row r="2083" spans="1:15" x14ac:dyDescent="0.2">
      <c r="A2083" s="6">
        <v>45834</v>
      </c>
      <c r="B2083" t="s">
        <v>15</v>
      </c>
      <c r="C2083" t="s">
        <v>16</v>
      </c>
      <c r="D2083" s="1">
        <v>45855</v>
      </c>
      <c r="E2083" t="s">
        <v>19</v>
      </c>
      <c r="F2083">
        <v>4500</v>
      </c>
      <c r="G2083">
        <v>19.100000000000001</v>
      </c>
      <c r="H2083">
        <v>21.6</v>
      </c>
      <c r="I2083">
        <v>15.3</v>
      </c>
      <c r="J2083">
        <v>17.8</v>
      </c>
      <c r="K2083">
        <v>20.5</v>
      </c>
      <c r="L2083">
        <v>3294</v>
      </c>
      <c r="M2083" t="s">
        <v>976</v>
      </c>
      <c r="N2083">
        <v>14884.94</v>
      </c>
      <c r="O2083">
        <v>958</v>
      </c>
    </row>
    <row r="2084" spans="1:15" x14ac:dyDescent="0.2">
      <c r="A2084" s="6">
        <v>45834</v>
      </c>
      <c r="B2084" t="s">
        <v>15</v>
      </c>
      <c r="C2084" t="s">
        <v>16</v>
      </c>
      <c r="D2084" s="1">
        <v>45855</v>
      </c>
      <c r="E2084" t="s">
        <v>17</v>
      </c>
      <c r="F2084">
        <v>5450</v>
      </c>
      <c r="G2084">
        <v>295</v>
      </c>
      <c r="H2084">
        <v>351.9</v>
      </c>
      <c r="I2084">
        <v>259.5</v>
      </c>
      <c r="J2084">
        <v>295.2</v>
      </c>
      <c r="K2084">
        <v>314.5</v>
      </c>
      <c r="L2084">
        <v>2321</v>
      </c>
      <c r="M2084" t="s">
        <v>977</v>
      </c>
      <c r="N2084">
        <v>13333.42</v>
      </c>
      <c r="O2084">
        <v>113</v>
      </c>
    </row>
    <row r="2085" spans="1:15" x14ac:dyDescent="0.2">
      <c r="A2085" s="6">
        <v>45834</v>
      </c>
      <c r="B2085" t="s">
        <v>15</v>
      </c>
      <c r="C2085" t="s">
        <v>16</v>
      </c>
      <c r="D2085" s="1">
        <v>45855</v>
      </c>
      <c r="E2085" t="s">
        <v>17</v>
      </c>
      <c r="F2085">
        <v>4150</v>
      </c>
      <c r="J2085">
        <v>1470.7</v>
      </c>
      <c r="K2085">
        <v>1488.8</v>
      </c>
      <c r="L2085">
        <v>0</v>
      </c>
      <c r="M2085" t="s">
        <v>18</v>
      </c>
      <c r="N2085">
        <v>0</v>
      </c>
      <c r="O2085">
        <v>0</v>
      </c>
    </row>
    <row r="2086" spans="1:15" x14ac:dyDescent="0.2">
      <c r="A2086" s="6">
        <v>45834</v>
      </c>
      <c r="B2086" t="s">
        <v>15</v>
      </c>
      <c r="C2086" t="s">
        <v>16</v>
      </c>
      <c r="D2086" s="1">
        <v>45855</v>
      </c>
      <c r="E2086" t="s">
        <v>17</v>
      </c>
      <c r="F2086">
        <v>4250</v>
      </c>
      <c r="J2086">
        <v>1371.8</v>
      </c>
      <c r="K2086">
        <v>1390.1</v>
      </c>
      <c r="L2086">
        <v>0</v>
      </c>
      <c r="M2086" t="s">
        <v>18</v>
      </c>
      <c r="N2086">
        <v>0</v>
      </c>
      <c r="O2086">
        <v>0</v>
      </c>
    </row>
    <row r="2087" spans="1:15" x14ac:dyDescent="0.2">
      <c r="A2087" s="6">
        <v>45834</v>
      </c>
      <c r="B2087" t="s">
        <v>15</v>
      </c>
      <c r="C2087" t="s">
        <v>16</v>
      </c>
      <c r="D2087" s="1">
        <v>45855</v>
      </c>
      <c r="E2087" t="s">
        <v>17</v>
      </c>
      <c r="F2087">
        <v>4000</v>
      </c>
      <c r="J2087">
        <v>1619.7</v>
      </c>
      <c r="K2087">
        <v>1637.5</v>
      </c>
      <c r="L2087">
        <v>0</v>
      </c>
      <c r="M2087" t="s">
        <v>18</v>
      </c>
      <c r="N2087">
        <v>0</v>
      </c>
      <c r="O2087">
        <v>0</v>
      </c>
    </row>
    <row r="2088" spans="1:15" x14ac:dyDescent="0.2">
      <c r="A2088" s="6">
        <v>45834</v>
      </c>
      <c r="B2088" t="s">
        <v>15</v>
      </c>
      <c r="C2088" t="s">
        <v>16</v>
      </c>
      <c r="D2088" s="1">
        <v>45855</v>
      </c>
      <c r="E2088" t="s">
        <v>17</v>
      </c>
      <c r="F2088">
        <v>7050</v>
      </c>
      <c r="G2088">
        <v>25.9</v>
      </c>
      <c r="H2088">
        <v>27.7</v>
      </c>
      <c r="I2088">
        <v>18.2</v>
      </c>
      <c r="J2088">
        <v>22.6</v>
      </c>
      <c r="K2088">
        <v>25.9</v>
      </c>
      <c r="L2088">
        <v>143</v>
      </c>
      <c r="M2088" t="s">
        <v>978</v>
      </c>
      <c r="N2088">
        <v>1011.49</v>
      </c>
      <c r="O2088">
        <v>164</v>
      </c>
    </row>
    <row r="2089" spans="1:15" x14ac:dyDescent="0.2">
      <c r="A2089" s="6">
        <v>45834</v>
      </c>
      <c r="B2089" t="s">
        <v>15</v>
      </c>
      <c r="C2089" t="s">
        <v>16</v>
      </c>
      <c r="D2089" s="1">
        <v>45855</v>
      </c>
      <c r="E2089" t="s">
        <v>19</v>
      </c>
      <c r="F2089">
        <v>7350</v>
      </c>
      <c r="J2089">
        <v>1721.8</v>
      </c>
      <c r="K2089">
        <v>1705.2</v>
      </c>
      <c r="L2089">
        <v>0</v>
      </c>
      <c r="M2089" t="s">
        <v>18</v>
      </c>
      <c r="N2089">
        <v>0</v>
      </c>
      <c r="O2089">
        <v>0</v>
      </c>
    </row>
    <row r="2090" spans="1:15" x14ac:dyDescent="0.2">
      <c r="A2090" s="6">
        <v>45834</v>
      </c>
      <c r="B2090" t="s">
        <v>15</v>
      </c>
      <c r="C2090" t="s">
        <v>16</v>
      </c>
      <c r="D2090" s="1">
        <v>45855</v>
      </c>
      <c r="E2090" t="s">
        <v>17</v>
      </c>
      <c r="F2090">
        <v>5800</v>
      </c>
      <c r="G2090">
        <v>144.9</v>
      </c>
      <c r="H2090">
        <v>162.4</v>
      </c>
      <c r="I2090">
        <v>113</v>
      </c>
      <c r="J2090">
        <v>127.7</v>
      </c>
      <c r="K2090">
        <v>145.1</v>
      </c>
      <c r="L2090">
        <v>60528</v>
      </c>
      <c r="M2090" t="s">
        <v>979</v>
      </c>
      <c r="N2090">
        <v>359241.06</v>
      </c>
      <c r="O2090">
        <v>6867</v>
      </c>
    </row>
    <row r="2091" spans="1:15" x14ac:dyDescent="0.2">
      <c r="A2091" s="6">
        <v>45834</v>
      </c>
      <c r="B2091" t="s">
        <v>15</v>
      </c>
      <c r="C2091" t="s">
        <v>16</v>
      </c>
      <c r="D2091" s="1">
        <v>45855</v>
      </c>
      <c r="E2091" t="s">
        <v>19</v>
      </c>
      <c r="F2091">
        <v>4400</v>
      </c>
      <c r="J2091">
        <v>3.6</v>
      </c>
      <c r="K2091">
        <v>4.8</v>
      </c>
      <c r="L2091">
        <v>0</v>
      </c>
      <c r="M2091" t="s">
        <v>18</v>
      </c>
      <c r="N2091">
        <v>0</v>
      </c>
      <c r="O2091">
        <v>0</v>
      </c>
    </row>
    <row r="2092" spans="1:15" x14ac:dyDescent="0.2">
      <c r="A2092" s="6">
        <v>45834</v>
      </c>
      <c r="B2092" t="s">
        <v>15</v>
      </c>
      <c r="C2092" t="s">
        <v>16</v>
      </c>
      <c r="D2092" s="1">
        <v>45855</v>
      </c>
      <c r="E2092" t="s">
        <v>19</v>
      </c>
      <c r="F2092">
        <v>5000</v>
      </c>
      <c r="G2092">
        <v>35.299999999999997</v>
      </c>
      <c r="H2092">
        <v>41.1</v>
      </c>
      <c r="I2092">
        <v>28.4</v>
      </c>
      <c r="J2092">
        <v>33.5</v>
      </c>
      <c r="K2092">
        <v>35.299999999999997</v>
      </c>
      <c r="L2092">
        <v>22625</v>
      </c>
      <c r="M2092" t="s">
        <v>980</v>
      </c>
      <c r="N2092">
        <v>113915.16</v>
      </c>
      <c r="O2092">
        <v>4083</v>
      </c>
    </row>
    <row r="2093" spans="1:15" x14ac:dyDescent="0.2">
      <c r="A2093" s="6">
        <v>45834</v>
      </c>
      <c r="B2093" t="s">
        <v>15</v>
      </c>
      <c r="C2093" t="s">
        <v>16</v>
      </c>
      <c r="D2093" s="1">
        <v>45855</v>
      </c>
      <c r="E2093" t="s">
        <v>19</v>
      </c>
      <c r="F2093">
        <v>5350</v>
      </c>
      <c r="G2093">
        <v>99.9</v>
      </c>
      <c r="H2093">
        <v>113</v>
      </c>
      <c r="I2093">
        <v>74</v>
      </c>
      <c r="J2093">
        <v>87.7</v>
      </c>
      <c r="K2093">
        <v>92.9</v>
      </c>
      <c r="L2093">
        <v>9605</v>
      </c>
      <c r="M2093" t="s">
        <v>981</v>
      </c>
      <c r="N2093">
        <v>52267.23</v>
      </c>
      <c r="O2093">
        <v>492</v>
      </c>
    </row>
    <row r="2094" spans="1:15" x14ac:dyDescent="0.2">
      <c r="A2094" s="6">
        <v>45834</v>
      </c>
      <c r="B2094" t="s">
        <v>15</v>
      </c>
      <c r="C2094" t="s">
        <v>16</v>
      </c>
      <c r="D2094" s="1">
        <v>45855</v>
      </c>
      <c r="E2094" t="s">
        <v>19</v>
      </c>
      <c r="F2094">
        <v>5950</v>
      </c>
      <c r="G2094">
        <v>413.7</v>
      </c>
      <c r="H2094">
        <v>458.1</v>
      </c>
      <c r="I2094">
        <v>359.8</v>
      </c>
      <c r="J2094">
        <v>411.5</v>
      </c>
      <c r="K2094">
        <v>409.7</v>
      </c>
      <c r="L2094">
        <v>115</v>
      </c>
      <c r="M2094" t="s">
        <v>982</v>
      </c>
      <c r="N2094">
        <v>730.86</v>
      </c>
      <c r="O2094">
        <v>96</v>
      </c>
    </row>
    <row r="2095" spans="1:15" x14ac:dyDescent="0.2">
      <c r="A2095" s="6">
        <v>45834</v>
      </c>
      <c r="B2095" t="s">
        <v>15</v>
      </c>
      <c r="C2095" t="s">
        <v>16</v>
      </c>
      <c r="D2095" s="1">
        <v>45855</v>
      </c>
      <c r="E2095" t="s">
        <v>19</v>
      </c>
      <c r="F2095">
        <v>4050</v>
      </c>
      <c r="J2095">
        <v>0.4</v>
      </c>
      <c r="K2095">
        <v>0.6</v>
      </c>
      <c r="L2095">
        <v>0</v>
      </c>
      <c r="M2095" t="s">
        <v>18</v>
      </c>
      <c r="N2095">
        <v>0</v>
      </c>
      <c r="O2095">
        <v>0</v>
      </c>
    </row>
    <row r="2096" spans="1:15" x14ac:dyDescent="0.2">
      <c r="A2096" s="6">
        <v>45834</v>
      </c>
      <c r="B2096" t="s">
        <v>15</v>
      </c>
      <c r="C2096" t="s">
        <v>16</v>
      </c>
      <c r="D2096" s="1">
        <v>45855</v>
      </c>
      <c r="E2096" t="s">
        <v>17</v>
      </c>
      <c r="F2096">
        <v>6300</v>
      </c>
      <c r="G2096">
        <v>55.6</v>
      </c>
      <c r="H2096">
        <v>57.9</v>
      </c>
      <c r="I2096">
        <v>42.2</v>
      </c>
      <c r="J2096">
        <v>44.7</v>
      </c>
      <c r="K2096">
        <v>55.6</v>
      </c>
      <c r="L2096">
        <v>11041</v>
      </c>
      <c r="M2096" t="s">
        <v>983</v>
      </c>
      <c r="N2096">
        <v>70096.539999999994</v>
      </c>
      <c r="O2096">
        <v>4330</v>
      </c>
    </row>
    <row r="2097" spans="1:15" x14ac:dyDescent="0.2">
      <c r="A2097" s="6">
        <v>45834</v>
      </c>
      <c r="B2097" t="s">
        <v>15</v>
      </c>
      <c r="C2097" t="s">
        <v>16</v>
      </c>
      <c r="D2097" s="1">
        <v>45855</v>
      </c>
      <c r="E2097" t="s">
        <v>17</v>
      </c>
      <c r="F2097">
        <v>6000</v>
      </c>
      <c r="G2097">
        <v>89</v>
      </c>
      <c r="H2097">
        <v>103.1</v>
      </c>
      <c r="I2097">
        <v>73.400000000000006</v>
      </c>
      <c r="J2097">
        <v>79.5</v>
      </c>
      <c r="K2097">
        <v>94.1</v>
      </c>
      <c r="L2097">
        <v>47648</v>
      </c>
      <c r="M2097" t="s">
        <v>984</v>
      </c>
      <c r="N2097">
        <v>289983.12</v>
      </c>
      <c r="O2097">
        <v>6904</v>
      </c>
    </row>
    <row r="2098" spans="1:15" x14ac:dyDescent="0.2">
      <c r="A2098" s="6">
        <v>45834</v>
      </c>
      <c r="B2098" t="s">
        <v>15</v>
      </c>
      <c r="C2098" t="s">
        <v>16</v>
      </c>
      <c r="D2098" s="1">
        <v>45855</v>
      </c>
      <c r="E2098" t="s">
        <v>19</v>
      </c>
      <c r="F2098">
        <v>4100</v>
      </c>
      <c r="J2098">
        <v>0.5</v>
      </c>
      <c r="K2098">
        <v>0.8</v>
      </c>
      <c r="L2098">
        <v>0</v>
      </c>
      <c r="M2098" t="s">
        <v>18</v>
      </c>
      <c r="N2098">
        <v>0</v>
      </c>
      <c r="O2098">
        <v>0</v>
      </c>
    </row>
    <row r="2099" spans="1:15" x14ac:dyDescent="0.2">
      <c r="A2099" s="6">
        <v>45834</v>
      </c>
      <c r="B2099" t="s">
        <v>15</v>
      </c>
      <c r="C2099" t="s">
        <v>16</v>
      </c>
      <c r="D2099" s="1">
        <v>45855</v>
      </c>
      <c r="E2099" t="s">
        <v>17</v>
      </c>
      <c r="F2099">
        <v>5500</v>
      </c>
      <c r="G2099">
        <v>261</v>
      </c>
      <c r="H2099">
        <v>318.39999999999998</v>
      </c>
      <c r="I2099">
        <v>229.9</v>
      </c>
      <c r="J2099">
        <v>263</v>
      </c>
      <c r="K2099">
        <v>283.89999999999998</v>
      </c>
      <c r="L2099">
        <v>38174</v>
      </c>
      <c r="M2099" t="s">
        <v>985</v>
      </c>
      <c r="N2099">
        <v>220233.01</v>
      </c>
      <c r="O2099">
        <v>2199</v>
      </c>
    </row>
    <row r="2100" spans="1:15" x14ac:dyDescent="0.2">
      <c r="A2100" s="6">
        <v>45834</v>
      </c>
      <c r="B2100" t="s">
        <v>15</v>
      </c>
      <c r="C2100" t="s">
        <v>16</v>
      </c>
      <c r="D2100" s="1">
        <v>45855</v>
      </c>
      <c r="E2100" t="s">
        <v>17</v>
      </c>
      <c r="F2100">
        <v>4850</v>
      </c>
      <c r="J2100">
        <v>801.3</v>
      </c>
      <c r="K2100">
        <v>823.4</v>
      </c>
      <c r="L2100">
        <v>0</v>
      </c>
      <c r="M2100" t="s">
        <v>18</v>
      </c>
      <c r="N2100">
        <v>0</v>
      </c>
      <c r="O2100">
        <v>0</v>
      </c>
    </row>
    <row r="2101" spans="1:15" x14ac:dyDescent="0.2">
      <c r="A2101" s="6">
        <v>45834</v>
      </c>
      <c r="B2101" t="s">
        <v>15</v>
      </c>
      <c r="C2101" t="s">
        <v>16</v>
      </c>
      <c r="D2101" s="1">
        <v>45855</v>
      </c>
      <c r="E2101" t="s">
        <v>17</v>
      </c>
      <c r="F2101">
        <v>4550</v>
      </c>
      <c r="J2101">
        <v>1079.0999999999999</v>
      </c>
      <c r="K2101">
        <v>1098.9000000000001</v>
      </c>
      <c r="L2101">
        <v>0</v>
      </c>
      <c r="M2101" t="s">
        <v>18</v>
      </c>
      <c r="N2101">
        <v>0</v>
      </c>
      <c r="O2101">
        <v>0</v>
      </c>
    </row>
    <row r="2102" spans="1:15" x14ac:dyDescent="0.2">
      <c r="A2102" s="6">
        <v>45834</v>
      </c>
      <c r="B2102" t="s">
        <v>15</v>
      </c>
      <c r="C2102" t="s">
        <v>16</v>
      </c>
      <c r="D2102" s="1">
        <v>45855</v>
      </c>
      <c r="E2102" t="s">
        <v>17</v>
      </c>
      <c r="F2102">
        <v>6450</v>
      </c>
      <c r="G2102">
        <v>47.8</v>
      </c>
      <c r="H2102">
        <v>47.8</v>
      </c>
      <c r="I2102">
        <v>34.9</v>
      </c>
      <c r="J2102">
        <v>37.4</v>
      </c>
      <c r="K2102">
        <v>45.5</v>
      </c>
      <c r="L2102">
        <v>1502</v>
      </c>
      <c r="M2102" t="s">
        <v>986</v>
      </c>
      <c r="N2102">
        <v>9748.7199999999993</v>
      </c>
      <c r="O2102">
        <v>1567</v>
      </c>
    </row>
    <row r="2103" spans="1:15" x14ac:dyDescent="0.2">
      <c r="A2103" s="6">
        <v>45834</v>
      </c>
      <c r="B2103" t="s">
        <v>15</v>
      </c>
      <c r="C2103" t="s">
        <v>16</v>
      </c>
      <c r="D2103" s="1">
        <v>45855</v>
      </c>
      <c r="E2103" t="s">
        <v>17</v>
      </c>
      <c r="F2103">
        <v>5650</v>
      </c>
      <c r="G2103">
        <v>206</v>
      </c>
      <c r="H2103">
        <v>231.2</v>
      </c>
      <c r="I2103">
        <v>164</v>
      </c>
      <c r="J2103">
        <v>186.3</v>
      </c>
      <c r="K2103">
        <v>206</v>
      </c>
      <c r="L2103">
        <v>37392</v>
      </c>
      <c r="M2103" t="s">
        <v>987</v>
      </c>
      <c r="N2103">
        <v>218616.65</v>
      </c>
      <c r="O2103">
        <v>1560</v>
      </c>
    </row>
    <row r="2104" spans="1:15" x14ac:dyDescent="0.2">
      <c r="A2104" s="6">
        <v>45834</v>
      </c>
      <c r="B2104" t="s">
        <v>15</v>
      </c>
      <c r="C2104" t="s">
        <v>16</v>
      </c>
      <c r="D2104" s="1">
        <v>45855</v>
      </c>
      <c r="E2104" t="s">
        <v>17</v>
      </c>
      <c r="F2104">
        <v>3600</v>
      </c>
      <c r="J2104">
        <v>2018.1</v>
      </c>
      <c r="K2104">
        <v>2035.7</v>
      </c>
      <c r="L2104">
        <v>0</v>
      </c>
      <c r="M2104" t="s">
        <v>18</v>
      </c>
      <c r="N2104">
        <v>0</v>
      </c>
      <c r="O2104">
        <v>0</v>
      </c>
    </row>
    <row r="2105" spans="1:15" x14ac:dyDescent="0.2">
      <c r="A2105" s="6">
        <v>45834</v>
      </c>
      <c r="B2105" t="s">
        <v>15</v>
      </c>
      <c r="C2105" t="s">
        <v>16</v>
      </c>
      <c r="D2105" s="1">
        <v>45855</v>
      </c>
      <c r="E2105" t="s">
        <v>19</v>
      </c>
      <c r="F2105">
        <v>7400</v>
      </c>
      <c r="J2105">
        <v>1771.2</v>
      </c>
      <c r="K2105">
        <v>1754.4</v>
      </c>
      <c r="L2105">
        <v>0</v>
      </c>
      <c r="M2105" t="s">
        <v>18</v>
      </c>
      <c r="N2105">
        <v>0</v>
      </c>
      <c r="O2105">
        <v>0</v>
      </c>
    </row>
    <row r="2106" spans="1:15" x14ac:dyDescent="0.2">
      <c r="A2106" s="6">
        <v>45834</v>
      </c>
      <c r="B2106" t="s">
        <v>15</v>
      </c>
      <c r="C2106" t="s">
        <v>16</v>
      </c>
      <c r="D2106" s="1">
        <v>45855</v>
      </c>
      <c r="E2106" t="s">
        <v>19</v>
      </c>
      <c r="F2106">
        <v>6700</v>
      </c>
      <c r="G2106">
        <v>1134.5</v>
      </c>
      <c r="H2106">
        <v>1144.0999999999999</v>
      </c>
      <c r="I2106">
        <v>1044.2</v>
      </c>
      <c r="J2106">
        <v>1110.7</v>
      </c>
      <c r="K2106">
        <v>1056.2</v>
      </c>
      <c r="L2106">
        <v>111</v>
      </c>
      <c r="M2106" t="s">
        <v>392</v>
      </c>
      <c r="N2106">
        <v>867.24</v>
      </c>
      <c r="O2106">
        <v>189</v>
      </c>
    </row>
    <row r="2107" spans="1:15" x14ac:dyDescent="0.2">
      <c r="A2107" s="6">
        <v>45834</v>
      </c>
      <c r="B2107" t="s">
        <v>15</v>
      </c>
      <c r="C2107" t="s">
        <v>16</v>
      </c>
      <c r="D2107" s="1">
        <v>45855</v>
      </c>
      <c r="E2107" t="s">
        <v>19</v>
      </c>
      <c r="F2107">
        <v>5800</v>
      </c>
      <c r="G2107">
        <v>324.3</v>
      </c>
      <c r="H2107">
        <v>353.1</v>
      </c>
      <c r="I2107">
        <v>259.60000000000002</v>
      </c>
      <c r="J2107">
        <v>300.8</v>
      </c>
      <c r="K2107">
        <v>302.7</v>
      </c>
      <c r="L2107">
        <v>11133</v>
      </c>
      <c r="M2107" t="s">
        <v>988</v>
      </c>
      <c r="N2107">
        <v>67850.539999999994</v>
      </c>
      <c r="O2107">
        <v>2100</v>
      </c>
    </row>
    <row r="2108" spans="1:15" x14ac:dyDescent="0.2">
      <c r="A2108" s="6">
        <v>45834</v>
      </c>
      <c r="B2108" t="s">
        <v>15</v>
      </c>
      <c r="C2108" t="s">
        <v>16</v>
      </c>
      <c r="D2108" s="1">
        <v>45855</v>
      </c>
      <c r="E2108" t="s">
        <v>19</v>
      </c>
      <c r="F2108">
        <v>3650</v>
      </c>
      <c r="J2108">
        <v>0.1</v>
      </c>
      <c r="K2108">
        <v>0.1</v>
      </c>
      <c r="L2108">
        <v>0</v>
      </c>
      <c r="M2108" t="s">
        <v>18</v>
      </c>
      <c r="N2108">
        <v>0</v>
      </c>
      <c r="O2108">
        <v>0</v>
      </c>
    </row>
    <row r="2109" spans="1:15" x14ac:dyDescent="0.2">
      <c r="A2109" s="6">
        <v>45834</v>
      </c>
      <c r="B2109" t="s">
        <v>15</v>
      </c>
      <c r="C2109" t="s">
        <v>16</v>
      </c>
      <c r="D2109" s="1">
        <v>45855</v>
      </c>
      <c r="E2109" t="s">
        <v>19</v>
      </c>
      <c r="F2109">
        <v>6900</v>
      </c>
      <c r="J2109">
        <v>1282</v>
      </c>
      <c r="K2109">
        <v>1268.5</v>
      </c>
      <c r="L2109">
        <v>0</v>
      </c>
      <c r="M2109" t="s">
        <v>18</v>
      </c>
      <c r="N2109">
        <v>0</v>
      </c>
      <c r="O2109">
        <v>41</v>
      </c>
    </row>
    <row r="2110" spans="1:15" x14ac:dyDescent="0.2">
      <c r="A2110" s="6">
        <v>45834</v>
      </c>
      <c r="B2110" t="s">
        <v>15</v>
      </c>
      <c r="C2110" t="s">
        <v>16</v>
      </c>
      <c r="D2110" s="1">
        <v>45855</v>
      </c>
      <c r="E2110" t="s">
        <v>17</v>
      </c>
      <c r="F2110">
        <v>3650</v>
      </c>
      <c r="J2110">
        <v>1968.2</v>
      </c>
      <c r="K2110">
        <v>1985.9</v>
      </c>
      <c r="L2110">
        <v>0</v>
      </c>
      <c r="M2110" t="s">
        <v>18</v>
      </c>
      <c r="N2110">
        <v>0</v>
      </c>
      <c r="O2110">
        <v>0</v>
      </c>
    </row>
    <row r="2111" spans="1:15" x14ac:dyDescent="0.2">
      <c r="A2111" s="6">
        <v>45834</v>
      </c>
      <c r="B2111" t="s">
        <v>15</v>
      </c>
      <c r="C2111" t="s">
        <v>16</v>
      </c>
      <c r="D2111" s="1">
        <v>45855</v>
      </c>
      <c r="E2111" t="s">
        <v>17</v>
      </c>
      <c r="F2111">
        <v>7200</v>
      </c>
      <c r="G2111">
        <v>22.7</v>
      </c>
      <c r="H2111">
        <v>25.4</v>
      </c>
      <c r="I2111">
        <v>18.8</v>
      </c>
      <c r="J2111">
        <v>21</v>
      </c>
      <c r="K2111">
        <v>23.2</v>
      </c>
      <c r="L2111">
        <v>996</v>
      </c>
      <c r="M2111" t="s">
        <v>989</v>
      </c>
      <c r="N2111">
        <v>7192.13</v>
      </c>
      <c r="O2111">
        <v>1043</v>
      </c>
    </row>
    <row r="2112" spans="1:15" x14ac:dyDescent="0.2">
      <c r="A2112" s="6">
        <v>45834</v>
      </c>
      <c r="B2112" t="s">
        <v>15</v>
      </c>
      <c r="C2112" t="s">
        <v>16</v>
      </c>
      <c r="D2112" s="1">
        <v>45855</v>
      </c>
      <c r="E2112" t="s">
        <v>19</v>
      </c>
      <c r="F2112">
        <v>7100</v>
      </c>
      <c r="J2112">
        <v>1476.1</v>
      </c>
      <c r="K2112">
        <v>1460.9</v>
      </c>
      <c r="L2112">
        <v>0</v>
      </c>
      <c r="M2112" t="s">
        <v>18</v>
      </c>
      <c r="N2112">
        <v>0</v>
      </c>
      <c r="O2112">
        <v>0</v>
      </c>
    </row>
    <row r="2113" spans="1:15" x14ac:dyDescent="0.2">
      <c r="A2113" s="6">
        <v>45834</v>
      </c>
      <c r="B2113" t="s">
        <v>15</v>
      </c>
      <c r="C2113" t="s">
        <v>16</v>
      </c>
      <c r="D2113" s="1">
        <v>45855</v>
      </c>
      <c r="E2113" t="s">
        <v>17</v>
      </c>
      <c r="F2113">
        <v>5350</v>
      </c>
      <c r="G2113">
        <v>361.8</v>
      </c>
      <c r="H2113">
        <v>423</v>
      </c>
      <c r="I2113">
        <v>325.2</v>
      </c>
      <c r="J2113">
        <v>364.9</v>
      </c>
      <c r="K2113">
        <v>381.9</v>
      </c>
      <c r="L2113">
        <v>401</v>
      </c>
      <c r="M2113" t="s">
        <v>990</v>
      </c>
      <c r="N2113">
        <v>2292.27</v>
      </c>
      <c r="O2113">
        <v>40</v>
      </c>
    </row>
    <row r="2114" spans="1:15" x14ac:dyDescent="0.2">
      <c r="A2114" s="6">
        <v>45834</v>
      </c>
      <c r="B2114" t="s">
        <v>15</v>
      </c>
      <c r="C2114" t="s">
        <v>16</v>
      </c>
      <c r="D2114" s="1">
        <v>45855</v>
      </c>
      <c r="E2114" t="s">
        <v>17</v>
      </c>
      <c r="F2114">
        <v>6100</v>
      </c>
      <c r="G2114">
        <v>52.2</v>
      </c>
      <c r="H2114">
        <v>83</v>
      </c>
      <c r="I2114">
        <v>52.2</v>
      </c>
      <c r="J2114">
        <v>65</v>
      </c>
      <c r="K2114">
        <v>77.7</v>
      </c>
      <c r="L2114">
        <v>14468</v>
      </c>
      <c r="M2114" t="s">
        <v>991</v>
      </c>
      <c r="N2114">
        <v>89269.51</v>
      </c>
      <c r="O2114">
        <v>2273</v>
      </c>
    </row>
    <row r="2115" spans="1:15" x14ac:dyDescent="0.2">
      <c r="A2115" s="6">
        <v>45834</v>
      </c>
      <c r="B2115" t="s">
        <v>15</v>
      </c>
      <c r="C2115" t="s">
        <v>16</v>
      </c>
      <c r="D2115" s="1">
        <v>45855</v>
      </c>
      <c r="E2115" t="s">
        <v>19</v>
      </c>
      <c r="F2115">
        <v>4850</v>
      </c>
      <c r="G2115">
        <v>25.7</v>
      </c>
      <c r="H2115">
        <v>31.7</v>
      </c>
      <c r="I2115">
        <v>23</v>
      </c>
      <c r="J2115">
        <v>26.8</v>
      </c>
      <c r="K2115">
        <v>28.5</v>
      </c>
      <c r="L2115">
        <v>373</v>
      </c>
      <c r="M2115" t="s">
        <v>992</v>
      </c>
      <c r="N2115">
        <v>1819.35</v>
      </c>
      <c r="O2115">
        <v>150</v>
      </c>
    </row>
    <row r="2116" spans="1:15" x14ac:dyDescent="0.2">
      <c r="A2116" s="6">
        <v>45834</v>
      </c>
      <c r="B2116" t="s">
        <v>15</v>
      </c>
      <c r="C2116" t="s">
        <v>16</v>
      </c>
      <c r="D2116" s="1">
        <v>45855</v>
      </c>
      <c r="E2116" t="s">
        <v>19</v>
      </c>
      <c r="F2116">
        <v>4000</v>
      </c>
      <c r="G2116">
        <v>13</v>
      </c>
      <c r="H2116">
        <v>14</v>
      </c>
      <c r="I2116">
        <v>11.6</v>
      </c>
      <c r="J2116">
        <v>12</v>
      </c>
      <c r="K2116">
        <v>13.6</v>
      </c>
      <c r="L2116">
        <v>1290</v>
      </c>
      <c r="M2116" t="s">
        <v>993</v>
      </c>
      <c r="N2116">
        <v>5176.62</v>
      </c>
      <c r="O2116">
        <v>496</v>
      </c>
    </row>
    <row r="2117" spans="1:15" x14ac:dyDescent="0.2">
      <c r="A2117" s="6">
        <v>45834</v>
      </c>
      <c r="B2117" t="s">
        <v>15</v>
      </c>
      <c r="C2117" t="s">
        <v>16</v>
      </c>
      <c r="D2117" s="1">
        <v>45855</v>
      </c>
      <c r="E2117" t="s">
        <v>19</v>
      </c>
      <c r="F2117">
        <v>6350</v>
      </c>
      <c r="G2117">
        <v>764.2</v>
      </c>
      <c r="H2117">
        <v>784.7</v>
      </c>
      <c r="I2117">
        <v>750</v>
      </c>
      <c r="J2117">
        <v>769.6</v>
      </c>
      <c r="K2117">
        <v>786.1</v>
      </c>
      <c r="L2117">
        <v>11</v>
      </c>
      <c r="M2117" t="s">
        <v>236</v>
      </c>
      <c r="N2117">
        <v>78.319999999999993</v>
      </c>
      <c r="O2117">
        <v>80</v>
      </c>
    </row>
    <row r="2118" spans="1:15" x14ac:dyDescent="0.2">
      <c r="A2118" s="6">
        <v>45834</v>
      </c>
      <c r="B2118" t="s">
        <v>15</v>
      </c>
      <c r="C2118" t="s">
        <v>16</v>
      </c>
      <c r="D2118" s="1">
        <v>45855</v>
      </c>
      <c r="E2118" t="s">
        <v>19</v>
      </c>
      <c r="F2118">
        <v>5600</v>
      </c>
      <c r="G2118">
        <v>199.9</v>
      </c>
      <c r="H2118">
        <v>226</v>
      </c>
      <c r="I2118">
        <v>155</v>
      </c>
      <c r="J2118">
        <v>183.3</v>
      </c>
      <c r="K2118">
        <v>188</v>
      </c>
      <c r="L2118">
        <v>124118</v>
      </c>
      <c r="M2118" t="s">
        <v>994</v>
      </c>
      <c r="N2118">
        <v>718236.09</v>
      </c>
      <c r="O2118">
        <v>5203</v>
      </c>
    </row>
    <row r="2119" spans="1:15" x14ac:dyDescent="0.2">
      <c r="A2119" s="6">
        <v>45834</v>
      </c>
      <c r="B2119" t="s">
        <v>15</v>
      </c>
      <c r="C2119" t="s">
        <v>16</v>
      </c>
      <c r="D2119" s="1">
        <v>45855</v>
      </c>
      <c r="E2119" t="s">
        <v>19</v>
      </c>
      <c r="F2119">
        <v>5650</v>
      </c>
      <c r="G2119">
        <v>223.9</v>
      </c>
      <c r="H2119">
        <v>252.9</v>
      </c>
      <c r="I2119">
        <v>177.6</v>
      </c>
      <c r="J2119">
        <v>206.8</v>
      </c>
      <c r="K2119">
        <v>211.6</v>
      </c>
      <c r="L2119">
        <v>30287</v>
      </c>
      <c r="M2119" t="s">
        <v>995</v>
      </c>
      <c r="N2119">
        <v>177347.87</v>
      </c>
      <c r="O2119">
        <v>1501</v>
      </c>
    </row>
    <row r="2120" spans="1:15" x14ac:dyDescent="0.2">
      <c r="A2120" s="6">
        <v>45834</v>
      </c>
      <c r="B2120" t="s">
        <v>15</v>
      </c>
      <c r="C2120" t="s">
        <v>16</v>
      </c>
      <c r="D2120" s="1">
        <v>45855</v>
      </c>
      <c r="E2120" t="s">
        <v>17</v>
      </c>
      <c r="F2120">
        <v>3950</v>
      </c>
      <c r="J2120">
        <v>1669.4</v>
      </c>
      <c r="K2120">
        <v>1687.2</v>
      </c>
      <c r="L2120">
        <v>0</v>
      </c>
      <c r="M2120" t="s">
        <v>18</v>
      </c>
      <c r="N2120">
        <v>0</v>
      </c>
      <c r="O2120">
        <v>0</v>
      </c>
    </row>
    <row r="2121" spans="1:15" x14ac:dyDescent="0.2">
      <c r="A2121" s="6">
        <v>45834</v>
      </c>
      <c r="B2121" t="s">
        <v>15</v>
      </c>
      <c r="C2121" t="s">
        <v>16</v>
      </c>
      <c r="D2121" s="1">
        <v>45855</v>
      </c>
      <c r="E2121" t="s">
        <v>19</v>
      </c>
      <c r="F2121">
        <v>7450</v>
      </c>
      <c r="J2121">
        <v>1820.7</v>
      </c>
      <c r="K2121">
        <v>1803.7</v>
      </c>
      <c r="L2121">
        <v>0</v>
      </c>
      <c r="M2121" t="s">
        <v>18</v>
      </c>
      <c r="N2121">
        <v>0</v>
      </c>
      <c r="O2121">
        <v>0</v>
      </c>
    </row>
    <row r="2122" spans="1:15" x14ac:dyDescent="0.2">
      <c r="A2122" s="6">
        <v>45834</v>
      </c>
      <c r="B2122" t="s">
        <v>15</v>
      </c>
      <c r="C2122" t="s">
        <v>16</v>
      </c>
      <c r="D2122" s="1">
        <v>45855</v>
      </c>
      <c r="E2122" t="s">
        <v>17</v>
      </c>
      <c r="F2122">
        <v>7550</v>
      </c>
      <c r="G2122">
        <v>16</v>
      </c>
      <c r="H2122">
        <v>19.600000000000001</v>
      </c>
      <c r="I2122">
        <v>14.4</v>
      </c>
      <c r="J2122">
        <v>16.3</v>
      </c>
      <c r="K2122">
        <v>19.100000000000001</v>
      </c>
      <c r="L2122">
        <v>281</v>
      </c>
      <c r="M2122" t="s">
        <v>996</v>
      </c>
      <c r="N2122">
        <v>2126.3200000000002</v>
      </c>
      <c r="O2122">
        <v>262</v>
      </c>
    </row>
    <row r="2123" spans="1:15" x14ac:dyDescent="0.2">
      <c r="A2123" s="6">
        <v>45834</v>
      </c>
      <c r="B2123" t="s">
        <v>15</v>
      </c>
      <c r="C2123" t="s">
        <v>16</v>
      </c>
      <c r="D2123" s="1">
        <v>45855</v>
      </c>
      <c r="E2123" t="s">
        <v>17</v>
      </c>
      <c r="F2123">
        <v>4700</v>
      </c>
      <c r="J2123">
        <v>937.5</v>
      </c>
      <c r="K2123">
        <v>958.4</v>
      </c>
      <c r="L2123">
        <v>0</v>
      </c>
      <c r="M2123" t="s">
        <v>18</v>
      </c>
      <c r="N2123">
        <v>0</v>
      </c>
      <c r="O2123">
        <v>0</v>
      </c>
    </row>
    <row r="2124" spans="1:15" x14ac:dyDescent="0.2">
      <c r="A2124" s="6">
        <v>45834</v>
      </c>
      <c r="B2124" t="s">
        <v>15</v>
      </c>
      <c r="C2124" t="s">
        <v>16</v>
      </c>
      <c r="D2124" s="1">
        <v>45855</v>
      </c>
      <c r="E2124" t="s">
        <v>17</v>
      </c>
      <c r="F2124">
        <v>4300</v>
      </c>
      <c r="J2124">
        <v>1322.5</v>
      </c>
      <c r="K2124">
        <v>1341</v>
      </c>
      <c r="L2124">
        <v>0</v>
      </c>
      <c r="M2124" t="s">
        <v>18</v>
      </c>
      <c r="N2124">
        <v>0</v>
      </c>
      <c r="O2124">
        <v>0</v>
      </c>
    </row>
    <row r="2125" spans="1:15" x14ac:dyDescent="0.2">
      <c r="A2125" s="6">
        <v>45834</v>
      </c>
      <c r="B2125" t="s">
        <v>15</v>
      </c>
      <c r="C2125" t="s">
        <v>16</v>
      </c>
      <c r="D2125" s="1">
        <v>45855</v>
      </c>
      <c r="E2125" t="s">
        <v>19</v>
      </c>
      <c r="F2125">
        <v>5750</v>
      </c>
      <c r="G2125">
        <v>275</v>
      </c>
      <c r="H2125">
        <v>315</v>
      </c>
      <c r="I2125">
        <v>230</v>
      </c>
      <c r="J2125">
        <v>265.8</v>
      </c>
      <c r="K2125">
        <v>269.10000000000002</v>
      </c>
      <c r="L2125">
        <v>6074</v>
      </c>
      <c r="M2125" t="s">
        <v>997</v>
      </c>
      <c r="N2125">
        <v>36519.54</v>
      </c>
      <c r="O2125">
        <v>996</v>
      </c>
    </row>
    <row r="2126" spans="1:15" x14ac:dyDescent="0.2">
      <c r="A2126" s="6">
        <v>45834</v>
      </c>
      <c r="B2126" t="s">
        <v>15</v>
      </c>
      <c r="C2126" t="s">
        <v>16</v>
      </c>
      <c r="D2126" s="1">
        <v>45855</v>
      </c>
      <c r="E2126" t="s">
        <v>19</v>
      </c>
      <c r="F2126">
        <v>7300</v>
      </c>
      <c r="J2126">
        <v>1672.4</v>
      </c>
      <c r="K2126">
        <v>1656.1</v>
      </c>
      <c r="L2126">
        <v>0</v>
      </c>
      <c r="M2126" t="s">
        <v>18</v>
      </c>
      <c r="N2126">
        <v>0</v>
      </c>
      <c r="O2126">
        <v>0</v>
      </c>
    </row>
    <row r="2127" spans="1:15" x14ac:dyDescent="0.2">
      <c r="A2127" s="6">
        <v>45834</v>
      </c>
      <c r="B2127" t="s">
        <v>15</v>
      </c>
      <c r="C2127" t="s">
        <v>16</v>
      </c>
      <c r="D2127" s="1">
        <v>45855</v>
      </c>
      <c r="E2127" t="s">
        <v>17</v>
      </c>
      <c r="F2127">
        <v>7100</v>
      </c>
      <c r="G2127">
        <v>25.3</v>
      </c>
      <c r="H2127">
        <v>26.6</v>
      </c>
      <c r="I2127">
        <v>19.5</v>
      </c>
      <c r="J2127">
        <v>21.8</v>
      </c>
      <c r="K2127">
        <v>24.9</v>
      </c>
      <c r="L2127">
        <v>672</v>
      </c>
      <c r="M2127" t="s">
        <v>67</v>
      </c>
      <c r="N2127">
        <v>4786.26</v>
      </c>
      <c r="O2127">
        <v>448</v>
      </c>
    </row>
    <row r="2128" spans="1:15" x14ac:dyDescent="0.2">
      <c r="A2128" s="6">
        <v>45834</v>
      </c>
      <c r="B2128" t="s">
        <v>15</v>
      </c>
      <c r="C2128" t="s">
        <v>16</v>
      </c>
      <c r="D2128" s="1">
        <v>45855</v>
      </c>
      <c r="E2128" t="s">
        <v>19</v>
      </c>
      <c r="F2128">
        <v>6100</v>
      </c>
      <c r="G2128">
        <v>555.79999999999995</v>
      </c>
      <c r="H2128">
        <v>584</v>
      </c>
      <c r="I2128">
        <v>480.3</v>
      </c>
      <c r="J2128">
        <v>539.20000000000005</v>
      </c>
      <c r="K2128">
        <v>536.20000000000005</v>
      </c>
      <c r="L2128">
        <v>287</v>
      </c>
      <c r="M2128" t="s">
        <v>998</v>
      </c>
      <c r="N2128">
        <v>1903.55</v>
      </c>
      <c r="O2128">
        <v>424</v>
      </c>
    </row>
    <row r="2129" spans="1:15" x14ac:dyDescent="0.2">
      <c r="A2129" s="6">
        <v>45834</v>
      </c>
      <c r="B2129" t="s">
        <v>15</v>
      </c>
      <c r="C2129" t="s">
        <v>16</v>
      </c>
      <c r="D2129" s="1">
        <v>45855</v>
      </c>
      <c r="E2129" t="s">
        <v>19</v>
      </c>
      <c r="F2129">
        <v>6450</v>
      </c>
      <c r="G2129">
        <v>871.3</v>
      </c>
      <c r="H2129">
        <v>871.3</v>
      </c>
      <c r="I2129">
        <v>801</v>
      </c>
      <c r="J2129">
        <v>835.1</v>
      </c>
      <c r="K2129">
        <v>880.5</v>
      </c>
      <c r="L2129">
        <v>7</v>
      </c>
      <c r="M2129" t="s">
        <v>23</v>
      </c>
      <c r="N2129">
        <v>51</v>
      </c>
      <c r="O2129">
        <v>838</v>
      </c>
    </row>
    <row r="2130" spans="1:15" x14ac:dyDescent="0.2">
      <c r="A2130" s="6">
        <v>45834</v>
      </c>
      <c r="B2130" t="s">
        <v>15</v>
      </c>
      <c r="C2130" t="s">
        <v>16</v>
      </c>
      <c r="D2130" s="1">
        <v>45855</v>
      </c>
      <c r="E2130" t="s">
        <v>19</v>
      </c>
      <c r="F2130">
        <v>5500</v>
      </c>
      <c r="G2130">
        <v>147.69999999999999</v>
      </c>
      <c r="H2130">
        <v>173</v>
      </c>
      <c r="I2130">
        <v>114.5</v>
      </c>
      <c r="J2130">
        <v>136.5</v>
      </c>
      <c r="K2130">
        <v>142</v>
      </c>
      <c r="L2130">
        <v>85522</v>
      </c>
      <c r="M2130" t="s">
        <v>999</v>
      </c>
      <c r="N2130">
        <v>482434.69</v>
      </c>
      <c r="O2130">
        <v>6177</v>
      </c>
    </row>
    <row r="2131" spans="1:15" x14ac:dyDescent="0.2">
      <c r="A2131" s="6">
        <v>45834</v>
      </c>
      <c r="B2131" t="s">
        <v>15</v>
      </c>
      <c r="C2131" t="s">
        <v>16</v>
      </c>
      <c r="D2131" s="1">
        <v>45855</v>
      </c>
      <c r="E2131" t="s">
        <v>19</v>
      </c>
      <c r="F2131">
        <v>7000</v>
      </c>
      <c r="J2131">
        <v>1378.7</v>
      </c>
      <c r="K2131">
        <v>1364.3</v>
      </c>
      <c r="L2131">
        <v>0</v>
      </c>
      <c r="M2131" t="s">
        <v>18</v>
      </c>
      <c r="N2131">
        <v>0</v>
      </c>
      <c r="O2131">
        <v>12</v>
      </c>
    </row>
    <row r="2132" spans="1:15" x14ac:dyDescent="0.2">
      <c r="A2132" s="6">
        <v>45834</v>
      </c>
      <c r="B2132" t="s">
        <v>15</v>
      </c>
      <c r="C2132" t="s">
        <v>16</v>
      </c>
      <c r="D2132" s="1">
        <v>45855</v>
      </c>
      <c r="E2132" t="s">
        <v>19</v>
      </c>
      <c r="F2132">
        <v>3800</v>
      </c>
      <c r="J2132">
        <v>0.1</v>
      </c>
      <c r="K2132">
        <v>0.1</v>
      </c>
      <c r="L2132">
        <v>0</v>
      </c>
      <c r="M2132" t="s">
        <v>18</v>
      </c>
      <c r="N2132">
        <v>0</v>
      </c>
      <c r="O2132">
        <v>0</v>
      </c>
    </row>
    <row r="2133" spans="1:15" x14ac:dyDescent="0.2">
      <c r="A2133" s="6">
        <v>45834</v>
      </c>
      <c r="B2133" t="s">
        <v>15</v>
      </c>
      <c r="C2133" t="s">
        <v>16</v>
      </c>
      <c r="D2133" s="1">
        <v>45855</v>
      </c>
      <c r="E2133" t="s">
        <v>17</v>
      </c>
      <c r="F2133">
        <v>7700</v>
      </c>
      <c r="G2133">
        <v>15.2</v>
      </c>
      <c r="H2133">
        <v>17.7</v>
      </c>
      <c r="I2133">
        <v>12.6</v>
      </c>
      <c r="J2133">
        <v>14.6</v>
      </c>
      <c r="K2133">
        <v>15.2</v>
      </c>
      <c r="L2133">
        <v>1801</v>
      </c>
      <c r="M2133" t="s">
        <v>1000</v>
      </c>
      <c r="N2133">
        <v>13894.5</v>
      </c>
      <c r="O2133">
        <v>2223</v>
      </c>
    </row>
    <row r="2134" spans="1:15" x14ac:dyDescent="0.2">
      <c r="A2134" s="6">
        <v>45834</v>
      </c>
      <c r="B2134" t="s">
        <v>15</v>
      </c>
      <c r="C2134" t="s">
        <v>16</v>
      </c>
      <c r="D2134" s="1">
        <v>45855</v>
      </c>
      <c r="E2134" t="s">
        <v>19</v>
      </c>
      <c r="F2134">
        <v>7650</v>
      </c>
      <c r="J2134">
        <v>2019</v>
      </c>
      <c r="K2134">
        <v>2001.5</v>
      </c>
      <c r="L2134">
        <v>0</v>
      </c>
      <c r="M2134" t="s">
        <v>18</v>
      </c>
      <c r="N2134">
        <v>0</v>
      </c>
      <c r="O2134">
        <v>0</v>
      </c>
    </row>
    <row r="2135" spans="1:15" x14ac:dyDescent="0.2">
      <c r="A2135" s="6">
        <v>45834</v>
      </c>
      <c r="B2135" t="s">
        <v>15</v>
      </c>
      <c r="C2135" t="s">
        <v>16</v>
      </c>
      <c r="D2135" s="1">
        <v>45855</v>
      </c>
      <c r="E2135" t="s">
        <v>17</v>
      </c>
      <c r="F2135">
        <v>7400</v>
      </c>
      <c r="G2135">
        <v>20</v>
      </c>
      <c r="H2135">
        <v>22.6</v>
      </c>
      <c r="I2135">
        <v>15.7</v>
      </c>
      <c r="J2135">
        <v>18.5</v>
      </c>
      <c r="K2135">
        <v>21.4</v>
      </c>
      <c r="L2135">
        <v>1413</v>
      </c>
      <c r="M2135" t="s">
        <v>1001</v>
      </c>
      <c r="N2135">
        <v>10482.719999999999</v>
      </c>
      <c r="O2135">
        <v>2077</v>
      </c>
    </row>
    <row r="2136" spans="1:15" x14ac:dyDescent="0.2">
      <c r="A2136" s="6">
        <v>45834</v>
      </c>
      <c r="B2136" t="s">
        <v>15</v>
      </c>
      <c r="C2136" t="s">
        <v>16</v>
      </c>
      <c r="D2136" s="1">
        <v>45855</v>
      </c>
      <c r="E2136" t="s">
        <v>17</v>
      </c>
      <c r="F2136">
        <v>4050</v>
      </c>
      <c r="J2136">
        <v>1570</v>
      </c>
      <c r="K2136">
        <v>1587.9</v>
      </c>
      <c r="L2136">
        <v>0</v>
      </c>
      <c r="M2136" t="s">
        <v>18</v>
      </c>
      <c r="N2136">
        <v>0</v>
      </c>
      <c r="O2136">
        <v>0</v>
      </c>
    </row>
    <row r="2137" spans="1:15" x14ac:dyDescent="0.2">
      <c r="A2137" s="6">
        <v>45834</v>
      </c>
      <c r="B2137" t="s">
        <v>15</v>
      </c>
      <c r="C2137" t="s">
        <v>16</v>
      </c>
      <c r="D2137" s="1">
        <v>45855</v>
      </c>
      <c r="E2137" t="s">
        <v>19</v>
      </c>
      <c r="F2137">
        <v>4150</v>
      </c>
      <c r="J2137">
        <v>0.8</v>
      </c>
      <c r="K2137">
        <v>1.2</v>
      </c>
      <c r="L2137">
        <v>0</v>
      </c>
      <c r="M2137" t="s">
        <v>18</v>
      </c>
      <c r="N2137">
        <v>0</v>
      </c>
      <c r="O2137">
        <v>0</v>
      </c>
    </row>
    <row r="2138" spans="1:15" x14ac:dyDescent="0.2">
      <c r="A2138" s="6">
        <v>45834</v>
      </c>
      <c r="B2138" t="s">
        <v>15</v>
      </c>
      <c r="C2138" t="s">
        <v>16</v>
      </c>
      <c r="D2138" s="1">
        <v>45855</v>
      </c>
      <c r="E2138" t="s">
        <v>19</v>
      </c>
      <c r="F2138">
        <v>4800</v>
      </c>
      <c r="G2138">
        <v>20.100000000000001</v>
      </c>
      <c r="H2138">
        <v>29.1</v>
      </c>
      <c r="I2138">
        <v>20.100000000000001</v>
      </c>
      <c r="J2138">
        <v>23.6</v>
      </c>
      <c r="K2138">
        <v>26.7</v>
      </c>
      <c r="L2138">
        <v>2457</v>
      </c>
      <c r="M2138" t="s">
        <v>1002</v>
      </c>
      <c r="N2138">
        <v>11854.9</v>
      </c>
      <c r="O2138">
        <v>745</v>
      </c>
    </row>
    <row r="2139" spans="1:15" x14ac:dyDescent="0.2">
      <c r="A2139" s="6">
        <v>45834</v>
      </c>
      <c r="B2139" t="s">
        <v>15</v>
      </c>
      <c r="C2139" t="s">
        <v>16</v>
      </c>
      <c r="D2139" s="1">
        <v>45855</v>
      </c>
      <c r="E2139" t="s">
        <v>19</v>
      </c>
      <c r="F2139">
        <v>5550</v>
      </c>
      <c r="G2139">
        <v>177</v>
      </c>
      <c r="H2139">
        <v>198.2</v>
      </c>
      <c r="I2139">
        <v>134.5</v>
      </c>
      <c r="J2139">
        <v>158.69999999999999</v>
      </c>
      <c r="K2139">
        <v>163</v>
      </c>
      <c r="L2139">
        <v>37710</v>
      </c>
      <c r="M2139" t="s">
        <v>1003</v>
      </c>
      <c r="N2139">
        <v>215450.23</v>
      </c>
      <c r="O2139">
        <v>1332</v>
      </c>
    </row>
    <row r="2140" spans="1:15" x14ac:dyDescent="0.2">
      <c r="A2140" s="6">
        <v>45834</v>
      </c>
      <c r="B2140" t="s">
        <v>15</v>
      </c>
      <c r="C2140" t="s">
        <v>16</v>
      </c>
      <c r="D2140" s="1">
        <v>45855</v>
      </c>
      <c r="E2140" t="s">
        <v>19</v>
      </c>
      <c r="F2140">
        <v>6500</v>
      </c>
      <c r="G2140">
        <v>911.1</v>
      </c>
      <c r="H2140">
        <v>949.3</v>
      </c>
      <c r="I2140">
        <v>850.7</v>
      </c>
      <c r="J2140">
        <v>874.7</v>
      </c>
      <c r="K2140">
        <v>904.7</v>
      </c>
      <c r="L2140">
        <v>63</v>
      </c>
      <c r="M2140" t="s">
        <v>1004</v>
      </c>
      <c r="N2140">
        <v>465.45</v>
      </c>
      <c r="O2140">
        <v>740</v>
      </c>
    </row>
    <row r="2141" spans="1:15" x14ac:dyDescent="0.2">
      <c r="A2141" s="6">
        <v>45834</v>
      </c>
      <c r="B2141" t="s">
        <v>15</v>
      </c>
      <c r="C2141" t="s">
        <v>16</v>
      </c>
      <c r="D2141" s="1">
        <v>45855</v>
      </c>
      <c r="E2141" t="s">
        <v>17</v>
      </c>
      <c r="F2141">
        <v>6150</v>
      </c>
      <c r="G2141">
        <v>63</v>
      </c>
      <c r="H2141">
        <v>76</v>
      </c>
      <c r="I2141">
        <v>55.1</v>
      </c>
      <c r="J2141">
        <v>60</v>
      </c>
      <c r="K2141">
        <v>71.099999999999994</v>
      </c>
      <c r="L2141">
        <v>2457</v>
      </c>
      <c r="M2141" t="s">
        <v>1002</v>
      </c>
      <c r="N2141">
        <v>15269.15</v>
      </c>
      <c r="O2141">
        <v>658</v>
      </c>
    </row>
    <row r="2142" spans="1:15" x14ac:dyDescent="0.2">
      <c r="A2142" s="6">
        <v>45834</v>
      </c>
      <c r="B2142" t="s">
        <v>15</v>
      </c>
      <c r="C2142" t="s">
        <v>16</v>
      </c>
      <c r="D2142" s="1">
        <v>45855</v>
      </c>
      <c r="E2142" t="s">
        <v>19</v>
      </c>
      <c r="F2142">
        <v>6600</v>
      </c>
      <c r="G2142">
        <v>1020.9</v>
      </c>
      <c r="H2142">
        <v>1020.9</v>
      </c>
      <c r="I2142">
        <v>1020</v>
      </c>
      <c r="J2142">
        <v>1020.3</v>
      </c>
      <c r="K2142">
        <v>1044.3</v>
      </c>
      <c r="L2142">
        <v>3</v>
      </c>
      <c r="M2142" t="s">
        <v>34</v>
      </c>
      <c r="N2142">
        <v>22.86</v>
      </c>
      <c r="O2142">
        <v>189</v>
      </c>
    </row>
    <row r="2143" spans="1:15" x14ac:dyDescent="0.2">
      <c r="A2143" s="6">
        <v>45834</v>
      </c>
      <c r="B2143" t="s">
        <v>15</v>
      </c>
      <c r="C2143" t="s">
        <v>16</v>
      </c>
      <c r="D2143" s="1">
        <v>45855</v>
      </c>
      <c r="E2143" t="s">
        <v>19</v>
      </c>
      <c r="F2143">
        <v>7050</v>
      </c>
      <c r="J2143">
        <v>1427.3</v>
      </c>
      <c r="K2143">
        <v>1412.5</v>
      </c>
      <c r="L2143">
        <v>0</v>
      </c>
      <c r="M2143" t="s">
        <v>18</v>
      </c>
      <c r="N2143">
        <v>0</v>
      </c>
      <c r="O2143">
        <v>0</v>
      </c>
    </row>
    <row r="2144" spans="1:15" x14ac:dyDescent="0.2">
      <c r="A2144" s="6">
        <v>45834</v>
      </c>
      <c r="B2144" t="s">
        <v>15</v>
      </c>
      <c r="C2144" t="s">
        <v>16</v>
      </c>
      <c r="D2144" s="1">
        <v>45855</v>
      </c>
      <c r="E2144" t="s">
        <v>19</v>
      </c>
      <c r="F2144">
        <v>4350</v>
      </c>
      <c r="J2144">
        <v>2.7</v>
      </c>
      <c r="K2144">
        <v>3.7</v>
      </c>
      <c r="L2144">
        <v>0</v>
      </c>
      <c r="M2144" t="s">
        <v>18</v>
      </c>
      <c r="N2144">
        <v>0</v>
      </c>
      <c r="O2144">
        <v>0</v>
      </c>
    </row>
    <row r="2145" spans="1:15" x14ac:dyDescent="0.2">
      <c r="A2145" s="6">
        <v>45834</v>
      </c>
      <c r="B2145" t="s">
        <v>15</v>
      </c>
      <c r="C2145" t="s">
        <v>16</v>
      </c>
      <c r="D2145" s="1">
        <v>45855</v>
      </c>
      <c r="E2145" t="s">
        <v>17</v>
      </c>
      <c r="F2145">
        <v>5850</v>
      </c>
      <c r="G2145">
        <v>123.4</v>
      </c>
      <c r="H2145">
        <v>144.80000000000001</v>
      </c>
      <c r="I2145">
        <v>100.5</v>
      </c>
      <c r="J2145">
        <v>113.6</v>
      </c>
      <c r="K2145">
        <v>129.80000000000001</v>
      </c>
      <c r="L2145">
        <v>13144</v>
      </c>
      <c r="M2145" t="s">
        <v>1005</v>
      </c>
      <c r="N2145">
        <v>78483.5</v>
      </c>
      <c r="O2145">
        <v>1227</v>
      </c>
    </row>
    <row r="2146" spans="1:15" x14ac:dyDescent="0.2">
      <c r="A2146" s="6">
        <v>45834</v>
      </c>
      <c r="B2146" t="s">
        <v>15</v>
      </c>
      <c r="C2146" t="s">
        <v>16</v>
      </c>
      <c r="D2146" s="1">
        <v>45855</v>
      </c>
      <c r="E2146" t="s">
        <v>19</v>
      </c>
      <c r="F2146">
        <v>6300</v>
      </c>
      <c r="G2146">
        <v>745.3</v>
      </c>
      <c r="H2146">
        <v>779.8</v>
      </c>
      <c r="I2146">
        <v>665.9</v>
      </c>
      <c r="J2146">
        <v>681.5</v>
      </c>
      <c r="K2146">
        <v>710.6</v>
      </c>
      <c r="L2146">
        <v>315</v>
      </c>
      <c r="M2146" t="s">
        <v>1006</v>
      </c>
      <c r="N2146">
        <v>2215.48</v>
      </c>
      <c r="O2146">
        <v>639</v>
      </c>
    </row>
    <row r="2147" spans="1:15" x14ac:dyDescent="0.2">
      <c r="A2147" s="6">
        <v>45834</v>
      </c>
      <c r="B2147" t="s">
        <v>15</v>
      </c>
      <c r="C2147" t="s">
        <v>16</v>
      </c>
      <c r="D2147" s="1">
        <v>45855</v>
      </c>
      <c r="E2147" t="s">
        <v>19</v>
      </c>
      <c r="F2147">
        <v>5850</v>
      </c>
      <c r="G2147">
        <v>356.5</v>
      </c>
      <c r="H2147">
        <v>389.4</v>
      </c>
      <c r="I2147">
        <v>292.60000000000002</v>
      </c>
      <c r="J2147">
        <v>334.1</v>
      </c>
      <c r="K2147">
        <v>335.7</v>
      </c>
      <c r="L2147">
        <v>813</v>
      </c>
      <c r="M2147" t="s">
        <v>1007</v>
      </c>
      <c r="N2147">
        <v>5025.01</v>
      </c>
      <c r="O2147">
        <v>106</v>
      </c>
    </row>
    <row r="2148" spans="1:15" x14ac:dyDescent="0.2">
      <c r="A2148" s="6">
        <v>45834</v>
      </c>
      <c r="B2148" t="s">
        <v>15</v>
      </c>
      <c r="C2148" t="s">
        <v>16</v>
      </c>
      <c r="D2148" s="1">
        <v>45855</v>
      </c>
      <c r="E2148" t="s">
        <v>17</v>
      </c>
      <c r="F2148">
        <v>5400</v>
      </c>
      <c r="G2148">
        <v>327.8</v>
      </c>
      <c r="H2148">
        <v>385.7</v>
      </c>
      <c r="I2148">
        <v>288.2</v>
      </c>
      <c r="J2148">
        <v>327.10000000000002</v>
      </c>
      <c r="K2148">
        <v>347</v>
      </c>
      <c r="L2148">
        <v>5893</v>
      </c>
      <c r="M2148" t="s">
        <v>1008</v>
      </c>
      <c r="N2148">
        <v>33779.199999999997</v>
      </c>
      <c r="O2148">
        <v>763</v>
      </c>
    </row>
    <row r="2149" spans="1:15" x14ac:dyDescent="0.2">
      <c r="A2149" s="6">
        <v>45834</v>
      </c>
      <c r="B2149" t="s">
        <v>15</v>
      </c>
      <c r="C2149" t="s">
        <v>16</v>
      </c>
      <c r="D2149" s="1">
        <v>45855</v>
      </c>
      <c r="E2149" t="s">
        <v>17</v>
      </c>
      <c r="F2149">
        <v>3900</v>
      </c>
      <c r="J2149">
        <v>1719.2</v>
      </c>
      <c r="K2149">
        <v>1736.9</v>
      </c>
      <c r="L2149">
        <v>0</v>
      </c>
      <c r="M2149" t="s">
        <v>18</v>
      </c>
      <c r="N2149">
        <v>0</v>
      </c>
      <c r="O2149">
        <v>0</v>
      </c>
    </row>
    <row r="2150" spans="1:15" x14ac:dyDescent="0.2">
      <c r="A2150" s="6">
        <v>45834</v>
      </c>
      <c r="B2150" t="s">
        <v>15</v>
      </c>
      <c r="C2150" t="s">
        <v>16</v>
      </c>
      <c r="D2150" s="1">
        <v>45855</v>
      </c>
      <c r="E2150" t="s">
        <v>19</v>
      </c>
      <c r="F2150">
        <v>3950</v>
      </c>
      <c r="J2150">
        <v>0.2</v>
      </c>
      <c r="K2150">
        <v>0.3</v>
      </c>
      <c r="L2150">
        <v>0</v>
      </c>
      <c r="M2150" t="s">
        <v>18</v>
      </c>
      <c r="N2150">
        <v>0</v>
      </c>
      <c r="O2150">
        <v>0</v>
      </c>
    </row>
    <row r="2151" spans="1:15" x14ac:dyDescent="0.2">
      <c r="A2151" s="6">
        <v>45834</v>
      </c>
      <c r="B2151" t="s">
        <v>15</v>
      </c>
      <c r="C2151" t="s">
        <v>16</v>
      </c>
      <c r="D2151" s="1">
        <v>45855</v>
      </c>
      <c r="E2151" t="s">
        <v>19</v>
      </c>
      <c r="F2151">
        <v>4300</v>
      </c>
      <c r="J2151">
        <v>2</v>
      </c>
      <c r="K2151">
        <v>2.8</v>
      </c>
      <c r="L2151">
        <v>0</v>
      </c>
      <c r="M2151" t="s">
        <v>18</v>
      </c>
      <c r="N2151">
        <v>0</v>
      </c>
      <c r="O2151">
        <v>0</v>
      </c>
    </row>
    <row r="2152" spans="1:15" x14ac:dyDescent="0.2">
      <c r="A2152" s="6">
        <v>45834</v>
      </c>
      <c r="B2152" t="s">
        <v>15</v>
      </c>
      <c r="C2152" t="s">
        <v>16</v>
      </c>
      <c r="D2152" s="1">
        <v>45855</v>
      </c>
      <c r="E2152" t="s">
        <v>17</v>
      </c>
      <c r="F2152">
        <v>7600</v>
      </c>
      <c r="G2152">
        <v>16.8</v>
      </c>
      <c r="H2152">
        <v>19.8</v>
      </c>
      <c r="I2152">
        <v>14.1</v>
      </c>
      <c r="J2152">
        <v>16.899999999999999</v>
      </c>
      <c r="K2152">
        <v>16.8</v>
      </c>
      <c r="L2152">
        <v>1003</v>
      </c>
      <c r="M2152" t="s">
        <v>1009</v>
      </c>
      <c r="N2152">
        <v>7639.7</v>
      </c>
      <c r="O2152">
        <v>1215</v>
      </c>
    </row>
    <row r="2153" spans="1:15" x14ac:dyDescent="0.2">
      <c r="A2153" s="6">
        <v>45834</v>
      </c>
      <c r="B2153" t="s">
        <v>15</v>
      </c>
      <c r="C2153" t="s">
        <v>16</v>
      </c>
      <c r="D2153" s="1">
        <v>45855</v>
      </c>
      <c r="E2153" t="s">
        <v>19</v>
      </c>
      <c r="F2153">
        <v>7600</v>
      </c>
      <c r="J2153">
        <v>1969.4</v>
      </c>
      <c r="K2153">
        <v>1952</v>
      </c>
      <c r="L2153">
        <v>0</v>
      </c>
      <c r="M2153" t="s">
        <v>18</v>
      </c>
      <c r="N2153">
        <v>0</v>
      </c>
      <c r="O2153">
        <v>0</v>
      </c>
    </row>
    <row r="2154" spans="1:15" x14ac:dyDescent="0.2">
      <c r="A2154" s="6">
        <v>45834</v>
      </c>
      <c r="B2154" t="s">
        <v>15</v>
      </c>
      <c r="C2154" t="s">
        <v>16</v>
      </c>
      <c r="D2154" s="1">
        <v>45855</v>
      </c>
      <c r="E2154" t="s">
        <v>19</v>
      </c>
      <c r="F2154">
        <v>4750</v>
      </c>
      <c r="G2154">
        <v>24.7</v>
      </c>
      <c r="H2154">
        <v>34</v>
      </c>
      <c r="I2154">
        <v>20.100000000000001</v>
      </c>
      <c r="J2154">
        <v>24</v>
      </c>
      <c r="K2154">
        <v>21.4</v>
      </c>
      <c r="L2154">
        <v>30</v>
      </c>
      <c r="M2154" t="s">
        <v>399</v>
      </c>
      <c r="N2154">
        <v>143.22999999999999</v>
      </c>
      <c r="O2154">
        <v>9</v>
      </c>
    </row>
    <row r="2155" spans="1:15" x14ac:dyDescent="0.2">
      <c r="A2155" s="6">
        <v>45834</v>
      </c>
      <c r="B2155" t="s">
        <v>15</v>
      </c>
      <c r="C2155" t="s">
        <v>16</v>
      </c>
      <c r="D2155" s="1">
        <v>45855</v>
      </c>
      <c r="E2155" t="s">
        <v>19</v>
      </c>
      <c r="F2155">
        <v>4250</v>
      </c>
      <c r="J2155">
        <v>1.5</v>
      </c>
      <c r="K2155">
        <v>2.1</v>
      </c>
      <c r="L2155">
        <v>0</v>
      </c>
      <c r="M2155" t="s">
        <v>18</v>
      </c>
      <c r="N2155">
        <v>0</v>
      </c>
      <c r="O2155">
        <v>0</v>
      </c>
    </row>
    <row r="2156" spans="1:15" x14ac:dyDescent="0.2">
      <c r="A2156" s="6">
        <v>45834</v>
      </c>
      <c r="B2156" t="s">
        <v>15</v>
      </c>
      <c r="C2156" t="s">
        <v>16</v>
      </c>
      <c r="D2156" s="1">
        <v>45855</v>
      </c>
      <c r="E2156" t="s">
        <v>17</v>
      </c>
      <c r="F2156">
        <v>3800</v>
      </c>
      <c r="J2156">
        <v>1818.8</v>
      </c>
      <c r="K2156">
        <v>1836.5</v>
      </c>
      <c r="L2156">
        <v>0</v>
      </c>
      <c r="M2156" t="s">
        <v>18</v>
      </c>
      <c r="N2156">
        <v>0</v>
      </c>
      <c r="O2156">
        <v>0</v>
      </c>
    </row>
    <row r="2157" spans="1:15" x14ac:dyDescent="0.2">
      <c r="A2157" s="6">
        <v>45834</v>
      </c>
      <c r="B2157" t="s">
        <v>15</v>
      </c>
      <c r="C2157" t="s">
        <v>16</v>
      </c>
      <c r="D2157" s="1">
        <v>45855</v>
      </c>
      <c r="E2157" t="s">
        <v>19</v>
      </c>
      <c r="F2157">
        <v>6000</v>
      </c>
      <c r="G2157">
        <v>468</v>
      </c>
      <c r="H2157">
        <v>507.6</v>
      </c>
      <c r="I2157">
        <v>396</v>
      </c>
      <c r="J2157">
        <v>448.3</v>
      </c>
      <c r="K2157">
        <v>448.5</v>
      </c>
      <c r="L2157">
        <v>2695</v>
      </c>
      <c r="M2157" t="s">
        <v>1010</v>
      </c>
      <c r="N2157">
        <v>17365.169999999998</v>
      </c>
      <c r="O2157">
        <v>2484</v>
      </c>
    </row>
    <row r="2158" spans="1:15" x14ac:dyDescent="0.2">
      <c r="A2158" s="6">
        <v>45834</v>
      </c>
      <c r="B2158" t="s">
        <v>15</v>
      </c>
      <c r="C2158" t="s">
        <v>16</v>
      </c>
      <c r="D2158" s="1">
        <v>45855</v>
      </c>
      <c r="E2158" t="s">
        <v>17</v>
      </c>
      <c r="F2158">
        <v>5550</v>
      </c>
      <c r="G2158">
        <v>241.5</v>
      </c>
      <c r="H2158">
        <v>286.7</v>
      </c>
      <c r="I2158">
        <v>207</v>
      </c>
      <c r="J2158">
        <v>235.7</v>
      </c>
      <c r="K2158">
        <v>257.10000000000002</v>
      </c>
      <c r="L2158">
        <v>24252</v>
      </c>
      <c r="M2158" t="s">
        <v>1011</v>
      </c>
      <c r="N2158">
        <v>140441.69</v>
      </c>
      <c r="O2158">
        <v>720</v>
      </c>
    </row>
    <row r="2159" spans="1:15" x14ac:dyDescent="0.2">
      <c r="A2159" s="6">
        <v>45834</v>
      </c>
      <c r="B2159" t="s">
        <v>15</v>
      </c>
      <c r="C2159" t="s">
        <v>16</v>
      </c>
      <c r="D2159" s="1">
        <v>45855</v>
      </c>
      <c r="E2159" t="s">
        <v>19</v>
      </c>
      <c r="F2159">
        <v>7550</v>
      </c>
      <c r="J2159">
        <v>1919.7</v>
      </c>
      <c r="K2159">
        <v>1902.5</v>
      </c>
      <c r="L2159">
        <v>0</v>
      </c>
      <c r="M2159" t="s">
        <v>18</v>
      </c>
      <c r="N2159">
        <v>0</v>
      </c>
      <c r="O2159">
        <v>0</v>
      </c>
    </row>
    <row r="2160" spans="1:15" x14ac:dyDescent="0.2">
      <c r="A2160" s="6">
        <v>45833</v>
      </c>
      <c r="B2160" t="s">
        <v>15</v>
      </c>
      <c r="C2160" t="s">
        <v>16</v>
      </c>
      <c r="D2160" s="1">
        <v>45855</v>
      </c>
      <c r="E2160" t="s">
        <v>17</v>
      </c>
      <c r="F2160">
        <v>5950</v>
      </c>
      <c r="G2160">
        <v>119.8</v>
      </c>
      <c r="H2160">
        <v>125.5</v>
      </c>
      <c r="I2160">
        <v>95.5</v>
      </c>
      <c r="J2160">
        <v>104.5</v>
      </c>
      <c r="K2160">
        <v>110.6</v>
      </c>
      <c r="L2160">
        <v>14256</v>
      </c>
      <c r="M2160" t="s">
        <v>1012</v>
      </c>
      <c r="N2160">
        <v>86385.45</v>
      </c>
      <c r="O2160">
        <v>1299</v>
      </c>
    </row>
    <row r="2161" spans="1:15" x14ac:dyDescent="0.2">
      <c r="A2161" s="6">
        <v>45833</v>
      </c>
      <c r="B2161" t="s">
        <v>15</v>
      </c>
      <c r="C2161" t="s">
        <v>16</v>
      </c>
      <c r="D2161" s="1">
        <v>45855</v>
      </c>
      <c r="E2161" t="s">
        <v>17</v>
      </c>
      <c r="F2161">
        <v>6500</v>
      </c>
      <c r="G2161">
        <v>50.2</v>
      </c>
      <c r="H2161">
        <v>56</v>
      </c>
      <c r="I2161">
        <v>41.8</v>
      </c>
      <c r="J2161">
        <v>44</v>
      </c>
      <c r="K2161">
        <v>50.1</v>
      </c>
      <c r="L2161">
        <v>28218</v>
      </c>
      <c r="M2161" t="s">
        <v>1013</v>
      </c>
      <c r="N2161">
        <v>184766.31</v>
      </c>
      <c r="O2161">
        <v>13119</v>
      </c>
    </row>
    <row r="2162" spans="1:15" x14ac:dyDescent="0.2">
      <c r="A2162" s="6">
        <v>45833</v>
      </c>
      <c r="B2162" t="s">
        <v>15</v>
      </c>
      <c r="C2162" t="s">
        <v>16</v>
      </c>
      <c r="D2162" s="1">
        <v>45855</v>
      </c>
      <c r="E2162" t="s">
        <v>17</v>
      </c>
      <c r="F2162">
        <v>7450</v>
      </c>
      <c r="G2162">
        <v>26.6</v>
      </c>
      <c r="H2162">
        <v>28.8</v>
      </c>
      <c r="I2162">
        <v>20.5</v>
      </c>
      <c r="J2162">
        <v>21.9</v>
      </c>
      <c r="K2162">
        <v>26.2</v>
      </c>
      <c r="L2162">
        <v>216</v>
      </c>
      <c r="M2162" t="s">
        <v>1014</v>
      </c>
      <c r="N2162">
        <v>1614.56</v>
      </c>
      <c r="O2162">
        <v>257</v>
      </c>
    </row>
    <row r="2163" spans="1:15" x14ac:dyDescent="0.2">
      <c r="A2163" s="6">
        <v>45833</v>
      </c>
      <c r="B2163" t="s">
        <v>15</v>
      </c>
      <c r="C2163" t="s">
        <v>16</v>
      </c>
      <c r="D2163" s="1">
        <v>45855</v>
      </c>
      <c r="E2163" t="s">
        <v>19</v>
      </c>
      <c r="F2163">
        <v>6150</v>
      </c>
      <c r="G2163">
        <v>600.9</v>
      </c>
      <c r="H2163">
        <v>642.9</v>
      </c>
      <c r="I2163">
        <v>543.1</v>
      </c>
      <c r="J2163">
        <v>587.6</v>
      </c>
      <c r="K2163">
        <v>653</v>
      </c>
      <c r="L2163">
        <v>70</v>
      </c>
      <c r="M2163" t="s">
        <v>1015</v>
      </c>
      <c r="N2163">
        <v>474.5</v>
      </c>
      <c r="O2163">
        <v>154</v>
      </c>
    </row>
    <row r="2164" spans="1:15" x14ac:dyDescent="0.2">
      <c r="A2164" s="6">
        <v>45833</v>
      </c>
      <c r="B2164" t="s">
        <v>15</v>
      </c>
      <c r="C2164" t="s">
        <v>16</v>
      </c>
      <c r="D2164" s="1">
        <v>45855</v>
      </c>
      <c r="E2164" t="s">
        <v>17</v>
      </c>
      <c r="F2164">
        <v>3700</v>
      </c>
      <c r="J2164">
        <v>1936.1</v>
      </c>
      <c r="K2164">
        <v>1876</v>
      </c>
      <c r="L2164">
        <v>0</v>
      </c>
      <c r="M2164" t="s">
        <v>18</v>
      </c>
      <c r="N2164">
        <v>0</v>
      </c>
      <c r="O2164">
        <v>0</v>
      </c>
    </row>
    <row r="2165" spans="1:15" x14ac:dyDescent="0.2">
      <c r="A2165" s="6">
        <v>45833</v>
      </c>
      <c r="B2165" t="s">
        <v>15</v>
      </c>
      <c r="C2165" t="s">
        <v>16</v>
      </c>
      <c r="D2165" s="1">
        <v>45855</v>
      </c>
      <c r="E2165" t="s">
        <v>17</v>
      </c>
      <c r="F2165">
        <v>4500</v>
      </c>
      <c r="J2165">
        <v>1146.7</v>
      </c>
      <c r="K2165">
        <v>1091.4000000000001</v>
      </c>
      <c r="L2165">
        <v>0</v>
      </c>
      <c r="M2165" t="s">
        <v>18</v>
      </c>
      <c r="N2165">
        <v>0</v>
      </c>
      <c r="O2165">
        <v>0</v>
      </c>
    </row>
    <row r="2166" spans="1:15" x14ac:dyDescent="0.2">
      <c r="A2166" s="6">
        <v>45833</v>
      </c>
      <c r="B2166" t="s">
        <v>15</v>
      </c>
      <c r="C2166" t="s">
        <v>16</v>
      </c>
      <c r="D2166" s="1">
        <v>45855</v>
      </c>
      <c r="E2166" t="s">
        <v>17</v>
      </c>
      <c r="F2166">
        <v>5150</v>
      </c>
      <c r="G2166">
        <v>538.6</v>
      </c>
      <c r="H2166">
        <v>538.6</v>
      </c>
      <c r="I2166">
        <v>516.1</v>
      </c>
      <c r="J2166">
        <v>527.4</v>
      </c>
      <c r="K2166">
        <v>542.29999999999995</v>
      </c>
      <c r="L2166">
        <v>2</v>
      </c>
      <c r="M2166" t="s">
        <v>28</v>
      </c>
      <c r="N2166">
        <v>11.35</v>
      </c>
      <c r="O2166">
        <v>3</v>
      </c>
    </row>
    <row r="2167" spans="1:15" x14ac:dyDescent="0.2">
      <c r="A2167" s="6">
        <v>45833</v>
      </c>
      <c r="B2167" t="s">
        <v>15</v>
      </c>
      <c r="C2167" t="s">
        <v>16</v>
      </c>
      <c r="D2167" s="1">
        <v>45855</v>
      </c>
      <c r="E2167" t="s">
        <v>17</v>
      </c>
      <c r="F2167">
        <v>4350</v>
      </c>
      <c r="J2167">
        <v>1292</v>
      </c>
      <c r="K2167">
        <v>1234.7</v>
      </c>
      <c r="L2167">
        <v>0</v>
      </c>
      <c r="M2167" t="s">
        <v>18</v>
      </c>
      <c r="N2167">
        <v>0</v>
      </c>
      <c r="O2167">
        <v>0</v>
      </c>
    </row>
    <row r="2168" spans="1:15" x14ac:dyDescent="0.2">
      <c r="A2168" s="6">
        <v>45833</v>
      </c>
      <c r="B2168" t="s">
        <v>15</v>
      </c>
      <c r="C2168" t="s">
        <v>16</v>
      </c>
      <c r="D2168" s="1">
        <v>45855</v>
      </c>
      <c r="E2168" t="s">
        <v>17</v>
      </c>
      <c r="F2168">
        <v>5000</v>
      </c>
      <c r="G2168">
        <v>674.6</v>
      </c>
      <c r="H2168">
        <v>720</v>
      </c>
      <c r="I2168">
        <v>634.20000000000005</v>
      </c>
      <c r="J2168">
        <v>673.5</v>
      </c>
      <c r="K2168">
        <v>640.9</v>
      </c>
      <c r="L2168">
        <v>11</v>
      </c>
      <c r="M2168" t="s">
        <v>236</v>
      </c>
      <c r="N2168">
        <v>62.41</v>
      </c>
      <c r="O2168">
        <v>31</v>
      </c>
    </row>
    <row r="2169" spans="1:15" x14ac:dyDescent="0.2">
      <c r="A2169" s="6">
        <v>45833</v>
      </c>
      <c r="B2169" t="s">
        <v>15</v>
      </c>
      <c r="C2169" t="s">
        <v>16</v>
      </c>
      <c r="D2169" s="1">
        <v>45855</v>
      </c>
      <c r="E2169" t="s">
        <v>17</v>
      </c>
      <c r="F2169">
        <v>4400</v>
      </c>
      <c r="J2169">
        <v>1243.3</v>
      </c>
      <c r="K2169">
        <v>1186.5999999999999</v>
      </c>
      <c r="L2169">
        <v>0</v>
      </c>
      <c r="M2169" t="s">
        <v>18</v>
      </c>
      <c r="N2169">
        <v>0</v>
      </c>
      <c r="O2169">
        <v>0</v>
      </c>
    </row>
    <row r="2170" spans="1:15" x14ac:dyDescent="0.2">
      <c r="A2170" s="6">
        <v>45833</v>
      </c>
      <c r="B2170" t="s">
        <v>15</v>
      </c>
      <c r="C2170" t="s">
        <v>16</v>
      </c>
      <c r="D2170" s="1">
        <v>45855</v>
      </c>
      <c r="E2170" t="s">
        <v>17</v>
      </c>
      <c r="F2170">
        <v>4100</v>
      </c>
      <c r="J2170">
        <v>1538.3</v>
      </c>
      <c r="K2170">
        <v>1479.1</v>
      </c>
      <c r="L2170">
        <v>0</v>
      </c>
      <c r="M2170" t="s">
        <v>18</v>
      </c>
      <c r="N2170">
        <v>0</v>
      </c>
      <c r="O2170">
        <v>0</v>
      </c>
    </row>
    <row r="2171" spans="1:15" x14ac:dyDescent="0.2">
      <c r="A2171" s="6">
        <v>45833</v>
      </c>
      <c r="B2171" t="s">
        <v>15</v>
      </c>
      <c r="C2171" t="s">
        <v>16</v>
      </c>
      <c r="D2171" s="1">
        <v>45855</v>
      </c>
      <c r="E2171" t="s">
        <v>19</v>
      </c>
      <c r="F2171">
        <v>6950</v>
      </c>
      <c r="G2171">
        <v>1371.6</v>
      </c>
      <c r="H2171">
        <v>1393.4</v>
      </c>
      <c r="I2171">
        <v>1365.9</v>
      </c>
      <c r="J2171">
        <v>1370.4</v>
      </c>
      <c r="K2171">
        <v>1376.4</v>
      </c>
      <c r="L2171">
        <v>72</v>
      </c>
      <c r="M2171" t="s">
        <v>1016</v>
      </c>
      <c r="N2171">
        <v>599.1</v>
      </c>
      <c r="O2171">
        <v>15</v>
      </c>
    </row>
    <row r="2172" spans="1:15" x14ac:dyDescent="0.2">
      <c r="A2172" s="6">
        <v>45833</v>
      </c>
      <c r="B2172" t="s">
        <v>15</v>
      </c>
      <c r="C2172" t="s">
        <v>16</v>
      </c>
      <c r="D2172" s="1">
        <v>45855</v>
      </c>
      <c r="E2172" t="s">
        <v>19</v>
      </c>
      <c r="F2172">
        <v>3600</v>
      </c>
      <c r="J2172">
        <v>0.1</v>
      </c>
      <c r="K2172">
        <v>0.1</v>
      </c>
      <c r="L2172">
        <v>0</v>
      </c>
      <c r="M2172" t="s">
        <v>18</v>
      </c>
      <c r="N2172">
        <v>0</v>
      </c>
      <c r="O2172">
        <v>0</v>
      </c>
    </row>
    <row r="2173" spans="1:15" x14ac:dyDescent="0.2">
      <c r="A2173" s="6">
        <v>45833</v>
      </c>
      <c r="B2173" t="s">
        <v>15</v>
      </c>
      <c r="C2173" t="s">
        <v>16</v>
      </c>
      <c r="D2173" s="1">
        <v>45855</v>
      </c>
      <c r="E2173" t="s">
        <v>19</v>
      </c>
      <c r="F2173">
        <v>4900</v>
      </c>
      <c r="G2173">
        <v>38.1</v>
      </c>
      <c r="H2173">
        <v>43.9</v>
      </c>
      <c r="I2173">
        <v>26.6</v>
      </c>
      <c r="J2173">
        <v>30.3</v>
      </c>
      <c r="K2173">
        <v>49.9</v>
      </c>
      <c r="L2173">
        <v>10419</v>
      </c>
      <c r="M2173" t="s">
        <v>1017</v>
      </c>
      <c r="N2173">
        <v>51431.45</v>
      </c>
      <c r="O2173">
        <v>495</v>
      </c>
    </row>
    <row r="2174" spans="1:15" x14ac:dyDescent="0.2">
      <c r="A2174" s="6">
        <v>45833</v>
      </c>
      <c r="B2174" t="s">
        <v>15</v>
      </c>
      <c r="C2174" t="s">
        <v>16</v>
      </c>
      <c r="D2174" s="1">
        <v>45855</v>
      </c>
      <c r="E2174" t="s">
        <v>17</v>
      </c>
      <c r="F2174">
        <v>5200</v>
      </c>
      <c r="G2174">
        <v>491.9</v>
      </c>
      <c r="H2174">
        <v>540.70000000000005</v>
      </c>
      <c r="I2174">
        <v>458.4</v>
      </c>
      <c r="J2174">
        <v>501.3</v>
      </c>
      <c r="K2174">
        <v>470.1</v>
      </c>
      <c r="L2174">
        <v>256</v>
      </c>
      <c r="M2174" t="s">
        <v>90</v>
      </c>
      <c r="N2174">
        <v>1457.52</v>
      </c>
      <c r="O2174">
        <v>75</v>
      </c>
    </row>
    <row r="2175" spans="1:15" x14ac:dyDescent="0.2">
      <c r="A2175" s="6">
        <v>45833</v>
      </c>
      <c r="B2175" t="s">
        <v>15</v>
      </c>
      <c r="C2175" t="s">
        <v>16</v>
      </c>
      <c r="D2175" s="1">
        <v>45855</v>
      </c>
      <c r="E2175" t="s">
        <v>17</v>
      </c>
      <c r="F2175">
        <v>4750</v>
      </c>
      <c r="J2175">
        <v>912.7</v>
      </c>
      <c r="K2175">
        <v>862.9</v>
      </c>
      <c r="L2175">
        <v>0</v>
      </c>
      <c r="M2175" t="s">
        <v>18</v>
      </c>
      <c r="N2175">
        <v>0</v>
      </c>
      <c r="O2175">
        <v>0</v>
      </c>
    </row>
    <row r="2176" spans="1:15" x14ac:dyDescent="0.2">
      <c r="A2176" s="6">
        <v>45833</v>
      </c>
      <c r="B2176" t="s">
        <v>15</v>
      </c>
      <c r="C2176" t="s">
        <v>16</v>
      </c>
      <c r="D2176" s="1">
        <v>45855</v>
      </c>
      <c r="E2176" t="s">
        <v>17</v>
      </c>
      <c r="F2176">
        <v>4450</v>
      </c>
      <c r="J2176">
        <v>1194.8</v>
      </c>
      <c r="K2176">
        <v>1138.8</v>
      </c>
      <c r="L2176">
        <v>0</v>
      </c>
      <c r="M2176" t="s">
        <v>18</v>
      </c>
      <c r="N2176">
        <v>0</v>
      </c>
      <c r="O2176">
        <v>0</v>
      </c>
    </row>
    <row r="2177" spans="1:15" x14ac:dyDescent="0.2">
      <c r="A2177" s="6">
        <v>45833</v>
      </c>
      <c r="B2177" t="s">
        <v>15</v>
      </c>
      <c r="C2177" t="s">
        <v>16</v>
      </c>
      <c r="D2177" s="1">
        <v>45855</v>
      </c>
      <c r="E2177" t="s">
        <v>19</v>
      </c>
      <c r="F2177">
        <v>7200</v>
      </c>
      <c r="J2177">
        <v>1558.2</v>
      </c>
      <c r="K2177">
        <v>1618.3</v>
      </c>
      <c r="L2177">
        <v>0</v>
      </c>
      <c r="M2177" t="s">
        <v>18</v>
      </c>
      <c r="N2177">
        <v>0</v>
      </c>
      <c r="O2177">
        <v>0</v>
      </c>
    </row>
    <row r="2178" spans="1:15" x14ac:dyDescent="0.2">
      <c r="A2178" s="6">
        <v>45833</v>
      </c>
      <c r="B2178" t="s">
        <v>15</v>
      </c>
      <c r="C2178" t="s">
        <v>16</v>
      </c>
      <c r="D2178" s="1">
        <v>45855</v>
      </c>
      <c r="E2178" t="s">
        <v>17</v>
      </c>
      <c r="F2178">
        <v>7300</v>
      </c>
      <c r="G2178">
        <v>27</v>
      </c>
      <c r="H2178">
        <v>29.7</v>
      </c>
      <c r="I2178">
        <v>19.7</v>
      </c>
      <c r="J2178">
        <v>20.9</v>
      </c>
      <c r="K2178">
        <v>26.7</v>
      </c>
      <c r="L2178">
        <v>1241</v>
      </c>
      <c r="M2178" t="s">
        <v>1018</v>
      </c>
      <c r="N2178">
        <v>9089.75</v>
      </c>
      <c r="O2178">
        <v>1434</v>
      </c>
    </row>
    <row r="2179" spans="1:15" x14ac:dyDescent="0.2">
      <c r="A2179" s="6">
        <v>45833</v>
      </c>
      <c r="B2179" t="s">
        <v>15</v>
      </c>
      <c r="C2179" t="s">
        <v>16</v>
      </c>
      <c r="D2179" s="1">
        <v>45855</v>
      </c>
      <c r="E2179" t="s">
        <v>19</v>
      </c>
      <c r="F2179">
        <v>5250</v>
      </c>
      <c r="G2179">
        <v>95</v>
      </c>
      <c r="H2179">
        <v>96.8</v>
      </c>
      <c r="I2179">
        <v>62.2</v>
      </c>
      <c r="J2179">
        <v>70.3</v>
      </c>
      <c r="K2179">
        <v>100</v>
      </c>
      <c r="L2179">
        <v>5549</v>
      </c>
      <c r="M2179" t="s">
        <v>847</v>
      </c>
      <c r="N2179">
        <v>29578.560000000001</v>
      </c>
      <c r="O2179">
        <v>579</v>
      </c>
    </row>
    <row r="2180" spans="1:15" x14ac:dyDescent="0.2">
      <c r="A2180" s="6">
        <v>45833</v>
      </c>
      <c r="B2180" t="s">
        <v>15</v>
      </c>
      <c r="C2180" t="s">
        <v>16</v>
      </c>
      <c r="D2180" s="1">
        <v>45855</v>
      </c>
      <c r="E2180" t="s">
        <v>17</v>
      </c>
      <c r="F2180">
        <v>4950</v>
      </c>
      <c r="J2180">
        <v>737.5</v>
      </c>
      <c r="K2180">
        <v>694.1</v>
      </c>
      <c r="L2180">
        <v>0</v>
      </c>
      <c r="M2180" t="s">
        <v>18</v>
      </c>
      <c r="N2180">
        <v>0</v>
      </c>
      <c r="O2180">
        <v>0</v>
      </c>
    </row>
    <row r="2181" spans="1:15" x14ac:dyDescent="0.2">
      <c r="A2181" s="6">
        <v>45833</v>
      </c>
      <c r="B2181" t="s">
        <v>15</v>
      </c>
      <c r="C2181" t="s">
        <v>16</v>
      </c>
      <c r="D2181" s="1">
        <v>45855</v>
      </c>
      <c r="E2181" t="s">
        <v>17</v>
      </c>
      <c r="F2181">
        <v>5300</v>
      </c>
      <c r="G2181">
        <v>418.6</v>
      </c>
      <c r="H2181">
        <v>460.6</v>
      </c>
      <c r="I2181">
        <v>380</v>
      </c>
      <c r="J2181">
        <v>419</v>
      </c>
      <c r="K2181">
        <v>395.6</v>
      </c>
      <c r="L2181">
        <v>1085</v>
      </c>
      <c r="M2181" t="s">
        <v>1019</v>
      </c>
      <c r="N2181">
        <v>6197.34</v>
      </c>
      <c r="O2181">
        <v>73</v>
      </c>
    </row>
    <row r="2182" spans="1:15" x14ac:dyDescent="0.2">
      <c r="A2182" s="6">
        <v>45833</v>
      </c>
      <c r="B2182" t="s">
        <v>15</v>
      </c>
      <c r="C2182" t="s">
        <v>16</v>
      </c>
      <c r="D2182" s="1">
        <v>45855</v>
      </c>
      <c r="E2182" t="s">
        <v>17</v>
      </c>
      <c r="F2182">
        <v>5700</v>
      </c>
      <c r="G2182">
        <v>190.7</v>
      </c>
      <c r="H2182">
        <v>212.7</v>
      </c>
      <c r="I2182">
        <v>162.4</v>
      </c>
      <c r="J2182">
        <v>182</v>
      </c>
      <c r="K2182">
        <v>179.8</v>
      </c>
      <c r="L2182">
        <v>98721</v>
      </c>
      <c r="M2182" t="s">
        <v>1020</v>
      </c>
      <c r="N2182">
        <v>581104.74</v>
      </c>
      <c r="O2182">
        <v>7728</v>
      </c>
    </row>
    <row r="2183" spans="1:15" x14ac:dyDescent="0.2">
      <c r="A2183" s="6">
        <v>45833</v>
      </c>
      <c r="B2183" t="s">
        <v>15</v>
      </c>
      <c r="C2183" t="s">
        <v>16</v>
      </c>
      <c r="D2183" s="1">
        <v>45855</v>
      </c>
      <c r="E2183" t="s">
        <v>19</v>
      </c>
      <c r="F2183">
        <v>4200</v>
      </c>
      <c r="J2183">
        <v>1.6</v>
      </c>
      <c r="K2183">
        <v>2.9</v>
      </c>
      <c r="L2183">
        <v>0</v>
      </c>
      <c r="M2183" t="s">
        <v>18</v>
      </c>
      <c r="N2183">
        <v>0</v>
      </c>
      <c r="O2183">
        <v>0</v>
      </c>
    </row>
    <row r="2184" spans="1:15" x14ac:dyDescent="0.2">
      <c r="A2184" s="6">
        <v>45833</v>
      </c>
      <c r="B2184" t="s">
        <v>15</v>
      </c>
      <c r="C2184" t="s">
        <v>16</v>
      </c>
      <c r="D2184" s="1">
        <v>45855</v>
      </c>
      <c r="E2184" t="s">
        <v>17</v>
      </c>
      <c r="F2184">
        <v>4800</v>
      </c>
      <c r="J2184">
        <v>867.7</v>
      </c>
      <c r="K2184">
        <v>819.4</v>
      </c>
      <c r="L2184">
        <v>0</v>
      </c>
      <c r="M2184" t="s">
        <v>18</v>
      </c>
      <c r="N2184">
        <v>0</v>
      </c>
      <c r="O2184">
        <v>0</v>
      </c>
    </row>
    <row r="2185" spans="1:15" x14ac:dyDescent="0.2">
      <c r="A2185" s="6">
        <v>45833</v>
      </c>
      <c r="B2185" t="s">
        <v>15</v>
      </c>
      <c r="C2185" t="s">
        <v>16</v>
      </c>
      <c r="D2185" s="1">
        <v>45855</v>
      </c>
      <c r="E2185" t="s">
        <v>17</v>
      </c>
      <c r="F2185">
        <v>4900</v>
      </c>
      <c r="J2185">
        <v>780</v>
      </c>
      <c r="K2185">
        <v>734.9</v>
      </c>
      <c r="L2185">
        <v>0</v>
      </c>
      <c r="M2185" t="s">
        <v>18</v>
      </c>
      <c r="N2185">
        <v>0</v>
      </c>
      <c r="O2185">
        <v>1</v>
      </c>
    </row>
    <row r="2186" spans="1:15" x14ac:dyDescent="0.2">
      <c r="A2186" s="6">
        <v>45833</v>
      </c>
      <c r="B2186" t="s">
        <v>15</v>
      </c>
      <c r="C2186" t="s">
        <v>16</v>
      </c>
      <c r="D2186" s="1">
        <v>45855</v>
      </c>
      <c r="E2186" t="s">
        <v>19</v>
      </c>
      <c r="F2186">
        <v>5100</v>
      </c>
      <c r="G2186">
        <v>59.1</v>
      </c>
      <c r="H2186">
        <v>64.8</v>
      </c>
      <c r="I2186">
        <v>38.9</v>
      </c>
      <c r="J2186">
        <v>44.8</v>
      </c>
      <c r="K2186">
        <v>70.2</v>
      </c>
      <c r="L2186">
        <v>19791</v>
      </c>
      <c r="M2186" t="s">
        <v>1021</v>
      </c>
      <c r="N2186">
        <v>101971.02</v>
      </c>
      <c r="O2186">
        <v>1767</v>
      </c>
    </row>
    <row r="2187" spans="1:15" x14ac:dyDescent="0.2">
      <c r="A2187" s="6">
        <v>45833</v>
      </c>
      <c r="B2187" t="s">
        <v>15</v>
      </c>
      <c r="C2187" t="s">
        <v>16</v>
      </c>
      <c r="D2187" s="1">
        <v>45855</v>
      </c>
      <c r="E2187" t="s">
        <v>17</v>
      </c>
      <c r="F2187">
        <v>4650</v>
      </c>
      <c r="J2187">
        <v>1004.7</v>
      </c>
      <c r="K2187">
        <v>952.4</v>
      </c>
      <c r="L2187">
        <v>0</v>
      </c>
      <c r="M2187" t="s">
        <v>18</v>
      </c>
      <c r="N2187">
        <v>0</v>
      </c>
      <c r="O2187">
        <v>0</v>
      </c>
    </row>
    <row r="2188" spans="1:15" x14ac:dyDescent="0.2">
      <c r="A2188" s="6">
        <v>45833</v>
      </c>
      <c r="B2188" t="s">
        <v>15</v>
      </c>
      <c r="C2188" t="s">
        <v>16</v>
      </c>
      <c r="D2188" s="1">
        <v>45855</v>
      </c>
      <c r="E2188" t="s">
        <v>17</v>
      </c>
      <c r="F2188">
        <v>4200</v>
      </c>
      <c r="J2188">
        <v>1439.4</v>
      </c>
      <c r="K2188">
        <v>1380.8</v>
      </c>
      <c r="L2188">
        <v>0</v>
      </c>
      <c r="M2188" t="s">
        <v>18</v>
      </c>
      <c r="N2188">
        <v>0</v>
      </c>
      <c r="O2188">
        <v>0</v>
      </c>
    </row>
    <row r="2189" spans="1:15" x14ac:dyDescent="0.2">
      <c r="A2189" s="6">
        <v>45833</v>
      </c>
      <c r="B2189" t="s">
        <v>15</v>
      </c>
      <c r="C2189" t="s">
        <v>16</v>
      </c>
      <c r="D2189" s="1">
        <v>45855</v>
      </c>
      <c r="E2189" t="s">
        <v>19</v>
      </c>
      <c r="F2189">
        <v>6650</v>
      </c>
      <c r="J2189">
        <v>1034.5999999999999</v>
      </c>
      <c r="K2189">
        <v>1069.2</v>
      </c>
      <c r="L2189">
        <v>0</v>
      </c>
      <c r="M2189" t="s">
        <v>18</v>
      </c>
      <c r="N2189">
        <v>0</v>
      </c>
      <c r="O2189">
        <v>25</v>
      </c>
    </row>
    <row r="2190" spans="1:15" x14ac:dyDescent="0.2">
      <c r="A2190" s="6">
        <v>45833</v>
      </c>
      <c r="B2190" t="s">
        <v>15</v>
      </c>
      <c r="C2190" t="s">
        <v>16</v>
      </c>
      <c r="D2190" s="1">
        <v>45855</v>
      </c>
      <c r="E2190" t="s">
        <v>17</v>
      </c>
      <c r="F2190">
        <v>5250</v>
      </c>
      <c r="G2190">
        <v>432.8</v>
      </c>
      <c r="H2190">
        <v>464.3</v>
      </c>
      <c r="I2190">
        <v>432.8</v>
      </c>
      <c r="J2190">
        <v>448.6</v>
      </c>
      <c r="K2190">
        <v>435.1</v>
      </c>
      <c r="L2190">
        <v>2</v>
      </c>
      <c r="M2190" t="s">
        <v>28</v>
      </c>
      <c r="N2190">
        <v>11.4</v>
      </c>
      <c r="O2190">
        <v>30</v>
      </c>
    </row>
    <row r="2191" spans="1:15" x14ac:dyDescent="0.2">
      <c r="A2191" s="6">
        <v>45833</v>
      </c>
      <c r="B2191" t="s">
        <v>15</v>
      </c>
      <c r="C2191" t="s">
        <v>16</v>
      </c>
      <c r="D2191" s="1">
        <v>45855</v>
      </c>
      <c r="E2191" t="s">
        <v>17</v>
      </c>
      <c r="F2191">
        <v>5100</v>
      </c>
      <c r="G2191">
        <v>561.6</v>
      </c>
      <c r="H2191">
        <v>606</v>
      </c>
      <c r="I2191">
        <v>537.6</v>
      </c>
      <c r="J2191">
        <v>591.79999999999995</v>
      </c>
      <c r="K2191">
        <v>551.4</v>
      </c>
      <c r="L2191">
        <v>31</v>
      </c>
      <c r="M2191" t="s">
        <v>532</v>
      </c>
      <c r="N2191">
        <v>175.93</v>
      </c>
      <c r="O2191">
        <v>12</v>
      </c>
    </row>
    <row r="2192" spans="1:15" x14ac:dyDescent="0.2">
      <c r="A2192" s="6">
        <v>45833</v>
      </c>
      <c r="B2192" t="s">
        <v>15</v>
      </c>
      <c r="C2192" t="s">
        <v>16</v>
      </c>
      <c r="D2192" s="1">
        <v>45855</v>
      </c>
      <c r="E2192" t="s">
        <v>19</v>
      </c>
      <c r="F2192">
        <v>6050</v>
      </c>
      <c r="G2192">
        <v>523</v>
      </c>
      <c r="H2192">
        <v>544</v>
      </c>
      <c r="I2192">
        <v>462</v>
      </c>
      <c r="J2192">
        <v>491.3</v>
      </c>
      <c r="K2192">
        <v>558.1</v>
      </c>
      <c r="L2192">
        <v>144</v>
      </c>
      <c r="M2192" t="s">
        <v>1022</v>
      </c>
      <c r="N2192">
        <v>944.22</v>
      </c>
      <c r="O2192">
        <v>138</v>
      </c>
    </row>
    <row r="2193" spans="1:15" x14ac:dyDescent="0.2">
      <c r="A2193" s="6">
        <v>45833</v>
      </c>
      <c r="B2193" t="s">
        <v>15</v>
      </c>
      <c r="C2193" t="s">
        <v>16</v>
      </c>
      <c r="D2193" s="1">
        <v>45855</v>
      </c>
      <c r="E2193" t="s">
        <v>17</v>
      </c>
      <c r="F2193">
        <v>6900</v>
      </c>
      <c r="G2193">
        <v>36.9</v>
      </c>
      <c r="H2193">
        <v>36.9</v>
      </c>
      <c r="I2193">
        <v>27.2</v>
      </c>
      <c r="J2193">
        <v>28.2</v>
      </c>
      <c r="K2193">
        <v>33.1</v>
      </c>
      <c r="L2193">
        <v>1951</v>
      </c>
      <c r="M2193" t="s">
        <v>1023</v>
      </c>
      <c r="N2193">
        <v>13523.41</v>
      </c>
      <c r="O2193">
        <v>1467</v>
      </c>
    </row>
    <row r="2194" spans="1:15" x14ac:dyDescent="0.2">
      <c r="A2194" s="6">
        <v>45833</v>
      </c>
      <c r="B2194" t="s">
        <v>15</v>
      </c>
      <c r="C2194" t="s">
        <v>16</v>
      </c>
      <c r="D2194" s="1">
        <v>45855</v>
      </c>
      <c r="E2194" t="s">
        <v>17</v>
      </c>
      <c r="F2194">
        <v>7500</v>
      </c>
      <c r="G2194">
        <v>24</v>
      </c>
      <c r="H2194">
        <v>29.4</v>
      </c>
      <c r="I2194">
        <v>18</v>
      </c>
      <c r="J2194">
        <v>20.100000000000001</v>
      </c>
      <c r="K2194">
        <v>26.5</v>
      </c>
      <c r="L2194">
        <v>3187</v>
      </c>
      <c r="M2194" t="s">
        <v>1024</v>
      </c>
      <c r="N2194">
        <v>23977.64</v>
      </c>
      <c r="O2194">
        <v>2452</v>
      </c>
    </row>
    <row r="2195" spans="1:15" x14ac:dyDescent="0.2">
      <c r="A2195" s="6">
        <v>45833</v>
      </c>
      <c r="B2195" t="s">
        <v>15</v>
      </c>
      <c r="C2195" t="s">
        <v>16</v>
      </c>
      <c r="D2195" s="1">
        <v>45855</v>
      </c>
      <c r="E2195" t="s">
        <v>19</v>
      </c>
      <c r="F2195">
        <v>7150</v>
      </c>
      <c r="J2195">
        <v>1509.5</v>
      </c>
      <c r="K2195">
        <v>1569.6</v>
      </c>
      <c r="L2195">
        <v>0</v>
      </c>
      <c r="M2195" t="s">
        <v>18</v>
      </c>
      <c r="N2195">
        <v>0</v>
      </c>
      <c r="O2195">
        <v>0</v>
      </c>
    </row>
    <row r="2196" spans="1:15" x14ac:dyDescent="0.2">
      <c r="A2196" s="6">
        <v>45833</v>
      </c>
      <c r="B2196" t="s">
        <v>15</v>
      </c>
      <c r="C2196" t="s">
        <v>16</v>
      </c>
      <c r="D2196" s="1">
        <v>45855</v>
      </c>
      <c r="E2196" t="s">
        <v>19</v>
      </c>
      <c r="F2196">
        <v>4550</v>
      </c>
      <c r="J2196">
        <v>9.8000000000000007</v>
      </c>
      <c r="K2196">
        <v>15.4</v>
      </c>
      <c r="L2196">
        <v>0</v>
      </c>
      <c r="M2196" t="s">
        <v>18</v>
      </c>
      <c r="N2196">
        <v>0</v>
      </c>
      <c r="O2196">
        <v>0</v>
      </c>
    </row>
    <row r="2197" spans="1:15" x14ac:dyDescent="0.2">
      <c r="A2197" s="6">
        <v>45833</v>
      </c>
      <c r="B2197" t="s">
        <v>15</v>
      </c>
      <c r="C2197" t="s">
        <v>16</v>
      </c>
      <c r="D2197" s="1">
        <v>45855</v>
      </c>
      <c r="E2197" t="s">
        <v>19</v>
      </c>
      <c r="F2197">
        <v>4700</v>
      </c>
      <c r="G2197">
        <v>25</v>
      </c>
      <c r="H2197">
        <v>33.200000000000003</v>
      </c>
      <c r="I2197">
        <v>21.4</v>
      </c>
      <c r="J2197">
        <v>24.3</v>
      </c>
      <c r="K2197">
        <v>27.6</v>
      </c>
      <c r="L2197">
        <v>1477</v>
      </c>
      <c r="M2197" t="s">
        <v>956</v>
      </c>
      <c r="N2197">
        <v>6982.7</v>
      </c>
      <c r="O2197">
        <v>148</v>
      </c>
    </row>
    <row r="2198" spans="1:15" x14ac:dyDescent="0.2">
      <c r="A2198" s="6">
        <v>45833</v>
      </c>
      <c r="B2198" t="s">
        <v>15</v>
      </c>
      <c r="C2198" t="s">
        <v>16</v>
      </c>
      <c r="D2198" s="1">
        <v>45855</v>
      </c>
      <c r="E2198" t="s">
        <v>19</v>
      </c>
      <c r="F2198">
        <v>5700</v>
      </c>
      <c r="G2198">
        <v>252</v>
      </c>
      <c r="H2198">
        <v>293.7</v>
      </c>
      <c r="I2198">
        <v>221.8</v>
      </c>
      <c r="J2198">
        <v>240.3</v>
      </c>
      <c r="K2198">
        <v>297.89999999999998</v>
      </c>
      <c r="L2198">
        <v>45274</v>
      </c>
      <c r="M2198" t="s">
        <v>1025</v>
      </c>
      <c r="N2198">
        <v>269627.52000000002</v>
      </c>
      <c r="O2198">
        <v>3549</v>
      </c>
    </row>
    <row r="2199" spans="1:15" x14ac:dyDescent="0.2">
      <c r="A2199" s="6">
        <v>45833</v>
      </c>
      <c r="B2199" t="s">
        <v>15</v>
      </c>
      <c r="C2199" t="s">
        <v>16</v>
      </c>
      <c r="D2199" s="1">
        <v>45855</v>
      </c>
      <c r="E2199" t="s">
        <v>19</v>
      </c>
      <c r="F2199">
        <v>3750</v>
      </c>
      <c r="J2199">
        <v>0.1</v>
      </c>
      <c r="K2199">
        <v>0.2</v>
      </c>
      <c r="L2199">
        <v>0</v>
      </c>
      <c r="M2199" t="s">
        <v>18</v>
      </c>
      <c r="N2199">
        <v>0</v>
      </c>
      <c r="O2199">
        <v>0</v>
      </c>
    </row>
    <row r="2200" spans="1:15" x14ac:dyDescent="0.2">
      <c r="A2200" s="6">
        <v>45833</v>
      </c>
      <c r="B2200" t="s">
        <v>15</v>
      </c>
      <c r="C2200" t="s">
        <v>16</v>
      </c>
      <c r="D2200" s="1">
        <v>45855</v>
      </c>
      <c r="E2200" t="s">
        <v>17</v>
      </c>
      <c r="F2200">
        <v>6800</v>
      </c>
      <c r="G2200">
        <v>35.1</v>
      </c>
      <c r="H2200">
        <v>40.5</v>
      </c>
      <c r="I2200">
        <v>31.3</v>
      </c>
      <c r="J2200">
        <v>32.5</v>
      </c>
      <c r="K2200">
        <v>36.5</v>
      </c>
      <c r="L2200">
        <v>3203</v>
      </c>
      <c r="M2200" t="s">
        <v>1026</v>
      </c>
      <c r="N2200">
        <v>21894.03</v>
      </c>
      <c r="O2200">
        <v>1625</v>
      </c>
    </row>
    <row r="2201" spans="1:15" x14ac:dyDescent="0.2">
      <c r="A2201" s="6">
        <v>45833</v>
      </c>
      <c r="B2201" t="s">
        <v>15</v>
      </c>
      <c r="C2201" t="s">
        <v>16</v>
      </c>
      <c r="D2201" s="1">
        <v>45855</v>
      </c>
      <c r="E2201" t="s">
        <v>17</v>
      </c>
      <c r="F2201">
        <v>6700</v>
      </c>
      <c r="G2201">
        <v>41.1</v>
      </c>
      <c r="H2201">
        <v>44.9</v>
      </c>
      <c r="I2201">
        <v>33.799999999999997</v>
      </c>
      <c r="J2201">
        <v>35.200000000000003</v>
      </c>
      <c r="K2201">
        <v>39.700000000000003</v>
      </c>
      <c r="L2201">
        <v>4235</v>
      </c>
      <c r="M2201" t="s">
        <v>1027</v>
      </c>
      <c r="N2201">
        <v>28540.42</v>
      </c>
      <c r="O2201">
        <v>2330</v>
      </c>
    </row>
    <row r="2202" spans="1:15" x14ac:dyDescent="0.2">
      <c r="A2202" s="6">
        <v>45833</v>
      </c>
      <c r="B2202" t="s">
        <v>15</v>
      </c>
      <c r="C2202" t="s">
        <v>16</v>
      </c>
      <c r="D2202" s="1">
        <v>45855</v>
      </c>
      <c r="E2202" t="s">
        <v>17</v>
      </c>
      <c r="F2202">
        <v>7350</v>
      </c>
      <c r="G2202">
        <v>27.3</v>
      </c>
      <c r="H2202">
        <v>30</v>
      </c>
      <c r="I2202">
        <v>21.1</v>
      </c>
      <c r="J2202">
        <v>23.5</v>
      </c>
      <c r="K2202">
        <v>28.7</v>
      </c>
      <c r="L2202">
        <v>102</v>
      </c>
      <c r="M2202" t="s">
        <v>1028</v>
      </c>
      <c r="N2202">
        <v>752.41</v>
      </c>
      <c r="O2202">
        <v>260</v>
      </c>
    </row>
    <row r="2203" spans="1:15" x14ac:dyDescent="0.2">
      <c r="A2203" s="6">
        <v>45833</v>
      </c>
      <c r="B2203" t="s">
        <v>15</v>
      </c>
      <c r="C2203" t="s">
        <v>16</v>
      </c>
      <c r="D2203" s="1">
        <v>45855</v>
      </c>
      <c r="E2203" t="s">
        <v>17</v>
      </c>
      <c r="F2203">
        <v>6850</v>
      </c>
      <c r="G2203">
        <v>38.9</v>
      </c>
      <c r="H2203">
        <v>38.9</v>
      </c>
      <c r="I2203">
        <v>28.4</v>
      </c>
      <c r="J2203">
        <v>29.1</v>
      </c>
      <c r="K2203">
        <v>35</v>
      </c>
      <c r="L2203">
        <v>418</v>
      </c>
      <c r="M2203" t="s">
        <v>364</v>
      </c>
      <c r="N2203">
        <v>2877.15</v>
      </c>
      <c r="O2203">
        <v>397</v>
      </c>
    </row>
    <row r="2204" spans="1:15" x14ac:dyDescent="0.2">
      <c r="A2204" s="6">
        <v>45833</v>
      </c>
      <c r="B2204" t="s">
        <v>15</v>
      </c>
      <c r="C2204" t="s">
        <v>16</v>
      </c>
      <c r="D2204" s="1">
        <v>45855</v>
      </c>
      <c r="E2204" t="s">
        <v>19</v>
      </c>
      <c r="F2204">
        <v>3700</v>
      </c>
      <c r="J2204">
        <v>0.1</v>
      </c>
      <c r="K2204">
        <v>0.1</v>
      </c>
      <c r="L2204">
        <v>0</v>
      </c>
      <c r="M2204" t="s">
        <v>18</v>
      </c>
      <c r="N2204">
        <v>0</v>
      </c>
      <c r="O2204">
        <v>0</v>
      </c>
    </row>
    <row r="2205" spans="1:15" x14ac:dyDescent="0.2">
      <c r="A2205" s="6">
        <v>45833</v>
      </c>
      <c r="B2205" t="s">
        <v>15</v>
      </c>
      <c r="C2205" t="s">
        <v>16</v>
      </c>
      <c r="D2205" s="1">
        <v>45855</v>
      </c>
      <c r="E2205" t="s">
        <v>19</v>
      </c>
      <c r="F2205">
        <v>6750</v>
      </c>
      <c r="J2205">
        <v>1127.0999999999999</v>
      </c>
      <c r="K2205">
        <v>1199.8</v>
      </c>
      <c r="L2205">
        <v>0</v>
      </c>
      <c r="M2205" t="s">
        <v>18</v>
      </c>
      <c r="N2205">
        <v>0</v>
      </c>
      <c r="O2205">
        <v>27</v>
      </c>
    </row>
    <row r="2206" spans="1:15" x14ac:dyDescent="0.2">
      <c r="A2206" s="6">
        <v>45833</v>
      </c>
      <c r="B2206" t="s">
        <v>15</v>
      </c>
      <c r="C2206" t="s">
        <v>16</v>
      </c>
      <c r="D2206" s="1">
        <v>45855</v>
      </c>
      <c r="E2206" t="s">
        <v>17</v>
      </c>
      <c r="F2206">
        <v>7150</v>
      </c>
      <c r="G2206">
        <v>31</v>
      </c>
      <c r="H2206">
        <v>35.9</v>
      </c>
      <c r="I2206">
        <v>23.5</v>
      </c>
      <c r="J2206">
        <v>26.9</v>
      </c>
      <c r="K2206">
        <v>29.2</v>
      </c>
      <c r="L2206">
        <v>186</v>
      </c>
      <c r="M2206" t="s">
        <v>47</v>
      </c>
      <c r="N2206">
        <v>1334.96</v>
      </c>
      <c r="O2206">
        <v>244</v>
      </c>
    </row>
    <row r="2207" spans="1:15" x14ac:dyDescent="0.2">
      <c r="A2207" s="6">
        <v>45833</v>
      </c>
      <c r="B2207" t="s">
        <v>15</v>
      </c>
      <c r="C2207" t="s">
        <v>16</v>
      </c>
      <c r="D2207" s="1">
        <v>45855</v>
      </c>
      <c r="E2207" t="s">
        <v>17</v>
      </c>
      <c r="F2207">
        <v>6550</v>
      </c>
      <c r="G2207">
        <v>47.4</v>
      </c>
      <c r="H2207">
        <v>52.5</v>
      </c>
      <c r="I2207">
        <v>39.700000000000003</v>
      </c>
      <c r="J2207">
        <v>41.2</v>
      </c>
      <c r="K2207">
        <v>47.4</v>
      </c>
      <c r="L2207">
        <v>2861</v>
      </c>
      <c r="M2207" t="s">
        <v>1029</v>
      </c>
      <c r="N2207">
        <v>18870.599999999999</v>
      </c>
      <c r="O2207">
        <v>1206</v>
      </c>
    </row>
    <row r="2208" spans="1:15" x14ac:dyDescent="0.2">
      <c r="A2208" s="6">
        <v>45833</v>
      </c>
      <c r="B2208" t="s">
        <v>15</v>
      </c>
      <c r="C2208" t="s">
        <v>16</v>
      </c>
      <c r="D2208" s="1">
        <v>45855</v>
      </c>
      <c r="E2208" t="s">
        <v>17</v>
      </c>
      <c r="F2208">
        <v>6650</v>
      </c>
      <c r="G2208">
        <v>46.9</v>
      </c>
      <c r="H2208">
        <v>46.9</v>
      </c>
      <c r="I2208">
        <v>36.299999999999997</v>
      </c>
      <c r="J2208">
        <v>37.299999999999997</v>
      </c>
      <c r="K2208">
        <v>42</v>
      </c>
      <c r="L2208">
        <v>835</v>
      </c>
      <c r="M2208" t="s">
        <v>848</v>
      </c>
      <c r="N2208">
        <v>5587.48</v>
      </c>
      <c r="O2208">
        <v>740</v>
      </c>
    </row>
    <row r="2209" spans="1:15" x14ac:dyDescent="0.2">
      <c r="A2209" s="6">
        <v>45833</v>
      </c>
      <c r="B2209" t="s">
        <v>15</v>
      </c>
      <c r="C2209" t="s">
        <v>16</v>
      </c>
      <c r="D2209" s="1">
        <v>45855</v>
      </c>
      <c r="E2209" t="s">
        <v>17</v>
      </c>
      <c r="F2209">
        <v>5600</v>
      </c>
      <c r="G2209">
        <v>227.2</v>
      </c>
      <c r="H2209">
        <v>262.8</v>
      </c>
      <c r="I2209">
        <v>204.4</v>
      </c>
      <c r="J2209">
        <v>229.2</v>
      </c>
      <c r="K2209">
        <v>220.7</v>
      </c>
      <c r="L2209">
        <v>140369</v>
      </c>
      <c r="M2209" t="s">
        <v>1030</v>
      </c>
      <c r="N2209">
        <v>818252.59</v>
      </c>
      <c r="O2209">
        <v>4592</v>
      </c>
    </row>
    <row r="2210" spans="1:15" x14ac:dyDescent="0.2">
      <c r="A2210" s="6">
        <v>45833</v>
      </c>
      <c r="B2210" t="s">
        <v>15</v>
      </c>
      <c r="C2210" t="s">
        <v>16</v>
      </c>
      <c r="D2210" s="1">
        <v>45855</v>
      </c>
      <c r="E2210" t="s">
        <v>17</v>
      </c>
      <c r="F2210">
        <v>6050</v>
      </c>
      <c r="G2210">
        <v>99.9</v>
      </c>
      <c r="H2210">
        <v>104.5</v>
      </c>
      <c r="I2210">
        <v>79.5</v>
      </c>
      <c r="J2210">
        <v>85</v>
      </c>
      <c r="K2210">
        <v>92</v>
      </c>
      <c r="L2210">
        <v>5762</v>
      </c>
      <c r="M2210" t="s">
        <v>1031</v>
      </c>
      <c r="N2210">
        <v>35385.599999999999</v>
      </c>
      <c r="O2210">
        <v>670</v>
      </c>
    </row>
    <row r="2211" spans="1:15" x14ac:dyDescent="0.2">
      <c r="A2211" s="6">
        <v>45833</v>
      </c>
      <c r="B2211" t="s">
        <v>15</v>
      </c>
      <c r="C2211" t="s">
        <v>16</v>
      </c>
      <c r="D2211" s="1">
        <v>45855</v>
      </c>
      <c r="E2211" t="s">
        <v>19</v>
      </c>
      <c r="F2211">
        <v>5400</v>
      </c>
      <c r="G2211">
        <v>126.6</v>
      </c>
      <c r="H2211">
        <v>142.1</v>
      </c>
      <c r="I2211">
        <v>96.2</v>
      </c>
      <c r="J2211">
        <v>106.9</v>
      </c>
      <c r="K2211">
        <v>145.69999999999999</v>
      </c>
      <c r="L2211">
        <v>46345</v>
      </c>
      <c r="M2211" t="s">
        <v>1032</v>
      </c>
      <c r="N2211">
        <v>255804.09</v>
      </c>
      <c r="O2211">
        <v>3289</v>
      </c>
    </row>
    <row r="2212" spans="1:15" x14ac:dyDescent="0.2">
      <c r="A2212" s="6">
        <v>45833</v>
      </c>
      <c r="B2212" t="s">
        <v>15</v>
      </c>
      <c r="C2212" t="s">
        <v>16</v>
      </c>
      <c r="D2212" s="1">
        <v>45855</v>
      </c>
      <c r="E2212" t="s">
        <v>19</v>
      </c>
      <c r="F2212">
        <v>5450</v>
      </c>
      <c r="G2212">
        <v>142.6</v>
      </c>
      <c r="H2212">
        <v>162.6</v>
      </c>
      <c r="I2212">
        <v>112.2</v>
      </c>
      <c r="J2212">
        <v>124.2</v>
      </c>
      <c r="K2212">
        <v>165.8</v>
      </c>
      <c r="L2212">
        <v>17151</v>
      </c>
      <c r="M2212" t="s">
        <v>1033</v>
      </c>
      <c r="N2212">
        <v>95865.46</v>
      </c>
      <c r="O2212">
        <v>457</v>
      </c>
    </row>
    <row r="2213" spans="1:15" x14ac:dyDescent="0.2">
      <c r="A2213" s="6">
        <v>45833</v>
      </c>
      <c r="B2213" t="s">
        <v>15</v>
      </c>
      <c r="C2213" t="s">
        <v>16</v>
      </c>
      <c r="D2213" s="1">
        <v>45855</v>
      </c>
      <c r="E2213" t="s">
        <v>17</v>
      </c>
      <c r="F2213">
        <v>3750</v>
      </c>
      <c r="J2213">
        <v>1886.3</v>
      </c>
      <c r="K2213">
        <v>1826.3</v>
      </c>
      <c r="L2213">
        <v>0</v>
      </c>
      <c r="M2213" t="s">
        <v>18</v>
      </c>
      <c r="N2213">
        <v>0</v>
      </c>
      <c r="O2213">
        <v>0</v>
      </c>
    </row>
    <row r="2214" spans="1:15" x14ac:dyDescent="0.2">
      <c r="A2214" s="6">
        <v>45833</v>
      </c>
      <c r="B2214" t="s">
        <v>15</v>
      </c>
      <c r="C2214" t="s">
        <v>16</v>
      </c>
      <c r="D2214" s="1">
        <v>45855</v>
      </c>
      <c r="E2214" t="s">
        <v>19</v>
      </c>
      <c r="F2214">
        <v>4450</v>
      </c>
      <c r="J2214">
        <v>6.1</v>
      </c>
      <c r="K2214">
        <v>10</v>
      </c>
      <c r="L2214">
        <v>0</v>
      </c>
      <c r="M2214" t="s">
        <v>18</v>
      </c>
      <c r="N2214">
        <v>0</v>
      </c>
      <c r="O2214">
        <v>0</v>
      </c>
    </row>
    <row r="2215" spans="1:15" x14ac:dyDescent="0.2">
      <c r="A2215" s="6">
        <v>45833</v>
      </c>
      <c r="B2215" t="s">
        <v>15</v>
      </c>
      <c r="C2215" t="s">
        <v>16</v>
      </c>
      <c r="D2215" s="1">
        <v>45855</v>
      </c>
      <c r="E2215" t="s">
        <v>19</v>
      </c>
      <c r="F2215">
        <v>7700</v>
      </c>
      <c r="J2215">
        <v>2051.1</v>
      </c>
      <c r="K2215">
        <v>2110.8000000000002</v>
      </c>
      <c r="L2215">
        <v>0</v>
      </c>
      <c r="M2215" t="s">
        <v>18</v>
      </c>
      <c r="N2215">
        <v>0</v>
      </c>
      <c r="O2215">
        <v>0</v>
      </c>
    </row>
    <row r="2216" spans="1:15" x14ac:dyDescent="0.2">
      <c r="A2216" s="6">
        <v>45833</v>
      </c>
      <c r="B2216" t="s">
        <v>15</v>
      </c>
      <c r="C2216" t="s">
        <v>16</v>
      </c>
      <c r="D2216" s="1">
        <v>45855</v>
      </c>
      <c r="E2216" t="s">
        <v>17</v>
      </c>
      <c r="F2216">
        <v>7650</v>
      </c>
      <c r="G2216">
        <v>21.1</v>
      </c>
      <c r="H2216">
        <v>24.7</v>
      </c>
      <c r="I2216">
        <v>16.3</v>
      </c>
      <c r="J2216">
        <v>16.5</v>
      </c>
      <c r="K2216">
        <v>22.2</v>
      </c>
      <c r="L2216">
        <v>710</v>
      </c>
      <c r="M2216" t="s">
        <v>1034</v>
      </c>
      <c r="N2216">
        <v>5446.27</v>
      </c>
      <c r="O2216">
        <v>215</v>
      </c>
    </row>
    <row r="2217" spans="1:15" x14ac:dyDescent="0.2">
      <c r="A2217" s="6">
        <v>45833</v>
      </c>
      <c r="B2217" t="s">
        <v>15</v>
      </c>
      <c r="C2217" t="s">
        <v>16</v>
      </c>
      <c r="D2217" s="1">
        <v>45855</v>
      </c>
      <c r="E2217" t="s">
        <v>19</v>
      </c>
      <c r="F2217">
        <v>5300</v>
      </c>
      <c r="G2217">
        <v>96.6</v>
      </c>
      <c r="H2217">
        <v>109</v>
      </c>
      <c r="I2217">
        <v>70.5</v>
      </c>
      <c r="J2217">
        <v>80.099999999999994</v>
      </c>
      <c r="K2217">
        <v>112.5</v>
      </c>
      <c r="L2217">
        <v>35592</v>
      </c>
      <c r="M2217" t="s">
        <v>1035</v>
      </c>
      <c r="N2217">
        <v>191885.43</v>
      </c>
      <c r="O2217">
        <v>2520</v>
      </c>
    </row>
    <row r="2218" spans="1:15" x14ac:dyDescent="0.2">
      <c r="A2218" s="6">
        <v>45833</v>
      </c>
      <c r="B2218" t="s">
        <v>15</v>
      </c>
      <c r="C2218" t="s">
        <v>16</v>
      </c>
      <c r="D2218" s="1">
        <v>45855</v>
      </c>
      <c r="E2218" t="s">
        <v>19</v>
      </c>
      <c r="F2218">
        <v>4600</v>
      </c>
      <c r="G2218">
        <v>23.6</v>
      </c>
      <c r="H2218">
        <v>27.9</v>
      </c>
      <c r="I2218">
        <v>14.6</v>
      </c>
      <c r="J2218">
        <v>20.9</v>
      </c>
      <c r="K2218">
        <v>23.6</v>
      </c>
      <c r="L2218">
        <v>25</v>
      </c>
      <c r="M2218" t="s">
        <v>465</v>
      </c>
      <c r="N2218">
        <v>115.55</v>
      </c>
      <c r="O2218">
        <v>18</v>
      </c>
    </row>
    <row r="2219" spans="1:15" x14ac:dyDescent="0.2">
      <c r="A2219" s="6">
        <v>45833</v>
      </c>
      <c r="B2219" t="s">
        <v>15</v>
      </c>
      <c r="C2219" t="s">
        <v>16</v>
      </c>
      <c r="D2219" s="1">
        <v>45855</v>
      </c>
      <c r="E2219" t="s">
        <v>19</v>
      </c>
      <c r="F2219">
        <v>6400</v>
      </c>
      <c r="G2219">
        <v>840.9</v>
      </c>
      <c r="H2219">
        <v>865.6</v>
      </c>
      <c r="I2219">
        <v>764.6</v>
      </c>
      <c r="J2219">
        <v>781.4</v>
      </c>
      <c r="K2219">
        <v>887.1</v>
      </c>
      <c r="L2219">
        <v>453</v>
      </c>
      <c r="M2219" t="s">
        <v>1036</v>
      </c>
      <c r="N2219">
        <v>3276.3</v>
      </c>
      <c r="O2219">
        <v>864</v>
      </c>
    </row>
    <row r="2220" spans="1:15" x14ac:dyDescent="0.2">
      <c r="A2220" s="6">
        <v>45833</v>
      </c>
      <c r="B2220" t="s">
        <v>15</v>
      </c>
      <c r="C2220" t="s">
        <v>16</v>
      </c>
      <c r="D2220" s="1">
        <v>45855</v>
      </c>
      <c r="E2220" t="s">
        <v>19</v>
      </c>
      <c r="F2220">
        <v>5050</v>
      </c>
      <c r="G2220">
        <v>53.3</v>
      </c>
      <c r="H2220">
        <v>59.7</v>
      </c>
      <c r="I2220">
        <v>35.4</v>
      </c>
      <c r="J2220">
        <v>40.799999999999997</v>
      </c>
      <c r="K2220">
        <v>64.8</v>
      </c>
      <c r="L2220">
        <v>2120</v>
      </c>
      <c r="M2220" t="s">
        <v>1037</v>
      </c>
      <c r="N2220">
        <v>10804.43</v>
      </c>
      <c r="O2220">
        <v>210</v>
      </c>
    </row>
    <row r="2221" spans="1:15" x14ac:dyDescent="0.2">
      <c r="A2221" s="6">
        <v>45833</v>
      </c>
      <c r="B2221" t="s">
        <v>15</v>
      </c>
      <c r="C2221" t="s">
        <v>16</v>
      </c>
      <c r="D2221" s="1">
        <v>45855</v>
      </c>
      <c r="E2221" t="s">
        <v>19</v>
      </c>
      <c r="F2221">
        <v>5900</v>
      </c>
      <c r="G2221">
        <v>387.9</v>
      </c>
      <c r="H2221">
        <v>434.4</v>
      </c>
      <c r="I2221">
        <v>346.5</v>
      </c>
      <c r="J2221">
        <v>371.7</v>
      </c>
      <c r="K2221">
        <v>435</v>
      </c>
      <c r="L2221">
        <v>2995</v>
      </c>
      <c r="M2221" t="s">
        <v>1038</v>
      </c>
      <c r="N2221">
        <v>18845.2</v>
      </c>
      <c r="O2221">
        <v>614</v>
      </c>
    </row>
    <row r="2222" spans="1:15" x14ac:dyDescent="0.2">
      <c r="A2222" s="6">
        <v>45833</v>
      </c>
      <c r="B2222" t="s">
        <v>15</v>
      </c>
      <c r="C2222" t="s">
        <v>16</v>
      </c>
      <c r="D2222" s="1">
        <v>45855</v>
      </c>
      <c r="E2222" t="s">
        <v>17</v>
      </c>
      <c r="F2222">
        <v>6750</v>
      </c>
      <c r="G2222">
        <v>42</v>
      </c>
      <c r="H2222">
        <v>42.5</v>
      </c>
      <c r="I2222">
        <v>32.1</v>
      </c>
      <c r="J2222">
        <v>32.9</v>
      </c>
      <c r="K2222">
        <v>39.6</v>
      </c>
      <c r="L2222">
        <v>864</v>
      </c>
      <c r="M2222" t="s">
        <v>1039</v>
      </c>
      <c r="N2222">
        <v>5864.01</v>
      </c>
      <c r="O2222">
        <v>377</v>
      </c>
    </row>
    <row r="2223" spans="1:15" x14ac:dyDescent="0.2">
      <c r="A2223" s="6">
        <v>45833</v>
      </c>
      <c r="B2223" t="s">
        <v>15</v>
      </c>
      <c r="C2223" t="s">
        <v>16</v>
      </c>
      <c r="D2223" s="1">
        <v>45855</v>
      </c>
      <c r="E2223" t="s">
        <v>19</v>
      </c>
      <c r="F2223">
        <v>4250</v>
      </c>
      <c r="J2223">
        <v>2.1</v>
      </c>
      <c r="K2223">
        <v>3.8</v>
      </c>
      <c r="L2223">
        <v>0</v>
      </c>
      <c r="M2223" t="s">
        <v>18</v>
      </c>
      <c r="N2223">
        <v>0</v>
      </c>
      <c r="O2223">
        <v>0</v>
      </c>
    </row>
    <row r="2224" spans="1:15" x14ac:dyDescent="0.2">
      <c r="A2224" s="6">
        <v>45833</v>
      </c>
      <c r="B2224" t="s">
        <v>15</v>
      </c>
      <c r="C2224" t="s">
        <v>16</v>
      </c>
      <c r="D2224" s="1">
        <v>45855</v>
      </c>
      <c r="E2224" t="s">
        <v>17</v>
      </c>
      <c r="F2224">
        <v>5750</v>
      </c>
      <c r="G2224">
        <v>172.6</v>
      </c>
      <c r="H2224">
        <v>191.9</v>
      </c>
      <c r="I2224">
        <v>146.5</v>
      </c>
      <c r="J2224">
        <v>163.80000000000001</v>
      </c>
      <c r="K2224">
        <v>164.2</v>
      </c>
      <c r="L2224">
        <v>18470</v>
      </c>
      <c r="M2224" t="s">
        <v>1040</v>
      </c>
      <c r="N2224">
        <v>109302.55</v>
      </c>
      <c r="O2224">
        <v>1301</v>
      </c>
    </row>
    <row r="2225" spans="1:15" x14ac:dyDescent="0.2">
      <c r="A2225" s="6">
        <v>45833</v>
      </c>
      <c r="B2225" t="s">
        <v>15</v>
      </c>
      <c r="C2225" t="s">
        <v>16</v>
      </c>
      <c r="D2225" s="1">
        <v>45855</v>
      </c>
      <c r="E2225" t="s">
        <v>17</v>
      </c>
      <c r="F2225">
        <v>7250</v>
      </c>
      <c r="G2225">
        <v>40</v>
      </c>
      <c r="H2225">
        <v>40</v>
      </c>
      <c r="I2225">
        <v>19.2</v>
      </c>
      <c r="J2225">
        <v>23.6</v>
      </c>
      <c r="K2225">
        <v>29.3</v>
      </c>
      <c r="L2225">
        <v>135</v>
      </c>
      <c r="M2225" t="s">
        <v>1041</v>
      </c>
      <c r="N2225">
        <v>982.33</v>
      </c>
      <c r="O2225">
        <v>133</v>
      </c>
    </row>
    <row r="2226" spans="1:15" x14ac:dyDescent="0.2">
      <c r="A2226" s="6">
        <v>45833</v>
      </c>
      <c r="B2226" t="s">
        <v>15</v>
      </c>
      <c r="C2226" t="s">
        <v>16</v>
      </c>
      <c r="D2226" s="1">
        <v>45855</v>
      </c>
      <c r="E2226" t="s">
        <v>19</v>
      </c>
      <c r="F2226">
        <v>7600</v>
      </c>
      <c r="J2226">
        <v>1952</v>
      </c>
      <c r="K2226">
        <v>2011.7</v>
      </c>
      <c r="L2226">
        <v>0</v>
      </c>
      <c r="M2226" t="s">
        <v>18</v>
      </c>
      <c r="N2226">
        <v>0</v>
      </c>
      <c r="O2226">
        <v>0</v>
      </c>
    </row>
    <row r="2227" spans="1:15" x14ac:dyDescent="0.2">
      <c r="A2227" s="6">
        <v>45833</v>
      </c>
      <c r="B2227" t="s">
        <v>15</v>
      </c>
      <c r="C2227" t="s">
        <v>16</v>
      </c>
      <c r="D2227" s="1">
        <v>45855</v>
      </c>
      <c r="E2227" t="s">
        <v>17</v>
      </c>
      <c r="F2227">
        <v>6600</v>
      </c>
      <c r="G2227">
        <v>43.3</v>
      </c>
      <c r="H2227">
        <v>49.6</v>
      </c>
      <c r="I2227">
        <v>36.6</v>
      </c>
      <c r="J2227">
        <v>38.4</v>
      </c>
      <c r="K2227">
        <v>42.7</v>
      </c>
      <c r="L2227">
        <v>6529</v>
      </c>
      <c r="M2227" t="s">
        <v>1042</v>
      </c>
      <c r="N2227">
        <v>43368.36</v>
      </c>
      <c r="O2227">
        <v>4109</v>
      </c>
    </row>
    <row r="2228" spans="1:15" x14ac:dyDescent="0.2">
      <c r="A2228" s="6">
        <v>45833</v>
      </c>
      <c r="B2228" t="s">
        <v>15</v>
      </c>
      <c r="C2228" t="s">
        <v>16</v>
      </c>
      <c r="D2228" s="1">
        <v>45855</v>
      </c>
      <c r="E2228" t="s">
        <v>17</v>
      </c>
      <c r="F2228">
        <v>3850</v>
      </c>
      <c r="J2228">
        <v>1786.7</v>
      </c>
      <c r="K2228">
        <v>1726.8</v>
      </c>
      <c r="L2228">
        <v>0</v>
      </c>
      <c r="M2228" t="s">
        <v>18</v>
      </c>
      <c r="N2228">
        <v>0</v>
      </c>
      <c r="O2228">
        <v>0</v>
      </c>
    </row>
    <row r="2229" spans="1:15" x14ac:dyDescent="0.2">
      <c r="A2229" s="6">
        <v>45833</v>
      </c>
      <c r="B2229" t="s">
        <v>15</v>
      </c>
      <c r="C2229" t="s">
        <v>16</v>
      </c>
      <c r="D2229" s="1">
        <v>45855</v>
      </c>
      <c r="E2229" t="s">
        <v>19</v>
      </c>
      <c r="F2229">
        <v>3850</v>
      </c>
      <c r="J2229">
        <v>0.1</v>
      </c>
      <c r="K2229">
        <v>0.3</v>
      </c>
      <c r="L2229">
        <v>0</v>
      </c>
      <c r="M2229" t="s">
        <v>18</v>
      </c>
      <c r="N2229">
        <v>0</v>
      </c>
      <c r="O2229">
        <v>0</v>
      </c>
    </row>
    <row r="2230" spans="1:15" x14ac:dyDescent="0.2">
      <c r="A2230" s="6">
        <v>45833</v>
      </c>
      <c r="B2230" t="s">
        <v>15</v>
      </c>
      <c r="C2230" t="s">
        <v>16</v>
      </c>
      <c r="D2230" s="1">
        <v>45855</v>
      </c>
      <c r="E2230" t="s">
        <v>19</v>
      </c>
      <c r="F2230">
        <v>6800</v>
      </c>
      <c r="G2230">
        <v>1220.2</v>
      </c>
      <c r="H2230">
        <v>1220.2</v>
      </c>
      <c r="I2230">
        <v>1201.2</v>
      </c>
      <c r="J2230">
        <v>1211.8</v>
      </c>
      <c r="K2230">
        <v>1265.2</v>
      </c>
      <c r="L2230">
        <v>6</v>
      </c>
      <c r="M2230" t="s">
        <v>132</v>
      </c>
      <c r="N2230">
        <v>48.07</v>
      </c>
      <c r="O2230">
        <v>93</v>
      </c>
    </row>
    <row r="2231" spans="1:15" x14ac:dyDescent="0.2">
      <c r="A2231" s="6">
        <v>45833</v>
      </c>
      <c r="B2231" t="s">
        <v>15</v>
      </c>
      <c r="C2231" t="s">
        <v>16</v>
      </c>
      <c r="D2231" s="1">
        <v>45855</v>
      </c>
      <c r="E2231" t="s">
        <v>19</v>
      </c>
      <c r="F2231">
        <v>4950</v>
      </c>
      <c r="G2231">
        <v>46</v>
      </c>
      <c r="H2231">
        <v>48.5</v>
      </c>
      <c r="I2231">
        <v>29</v>
      </c>
      <c r="J2231">
        <v>33.299999999999997</v>
      </c>
      <c r="K2231">
        <v>53.8</v>
      </c>
      <c r="L2231">
        <v>1199</v>
      </c>
      <c r="M2231" t="s">
        <v>1043</v>
      </c>
      <c r="N2231">
        <v>5981.61</v>
      </c>
      <c r="O2231">
        <v>140</v>
      </c>
    </row>
    <row r="2232" spans="1:15" x14ac:dyDescent="0.2">
      <c r="A2232" s="6">
        <v>45833</v>
      </c>
      <c r="B2232" t="s">
        <v>15</v>
      </c>
      <c r="C2232" t="s">
        <v>16</v>
      </c>
      <c r="D2232" s="1">
        <v>45855</v>
      </c>
      <c r="E2232" t="s">
        <v>17</v>
      </c>
      <c r="F2232">
        <v>6400</v>
      </c>
      <c r="G2232">
        <v>54.9</v>
      </c>
      <c r="H2232">
        <v>62.5</v>
      </c>
      <c r="I2232">
        <v>46.4</v>
      </c>
      <c r="J2232">
        <v>49</v>
      </c>
      <c r="K2232">
        <v>56.6</v>
      </c>
      <c r="L2232">
        <v>10663</v>
      </c>
      <c r="M2232" t="s">
        <v>1044</v>
      </c>
      <c r="N2232">
        <v>68826.350000000006</v>
      </c>
      <c r="O2232">
        <v>5804</v>
      </c>
    </row>
    <row r="2233" spans="1:15" x14ac:dyDescent="0.2">
      <c r="A2233" s="6">
        <v>45833</v>
      </c>
      <c r="B2233" t="s">
        <v>15</v>
      </c>
      <c r="C2233" t="s">
        <v>16</v>
      </c>
      <c r="D2233" s="1">
        <v>45855</v>
      </c>
      <c r="E2233" t="s">
        <v>17</v>
      </c>
      <c r="F2233">
        <v>5650</v>
      </c>
      <c r="G2233">
        <v>212.5</v>
      </c>
      <c r="H2233">
        <v>236.7</v>
      </c>
      <c r="I2233">
        <v>183</v>
      </c>
      <c r="J2233">
        <v>206</v>
      </c>
      <c r="K2233">
        <v>199.6</v>
      </c>
      <c r="L2233">
        <v>45997</v>
      </c>
      <c r="M2233" t="s">
        <v>1045</v>
      </c>
      <c r="N2233">
        <v>269427.65999999997</v>
      </c>
      <c r="O2233">
        <v>1115</v>
      </c>
    </row>
    <row r="2234" spans="1:15" x14ac:dyDescent="0.2">
      <c r="A2234" s="6">
        <v>45833</v>
      </c>
      <c r="B2234" t="s">
        <v>15</v>
      </c>
      <c r="C2234" t="s">
        <v>16</v>
      </c>
      <c r="D2234" s="1">
        <v>45855</v>
      </c>
      <c r="E2234" t="s">
        <v>17</v>
      </c>
      <c r="F2234">
        <v>6450</v>
      </c>
      <c r="G2234">
        <v>57.1</v>
      </c>
      <c r="H2234">
        <v>60.8</v>
      </c>
      <c r="I2234">
        <v>43.8</v>
      </c>
      <c r="J2234">
        <v>45.5</v>
      </c>
      <c r="K2234">
        <v>53.8</v>
      </c>
      <c r="L2234">
        <v>2243</v>
      </c>
      <c r="M2234" t="s">
        <v>1046</v>
      </c>
      <c r="N2234">
        <v>14582.31</v>
      </c>
      <c r="O2234">
        <v>1510</v>
      </c>
    </row>
    <row r="2235" spans="1:15" x14ac:dyDescent="0.2">
      <c r="A2235" s="6">
        <v>45833</v>
      </c>
      <c r="B2235" t="s">
        <v>15</v>
      </c>
      <c r="C2235" t="s">
        <v>16</v>
      </c>
      <c r="D2235" s="1">
        <v>45855</v>
      </c>
      <c r="E2235" t="s">
        <v>17</v>
      </c>
      <c r="F2235">
        <v>4550</v>
      </c>
      <c r="J2235">
        <v>1098.9000000000001</v>
      </c>
      <c r="K2235">
        <v>1044.5</v>
      </c>
      <c r="L2235">
        <v>0</v>
      </c>
      <c r="M2235" t="s">
        <v>18</v>
      </c>
      <c r="N2235">
        <v>0</v>
      </c>
      <c r="O2235">
        <v>0</v>
      </c>
    </row>
    <row r="2236" spans="1:15" x14ac:dyDescent="0.2">
      <c r="A2236" s="6">
        <v>45833</v>
      </c>
      <c r="B2236" t="s">
        <v>15</v>
      </c>
      <c r="C2236" t="s">
        <v>16</v>
      </c>
      <c r="D2236" s="1">
        <v>45855</v>
      </c>
      <c r="E2236" t="s">
        <v>17</v>
      </c>
      <c r="F2236">
        <v>4850</v>
      </c>
      <c r="J2236">
        <v>823.4</v>
      </c>
      <c r="K2236">
        <v>776.7</v>
      </c>
      <c r="L2236">
        <v>0</v>
      </c>
      <c r="M2236" t="s">
        <v>18</v>
      </c>
      <c r="N2236">
        <v>0</v>
      </c>
      <c r="O2236">
        <v>0</v>
      </c>
    </row>
    <row r="2237" spans="1:15" x14ac:dyDescent="0.2">
      <c r="A2237" s="6">
        <v>45833</v>
      </c>
      <c r="B2237" t="s">
        <v>15</v>
      </c>
      <c r="C2237" t="s">
        <v>16</v>
      </c>
      <c r="D2237" s="1">
        <v>45855</v>
      </c>
      <c r="E2237" t="s">
        <v>17</v>
      </c>
      <c r="F2237">
        <v>5500</v>
      </c>
      <c r="G2237">
        <v>284.89999999999998</v>
      </c>
      <c r="H2237">
        <v>320.8</v>
      </c>
      <c r="I2237">
        <v>254.1</v>
      </c>
      <c r="J2237">
        <v>283.89999999999998</v>
      </c>
      <c r="K2237">
        <v>270.60000000000002</v>
      </c>
      <c r="L2237">
        <v>44227</v>
      </c>
      <c r="M2237" t="s">
        <v>1047</v>
      </c>
      <c r="N2237">
        <v>255726.18</v>
      </c>
      <c r="O2237">
        <v>2048</v>
      </c>
    </row>
    <row r="2238" spans="1:15" x14ac:dyDescent="0.2">
      <c r="A2238" s="6">
        <v>45833</v>
      </c>
      <c r="B2238" t="s">
        <v>15</v>
      </c>
      <c r="C2238" t="s">
        <v>16</v>
      </c>
      <c r="D2238" s="1">
        <v>45855</v>
      </c>
      <c r="E2238" t="s">
        <v>19</v>
      </c>
      <c r="F2238">
        <v>4100</v>
      </c>
      <c r="J2238">
        <v>0.8</v>
      </c>
      <c r="K2238">
        <v>1.7</v>
      </c>
      <c r="L2238">
        <v>0</v>
      </c>
      <c r="M2238" t="s">
        <v>18</v>
      </c>
      <c r="N2238">
        <v>0</v>
      </c>
      <c r="O2238">
        <v>0</v>
      </c>
    </row>
    <row r="2239" spans="1:15" x14ac:dyDescent="0.2">
      <c r="A2239" s="6">
        <v>45833</v>
      </c>
      <c r="B2239" t="s">
        <v>15</v>
      </c>
      <c r="C2239" t="s">
        <v>16</v>
      </c>
      <c r="D2239" s="1">
        <v>45855</v>
      </c>
      <c r="E2239" t="s">
        <v>17</v>
      </c>
      <c r="F2239">
        <v>6000</v>
      </c>
      <c r="G2239">
        <v>110.2</v>
      </c>
      <c r="H2239">
        <v>115</v>
      </c>
      <c r="I2239">
        <v>86.2</v>
      </c>
      <c r="J2239">
        <v>94.1</v>
      </c>
      <c r="K2239">
        <v>99.2</v>
      </c>
      <c r="L2239">
        <v>59972</v>
      </c>
      <c r="M2239" t="s">
        <v>1048</v>
      </c>
      <c r="N2239">
        <v>365811.63</v>
      </c>
      <c r="O2239">
        <v>7408</v>
      </c>
    </row>
    <row r="2240" spans="1:15" x14ac:dyDescent="0.2">
      <c r="A2240" s="6">
        <v>45833</v>
      </c>
      <c r="B2240" t="s">
        <v>15</v>
      </c>
      <c r="C2240" t="s">
        <v>16</v>
      </c>
      <c r="D2240" s="1">
        <v>45855</v>
      </c>
      <c r="E2240" t="s">
        <v>17</v>
      </c>
      <c r="F2240">
        <v>6300</v>
      </c>
      <c r="G2240">
        <v>63.3</v>
      </c>
      <c r="H2240">
        <v>69.900000000000006</v>
      </c>
      <c r="I2240">
        <v>52.9</v>
      </c>
      <c r="J2240">
        <v>55.6</v>
      </c>
      <c r="K2240">
        <v>63.2</v>
      </c>
      <c r="L2240">
        <v>8725</v>
      </c>
      <c r="M2240" t="s">
        <v>1049</v>
      </c>
      <c r="N2240">
        <v>55499.33</v>
      </c>
      <c r="O2240">
        <v>4324</v>
      </c>
    </row>
    <row r="2241" spans="1:15" x14ac:dyDescent="0.2">
      <c r="A2241" s="6">
        <v>45833</v>
      </c>
      <c r="B2241" t="s">
        <v>15</v>
      </c>
      <c r="C2241" t="s">
        <v>16</v>
      </c>
      <c r="D2241" s="1">
        <v>45855</v>
      </c>
      <c r="E2241" t="s">
        <v>19</v>
      </c>
      <c r="F2241">
        <v>4050</v>
      </c>
      <c r="J2241">
        <v>0.6</v>
      </c>
      <c r="K2241">
        <v>1.2</v>
      </c>
      <c r="L2241">
        <v>0</v>
      </c>
      <c r="M2241" t="s">
        <v>18</v>
      </c>
      <c r="N2241">
        <v>0</v>
      </c>
      <c r="O2241">
        <v>0</v>
      </c>
    </row>
    <row r="2242" spans="1:15" x14ac:dyDescent="0.2">
      <c r="A2242" s="6">
        <v>45833</v>
      </c>
      <c r="B2242" t="s">
        <v>15</v>
      </c>
      <c r="C2242" t="s">
        <v>16</v>
      </c>
      <c r="D2242" s="1">
        <v>45855</v>
      </c>
      <c r="E2242" t="s">
        <v>19</v>
      </c>
      <c r="F2242">
        <v>5950</v>
      </c>
      <c r="G2242">
        <v>445.8</v>
      </c>
      <c r="H2242">
        <v>470.6</v>
      </c>
      <c r="I2242">
        <v>382.9</v>
      </c>
      <c r="J2242">
        <v>409.7</v>
      </c>
      <c r="K2242">
        <v>475.7</v>
      </c>
      <c r="L2242">
        <v>262</v>
      </c>
      <c r="M2242" t="s">
        <v>313</v>
      </c>
      <c r="N2242">
        <v>1671.16</v>
      </c>
      <c r="O2242">
        <v>102</v>
      </c>
    </row>
    <row r="2243" spans="1:15" x14ac:dyDescent="0.2">
      <c r="A2243" s="6">
        <v>45833</v>
      </c>
      <c r="B2243" t="s">
        <v>15</v>
      </c>
      <c r="C2243" t="s">
        <v>16</v>
      </c>
      <c r="D2243" s="1">
        <v>45855</v>
      </c>
      <c r="E2243" t="s">
        <v>19</v>
      </c>
      <c r="F2243">
        <v>5350</v>
      </c>
      <c r="G2243">
        <v>111.5</v>
      </c>
      <c r="H2243">
        <v>125.1</v>
      </c>
      <c r="I2243">
        <v>83.2</v>
      </c>
      <c r="J2243">
        <v>92.9</v>
      </c>
      <c r="K2243">
        <v>128.69999999999999</v>
      </c>
      <c r="L2243">
        <v>11045</v>
      </c>
      <c r="M2243" t="s">
        <v>1050</v>
      </c>
      <c r="N2243">
        <v>60253.83</v>
      </c>
      <c r="O2243">
        <v>322</v>
      </c>
    </row>
    <row r="2244" spans="1:15" x14ac:dyDescent="0.2">
      <c r="A2244" s="6">
        <v>45833</v>
      </c>
      <c r="B2244" t="s">
        <v>15</v>
      </c>
      <c r="C2244" t="s">
        <v>16</v>
      </c>
      <c r="D2244" s="1">
        <v>45855</v>
      </c>
      <c r="E2244" t="s">
        <v>19</v>
      </c>
      <c r="F2244">
        <v>5000</v>
      </c>
      <c r="G2244">
        <v>50</v>
      </c>
      <c r="H2244">
        <v>59.8</v>
      </c>
      <c r="I2244">
        <v>30.6</v>
      </c>
      <c r="J2244">
        <v>35.299999999999997</v>
      </c>
      <c r="K2244">
        <v>58.7</v>
      </c>
      <c r="L2244">
        <v>30759</v>
      </c>
      <c r="M2244" t="s">
        <v>1051</v>
      </c>
      <c r="N2244">
        <v>155140.35</v>
      </c>
      <c r="O2244">
        <v>3558</v>
      </c>
    </row>
    <row r="2245" spans="1:15" x14ac:dyDescent="0.2">
      <c r="A2245" s="6">
        <v>45833</v>
      </c>
      <c r="B2245" t="s">
        <v>15</v>
      </c>
      <c r="C2245" t="s">
        <v>16</v>
      </c>
      <c r="D2245" s="1">
        <v>45855</v>
      </c>
      <c r="E2245" t="s">
        <v>19</v>
      </c>
      <c r="F2245">
        <v>4400</v>
      </c>
      <c r="J2245">
        <v>4.8</v>
      </c>
      <c r="K2245">
        <v>8</v>
      </c>
      <c r="L2245">
        <v>0</v>
      </c>
      <c r="M2245" t="s">
        <v>18</v>
      </c>
      <c r="N2245">
        <v>0</v>
      </c>
      <c r="O2245">
        <v>0</v>
      </c>
    </row>
    <row r="2246" spans="1:15" x14ac:dyDescent="0.2">
      <c r="A2246" s="6">
        <v>45833</v>
      </c>
      <c r="B2246" t="s">
        <v>15</v>
      </c>
      <c r="C2246" t="s">
        <v>16</v>
      </c>
      <c r="D2246" s="1">
        <v>45855</v>
      </c>
      <c r="E2246" t="s">
        <v>17</v>
      </c>
      <c r="F2246">
        <v>5800</v>
      </c>
      <c r="G2246">
        <v>156.6</v>
      </c>
      <c r="H2246">
        <v>171.6</v>
      </c>
      <c r="I2246">
        <v>130</v>
      </c>
      <c r="J2246">
        <v>145.1</v>
      </c>
      <c r="K2246">
        <v>148</v>
      </c>
      <c r="L2246">
        <v>62018</v>
      </c>
      <c r="M2246" t="s">
        <v>1052</v>
      </c>
      <c r="N2246">
        <v>368949.73</v>
      </c>
      <c r="O2246">
        <v>6651</v>
      </c>
    </row>
    <row r="2247" spans="1:15" x14ac:dyDescent="0.2">
      <c r="A2247" s="6">
        <v>45833</v>
      </c>
      <c r="B2247" t="s">
        <v>15</v>
      </c>
      <c r="C2247" t="s">
        <v>16</v>
      </c>
      <c r="D2247" s="1">
        <v>45855</v>
      </c>
      <c r="E2247" t="s">
        <v>19</v>
      </c>
      <c r="F2247">
        <v>7350</v>
      </c>
      <c r="J2247">
        <v>1705.2</v>
      </c>
      <c r="K2247">
        <v>1765.2</v>
      </c>
      <c r="L2247">
        <v>0</v>
      </c>
      <c r="M2247" t="s">
        <v>18</v>
      </c>
      <c r="N2247">
        <v>0</v>
      </c>
      <c r="O2247">
        <v>0</v>
      </c>
    </row>
    <row r="2248" spans="1:15" x14ac:dyDescent="0.2">
      <c r="A2248" s="6">
        <v>45833</v>
      </c>
      <c r="B2248" t="s">
        <v>15</v>
      </c>
      <c r="C2248" t="s">
        <v>16</v>
      </c>
      <c r="D2248" s="1">
        <v>45855</v>
      </c>
      <c r="E2248" t="s">
        <v>17</v>
      </c>
      <c r="F2248">
        <v>7050</v>
      </c>
      <c r="G2248">
        <v>36</v>
      </c>
      <c r="H2248">
        <v>36</v>
      </c>
      <c r="I2248">
        <v>24.1</v>
      </c>
      <c r="J2248">
        <v>25.9</v>
      </c>
      <c r="K2248">
        <v>33.1</v>
      </c>
      <c r="L2248">
        <v>260</v>
      </c>
      <c r="M2248" t="s">
        <v>1053</v>
      </c>
      <c r="N2248">
        <v>1840.78</v>
      </c>
      <c r="O2248">
        <v>164</v>
      </c>
    </row>
    <row r="2249" spans="1:15" x14ac:dyDescent="0.2">
      <c r="A2249" s="6">
        <v>45833</v>
      </c>
      <c r="B2249" t="s">
        <v>15</v>
      </c>
      <c r="C2249" t="s">
        <v>16</v>
      </c>
      <c r="D2249" s="1">
        <v>45855</v>
      </c>
      <c r="E2249" t="s">
        <v>17</v>
      </c>
      <c r="F2249">
        <v>4000</v>
      </c>
      <c r="J2249">
        <v>1637.5</v>
      </c>
      <c r="K2249">
        <v>1578</v>
      </c>
      <c r="L2249">
        <v>0</v>
      </c>
      <c r="M2249" t="s">
        <v>18</v>
      </c>
      <c r="N2249">
        <v>0</v>
      </c>
      <c r="O2249">
        <v>0</v>
      </c>
    </row>
    <row r="2250" spans="1:15" x14ac:dyDescent="0.2">
      <c r="A2250" s="6">
        <v>45833</v>
      </c>
      <c r="B2250" t="s">
        <v>15</v>
      </c>
      <c r="C2250" t="s">
        <v>16</v>
      </c>
      <c r="D2250" s="1">
        <v>45855</v>
      </c>
      <c r="E2250" t="s">
        <v>17</v>
      </c>
      <c r="F2250">
        <v>4250</v>
      </c>
      <c r="J2250">
        <v>1390.1</v>
      </c>
      <c r="K2250">
        <v>1331.8</v>
      </c>
      <c r="L2250">
        <v>0</v>
      </c>
      <c r="M2250" t="s">
        <v>18</v>
      </c>
      <c r="N2250">
        <v>0</v>
      </c>
      <c r="O2250">
        <v>0</v>
      </c>
    </row>
    <row r="2251" spans="1:15" x14ac:dyDescent="0.2">
      <c r="A2251" s="6">
        <v>45833</v>
      </c>
      <c r="B2251" t="s">
        <v>15</v>
      </c>
      <c r="C2251" t="s">
        <v>16</v>
      </c>
      <c r="D2251" s="1">
        <v>45855</v>
      </c>
      <c r="E2251" t="s">
        <v>17</v>
      </c>
      <c r="F2251">
        <v>4150</v>
      </c>
      <c r="J2251">
        <v>1488.8</v>
      </c>
      <c r="K2251">
        <v>1429.9</v>
      </c>
      <c r="L2251">
        <v>0</v>
      </c>
      <c r="M2251" t="s">
        <v>18</v>
      </c>
      <c r="N2251">
        <v>0</v>
      </c>
      <c r="O2251">
        <v>0</v>
      </c>
    </row>
    <row r="2252" spans="1:15" x14ac:dyDescent="0.2">
      <c r="A2252" s="6">
        <v>45833</v>
      </c>
      <c r="B2252" t="s">
        <v>15</v>
      </c>
      <c r="C2252" t="s">
        <v>16</v>
      </c>
      <c r="D2252" s="1">
        <v>45855</v>
      </c>
      <c r="E2252" t="s">
        <v>17</v>
      </c>
      <c r="F2252">
        <v>5450</v>
      </c>
      <c r="G2252">
        <v>314.8</v>
      </c>
      <c r="H2252">
        <v>353.5</v>
      </c>
      <c r="I2252">
        <v>283.2</v>
      </c>
      <c r="J2252">
        <v>314.5</v>
      </c>
      <c r="K2252">
        <v>297.8</v>
      </c>
      <c r="L2252">
        <v>3252</v>
      </c>
      <c r="M2252" t="s">
        <v>1054</v>
      </c>
      <c r="N2252">
        <v>18733.63</v>
      </c>
      <c r="O2252">
        <v>95</v>
      </c>
    </row>
    <row r="2253" spans="1:15" x14ac:dyDescent="0.2">
      <c r="A2253" s="6">
        <v>45833</v>
      </c>
      <c r="B2253" t="s">
        <v>15</v>
      </c>
      <c r="C2253" t="s">
        <v>16</v>
      </c>
      <c r="D2253" s="1">
        <v>45855</v>
      </c>
      <c r="E2253" t="s">
        <v>19</v>
      </c>
      <c r="F2253">
        <v>4500</v>
      </c>
      <c r="G2253">
        <v>26.2</v>
      </c>
      <c r="H2253">
        <v>27</v>
      </c>
      <c r="I2253">
        <v>18</v>
      </c>
      <c r="J2253">
        <v>20.5</v>
      </c>
      <c r="K2253">
        <v>27</v>
      </c>
      <c r="L2253">
        <v>3449</v>
      </c>
      <c r="M2253" t="s">
        <v>1055</v>
      </c>
      <c r="N2253">
        <v>15593.29</v>
      </c>
      <c r="O2253">
        <v>1095</v>
      </c>
    </row>
    <row r="2254" spans="1:15" x14ac:dyDescent="0.2">
      <c r="A2254" s="6">
        <v>45833</v>
      </c>
      <c r="B2254" t="s">
        <v>15</v>
      </c>
      <c r="C2254" t="s">
        <v>16</v>
      </c>
      <c r="D2254" s="1">
        <v>45855</v>
      </c>
      <c r="E2254" t="s">
        <v>17</v>
      </c>
      <c r="F2254">
        <v>6350</v>
      </c>
      <c r="G2254">
        <v>63.4</v>
      </c>
      <c r="H2254">
        <v>65.7</v>
      </c>
      <c r="I2254">
        <v>50.1</v>
      </c>
      <c r="J2254">
        <v>51.4</v>
      </c>
      <c r="K2254">
        <v>59.5</v>
      </c>
      <c r="L2254">
        <v>2359</v>
      </c>
      <c r="M2254" t="s">
        <v>1056</v>
      </c>
      <c r="N2254">
        <v>15116.11</v>
      </c>
      <c r="O2254">
        <v>1583</v>
      </c>
    </row>
    <row r="2255" spans="1:15" x14ac:dyDescent="0.2">
      <c r="A2255" s="6">
        <v>45833</v>
      </c>
      <c r="B2255" t="s">
        <v>15</v>
      </c>
      <c r="C2255" t="s">
        <v>16</v>
      </c>
      <c r="D2255" s="1">
        <v>45855</v>
      </c>
      <c r="E2255" t="s">
        <v>17</v>
      </c>
      <c r="F2255">
        <v>7000</v>
      </c>
      <c r="G2255">
        <v>32</v>
      </c>
      <c r="H2255">
        <v>34.299999999999997</v>
      </c>
      <c r="I2255">
        <v>26.1</v>
      </c>
      <c r="J2255">
        <v>27</v>
      </c>
      <c r="K2255">
        <v>32</v>
      </c>
      <c r="L2255">
        <v>5292</v>
      </c>
      <c r="M2255" t="s">
        <v>1057</v>
      </c>
      <c r="N2255">
        <v>37205.11</v>
      </c>
      <c r="O2255">
        <v>6240</v>
      </c>
    </row>
    <row r="2256" spans="1:15" x14ac:dyDescent="0.2">
      <c r="A2256" s="6">
        <v>45833</v>
      </c>
      <c r="B2256" t="s">
        <v>15</v>
      </c>
      <c r="C2256" t="s">
        <v>16</v>
      </c>
      <c r="D2256" s="1">
        <v>45855</v>
      </c>
      <c r="E2256" t="s">
        <v>19</v>
      </c>
      <c r="F2256">
        <v>6550</v>
      </c>
      <c r="G2256">
        <v>954.6</v>
      </c>
      <c r="H2256">
        <v>977</v>
      </c>
      <c r="I2256">
        <v>946.8</v>
      </c>
      <c r="J2256">
        <v>966.5</v>
      </c>
      <c r="K2256">
        <v>906.2</v>
      </c>
      <c r="L2256">
        <v>15</v>
      </c>
      <c r="M2256" t="s">
        <v>278</v>
      </c>
      <c r="N2256">
        <v>112.76</v>
      </c>
      <c r="O2256">
        <v>62</v>
      </c>
    </row>
    <row r="2257" spans="1:15" x14ac:dyDescent="0.2">
      <c r="A2257" s="6">
        <v>45833</v>
      </c>
      <c r="B2257" t="s">
        <v>15</v>
      </c>
      <c r="C2257" t="s">
        <v>16</v>
      </c>
      <c r="D2257" s="1">
        <v>45855</v>
      </c>
      <c r="E2257" t="s">
        <v>19</v>
      </c>
      <c r="F2257">
        <v>4650</v>
      </c>
      <c r="G2257">
        <v>25</v>
      </c>
      <c r="H2257">
        <v>25.1</v>
      </c>
      <c r="I2257">
        <v>21</v>
      </c>
      <c r="J2257">
        <v>23.7</v>
      </c>
      <c r="K2257">
        <v>22.9</v>
      </c>
      <c r="L2257">
        <v>3</v>
      </c>
      <c r="M2257" t="s">
        <v>34</v>
      </c>
      <c r="N2257">
        <v>14.02</v>
      </c>
      <c r="O2257">
        <v>3</v>
      </c>
    </row>
    <row r="2258" spans="1:15" x14ac:dyDescent="0.2">
      <c r="A2258" s="6">
        <v>45833</v>
      </c>
      <c r="B2258" t="s">
        <v>15</v>
      </c>
      <c r="C2258" t="s">
        <v>16</v>
      </c>
      <c r="D2258" s="1">
        <v>45855</v>
      </c>
      <c r="E2258" t="s">
        <v>17</v>
      </c>
      <c r="F2258">
        <v>4600</v>
      </c>
      <c r="J2258">
        <v>1051.5999999999999</v>
      </c>
      <c r="K2258">
        <v>998.2</v>
      </c>
      <c r="L2258">
        <v>0</v>
      </c>
      <c r="M2258" t="s">
        <v>18</v>
      </c>
      <c r="N2258">
        <v>0</v>
      </c>
      <c r="O2258">
        <v>0</v>
      </c>
    </row>
    <row r="2259" spans="1:15" x14ac:dyDescent="0.2">
      <c r="A2259" s="6">
        <v>45833</v>
      </c>
      <c r="B2259" t="s">
        <v>15</v>
      </c>
      <c r="C2259" t="s">
        <v>16</v>
      </c>
      <c r="D2259" s="1">
        <v>45855</v>
      </c>
      <c r="E2259" t="s">
        <v>19</v>
      </c>
      <c r="F2259">
        <v>5150</v>
      </c>
      <c r="G2259">
        <v>66.400000000000006</v>
      </c>
      <c r="H2259">
        <v>74.900000000000006</v>
      </c>
      <c r="I2259">
        <v>45.9</v>
      </c>
      <c r="J2259">
        <v>53.3</v>
      </c>
      <c r="K2259">
        <v>79.2</v>
      </c>
      <c r="L2259">
        <v>2992</v>
      </c>
      <c r="M2259" t="s">
        <v>1058</v>
      </c>
      <c r="N2259">
        <v>15593.32</v>
      </c>
      <c r="O2259">
        <v>506</v>
      </c>
    </row>
    <row r="2260" spans="1:15" x14ac:dyDescent="0.2">
      <c r="A2260" s="6">
        <v>45833</v>
      </c>
      <c r="B2260" t="s">
        <v>15</v>
      </c>
      <c r="C2260" t="s">
        <v>16</v>
      </c>
      <c r="D2260" s="1">
        <v>45855</v>
      </c>
      <c r="E2260" t="s">
        <v>19</v>
      </c>
      <c r="F2260">
        <v>6850</v>
      </c>
      <c r="J2260">
        <v>1221.0999999999999</v>
      </c>
      <c r="K2260">
        <v>1281.2</v>
      </c>
      <c r="L2260">
        <v>0</v>
      </c>
      <c r="M2260" t="s">
        <v>18</v>
      </c>
      <c r="N2260">
        <v>0</v>
      </c>
      <c r="O2260">
        <v>18</v>
      </c>
    </row>
    <row r="2261" spans="1:15" x14ac:dyDescent="0.2">
      <c r="A2261" s="6">
        <v>45833</v>
      </c>
      <c r="B2261" t="s">
        <v>15</v>
      </c>
      <c r="C2261" t="s">
        <v>16</v>
      </c>
      <c r="D2261" s="1">
        <v>45855</v>
      </c>
      <c r="E2261" t="s">
        <v>17</v>
      </c>
      <c r="F2261">
        <v>6250</v>
      </c>
      <c r="G2261">
        <v>64.900000000000006</v>
      </c>
      <c r="H2261">
        <v>74.400000000000006</v>
      </c>
      <c r="I2261">
        <v>57.8</v>
      </c>
      <c r="J2261">
        <v>60.1</v>
      </c>
      <c r="K2261">
        <v>66.5</v>
      </c>
      <c r="L2261">
        <v>2634</v>
      </c>
      <c r="M2261" t="s">
        <v>1059</v>
      </c>
      <c r="N2261">
        <v>16636.580000000002</v>
      </c>
      <c r="O2261">
        <v>1056</v>
      </c>
    </row>
    <row r="2262" spans="1:15" x14ac:dyDescent="0.2">
      <c r="A2262" s="6">
        <v>45833</v>
      </c>
      <c r="B2262" t="s">
        <v>15</v>
      </c>
      <c r="C2262" t="s">
        <v>16</v>
      </c>
      <c r="D2262" s="1">
        <v>45855</v>
      </c>
      <c r="E2262" t="s">
        <v>17</v>
      </c>
      <c r="F2262">
        <v>5050</v>
      </c>
      <c r="J2262">
        <v>655.6</v>
      </c>
      <c r="K2262">
        <v>615.9</v>
      </c>
      <c r="L2262">
        <v>0</v>
      </c>
      <c r="M2262" t="s">
        <v>18</v>
      </c>
      <c r="N2262">
        <v>0</v>
      </c>
      <c r="O2262">
        <v>0</v>
      </c>
    </row>
    <row r="2263" spans="1:15" x14ac:dyDescent="0.2">
      <c r="A2263" s="6">
        <v>45833</v>
      </c>
      <c r="B2263" t="s">
        <v>15</v>
      </c>
      <c r="C2263" t="s">
        <v>16</v>
      </c>
      <c r="D2263" s="1">
        <v>45855</v>
      </c>
      <c r="E2263" t="s">
        <v>19</v>
      </c>
      <c r="F2263">
        <v>7500</v>
      </c>
      <c r="J2263">
        <v>1853.1</v>
      </c>
      <c r="K2263">
        <v>1912.9</v>
      </c>
      <c r="L2263">
        <v>0</v>
      </c>
      <c r="M2263" t="s">
        <v>18</v>
      </c>
      <c r="N2263">
        <v>0</v>
      </c>
      <c r="O2263">
        <v>0</v>
      </c>
    </row>
    <row r="2264" spans="1:15" x14ac:dyDescent="0.2">
      <c r="A2264" s="6">
        <v>45833</v>
      </c>
      <c r="B2264" t="s">
        <v>15</v>
      </c>
      <c r="C2264" t="s">
        <v>16</v>
      </c>
      <c r="D2264" s="1">
        <v>45855</v>
      </c>
      <c r="E2264" t="s">
        <v>17</v>
      </c>
      <c r="F2264">
        <v>6200</v>
      </c>
      <c r="G2264">
        <v>75.5</v>
      </c>
      <c r="H2264">
        <v>80.400000000000006</v>
      </c>
      <c r="I2264">
        <v>60.9</v>
      </c>
      <c r="J2264">
        <v>65.3</v>
      </c>
      <c r="K2264">
        <v>71.8</v>
      </c>
      <c r="L2264">
        <v>19908</v>
      </c>
      <c r="M2264" t="s">
        <v>1060</v>
      </c>
      <c r="N2264">
        <v>124815.07</v>
      </c>
      <c r="O2264">
        <v>3781</v>
      </c>
    </row>
    <row r="2265" spans="1:15" x14ac:dyDescent="0.2">
      <c r="A2265" s="6">
        <v>45833</v>
      </c>
      <c r="B2265" t="s">
        <v>15</v>
      </c>
      <c r="C2265" t="s">
        <v>16</v>
      </c>
      <c r="D2265" s="1">
        <v>45855</v>
      </c>
      <c r="E2265" t="s">
        <v>17</v>
      </c>
      <c r="F2265">
        <v>5900</v>
      </c>
      <c r="G2265">
        <v>133.1</v>
      </c>
      <c r="H2265">
        <v>138.5</v>
      </c>
      <c r="I2265">
        <v>105.1</v>
      </c>
      <c r="J2265">
        <v>115.6</v>
      </c>
      <c r="K2265">
        <v>121.6</v>
      </c>
      <c r="L2265">
        <v>36264</v>
      </c>
      <c r="M2265" t="s">
        <v>1061</v>
      </c>
      <c r="N2265">
        <v>218343.43</v>
      </c>
      <c r="O2265">
        <v>3517</v>
      </c>
    </row>
    <row r="2266" spans="1:15" x14ac:dyDescent="0.2">
      <c r="A2266" s="6">
        <v>45833</v>
      </c>
      <c r="B2266" t="s">
        <v>15</v>
      </c>
      <c r="C2266" t="s">
        <v>16</v>
      </c>
      <c r="D2266" s="1">
        <v>45855</v>
      </c>
      <c r="E2266" t="s">
        <v>17</v>
      </c>
      <c r="F2266">
        <v>6950</v>
      </c>
      <c r="G2266">
        <v>34.4</v>
      </c>
      <c r="H2266">
        <v>34.9</v>
      </c>
      <c r="I2266">
        <v>26.1</v>
      </c>
      <c r="J2266">
        <v>27.7</v>
      </c>
      <c r="K2266">
        <v>32.799999999999997</v>
      </c>
      <c r="L2266">
        <v>237</v>
      </c>
      <c r="M2266" t="s">
        <v>347</v>
      </c>
      <c r="N2266">
        <v>1654.55</v>
      </c>
      <c r="O2266">
        <v>335</v>
      </c>
    </row>
    <row r="2267" spans="1:15" x14ac:dyDescent="0.2">
      <c r="A2267" s="6">
        <v>45833</v>
      </c>
      <c r="B2267" t="s">
        <v>15</v>
      </c>
      <c r="C2267" t="s">
        <v>16</v>
      </c>
      <c r="D2267" s="1">
        <v>45855</v>
      </c>
      <c r="E2267" t="s">
        <v>19</v>
      </c>
      <c r="F2267">
        <v>3900</v>
      </c>
      <c r="J2267">
        <v>0.2</v>
      </c>
      <c r="K2267">
        <v>0.5</v>
      </c>
      <c r="L2267">
        <v>0</v>
      </c>
      <c r="M2267" t="s">
        <v>18</v>
      </c>
      <c r="N2267">
        <v>0</v>
      </c>
      <c r="O2267">
        <v>0</v>
      </c>
    </row>
    <row r="2268" spans="1:15" x14ac:dyDescent="0.2">
      <c r="A2268" s="6">
        <v>45833</v>
      </c>
      <c r="B2268" t="s">
        <v>15</v>
      </c>
      <c r="C2268" t="s">
        <v>16</v>
      </c>
      <c r="D2268" s="1">
        <v>45855</v>
      </c>
      <c r="E2268" t="s">
        <v>19</v>
      </c>
      <c r="F2268">
        <v>7250</v>
      </c>
      <c r="J2268">
        <v>1607.1</v>
      </c>
      <c r="K2268">
        <v>1667.1</v>
      </c>
      <c r="L2268">
        <v>0</v>
      </c>
      <c r="M2268" t="s">
        <v>18</v>
      </c>
      <c r="N2268">
        <v>0</v>
      </c>
      <c r="O2268">
        <v>0</v>
      </c>
    </row>
    <row r="2269" spans="1:15" x14ac:dyDescent="0.2">
      <c r="A2269" s="6">
        <v>45833</v>
      </c>
      <c r="B2269" t="s">
        <v>15</v>
      </c>
      <c r="C2269" t="s">
        <v>16</v>
      </c>
      <c r="D2269" s="1">
        <v>45855</v>
      </c>
      <c r="E2269" t="s">
        <v>19</v>
      </c>
      <c r="F2269">
        <v>5200</v>
      </c>
      <c r="G2269">
        <v>75.7</v>
      </c>
      <c r="H2269">
        <v>83.8</v>
      </c>
      <c r="I2269">
        <v>52.7</v>
      </c>
      <c r="J2269">
        <v>60.3</v>
      </c>
      <c r="K2269">
        <v>88</v>
      </c>
      <c r="L2269">
        <v>26209</v>
      </c>
      <c r="M2269" t="s">
        <v>1062</v>
      </c>
      <c r="N2269">
        <v>138123.74</v>
      </c>
      <c r="O2269">
        <v>3241</v>
      </c>
    </row>
    <row r="2270" spans="1:15" x14ac:dyDescent="0.2">
      <c r="A2270" s="6">
        <v>45833</v>
      </c>
      <c r="B2270" t="s">
        <v>15</v>
      </c>
      <c r="C2270" t="s">
        <v>16</v>
      </c>
      <c r="D2270" s="1">
        <v>45855</v>
      </c>
      <c r="E2270" t="s">
        <v>19</v>
      </c>
      <c r="F2270">
        <v>6250</v>
      </c>
      <c r="G2270">
        <v>695</v>
      </c>
      <c r="H2270">
        <v>714.4</v>
      </c>
      <c r="I2270">
        <v>622.5</v>
      </c>
      <c r="J2270">
        <v>671.7</v>
      </c>
      <c r="K2270">
        <v>721.1</v>
      </c>
      <c r="L2270">
        <v>67</v>
      </c>
      <c r="M2270" t="s">
        <v>41</v>
      </c>
      <c r="N2270">
        <v>465.08</v>
      </c>
      <c r="O2270">
        <v>62</v>
      </c>
    </row>
    <row r="2271" spans="1:15" x14ac:dyDescent="0.2">
      <c r="A2271" s="6">
        <v>45833</v>
      </c>
      <c r="B2271" t="s">
        <v>15</v>
      </c>
      <c r="C2271" t="s">
        <v>16</v>
      </c>
      <c r="D2271" s="1">
        <v>45855</v>
      </c>
      <c r="E2271" t="s">
        <v>17</v>
      </c>
      <c r="F2271">
        <v>7550</v>
      </c>
      <c r="G2271">
        <v>24.1</v>
      </c>
      <c r="H2271">
        <v>27.4</v>
      </c>
      <c r="I2271">
        <v>18</v>
      </c>
      <c r="J2271">
        <v>19.100000000000001</v>
      </c>
      <c r="K2271">
        <v>24.1</v>
      </c>
      <c r="L2271">
        <v>223</v>
      </c>
      <c r="M2271" t="s">
        <v>1063</v>
      </c>
      <c r="N2271">
        <v>1688.75</v>
      </c>
      <c r="O2271">
        <v>286</v>
      </c>
    </row>
    <row r="2272" spans="1:15" x14ac:dyDescent="0.2">
      <c r="A2272" s="6">
        <v>45833</v>
      </c>
      <c r="B2272" t="s">
        <v>15</v>
      </c>
      <c r="C2272" t="s">
        <v>16</v>
      </c>
      <c r="D2272" s="1">
        <v>45855</v>
      </c>
      <c r="E2272" t="s">
        <v>19</v>
      </c>
      <c r="F2272">
        <v>7450</v>
      </c>
      <c r="J2272">
        <v>1803.7</v>
      </c>
      <c r="K2272">
        <v>1863.6</v>
      </c>
      <c r="L2272">
        <v>0</v>
      </c>
      <c r="M2272" t="s">
        <v>18</v>
      </c>
      <c r="N2272">
        <v>0</v>
      </c>
      <c r="O2272">
        <v>0</v>
      </c>
    </row>
    <row r="2273" spans="1:15" x14ac:dyDescent="0.2">
      <c r="A2273" s="6">
        <v>45833</v>
      </c>
      <c r="B2273" t="s">
        <v>15</v>
      </c>
      <c r="C2273" t="s">
        <v>16</v>
      </c>
      <c r="D2273" s="1">
        <v>45855</v>
      </c>
      <c r="E2273" t="s">
        <v>17</v>
      </c>
      <c r="F2273">
        <v>3950</v>
      </c>
      <c r="J2273">
        <v>1687.2</v>
      </c>
      <c r="K2273">
        <v>1627.5</v>
      </c>
      <c r="L2273">
        <v>0</v>
      </c>
      <c r="M2273" t="s">
        <v>18</v>
      </c>
      <c r="N2273">
        <v>0</v>
      </c>
      <c r="O2273">
        <v>0</v>
      </c>
    </row>
    <row r="2274" spans="1:15" x14ac:dyDescent="0.2">
      <c r="A2274" s="6">
        <v>45833</v>
      </c>
      <c r="B2274" t="s">
        <v>15</v>
      </c>
      <c r="C2274" t="s">
        <v>16</v>
      </c>
      <c r="D2274" s="1">
        <v>45855</v>
      </c>
      <c r="E2274" t="s">
        <v>19</v>
      </c>
      <c r="F2274">
        <v>5650</v>
      </c>
      <c r="G2274">
        <v>255.2</v>
      </c>
      <c r="H2274">
        <v>262.10000000000002</v>
      </c>
      <c r="I2274">
        <v>195.2</v>
      </c>
      <c r="J2274">
        <v>211.6</v>
      </c>
      <c r="K2274">
        <v>265.3</v>
      </c>
      <c r="L2274">
        <v>25093</v>
      </c>
      <c r="M2274" t="s">
        <v>1064</v>
      </c>
      <c r="N2274">
        <v>147457.19</v>
      </c>
      <c r="O2274">
        <v>1835</v>
      </c>
    </row>
    <row r="2275" spans="1:15" x14ac:dyDescent="0.2">
      <c r="A2275" s="6">
        <v>45833</v>
      </c>
      <c r="B2275" t="s">
        <v>15</v>
      </c>
      <c r="C2275" t="s">
        <v>16</v>
      </c>
      <c r="D2275" s="1">
        <v>45855</v>
      </c>
      <c r="E2275" t="s">
        <v>19</v>
      </c>
      <c r="F2275">
        <v>5600</v>
      </c>
      <c r="G2275">
        <v>220.8</v>
      </c>
      <c r="H2275">
        <v>234.5</v>
      </c>
      <c r="I2275">
        <v>171.4</v>
      </c>
      <c r="J2275">
        <v>188</v>
      </c>
      <c r="K2275">
        <v>238.5</v>
      </c>
      <c r="L2275">
        <v>116850</v>
      </c>
      <c r="M2275" t="s">
        <v>1065</v>
      </c>
      <c r="N2275">
        <v>678322.79</v>
      </c>
      <c r="O2275">
        <v>5374</v>
      </c>
    </row>
    <row r="2276" spans="1:15" x14ac:dyDescent="0.2">
      <c r="A2276" s="6">
        <v>45833</v>
      </c>
      <c r="B2276" t="s">
        <v>15</v>
      </c>
      <c r="C2276" t="s">
        <v>16</v>
      </c>
      <c r="D2276" s="1">
        <v>45855</v>
      </c>
      <c r="E2276" t="s">
        <v>19</v>
      </c>
      <c r="F2276">
        <v>6350</v>
      </c>
      <c r="G2276">
        <v>777.6</v>
      </c>
      <c r="H2276">
        <v>810</v>
      </c>
      <c r="I2276">
        <v>777.5</v>
      </c>
      <c r="J2276">
        <v>786.1</v>
      </c>
      <c r="K2276">
        <v>834.4</v>
      </c>
      <c r="L2276">
        <v>6</v>
      </c>
      <c r="M2276" t="s">
        <v>132</v>
      </c>
      <c r="N2276">
        <v>42.82</v>
      </c>
      <c r="O2276">
        <v>84</v>
      </c>
    </row>
    <row r="2277" spans="1:15" x14ac:dyDescent="0.2">
      <c r="A2277" s="6">
        <v>45833</v>
      </c>
      <c r="B2277" t="s">
        <v>15</v>
      </c>
      <c r="C2277" t="s">
        <v>16</v>
      </c>
      <c r="D2277" s="1">
        <v>45855</v>
      </c>
      <c r="E2277" t="s">
        <v>19</v>
      </c>
      <c r="F2277">
        <v>4850</v>
      </c>
      <c r="G2277">
        <v>30.1</v>
      </c>
      <c r="H2277">
        <v>40.6</v>
      </c>
      <c r="I2277">
        <v>25.5</v>
      </c>
      <c r="J2277">
        <v>28.5</v>
      </c>
      <c r="K2277">
        <v>45.3</v>
      </c>
      <c r="L2277">
        <v>917</v>
      </c>
      <c r="M2277" t="s">
        <v>1066</v>
      </c>
      <c r="N2277">
        <v>4479.6899999999996</v>
      </c>
      <c r="O2277">
        <v>161</v>
      </c>
    </row>
    <row r="2278" spans="1:15" x14ac:dyDescent="0.2">
      <c r="A2278" s="6">
        <v>45833</v>
      </c>
      <c r="B2278" t="s">
        <v>15</v>
      </c>
      <c r="C2278" t="s">
        <v>16</v>
      </c>
      <c r="D2278" s="1">
        <v>45855</v>
      </c>
      <c r="E2278" t="s">
        <v>19</v>
      </c>
      <c r="F2278">
        <v>4000</v>
      </c>
      <c r="G2278">
        <v>13</v>
      </c>
      <c r="H2278">
        <v>16.100000000000001</v>
      </c>
      <c r="I2278">
        <v>11.7</v>
      </c>
      <c r="J2278">
        <v>13.6</v>
      </c>
      <c r="K2278">
        <v>17.100000000000001</v>
      </c>
      <c r="L2278">
        <v>2037</v>
      </c>
      <c r="M2278" t="s">
        <v>1067</v>
      </c>
      <c r="N2278">
        <v>8177.19</v>
      </c>
      <c r="O2278">
        <v>455</v>
      </c>
    </row>
    <row r="2279" spans="1:15" x14ac:dyDescent="0.2">
      <c r="A2279" s="6">
        <v>45833</v>
      </c>
      <c r="B2279" t="s">
        <v>15</v>
      </c>
      <c r="C2279" t="s">
        <v>16</v>
      </c>
      <c r="D2279" s="1">
        <v>45855</v>
      </c>
      <c r="E2279" t="s">
        <v>17</v>
      </c>
      <c r="F2279">
        <v>5350</v>
      </c>
      <c r="G2279">
        <v>364</v>
      </c>
      <c r="H2279">
        <v>423.1</v>
      </c>
      <c r="I2279">
        <v>347.5</v>
      </c>
      <c r="J2279">
        <v>381.9</v>
      </c>
      <c r="K2279">
        <v>362.7</v>
      </c>
      <c r="L2279">
        <v>406</v>
      </c>
      <c r="M2279" t="s">
        <v>1068</v>
      </c>
      <c r="N2279">
        <v>2326</v>
      </c>
      <c r="O2279">
        <v>41</v>
      </c>
    </row>
    <row r="2280" spans="1:15" x14ac:dyDescent="0.2">
      <c r="A2280" s="6">
        <v>45833</v>
      </c>
      <c r="B2280" t="s">
        <v>15</v>
      </c>
      <c r="C2280" t="s">
        <v>16</v>
      </c>
      <c r="D2280" s="1">
        <v>45855</v>
      </c>
      <c r="E2280" t="s">
        <v>17</v>
      </c>
      <c r="F2280">
        <v>6100</v>
      </c>
      <c r="G2280">
        <v>86.5</v>
      </c>
      <c r="H2280">
        <v>95.3</v>
      </c>
      <c r="I2280">
        <v>71.8</v>
      </c>
      <c r="J2280">
        <v>77.7</v>
      </c>
      <c r="K2280">
        <v>84</v>
      </c>
      <c r="L2280">
        <v>22165</v>
      </c>
      <c r="M2280" t="s">
        <v>1069</v>
      </c>
      <c r="N2280">
        <v>137044.97</v>
      </c>
      <c r="O2280">
        <v>2380</v>
      </c>
    </row>
    <row r="2281" spans="1:15" x14ac:dyDescent="0.2">
      <c r="A2281" s="6">
        <v>45833</v>
      </c>
      <c r="B2281" t="s">
        <v>15</v>
      </c>
      <c r="C2281" t="s">
        <v>16</v>
      </c>
      <c r="D2281" s="1">
        <v>45855</v>
      </c>
      <c r="E2281" t="s">
        <v>19</v>
      </c>
      <c r="F2281">
        <v>7100</v>
      </c>
      <c r="J2281">
        <v>1460.9</v>
      </c>
      <c r="K2281">
        <v>1521</v>
      </c>
      <c r="L2281">
        <v>0</v>
      </c>
      <c r="M2281" t="s">
        <v>18</v>
      </c>
      <c r="N2281">
        <v>0</v>
      </c>
      <c r="O2281">
        <v>0</v>
      </c>
    </row>
    <row r="2282" spans="1:15" x14ac:dyDescent="0.2">
      <c r="A2282" s="6">
        <v>45833</v>
      </c>
      <c r="B2282" t="s">
        <v>15</v>
      </c>
      <c r="C2282" t="s">
        <v>16</v>
      </c>
      <c r="D2282" s="1">
        <v>45855</v>
      </c>
      <c r="E2282" t="s">
        <v>17</v>
      </c>
      <c r="F2282">
        <v>7200</v>
      </c>
      <c r="G2282">
        <v>29.4</v>
      </c>
      <c r="H2282">
        <v>31.6</v>
      </c>
      <c r="I2282">
        <v>22.4</v>
      </c>
      <c r="J2282">
        <v>23.2</v>
      </c>
      <c r="K2282">
        <v>29.4</v>
      </c>
      <c r="L2282">
        <v>1157</v>
      </c>
      <c r="M2282" t="s">
        <v>1070</v>
      </c>
      <c r="N2282">
        <v>8361.59</v>
      </c>
      <c r="O2282">
        <v>1098</v>
      </c>
    </row>
    <row r="2283" spans="1:15" x14ac:dyDescent="0.2">
      <c r="A2283" s="6">
        <v>45833</v>
      </c>
      <c r="B2283" t="s">
        <v>15</v>
      </c>
      <c r="C2283" t="s">
        <v>16</v>
      </c>
      <c r="D2283" s="1">
        <v>45855</v>
      </c>
      <c r="E2283" t="s">
        <v>17</v>
      </c>
      <c r="F2283">
        <v>3650</v>
      </c>
      <c r="J2283">
        <v>1985.9</v>
      </c>
      <c r="K2283">
        <v>1925.8</v>
      </c>
      <c r="L2283">
        <v>0</v>
      </c>
      <c r="M2283" t="s">
        <v>18</v>
      </c>
      <c r="N2283">
        <v>0</v>
      </c>
      <c r="O2283">
        <v>0</v>
      </c>
    </row>
    <row r="2284" spans="1:15" x14ac:dyDescent="0.2">
      <c r="A2284" s="6">
        <v>45833</v>
      </c>
      <c r="B2284" t="s">
        <v>15</v>
      </c>
      <c r="C2284" t="s">
        <v>16</v>
      </c>
      <c r="D2284" s="1">
        <v>45855</v>
      </c>
      <c r="E2284" t="s">
        <v>19</v>
      </c>
      <c r="F2284">
        <v>6900</v>
      </c>
      <c r="J2284">
        <v>1268.5</v>
      </c>
      <c r="K2284">
        <v>1292.9000000000001</v>
      </c>
      <c r="L2284">
        <v>0</v>
      </c>
      <c r="M2284" t="s">
        <v>18</v>
      </c>
      <c r="N2284">
        <v>0</v>
      </c>
      <c r="O2284">
        <v>41</v>
      </c>
    </row>
    <row r="2285" spans="1:15" x14ac:dyDescent="0.2">
      <c r="A2285" s="6">
        <v>45833</v>
      </c>
      <c r="B2285" t="s">
        <v>15</v>
      </c>
      <c r="C2285" t="s">
        <v>16</v>
      </c>
      <c r="D2285" s="1">
        <v>45855</v>
      </c>
      <c r="E2285" t="s">
        <v>19</v>
      </c>
      <c r="F2285">
        <v>3650</v>
      </c>
      <c r="J2285">
        <v>0.1</v>
      </c>
      <c r="K2285">
        <v>0.1</v>
      </c>
      <c r="L2285">
        <v>0</v>
      </c>
      <c r="M2285" t="s">
        <v>18</v>
      </c>
      <c r="N2285">
        <v>0</v>
      </c>
      <c r="O2285">
        <v>0</v>
      </c>
    </row>
    <row r="2286" spans="1:15" x14ac:dyDescent="0.2">
      <c r="A2286" s="6">
        <v>45833</v>
      </c>
      <c r="B2286" t="s">
        <v>15</v>
      </c>
      <c r="C2286" t="s">
        <v>16</v>
      </c>
      <c r="D2286" s="1">
        <v>45855</v>
      </c>
      <c r="E2286" t="s">
        <v>19</v>
      </c>
      <c r="F2286">
        <v>5800</v>
      </c>
      <c r="G2286">
        <v>325.7</v>
      </c>
      <c r="H2286">
        <v>361.2</v>
      </c>
      <c r="I2286">
        <v>280</v>
      </c>
      <c r="J2286">
        <v>302.7</v>
      </c>
      <c r="K2286">
        <v>364.6</v>
      </c>
      <c r="L2286">
        <v>10804</v>
      </c>
      <c r="M2286" t="s">
        <v>1071</v>
      </c>
      <c r="N2286">
        <v>66108.38</v>
      </c>
      <c r="O2286">
        <v>2494</v>
      </c>
    </row>
    <row r="2287" spans="1:15" x14ac:dyDescent="0.2">
      <c r="A2287" s="6">
        <v>45833</v>
      </c>
      <c r="B2287" t="s">
        <v>15</v>
      </c>
      <c r="C2287" t="s">
        <v>16</v>
      </c>
      <c r="D2287" s="1">
        <v>45855</v>
      </c>
      <c r="E2287" t="s">
        <v>19</v>
      </c>
      <c r="F2287">
        <v>6700</v>
      </c>
      <c r="G2287">
        <v>1102</v>
      </c>
      <c r="H2287">
        <v>1123.7</v>
      </c>
      <c r="I2287">
        <v>1050</v>
      </c>
      <c r="J2287">
        <v>1056.2</v>
      </c>
      <c r="K2287">
        <v>1111.9000000000001</v>
      </c>
      <c r="L2287">
        <v>25</v>
      </c>
      <c r="M2287" t="s">
        <v>465</v>
      </c>
      <c r="N2287">
        <v>193.9</v>
      </c>
      <c r="O2287">
        <v>282</v>
      </c>
    </row>
    <row r="2288" spans="1:15" x14ac:dyDescent="0.2">
      <c r="A2288" s="6">
        <v>45833</v>
      </c>
      <c r="B2288" t="s">
        <v>15</v>
      </c>
      <c r="C2288" t="s">
        <v>16</v>
      </c>
      <c r="D2288" s="1">
        <v>45855</v>
      </c>
      <c r="E2288" t="s">
        <v>19</v>
      </c>
      <c r="F2288">
        <v>7400</v>
      </c>
      <c r="J2288">
        <v>1754.4</v>
      </c>
      <c r="K2288">
        <v>1814.3</v>
      </c>
      <c r="L2288">
        <v>0</v>
      </c>
      <c r="M2288" t="s">
        <v>18</v>
      </c>
      <c r="N2288">
        <v>0</v>
      </c>
      <c r="O2288">
        <v>0</v>
      </c>
    </row>
    <row r="2289" spans="1:15" x14ac:dyDescent="0.2">
      <c r="A2289" s="6">
        <v>45833</v>
      </c>
      <c r="B2289" t="s">
        <v>15</v>
      </c>
      <c r="C2289" t="s">
        <v>16</v>
      </c>
      <c r="D2289" s="1">
        <v>45855</v>
      </c>
      <c r="E2289" t="s">
        <v>17</v>
      </c>
      <c r="F2289">
        <v>3600</v>
      </c>
      <c r="J2289">
        <v>2035.7</v>
      </c>
      <c r="K2289">
        <v>1975.6</v>
      </c>
      <c r="L2289">
        <v>0</v>
      </c>
      <c r="M2289" t="s">
        <v>18</v>
      </c>
      <c r="N2289">
        <v>0</v>
      </c>
      <c r="O2289">
        <v>0</v>
      </c>
    </row>
    <row r="2290" spans="1:15" x14ac:dyDescent="0.2">
      <c r="A2290" s="6">
        <v>45833</v>
      </c>
      <c r="B2290" t="s">
        <v>15</v>
      </c>
      <c r="C2290" t="s">
        <v>16</v>
      </c>
      <c r="D2290" s="1">
        <v>45855</v>
      </c>
      <c r="E2290" t="s">
        <v>19</v>
      </c>
      <c r="F2290">
        <v>7550</v>
      </c>
      <c r="J2290">
        <v>1902.5</v>
      </c>
      <c r="K2290">
        <v>1962.3</v>
      </c>
      <c r="L2290">
        <v>0</v>
      </c>
      <c r="M2290" t="s">
        <v>18</v>
      </c>
      <c r="N2290">
        <v>0</v>
      </c>
      <c r="O2290">
        <v>0</v>
      </c>
    </row>
    <row r="2291" spans="1:15" x14ac:dyDescent="0.2">
      <c r="A2291" s="6">
        <v>45833</v>
      </c>
      <c r="B2291" t="s">
        <v>15</v>
      </c>
      <c r="C2291" t="s">
        <v>16</v>
      </c>
      <c r="D2291" s="1">
        <v>45855</v>
      </c>
      <c r="E2291" t="s">
        <v>19</v>
      </c>
      <c r="F2291">
        <v>6000</v>
      </c>
      <c r="G2291">
        <v>462.7</v>
      </c>
      <c r="H2291">
        <v>516</v>
      </c>
      <c r="I2291">
        <v>419.1</v>
      </c>
      <c r="J2291">
        <v>448.5</v>
      </c>
      <c r="K2291">
        <v>511.2</v>
      </c>
      <c r="L2291">
        <v>2396</v>
      </c>
      <c r="M2291" t="s">
        <v>1072</v>
      </c>
      <c r="N2291">
        <v>15495.01</v>
      </c>
      <c r="O2291">
        <v>2689</v>
      </c>
    </row>
    <row r="2292" spans="1:15" x14ac:dyDescent="0.2">
      <c r="A2292" s="6">
        <v>45833</v>
      </c>
      <c r="B2292" t="s">
        <v>15</v>
      </c>
      <c r="C2292" t="s">
        <v>16</v>
      </c>
      <c r="D2292" s="1">
        <v>45855</v>
      </c>
      <c r="E2292" t="s">
        <v>17</v>
      </c>
      <c r="F2292">
        <v>3800</v>
      </c>
      <c r="J2292">
        <v>1836.5</v>
      </c>
      <c r="K2292">
        <v>1776.5</v>
      </c>
      <c r="L2292">
        <v>0</v>
      </c>
      <c r="M2292" t="s">
        <v>18</v>
      </c>
      <c r="N2292">
        <v>0</v>
      </c>
      <c r="O2292">
        <v>0</v>
      </c>
    </row>
    <row r="2293" spans="1:15" x14ac:dyDescent="0.2">
      <c r="A2293" s="6">
        <v>45833</v>
      </c>
      <c r="B2293" t="s">
        <v>15</v>
      </c>
      <c r="C2293" t="s">
        <v>16</v>
      </c>
      <c r="D2293" s="1">
        <v>45855</v>
      </c>
      <c r="E2293" t="s">
        <v>19</v>
      </c>
      <c r="F2293">
        <v>4750</v>
      </c>
      <c r="G2293">
        <v>29.4</v>
      </c>
      <c r="H2293">
        <v>33.6</v>
      </c>
      <c r="I2293">
        <v>13.6</v>
      </c>
      <c r="J2293">
        <v>21.4</v>
      </c>
      <c r="K2293">
        <v>33.1</v>
      </c>
      <c r="L2293">
        <v>37</v>
      </c>
      <c r="M2293" t="s">
        <v>32</v>
      </c>
      <c r="N2293">
        <v>176.73</v>
      </c>
      <c r="O2293">
        <v>13</v>
      </c>
    </row>
    <row r="2294" spans="1:15" x14ac:dyDescent="0.2">
      <c r="A2294" s="6">
        <v>45833</v>
      </c>
      <c r="B2294" t="s">
        <v>15</v>
      </c>
      <c r="C2294" t="s">
        <v>16</v>
      </c>
      <c r="D2294" s="1">
        <v>45855</v>
      </c>
      <c r="E2294" t="s">
        <v>17</v>
      </c>
      <c r="F2294">
        <v>7600</v>
      </c>
      <c r="G2294">
        <v>26</v>
      </c>
      <c r="H2294">
        <v>26.8</v>
      </c>
      <c r="I2294">
        <v>15.1</v>
      </c>
      <c r="J2294">
        <v>16.8</v>
      </c>
      <c r="K2294">
        <v>24.6</v>
      </c>
      <c r="L2294">
        <v>1195</v>
      </c>
      <c r="M2294" t="s">
        <v>1073</v>
      </c>
      <c r="N2294">
        <v>9108.9</v>
      </c>
      <c r="O2294">
        <v>1297</v>
      </c>
    </row>
    <row r="2295" spans="1:15" x14ac:dyDescent="0.2">
      <c r="A2295" s="6">
        <v>45833</v>
      </c>
      <c r="B2295" t="s">
        <v>15</v>
      </c>
      <c r="C2295" t="s">
        <v>16</v>
      </c>
      <c r="D2295" s="1">
        <v>45855</v>
      </c>
      <c r="E2295" t="s">
        <v>19</v>
      </c>
      <c r="F2295">
        <v>4300</v>
      </c>
      <c r="J2295">
        <v>2.8</v>
      </c>
      <c r="K2295">
        <v>5</v>
      </c>
      <c r="L2295">
        <v>0</v>
      </c>
      <c r="M2295" t="s">
        <v>18</v>
      </c>
      <c r="N2295">
        <v>0</v>
      </c>
      <c r="O2295">
        <v>0</v>
      </c>
    </row>
    <row r="2296" spans="1:15" x14ac:dyDescent="0.2">
      <c r="A2296" s="6">
        <v>45833</v>
      </c>
      <c r="B2296" t="s">
        <v>15</v>
      </c>
      <c r="C2296" t="s">
        <v>16</v>
      </c>
      <c r="D2296" s="1">
        <v>45855</v>
      </c>
      <c r="E2296" t="s">
        <v>19</v>
      </c>
      <c r="F2296">
        <v>6200</v>
      </c>
      <c r="G2296">
        <v>644.9</v>
      </c>
      <c r="H2296">
        <v>704</v>
      </c>
      <c r="I2296">
        <v>582.1</v>
      </c>
      <c r="J2296">
        <v>616.9</v>
      </c>
      <c r="K2296">
        <v>688.1</v>
      </c>
      <c r="L2296">
        <v>333</v>
      </c>
      <c r="M2296" t="s">
        <v>1074</v>
      </c>
      <c r="N2296">
        <v>2273.11</v>
      </c>
      <c r="O2296">
        <v>833</v>
      </c>
    </row>
    <row r="2297" spans="1:15" x14ac:dyDescent="0.2">
      <c r="A2297" s="6">
        <v>45833</v>
      </c>
      <c r="B2297" t="s">
        <v>15</v>
      </c>
      <c r="C2297" t="s">
        <v>16</v>
      </c>
      <c r="D2297" s="1">
        <v>45855</v>
      </c>
      <c r="E2297" t="s">
        <v>19</v>
      </c>
      <c r="F2297">
        <v>3950</v>
      </c>
      <c r="J2297">
        <v>0.3</v>
      </c>
      <c r="K2297">
        <v>0.7</v>
      </c>
      <c r="L2297">
        <v>0</v>
      </c>
      <c r="M2297" t="s">
        <v>18</v>
      </c>
      <c r="N2297">
        <v>0</v>
      </c>
      <c r="O2297">
        <v>0</v>
      </c>
    </row>
    <row r="2298" spans="1:15" x14ac:dyDescent="0.2">
      <c r="A2298" s="6">
        <v>45833</v>
      </c>
      <c r="B2298" t="s">
        <v>15</v>
      </c>
      <c r="C2298" t="s">
        <v>16</v>
      </c>
      <c r="D2298" s="1">
        <v>45855</v>
      </c>
      <c r="E2298" t="s">
        <v>17</v>
      </c>
      <c r="F2298">
        <v>3900</v>
      </c>
      <c r="J2298">
        <v>1736.9</v>
      </c>
      <c r="K2298">
        <v>1677.2</v>
      </c>
      <c r="L2298">
        <v>0</v>
      </c>
      <c r="M2298" t="s">
        <v>18</v>
      </c>
      <c r="N2298">
        <v>0</v>
      </c>
      <c r="O2298">
        <v>0</v>
      </c>
    </row>
    <row r="2299" spans="1:15" x14ac:dyDescent="0.2">
      <c r="A2299" s="6">
        <v>45833</v>
      </c>
      <c r="B2299" t="s">
        <v>15</v>
      </c>
      <c r="C2299" t="s">
        <v>16</v>
      </c>
      <c r="D2299" s="1">
        <v>45855</v>
      </c>
      <c r="E2299" t="s">
        <v>17</v>
      </c>
      <c r="F2299">
        <v>5550</v>
      </c>
      <c r="G2299">
        <v>262.10000000000002</v>
      </c>
      <c r="H2299">
        <v>290.8</v>
      </c>
      <c r="I2299">
        <v>229.1</v>
      </c>
      <c r="J2299">
        <v>257.10000000000002</v>
      </c>
      <c r="K2299">
        <v>245.5</v>
      </c>
      <c r="L2299">
        <v>24817</v>
      </c>
      <c r="M2299" t="s">
        <v>1075</v>
      </c>
      <c r="N2299">
        <v>144073.19</v>
      </c>
      <c r="O2299">
        <v>656</v>
      </c>
    </row>
    <row r="2300" spans="1:15" x14ac:dyDescent="0.2">
      <c r="A2300" s="6">
        <v>45833</v>
      </c>
      <c r="B2300" t="s">
        <v>15</v>
      </c>
      <c r="C2300" t="s">
        <v>16</v>
      </c>
      <c r="D2300" s="1">
        <v>45855</v>
      </c>
      <c r="E2300" t="s">
        <v>17</v>
      </c>
      <c r="F2300">
        <v>5400</v>
      </c>
      <c r="G2300">
        <v>354.7</v>
      </c>
      <c r="H2300">
        <v>386.1</v>
      </c>
      <c r="I2300">
        <v>312</v>
      </c>
      <c r="J2300">
        <v>347</v>
      </c>
      <c r="K2300">
        <v>328</v>
      </c>
      <c r="L2300">
        <v>6642</v>
      </c>
      <c r="M2300" t="s">
        <v>1076</v>
      </c>
      <c r="N2300">
        <v>38138.79</v>
      </c>
      <c r="O2300">
        <v>811</v>
      </c>
    </row>
    <row r="2301" spans="1:15" x14ac:dyDescent="0.2">
      <c r="A2301" s="6">
        <v>45833</v>
      </c>
      <c r="B2301" t="s">
        <v>15</v>
      </c>
      <c r="C2301" t="s">
        <v>16</v>
      </c>
      <c r="D2301" s="1">
        <v>45855</v>
      </c>
      <c r="E2301" t="s">
        <v>19</v>
      </c>
      <c r="F2301">
        <v>4350</v>
      </c>
      <c r="J2301">
        <v>3.7</v>
      </c>
      <c r="K2301">
        <v>6.3</v>
      </c>
      <c r="L2301">
        <v>0</v>
      </c>
      <c r="M2301" t="s">
        <v>18</v>
      </c>
      <c r="N2301">
        <v>0</v>
      </c>
      <c r="O2301">
        <v>0</v>
      </c>
    </row>
    <row r="2302" spans="1:15" x14ac:dyDescent="0.2">
      <c r="A2302" s="6">
        <v>45833</v>
      </c>
      <c r="B2302" t="s">
        <v>15</v>
      </c>
      <c r="C2302" t="s">
        <v>16</v>
      </c>
      <c r="D2302" s="1">
        <v>45855</v>
      </c>
      <c r="E2302" t="s">
        <v>19</v>
      </c>
      <c r="F2302">
        <v>6300</v>
      </c>
      <c r="G2302">
        <v>733.5</v>
      </c>
      <c r="H2302">
        <v>773.3</v>
      </c>
      <c r="I2302">
        <v>671.5</v>
      </c>
      <c r="J2302">
        <v>710.6</v>
      </c>
      <c r="K2302">
        <v>776.8</v>
      </c>
      <c r="L2302">
        <v>247</v>
      </c>
      <c r="M2302" t="s">
        <v>267</v>
      </c>
      <c r="N2302">
        <v>1735.95</v>
      </c>
      <c r="O2302">
        <v>720</v>
      </c>
    </row>
    <row r="2303" spans="1:15" x14ac:dyDescent="0.2">
      <c r="A2303" s="6">
        <v>45833</v>
      </c>
      <c r="B2303" t="s">
        <v>15</v>
      </c>
      <c r="C2303" t="s">
        <v>16</v>
      </c>
      <c r="D2303" s="1">
        <v>45855</v>
      </c>
      <c r="E2303" t="s">
        <v>19</v>
      </c>
      <c r="F2303">
        <v>7050</v>
      </c>
      <c r="J2303">
        <v>1412.5</v>
      </c>
      <c r="K2303">
        <v>1472.6</v>
      </c>
      <c r="L2303">
        <v>0</v>
      </c>
      <c r="M2303" t="s">
        <v>18</v>
      </c>
      <c r="N2303">
        <v>0</v>
      </c>
      <c r="O2303">
        <v>0</v>
      </c>
    </row>
    <row r="2304" spans="1:15" x14ac:dyDescent="0.2">
      <c r="A2304" s="6">
        <v>45833</v>
      </c>
      <c r="B2304" t="s">
        <v>15</v>
      </c>
      <c r="C2304" t="s">
        <v>16</v>
      </c>
      <c r="D2304" s="1">
        <v>45855</v>
      </c>
      <c r="E2304" t="s">
        <v>19</v>
      </c>
      <c r="F2304">
        <v>6600</v>
      </c>
      <c r="G2304">
        <v>1008.1</v>
      </c>
      <c r="H2304">
        <v>1065</v>
      </c>
      <c r="I2304">
        <v>999.4</v>
      </c>
      <c r="J2304">
        <v>1044.3</v>
      </c>
      <c r="K2304">
        <v>1076.5999999999999</v>
      </c>
      <c r="L2304">
        <v>33</v>
      </c>
      <c r="M2304" t="s">
        <v>1077</v>
      </c>
      <c r="N2304">
        <v>252.26</v>
      </c>
      <c r="O2304">
        <v>190</v>
      </c>
    </row>
    <row r="2305" spans="1:15" x14ac:dyDescent="0.2">
      <c r="A2305" s="6">
        <v>45833</v>
      </c>
      <c r="B2305" t="s">
        <v>15</v>
      </c>
      <c r="C2305" t="s">
        <v>16</v>
      </c>
      <c r="D2305" s="1">
        <v>45855</v>
      </c>
      <c r="E2305" t="s">
        <v>17</v>
      </c>
      <c r="F2305">
        <v>6150</v>
      </c>
      <c r="G2305">
        <v>78.7</v>
      </c>
      <c r="H2305">
        <v>87.3</v>
      </c>
      <c r="I2305">
        <v>67.2</v>
      </c>
      <c r="J2305">
        <v>71.099999999999994</v>
      </c>
      <c r="K2305">
        <v>78.5</v>
      </c>
      <c r="L2305">
        <v>3336</v>
      </c>
      <c r="M2305" t="s">
        <v>1078</v>
      </c>
      <c r="N2305">
        <v>20772.740000000002</v>
      </c>
      <c r="O2305">
        <v>684</v>
      </c>
    </row>
    <row r="2306" spans="1:15" x14ac:dyDescent="0.2">
      <c r="A2306" s="6">
        <v>45833</v>
      </c>
      <c r="B2306" t="s">
        <v>15</v>
      </c>
      <c r="C2306" t="s">
        <v>16</v>
      </c>
      <c r="D2306" s="1">
        <v>45855</v>
      </c>
      <c r="E2306" t="s">
        <v>19</v>
      </c>
      <c r="F2306">
        <v>4800</v>
      </c>
      <c r="G2306">
        <v>44.8</v>
      </c>
      <c r="H2306">
        <v>44.8</v>
      </c>
      <c r="I2306">
        <v>24</v>
      </c>
      <c r="J2306">
        <v>26.7</v>
      </c>
      <c r="K2306">
        <v>42.7</v>
      </c>
      <c r="L2306">
        <v>5735</v>
      </c>
      <c r="M2306" t="s">
        <v>1079</v>
      </c>
      <c r="N2306">
        <v>27712.79</v>
      </c>
      <c r="O2306">
        <v>907</v>
      </c>
    </row>
    <row r="2307" spans="1:15" x14ac:dyDescent="0.2">
      <c r="A2307" s="6">
        <v>45833</v>
      </c>
      <c r="B2307" t="s">
        <v>15</v>
      </c>
      <c r="C2307" t="s">
        <v>16</v>
      </c>
      <c r="D2307" s="1">
        <v>45855</v>
      </c>
      <c r="E2307" t="s">
        <v>19</v>
      </c>
      <c r="F2307">
        <v>4150</v>
      </c>
      <c r="J2307">
        <v>1.2</v>
      </c>
      <c r="K2307">
        <v>2.2000000000000002</v>
      </c>
      <c r="L2307">
        <v>0</v>
      </c>
      <c r="M2307" t="s">
        <v>18</v>
      </c>
      <c r="N2307">
        <v>0</v>
      </c>
      <c r="O2307">
        <v>0</v>
      </c>
    </row>
    <row r="2308" spans="1:15" x14ac:dyDescent="0.2">
      <c r="A2308" s="6">
        <v>45833</v>
      </c>
      <c r="B2308" t="s">
        <v>15</v>
      </c>
      <c r="C2308" t="s">
        <v>16</v>
      </c>
      <c r="D2308" s="1">
        <v>45855</v>
      </c>
      <c r="E2308" t="s">
        <v>19</v>
      </c>
      <c r="F2308">
        <v>5550</v>
      </c>
      <c r="G2308">
        <v>182.5</v>
      </c>
      <c r="H2308">
        <v>208.8</v>
      </c>
      <c r="I2308">
        <v>149.6</v>
      </c>
      <c r="J2308">
        <v>163</v>
      </c>
      <c r="K2308">
        <v>212</v>
      </c>
      <c r="L2308">
        <v>39272</v>
      </c>
      <c r="M2308" t="s">
        <v>1080</v>
      </c>
      <c r="N2308">
        <v>225153.74</v>
      </c>
      <c r="O2308">
        <v>1483</v>
      </c>
    </row>
    <row r="2309" spans="1:15" x14ac:dyDescent="0.2">
      <c r="A2309" s="6">
        <v>45833</v>
      </c>
      <c r="B2309" t="s">
        <v>15</v>
      </c>
      <c r="C2309" t="s">
        <v>16</v>
      </c>
      <c r="D2309" s="1">
        <v>45855</v>
      </c>
      <c r="E2309" t="s">
        <v>17</v>
      </c>
      <c r="F2309">
        <v>5850</v>
      </c>
      <c r="G2309">
        <v>135.30000000000001</v>
      </c>
      <c r="H2309">
        <v>153.9</v>
      </c>
      <c r="I2309">
        <v>116.7</v>
      </c>
      <c r="J2309">
        <v>129.80000000000001</v>
      </c>
      <c r="K2309">
        <v>134.1</v>
      </c>
      <c r="L2309">
        <v>13520</v>
      </c>
      <c r="M2309" t="s">
        <v>1081</v>
      </c>
      <c r="N2309">
        <v>80904.41</v>
      </c>
      <c r="O2309">
        <v>1608</v>
      </c>
    </row>
    <row r="2310" spans="1:15" x14ac:dyDescent="0.2">
      <c r="A2310" s="6">
        <v>45833</v>
      </c>
      <c r="B2310" t="s">
        <v>15</v>
      </c>
      <c r="C2310" t="s">
        <v>16</v>
      </c>
      <c r="D2310" s="1">
        <v>45855</v>
      </c>
      <c r="E2310" t="s">
        <v>17</v>
      </c>
      <c r="F2310">
        <v>4050</v>
      </c>
      <c r="J2310">
        <v>1587.9</v>
      </c>
      <c r="K2310">
        <v>1528.5</v>
      </c>
      <c r="L2310">
        <v>0</v>
      </c>
      <c r="M2310" t="s">
        <v>18</v>
      </c>
      <c r="N2310">
        <v>0</v>
      </c>
      <c r="O2310">
        <v>0</v>
      </c>
    </row>
    <row r="2311" spans="1:15" x14ac:dyDescent="0.2">
      <c r="A2311" s="6">
        <v>45833</v>
      </c>
      <c r="B2311" t="s">
        <v>15</v>
      </c>
      <c r="C2311" t="s">
        <v>16</v>
      </c>
      <c r="D2311" s="1">
        <v>45855</v>
      </c>
      <c r="E2311" t="s">
        <v>17</v>
      </c>
      <c r="F2311">
        <v>7400</v>
      </c>
      <c r="G2311">
        <v>28.1</v>
      </c>
      <c r="H2311">
        <v>29.9</v>
      </c>
      <c r="I2311">
        <v>20.100000000000001</v>
      </c>
      <c r="J2311">
        <v>21.4</v>
      </c>
      <c r="K2311">
        <v>27.8</v>
      </c>
      <c r="L2311">
        <v>2787</v>
      </c>
      <c r="M2311" t="s">
        <v>1082</v>
      </c>
      <c r="N2311">
        <v>20692.080000000002</v>
      </c>
      <c r="O2311">
        <v>2436</v>
      </c>
    </row>
    <row r="2312" spans="1:15" x14ac:dyDescent="0.2">
      <c r="A2312" s="6">
        <v>45833</v>
      </c>
      <c r="B2312" t="s">
        <v>15</v>
      </c>
      <c r="C2312" t="s">
        <v>16</v>
      </c>
      <c r="D2312" s="1">
        <v>45855</v>
      </c>
      <c r="E2312" t="s">
        <v>19</v>
      </c>
      <c r="F2312">
        <v>7650</v>
      </c>
      <c r="J2312">
        <v>2001.5</v>
      </c>
      <c r="K2312">
        <v>2061.1999999999998</v>
      </c>
      <c r="L2312">
        <v>0</v>
      </c>
      <c r="M2312" t="s">
        <v>18</v>
      </c>
      <c r="N2312">
        <v>0</v>
      </c>
      <c r="O2312">
        <v>0</v>
      </c>
    </row>
    <row r="2313" spans="1:15" x14ac:dyDescent="0.2">
      <c r="A2313" s="6">
        <v>45833</v>
      </c>
      <c r="B2313" t="s">
        <v>15</v>
      </c>
      <c r="C2313" t="s">
        <v>16</v>
      </c>
      <c r="D2313" s="1">
        <v>45855</v>
      </c>
      <c r="E2313" t="s">
        <v>17</v>
      </c>
      <c r="F2313">
        <v>7700</v>
      </c>
      <c r="G2313">
        <v>23.1</v>
      </c>
      <c r="H2313">
        <v>25</v>
      </c>
      <c r="I2313">
        <v>14.3</v>
      </c>
      <c r="J2313">
        <v>15.2</v>
      </c>
      <c r="K2313">
        <v>22</v>
      </c>
      <c r="L2313">
        <v>2876</v>
      </c>
      <c r="M2313" t="s">
        <v>1083</v>
      </c>
      <c r="N2313">
        <v>22203.95</v>
      </c>
      <c r="O2313">
        <v>2314</v>
      </c>
    </row>
    <row r="2314" spans="1:15" x14ac:dyDescent="0.2">
      <c r="A2314" s="6">
        <v>45833</v>
      </c>
      <c r="B2314" t="s">
        <v>15</v>
      </c>
      <c r="C2314" t="s">
        <v>16</v>
      </c>
      <c r="D2314" s="1">
        <v>45855</v>
      </c>
      <c r="E2314" t="s">
        <v>19</v>
      </c>
      <c r="F2314">
        <v>7000</v>
      </c>
      <c r="J2314">
        <v>1364.3</v>
      </c>
      <c r="K2314">
        <v>1367.5</v>
      </c>
      <c r="L2314">
        <v>0</v>
      </c>
      <c r="M2314" t="s">
        <v>18</v>
      </c>
      <c r="N2314">
        <v>0</v>
      </c>
      <c r="O2314">
        <v>12</v>
      </c>
    </row>
    <row r="2315" spans="1:15" x14ac:dyDescent="0.2">
      <c r="A2315" s="6">
        <v>45833</v>
      </c>
      <c r="B2315" t="s">
        <v>15</v>
      </c>
      <c r="C2315" t="s">
        <v>16</v>
      </c>
      <c r="D2315" s="1">
        <v>45855</v>
      </c>
      <c r="E2315" t="s">
        <v>19</v>
      </c>
      <c r="F2315">
        <v>3800</v>
      </c>
      <c r="J2315">
        <v>0.1</v>
      </c>
      <c r="K2315">
        <v>0.2</v>
      </c>
      <c r="L2315">
        <v>0</v>
      </c>
      <c r="M2315" t="s">
        <v>18</v>
      </c>
      <c r="N2315">
        <v>0</v>
      </c>
      <c r="O2315">
        <v>0</v>
      </c>
    </row>
    <row r="2316" spans="1:15" x14ac:dyDescent="0.2">
      <c r="A2316" s="6">
        <v>45833</v>
      </c>
      <c r="B2316" t="s">
        <v>15</v>
      </c>
      <c r="C2316" t="s">
        <v>16</v>
      </c>
      <c r="D2316" s="1">
        <v>45855</v>
      </c>
      <c r="E2316" t="s">
        <v>19</v>
      </c>
      <c r="F2316">
        <v>5850</v>
      </c>
      <c r="G2316">
        <v>366.3</v>
      </c>
      <c r="H2316">
        <v>396.1</v>
      </c>
      <c r="I2316">
        <v>312.89999999999998</v>
      </c>
      <c r="J2316">
        <v>335.7</v>
      </c>
      <c r="K2316">
        <v>400.2</v>
      </c>
      <c r="L2316">
        <v>932</v>
      </c>
      <c r="M2316" t="s">
        <v>718</v>
      </c>
      <c r="N2316">
        <v>5784.71</v>
      </c>
      <c r="O2316">
        <v>93</v>
      </c>
    </row>
    <row r="2317" spans="1:15" x14ac:dyDescent="0.2">
      <c r="A2317" s="6">
        <v>45833</v>
      </c>
      <c r="B2317" t="s">
        <v>15</v>
      </c>
      <c r="C2317" t="s">
        <v>16</v>
      </c>
      <c r="D2317" s="1">
        <v>45855</v>
      </c>
      <c r="E2317" t="s">
        <v>19</v>
      </c>
      <c r="F2317">
        <v>5500</v>
      </c>
      <c r="G2317">
        <v>177.9</v>
      </c>
      <c r="H2317">
        <v>184</v>
      </c>
      <c r="I2317">
        <v>129.80000000000001</v>
      </c>
      <c r="J2317">
        <v>142</v>
      </c>
      <c r="K2317">
        <v>187.1</v>
      </c>
      <c r="L2317">
        <v>96680</v>
      </c>
      <c r="M2317" t="s">
        <v>1084</v>
      </c>
      <c r="N2317">
        <v>547096.06000000006</v>
      </c>
      <c r="O2317">
        <v>6562</v>
      </c>
    </row>
    <row r="2318" spans="1:15" x14ac:dyDescent="0.2">
      <c r="A2318" s="6">
        <v>45833</v>
      </c>
      <c r="B2318" t="s">
        <v>15</v>
      </c>
      <c r="C2318" t="s">
        <v>16</v>
      </c>
      <c r="D2318" s="1">
        <v>45855</v>
      </c>
      <c r="E2318" t="s">
        <v>19</v>
      </c>
      <c r="F2318">
        <v>6450</v>
      </c>
      <c r="G2318">
        <v>867.5</v>
      </c>
      <c r="H2318">
        <v>916.1</v>
      </c>
      <c r="I2318">
        <v>821</v>
      </c>
      <c r="J2318">
        <v>880.5</v>
      </c>
      <c r="K2318">
        <v>889.2</v>
      </c>
      <c r="L2318">
        <v>26</v>
      </c>
      <c r="M2318" t="s">
        <v>59</v>
      </c>
      <c r="N2318">
        <v>190.57</v>
      </c>
      <c r="O2318">
        <v>838</v>
      </c>
    </row>
    <row r="2319" spans="1:15" x14ac:dyDescent="0.2">
      <c r="A2319" s="6">
        <v>45833</v>
      </c>
      <c r="B2319" t="s">
        <v>15</v>
      </c>
      <c r="C2319" t="s">
        <v>16</v>
      </c>
      <c r="D2319" s="1">
        <v>45855</v>
      </c>
      <c r="E2319" t="s">
        <v>19</v>
      </c>
      <c r="F2319">
        <v>6100</v>
      </c>
      <c r="G2319">
        <v>598.5</v>
      </c>
      <c r="H2319">
        <v>598.5</v>
      </c>
      <c r="I2319">
        <v>498</v>
      </c>
      <c r="J2319">
        <v>536.20000000000005</v>
      </c>
      <c r="K2319">
        <v>598.5</v>
      </c>
      <c r="L2319">
        <v>590</v>
      </c>
      <c r="M2319" t="s">
        <v>1085</v>
      </c>
      <c r="N2319">
        <v>3924.74</v>
      </c>
      <c r="O2319">
        <v>508</v>
      </c>
    </row>
    <row r="2320" spans="1:15" x14ac:dyDescent="0.2">
      <c r="A2320" s="6">
        <v>45833</v>
      </c>
      <c r="B2320" t="s">
        <v>15</v>
      </c>
      <c r="C2320" t="s">
        <v>16</v>
      </c>
      <c r="D2320" s="1">
        <v>45855</v>
      </c>
      <c r="E2320" t="s">
        <v>19</v>
      </c>
      <c r="F2320">
        <v>6500</v>
      </c>
      <c r="G2320">
        <v>928.8</v>
      </c>
      <c r="H2320">
        <v>960</v>
      </c>
      <c r="I2320">
        <v>858.1</v>
      </c>
      <c r="J2320">
        <v>904.7</v>
      </c>
      <c r="K2320">
        <v>974</v>
      </c>
      <c r="L2320">
        <v>152</v>
      </c>
      <c r="M2320" t="s">
        <v>548</v>
      </c>
      <c r="N2320">
        <v>1128.4100000000001</v>
      </c>
      <c r="O2320">
        <v>755</v>
      </c>
    </row>
    <row r="2321" spans="1:15" x14ac:dyDescent="0.2">
      <c r="A2321" s="6">
        <v>45833</v>
      </c>
      <c r="B2321" t="s">
        <v>15</v>
      </c>
      <c r="C2321" t="s">
        <v>16</v>
      </c>
      <c r="D2321" s="1">
        <v>45855</v>
      </c>
      <c r="E2321" t="s">
        <v>19</v>
      </c>
      <c r="F2321">
        <v>7300</v>
      </c>
      <c r="J2321">
        <v>1656.1</v>
      </c>
      <c r="K2321">
        <v>1716.1</v>
      </c>
      <c r="L2321">
        <v>0</v>
      </c>
      <c r="M2321" t="s">
        <v>18</v>
      </c>
      <c r="N2321">
        <v>0</v>
      </c>
      <c r="O2321">
        <v>0</v>
      </c>
    </row>
    <row r="2322" spans="1:15" x14ac:dyDescent="0.2">
      <c r="A2322" s="6">
        <v>45833</v>
      </c>
      <c r="B2322" t="s">
        <v>15</v>
      </c>
      <c r="C2322" t="s">
        <v>16</v>
      </c>
      <c r="D2322" s="1">
        <v>45855</v>
      </c>
      <c r="E2322" t="s">
        <v>17</v>
      </c>
      <c r="F2322">
        <v>7100</v>
      </c>
      <c r="G2322">
        <v>31.6</v>
      </c>
      <c r="H2322">
        <v>33.299999999999997</v>
      </c>
      <c r="I2322">
        <v>24</v>
      </c>
      <c r="J2322">
        <v>24.9</v>
      </c>
      <c r="K2322">
        <v>31.1</v>
      </c>
      <c r="L2322">
        <v>872</v>
      </c>
      <c r="M2322" t="s">
        <v>1086</v>
      </c>
      <c r="N2322">
        <v>6215.82</v>
      </c>
      <c r="O2322">
        <v>530</v>
      </c>
    </row>
    <row r="2323" spans="1:15" x14ac:dyDescent="0.2">
      <c r="A2323" s="6">
        <v>45833</v>
      </c>
      <c r="B2323" t="s">
        <v>15</v>
      </c>
      <c r="C2323" t="s">
        <v>16</v>
      </c>
      <c r="D2323" s="1">
        <v>45855</v>
      </c>
      <c r="E2323" t="s">
        <v>19</v>
      </c>
      <c r="F2323">
        <v>5750</v>
      </c>
      <c r="G2323">
        <v>297.3</v>
      </c>
      <c r="H2323">
        <v>325.2</v>
      </c>
      <c r="I2323">
        <v>249.6</v>
      </c>
      <c r="J2323">
        <v>269.10000000000002</v>
      </c>
      <c r="K2323">
        <v>328.2</v>
      </c>
      <c r="L2323">
        <v>5664</v>
      </c>
      <c r="M2323" t="s">
        <v>1087</v>
      </c>
      <c r="N2323">
        <v>34185.879999999997</v>
      </c>
      <c r="O2323">
        <v>1034</v>
      </c>
    </row>
    <row r="2324" spans="1:15" x14ac:dyDescent="0.2">
      <c r="A2324" s="6">
        <v>45833</v>
      </c>
      <c r="B2324" t="s">
        <v>15</v>
      </c>
      <c r="C2324" t="s">
        <v>16</v>
      </c>
      <c r="D2324" s="1">
        <v>45855</v>
      </c>
      <c r="E2324" t="s">
        <v>17</v>
      </c>
      <c r="F2324">
        <v>4300</v>
      </c>
      <c r="J2324">
        <v>1341</v>
      </c>
      <c r="K2324">
        <v>1283.0999999999999</v>
      </c>
      <c r="L2324">
        <v>0</v>
      </c>
      <c r="M2324" t="s">
        <v>18</v>
      </c>
      <c r="N2324">
        <v>0</v>
      </c>
      <c r="O2324">
        <v>0</v>
      </c>
    </row>
    <row r="2325" spans="1:15" x14ac:dyDescent="0.2">
      <c r="A2325" s="6">
        <v>45833</v>
      </c>
      <c r="B2325" t="s">
        <v>15</v>
      </c>
      <c r="C2325" t="s">
        <v>16</v>
      </c>
      <c r="D2325" s="1">
        <v>45855</v>
      </c>
      <c r="E2325" t="s">
        <v>17</v>
      </c>
      <c r="F2325">
        <v>4700</v>
      </c>
      <c r="J2325">
        <v>958.4</v>
      </c>
      <c r="K2325">
        <v>907.3</v>
      </c>
      <c r="L2325">
        <v>0</v>
      </c>
      <c r="M2325" t="s">
        <v>18</v>
      </c>
      <c r="N2325">
        <v>0</v>
      </c>
      <c r="O2325">
        <v>0</v>
      </c>
    </row>
    <row r="2326" spans="1:15" x14ac:dyDescent="0.2">
      <c r="A2326" s="6">
        <v>45832</v>
      </c>
      <c r="B2326" t="s">
        <v>15</v>
      </c>
      <c r="C2326" t="s">
        <v>16</v>
      </c>
      <c r="D2326" s="1">
        <v>45855</v>
      </c>
      <c r="E2326" t="s">
        <v>19</v>
      </c>
      <c r="F2326">
        <v>6650</v>
      </c>
      <c r="G2326">
        <v>1095.2</v>
      </c>
      <c r="H2326">
        <v>1111.3</v>
      </c>
      <c r="I2326">
        <v>972.1</v>
      </c>
      <c r="J2326">
        <v>1069.2</v>
      </c>
      <c r="K2326">
        <v>767.7</v>
      </c>
      <c r="L2326">
        <v>66</v>
      </c>
      <c r="M2326" t="s">
        <v>178</v>
      </c>
      <c r="N2326">
        <v>509.03</v>
      </c>
      <c r="O2326">
        <v>25</v>
      </c>
    </row>
    <row r="2327" spans="1:15" x14ac:dyDescent="0.2">
      <c r="A2327" s="6">
        <v>45832</v>
      </c>
      <c r="B2327" t="s">
        <v>15</v>
      </c>
      <c r="C2327" t="s">
        <v>16</v>
      </c>
      <c r="D2327" s="1">
        <v>45855</v>
      </c>
      <c r="E2327" t="s">
        <v>17</v>
      </c>
      <c r="F2327">
        <v>5100</v>
      </c>
      <c r="G2327">
        <v>604.79999999999995</v>
      </c>
      <c r="H2327">
        <v>619.9</v>
      </c>
      <c r="I2327">
        <v>530</v>
      </c>
      <c r="J2327">
        <v>551.4</v>
      </c>
      <c r="K2327">
        <v>957.2</v>
      </c>
      <c r="L2327">
        <v>34</v>
      </c>
      <c r="M2327" t="s">
        <v>1088</v>
      </c>
      <c r="N2327">
        <v>192.38</v>
      </c>
      <c r="O2327">
        <v>15</v>
      </c>
    </row>
    <row r="2328" spans="1:15" x14ac:dyDescent="0.2">
      <c r="A2328" s="6">
        <v>45832</v>
      </c>
      <c r="B2328" t="s">
        <v>15</v>
      </c>
      <c r="C2328" t="s">
        <v>16</v>
      </c>
      <c r="D2328" s="1">
        <v>45855</v>
      </c>
      <c r="E2328" t="s">
        <v>19</v>
      </c>
      <c r="F2328">
        <v>6050</v>
      </c>
      <c r="G2328">
        <v>352.5</v>
      </c>
      <c r="H2328">
        <v>616.9</v>
      </c>
      <c r="I2328">
        <v>352.5</v>
      </c>
      <c r="J2328">
        <v>558.1</v>
      </c>
      <c r="K2328">
        <v>336</v>
      </c>
      <c r="L2328">
        <v>1335</v>
      </c>
      <c r="M2328" t="s">
        <v>813</v>
      </c>
      <c r="N2328">
        <v>8727.89</v>
      </c>
      <c r="O2328">
        <v>125</v>
      </c>
    </row>
    <row r="2329" spans="1:15" x14ac:dyDescent="0.2">
      <c r="A2329" s="6">
        <v>45832</v>
      </c>
      <c r="B2329" t="s">
        <v>15</v>
      </c>
      <c r="C2329" t="s">
        <v>16</v>
      </c>
      <c r="D2329" s="1">
        <v>45855</v>
      </c>
      <c r="E2329" t="s">
        <v>17</v>
      </c>
      <c r="F2329">
        <v>5250</v>
      </c>
      <c r="G2329">
        <v>465.2</v>
      </c>
      <c r="H2329">
        <v>585.29999999999995</v>
      </c>
      <c r="I2329">
        <v>391.5</v>
      </c>
      <c r="J2329">
        <v>435.1</v>
      </c>
      <c r="K2329">
        <v>820.4</v>
      </c>
      <c r="L2329">
        <v>173</v>
      </c>
      <c r="M2329" t="s">
        <v>1089</v>
      </c>
      <c r="N2329">
        <v>985.46</v>
      </c>
      <c r="O2329">
        <v>31</v>
      </c>
    </row>
    <row r="2330" spans="1:15" x14ac:dyDescent="0.2">
      <c r="A2330" s="6">
        <v>45832</v>
      </c>
      <c r="B2330" t="s">
        <v>15</v>
      </c>
      <c r="C2330" t="s">
        <v>16</v>
      </c>
      <c r="D2330" s="1">
        <v>45855</v>
      </c>
      <c r="E2330" t="s">
        <v>17</v>
      </c>
      <c r="F2330">
        <v>4650</v>
      </c>
      <c r="J2330">
        <v>952.4</v>
      </c>
      <c r="K2330">
        <v>1392</v>
      </c>
      <c r="L2330">
        <v>0</v>
      </c>
      <c r="M2330" t="s">
        <v>18</v>
      </c>
      <c r="N2330">
        <v>0</v>
      </c>
      <c r="O2330">
        <v>0</v>
      </c>
    </row>
    <row r="2331" spans="1:15" x14ac:dyDescent="0.2">
      <c r="A2331" s="6">
        <v>45832</v>
      </c>
      <c r="B2331" t="s">
        <v>15</v>
      </c>
      <c r="C2331" t="s">
        <v>16</v>
      </c>
      <c r="D2331" s="1">
        <v>45855</v>
      </c>
      <c r="E2331" t="s">
        <v>19</v>
      </c>
      <c r="F2331">
        <v>5100</v>
      </c>
      <c r="G2331">
        <v>50.3</v>
      </c>
      <c r="H2331">
        <v>88.7</v>
      </c>
      <c r="I2331">
        <v>47</v>
      </c>
      <c r="J2331">
        <v>70.2</v>
      </c>
      <c r="K2331">
        <v>39</v>
      </c>
      <c r="L2331">
        <v>19102</v>
      </c>
      <c r="M2331" t="s">
        <v>1090</v>
      </c>
      <c r="N2331">
        <v>98686.26</v>
      </c>
      <c r="O2331">
        <v>1223</v>
      </c>
    </row>
    <row r="2332" spans="1:15" x14ac:dyDescent="0.2">
      <c r="A2332" s="6">
        <v>45832</v>
      </c>
      <c r="B2332" t="s">
        <v>15</v>
      </c>
      <c r="C2332" t="s">
        <v>16</v>
      </c>
      <c r="D2332" s="1">
        <v>45855</v>
      </c>
      <c r="E2332" t="s">
        <v>17</v>
      </c>
      <c r="F2332">
        <v>4900</v>
      </c>
      <c r="J2332">
        <v>734.9</v>
      </c>
      <c r="K2332">
        <v>1147.4000000000001</v>
      </c>
      <c r="L2332">
        <v>0</v>
      </c>
      <c r="M2332" t="s">
        <v>18</v>
      </c>
      <c r="N2332">
        <v>0</v>
      </c>
      <c r="O2332">
        <v>1</v>
      </c>
    </row>
    <row r="2333" spans="1:15" x14ac:dyDescent="0.2">
      <c r="A2333" s="6">
        <v>45832</v>
      </c>
      <c r="B2333" t="s">
        <v>15</v>
      </c>
      <c r="C2333" t="s">
        <v>16</v>
      </c>
      <c r="D2333" s="1">
        <v>45855</v>
      </c>
      <c r="E2333" t="s">
        <v>17</v>
      </c>
      <c r="F2333">
        <v>4800</v>
      </c>
      <c r="J2333">
        <v>819.4</v>
      </c>
      <c r="K2333">
        <v>1244.5999999999999</v>
      </c>
      <c r="L2333">
        <v>0</v>
      </c>
      <c r="M2333" t="s">
        <v>18</v>
      </c>
      <c r="N2333">
        <v>0</v>
      </c>
      <c r="O2333">
        <v>0</v>
      </c>
    </row>
    <row r="2334" spans="1:15" x14ac:dyDescent="0.2">
      <c r="A2334" s="6">
        <v>45832</v>
      </c>
      <c r="B2334" t="s">
        <v>15</v>
      </c>
      <c r="C2334" t="s">
        <v>16</v>
      </c>
      <c r="D2334" s="1">
        <v>45855</v>
      </c>
      <c r="E2334" t="s">
        <v>17</v>
      </c>
      <c r="F2334">
        <v>4200</v>
      </c>
      <c r="J2334">
        <v>1380.8</v>
      </c>
      <c r="K2334">
        <v>1838.8</v>
      </c>
      <c r="L2334">
        <v>0</v>
      </c>
      <c r="M2334" t="s">
        <v>18</v>
      </c>
      <c r="N2334">
        <v>0</v>
      </c>
      <c r="O2334">
        <v>0</v>
      </c>
    </row>
    <row r="2335" spans="1:15" x14ac:dyDescent="0.2">
      <c r="A2335" s="6">
        <v>45832</v>
      </c>
      <c r="B2335" t="s">
        <v>15</v>
      </c>
      <c r="C2335" t="s">
        <v>16</v>
      </c>
      <c r="D2335" s="1">
        <v>45855</v>
      </c>
      <c r="E2335" t="s">
        <v>19</v>
      </c>
      <c r="F2335">
        <v>4900</v>
      </c>
      <c r="G2335">
        <v>33.4</v>
      </c>
      <c r="H2335">
        <v>61.2</v>
      </c>
      <c r="I2335">
        <v>31.9</v>
      </c>
      <c r="J2335">
        <v>49.9</v>
      </c>
      <c r="K2335">
        <v>31.9</v>
      </c>
      <c r="L2335">
        <v>10446</v>
      </c>
      <c r="M2335" t="s">
        <v>1091</v>
      </c>
      <c r="N2335">
        <v>51662.36</v>
      </c>
      <c r="O2335">
        <v>697</v>
      </c>
    </row>
    <row r="2336" spans="1:15" x14ac:dyDescent="0.2">
      <c r="A2336" s="6">
        <v>45832</v>
      </c>
      <c r="B2336" t="s">
        <v>15</v>
      </c>
      <c r="C2336" t="s">
        <v>16</v>
      </c>
      <c r="D2336" s="1">
        <v>45855</v>
      </c>
      <c r="E2336" t="s">
        <v>17</v>
      </c>
      <c r="F2336">
        <v>7300</v>
      </c>
      <c r="G2336">
        <v>62</v>
      </c>
      <c r="H2336">
        <v>62</v>
      </c>
      <c r="I2336">
        <v>23.8</v>
      </c>
      <c r="J2336">
        <v>26.7</v>
      </c>
      <c r="K2336">
        <v>74.5</v>
      </c>
      <c r="L2336">
        <v>4124</v>
      </c>
      <c r="M2336" t="s">
        <v>1092</v>
      </c>
      <c r="N2336">
        <v>30243.26</v>
      </c>
      <c r="O2336">
        <v>1618</v>
      </c>
    </row>
    <row r="2337" spans="1:15" x14ac:dyDescent="0.2">
      <c r="A2337" s="6">
        <v>45832</v>
      </c>
      <c r="B2337" t="s">
        <v>15</v>
      </c>
      <c r="C2337" t="s">
        <v>16</v>
      </c>
      <c r="D2337" s="1">
        <v>45855</v>
      </c>
      <c r="E2337" t="s">
        <v>17</v>
      </c>
      <c r="F2337">
        <v>4950</v>
      </c>
      <c r="J2337">
        <v>694.1</v>
      </c>
      <c r="K2337">
        <v>1099.2</v>
      </c>
      <c r="L2337">
        <v>0</v>
      </c>
      <c r="M2337" t="s">
        <v>18</v>
      </c>
      <c r="N2337">
        <v>0</v>
      </c>
      <c r="O2337">
        <v>0</v>
      </c>
    </row>
    <row r="2338" spans="1:15" x14ac:dyDescent="0.2">
      <c r="A2338" s="6">
        <v>45832</v>
      </c>
      <c r="B2338" t="s">
        <v>15</v>
      </c>
      <c r="C2338" t="s">
        <v>16</v>
      </c>
      <c r="D2338" s="1">
        <v>45855</v>
      </c>
      <c r="E2338" t="s">
        <v>19</v>
      </c>
      <c r="F2338">
        <v>5250</v>
      </c>
      <c r="G2338">
        <v>83</v>
      </c>
      <c r="H2338">
        <v>126</v>
      </c>
      <c r="I2338">
        <v>71.400000000000006</v>
      </c>
      <c r="J2338">
        <v>100</v>
      </c>
      <c r="K2338">
        <v>57.6</v>
      </c>
      <c r="L2338">
        <v>9818</v>
      </c>
      <c r="M2338" t="s">
        <v>1093</v>
      </c>
      <c r="N2338">
        <v>52507.39</v>
      </c>
      <c r="O2338">
        <v>616</v>
      </c>
    </row>
    <row r="2339" spans="1:15" x14ac:dyDescent="0.2">
      <c r="A2339" s="6">
        <v>45832</v>
      </c>
      <c r="B2339" t="s">
        <v>15</v>
      </c>
      <c r="C2339" t="s">
        <v>16</v>
      </c>
      <c r="D2339" s="1">
        <v>45855</v>
      </c>
      <c r="E2339" t="s">
        <v>19</v>
      </c>
      <c r="F2339">
        <v>7200</v>
      </c>
      <c r="J2339">
        <v>1618.3</v>
      </c>
      <c r="K2339">
        <v>1165.5999999999999</v>
      </c>
      <c r="L2339">
        <v>0</v>
      </c>
      <c r="M2339" t="s">
        <v>18</v>
      </c>
      <c r="N2339">
        <v>0</v>
      </c>
      <c r="O2339">
        <v>0</v>
      </c>
    </row>
    <row r="2340" spans="1:15" x14ac:dyDescent="0.2">
      <c r="A2340" s="6">
        <v>45832</v>
      </c>
      <c r="B2340" t="s">
        <v>15</v>
      </c>
      <c r="C2340" t="s">
        <v>16</v>
      </c>
      <c r="D2340" s="1">
        <v>45855</v>
      </c>
      <c r="E2340" t="s">
        <v>19</v>
      </c>
      <c r="F2340">
        <v>4200</v>
      </c>
      <c r="J2340">
        <v>2.9</v>
      </c>
      <c r="K2340">
        <v>0.1</v>
      </c>
      <c r="L2340">
        <v>0</v>
      </c>
      <c r="M2340" t="s">
        <v>18</v>
      </c>
      <c r="N2340">
        <v>0</v>
      </c>
      <c r="O2340">
        <v>0</v>
      </c>
    </row>
    <row r="2341" spans="1:15" x14ac:dyDescent="0.2">
      <c r="A2341" s="6">
        <v>45832</v>
      </c>
      <c r="B2341" t="s">
        <v>15</v>
      </c>
      <c r="C2341" t="s">
        <v>16</v>
      </c>
      <c r="D2341" s="1">
        <v>45855</v>
      </c>
      <c r="E2341" t="s">
        <v>17</v>
      </c>
      <c r="F2341">
        <v>4750</v>
      </c>
      <c r="J2341">
        <v>862.9</v>
      </c>
      <c r="K2341">
        <v>1293.5999999999999</v>
      </c>
      <c r="L2341">
        <v>0</v>
      </c>
      <c r="M2341" t="s">
        <v>18</v>
      </c>
      <c r="N2341">
        <v>0</v>
      </c>
      <c r="O2341">
        <v>0</v>
      </c>
    </row>
    <row r="2342" spans="1:15" x14ac:dyDescent="0.2">
      <c r="A2342" s="6">
        <v>45832</v>
      </c>
      <c r="B2342" t="s">
        <v>15</v>
      </c>
      <c r="C2342" t="s">
        <v>16</v>
      </c>
      <c r="D2342" s="1">
        <v>45855</v>
      </c>
      <c r="E2342" t="s">
        <v>17</v>
      </c>
      <c r="F2342">
        <v>5950</v>
      </c>
      <c r="G2342">
        <v>244</v>
      </c>
      <c r="H2342">
        <v>244</v>
      </c>
      <c r="I2342">
        <v>102.2</v>
      </c>
      <c r="J2342">
        <v>110.6</v>
      </c>
      <c r="K2342">
        <v>364.2</v>
      </c>
      <c r="L2342">
        <v>27940</v>
      </c>
      <c r="M2342" t="s">
        <v>1094</v>
      </c>
      <c r="N2342">
        <v>170328.18</v>
      </c>
      <c r="O2342">
        <v>1382</v>
      </c>
    </row>
    <row r="2343" spans="1:15" x14ac:dyDescent="0.2">
      <c r="A2343" s="6">
        <v>45832</v>
      </c>
      <c r="B2343" t="s">
        <v>15</v>
      </c>
      <c r="C2343" t="s">
        <v>16</v>
      </c>
      <c r="D2343" s="1">
        <v>45855</v>
      </c>
      <c r="E2343" t="s">
        <v>17</v>
      </c>
      <c r="F2343">
        <v>5700</v>
      </c>
      <c r="G2343">
        <v>380</v>
      </c>
      <c r="H2343">
        <v>380</v>
      </c>
      <c r="I2343">
        <v>163.9</v>
      </c>
      <c r="J2343">
        <v>179.8</v>
      </c>
      <c r="K2343">
        <v>490.2</v>
      </c>
      <c r="L2343">
        <v>118970</v>
      </c>
      <c r="M2343" t="s">
        <v>1095</v>
      </c>
      <c r="N2343">
        <v>706274.71</v>
      </c>
      <c r="O2343">
        <v>7262</v>
      </c>
    </row>
    <row r="2344" spans="1:15" x14ac:dyDescent="0.2">
      <c r="A2344" s="6">
        <v>45832</v>
      </c>
      <c r="B2344" t="s">
        <v>15</v>
      </c>
      <c r="C2344" t="s">
        <v>16</v>
      </c>
      <c r="D2344" s="1">
        <v>45855</v>
      </c>
      <c r="E2344" t="s">
        <v>19</v>
      </c>
      <c r="F2344">
        <v>3600</v>
      </c>
      <c r="J2344">
        <v>0.1</v>
      </c>
      <c r="K2344">
        <v>0.1</v>
      </c>
      <c r="L2344">
        <v>0</v>
      </c>
      <c r="M2344" t="s">
        <v>18</v>
      </c>
      <c r="N2344">
        <v>0</v>
      </c>
      <c r="O2344">
        <v>0</v>
      </c>
    </row>
    <row r="2345" spans="1:15" x14ac:dyDescent="0.2">
      <c r="A2345" s="6">
        <v>45832</v>
      </c>
      <c r="B2345" t="s">
        <v>15</v>
      </c>
      <c r="C2345" t="s">
        <v>16</v>
      </c>
      <c r="D2345" s="1">
        <v>45855</v>
      </c>
      <c r="E2345" t="s">
        <v>19</v>
      </c>
      <c r="F2345">
        <v>6950</v>
      </c>
      <c r="J2345">
        <v>1376.4</v>
      </c>
      <c r="K2345">
        <v>735.6</v>
      </c>
      <c r="L2345">
        <v>0</v>
      </c>
      <c r="M2345" t="s">
        <v>18</v>
      </c>
      <c r="N2345">
        <v>0</v>
      </c>
      <c r="O2345">
        <v>72</v>
      </c>
    </row>
    <row r="2346" spans="1:15" x14ac:dyDescent="0.2">
      <c r="A2346" s="6">
        <v>45832</v>
      </c>
      <c r="B2346" t="s">
        <v>15</v>
      </c>
      <c r="C2346" t="s">
        <v>16</v>
      </c>
      <c r="D2346" s="1">
        <v>45855</v>
      </c>
      <c r="E2346" t="s">
        <v>17</v>
      </c>
      <c r="F2346">
        <v>4450</v>
      </c>
      <c r="J2346">
        <v>1138.8</v>
      </c>
      <c r="K2346">
        <v>1590.1</v>
      </c>
      <c r="L2346">
        <v>0</v>
      </c>
      <c r="M2346" t="s">
        <v>18</v>
      </c>
      <c r="N2346">
        <v>0</v>
      </c>
      <c r="O2346">
        <v>0</v>
      </c>
    </row>
    <row r="2347" spans="1:15" x14ac:dyDescent="0.2">
      <c r="A2347" s="6">
        <v>45832</v>
      </c>
      <c r="B2347" t="s">
        <v>15</v>
      </c>
      <c r="C2347" t="s">
        <v>16</v>
      </c>
      <c r="D2347" s="1">
        <v>45855</v>
      </c>
      <c r="E2347" t="s">
        <v>17</v>
      </c>
      <c r="F2347">
        <v>5300</v>
      </c>
      <c r="G2347">
        <v>550.29999999999995</v>
      </c>
      <c r="H2347">
        <v>567.1</v>
      </c>
      <c r="I2347">
        <v>358.4</v>
      </c>
      <c r="J2347">
        <v>395.6</v>
      </c>
      <c r="K2347">
        <v>1235.3</v>
      </c>
      <c r="L2347">
        <v>991</v>
      </c>
      <c r="M2347" t="s">
        <v>1096</v>
      </c>
      <c r="N2347">
        <v>5682.51</v>
      </c>
      <c r="O2347">
        <v>102</v>
      </c>
    </row>
    <row r="2348" spans="1:15" x14ac:dyDescent="0.2">
      <c r="A2348" s="6">
        <v>45832</v>
      </c>
      <c r="B2348" t="s">
        <v>15</v>
      </c>
      <c r="C2348" t="s">
        <v>16</v>
      </c>
      <c r="D2348" s="1">
        <v>45855</v>
      </c>
      <c r="E2348" t="s">
        <v>17</v>
      </c>
      <c r="F2348">
        <v>5000</v>
      </c>
      <c r="G2348">
        <v>800</v>
      </c>
      <c r="H2348">
        <v>817.5</v>
      </c>
      <c r="I2348">
        <v>597.5</v>
      </c>
      <c r="J2348">
        <v>640.9</v>
      </c>
      <c r="K2348">
        <v>1051.4000000000001</v>
      </c>
      <c r="L2348">
        <v>119</v>
      </c>
      <c r="M2348" t="s">
        <v>1097</v>
      </c>
      <c r="N2348">
        <v>677.11</v>
      </c>
      <c r="O2348">
        <v>33</v>
      </c>
    </row>
    <row r="2349" spans="1:15" x14ac:dyDescent="0.2">
      <c r="A2349" s="6">
        <v>45832</v>
      </c>
      <c r="B2349" t="s">
        <v>15</v>
      </c>
      <c r="C2349" t="s">
        <v>16</v>
      </c>
      <c r="D2349" s="1">
        <v>45855</v>
      </c>
      <c r="E2349" t="s">
        <v>17</v>
      </c>
      <c r="F2349">
        <v>4400</v>
      </c>
      <c r="J2349">
        <v>1186.5999999999999</v>
      </c>
      <c r="K2349">
        <v>1639.8</v>
      </c>
      <c r="L2349">
        <v>0</v>
      </c>
      <c r="M2349" t="s">
        <v>18</v>
      </c>
      <c r="N2349">
        <v>0</v>
      </c>
      <c r="O2349">
        <v>0</v>
      </c>
    </row>
    <row r="2350" spans="1:15" x14ac:dyDescent="0.2">
      <c r="A2350" s="6">
        <v>45832</v>
      </c>
      <c r="B2350" t="s">
        <v>15</v>
      </c>
      <c r="C2350" t="s">
        <v>16</v>
      </c>
      <c r="D2350" s="1">
        <v>45855</v>
      </c>
      <c r="E2350" t="s">
        <v>17</v>
      </c>
      <c r="F2350">
        <v>4100</v>
      </c>
      <c r="J2350">
        <v>1479.1</v>
      </c>
      <c r="K2350">
        <v>1938.4</v>
      </c>
      <c r="L2350">
        <v>0</v>
      </c>
      <c r="M2350" t="s">
        <v>18</v>
      </c>
      <c r="N2350">
        <v>0</v>
      </c>
      <c r="O2350">
        <v>0</v>
      </c>
    </row>
    <row r="2351" spans="1:15" x14ac:dyDescent="0.2">
      <c r="A2351" s="6">
        <v>45832</v>
      </c>
      <c r="B2351" t="s">
        <v>15</v>
      </c>
      <c r="C2351" t="s">
        <v>16</v>
      </c>
      <c r="D2351" s="1">
        <v>45855</v>
      </c>
      <c r="E2351" t="s">
        <v>17</v>
      </c>
      <c r="F2351">
        <v>3700</v>
      </c>
      <c r="J2351">
        <v>1876</v>
      </c>
      <c r="K2351">
        <v>2336.8000000000002</v>
      </c>
      <c r="L2351">
        <v>0</v>
      </c>
      <c r="M2351" t="s">
        <v>18</v>
      </c>
      <c r="N2351">
        <v>0</v>
      </c>
      <c r="O2351">
        <v>0</v>
      </c>
    </row>
    <row r="2352" spans="1:15" x14ac:dyDescent="0.2">
      <c r="A2352" s="6">
        <v>45832</v>
      </c>
      <c r="B2352" t="s">
        <v>15</v>
      </c>
      <c r="C2352" t="s">
        <v>16</v>
      </c>
      <c r="D2352" s="1">
        <v>45855</v>
      </c>
      <c r="E2352" t="s">
        <v>19</v>
      </c>
      <c r="F2352">
        <v>6150</v>
      </c>
      <c r="G2352">
        <v>505.6</v>
      </c>
      <c r="H2352">
        <v>681</v>
      </c>
      <c r="I2352">
        <v>505.6</v>
      </c>
      <c r="J2352">
        <v>653</v>
      </c>
      <c r="K2352">
        <v>394.4</v>
      </c>
      <c r="L2352">
        <v>414</v>
      </c>
      <c r="M2352" t="s">
        <v>1098</v>
      </c>
      <c r="N2352">
        <v>2776.02</v>
      </c>
      <c r="O2352">
        <v>206</v>
      </c>
    </row>
    <row r="2353" spans="1:15" x14ac:dyDescent="0.2">
      <c r="A2353" s="6">
        <v>45832</v>
      </c>
      <c r="B2353" t="s">
        <v>15</v>
      </c>
      <c r="C2353" t="s">
        <v>16</v>
      </c>
      <c r="D2353" s="1">
        <v>45855</v>
      </c>
      <c r="E2353" t="s">
        <v>19</v>
      </c>
      <c r="F2353">
        <v>6250</v>
      </c>
      <c r="G2353">
        <v>567.20000000000005</v>
      </c>
      <c r="H2353">
        <v>755.4</v>
      </c>
      <c r="I2353">
        <v>567.20000000000005</v>
      </c>
      <c r="J2353">
        <v>721.1</v>
      </c>
      <c r="K2353">
        <v>461.6</v>
      </c>
      <c r="L2353">
        <v>251</v>
      </c>
      <c r="M2353" t="s">
        <v>1099</v>
      </c>
      <c r="N2353">
        <v>1727.88</v>
      </c>
      <c r="O2353">
        <v>102</v>
      </c>
    </row>
    <row r="2354" spans="1:15" x14ac:dyDescent="0.2">
      <c r="A2354" s="6">
        <v>45832</v>
      </c>
      <c r="B2354" t="s">
        <v>15</v>
      </c>
      <c r="C2354" t="s">
        <v>16</v>
      </c>
      <c r="D2354" s="1">
        <v>45855</v>
      </c>
      <c r="E2354" t="s">
        <v>17</v>
      </c>
      <c r="F2354">
        <v>4350</v>
      </c>
      <c r="J2354">
        <v>1234.7</v>
      </c>
      <c r="K2354">
        <v>1689.5</v>
      </c>
      <c r="L2354">
        <v>0</v>
      </c>
      <c r="M2354" t="s">
        <v>18</v>
      </c>
      <c r="N2354">
        <v>0</v>
      </c>
      <c r="O2354">
        <v>0</v>
      </c>
    </row>
    <row r="2355" spans="1:15" x14ac:dyDescent="0.2">
      <c r="A2355" s="6">
        <v>45832</v>
      </c>
      <c r="B2355" t="s">
        <v>15</v>
      </c>
      <c r="C2355" t="s">
        <v>16</v>
      </c>
      <c r="D2355" s="1">
        <v>45855</v>
      </c>
      <c r="E2355" t="s">
        <v>17</v>
      </c>
      <c r="F2355">
        <v>7450</v>
      </c>
      <c r="G2355">
        <v>36.6</v>
      </c>
      <c r="H2355">
        <v>54.9</v>
      </c>
      <c r="I2355">
        <v>23.3</v>
      </c>
      <c r="J2355">
        <v>26.2</v>
      </c>
      <c r="K2355">
        <v>67</v>
      </c>
      <c r="L2355">
        <v>634</v>
      </c>
      <c r="M2355" t="s">
        <v>295</v>
      </c>
      <c r="N2355">
        <v>4744.33</v>
      </c>
      <c r="O2355">
        <v>272</v>
      </c>
    </row>
    <row r="2356" spans="1:15" x14ac:dyDescent="0.2">
      <c r="A2356" s="6">
        <v>45832</v>
      </c>
      <c r="B2356" t="s">
        <v>15</v>
      </c>
      <c r="C2356" t="s">
        <v>16</v>
      </c>
      <c r="D2356" s="1">
        <v>45855</v>
      </c>
      <c r="E2356" t="s">
        <v>17</v>
      </c>
      <c r="F2356">
        <v>6400</v>
      </c>
      <c r="G2356">
        <v>124.4</v>
      </c>
      <c r="H2356">
        <v>124.4</v>
      </c>
      <c r="I2356">
        <v>54</v>
      </c>
      <c r="J2356">
        <v>56.6</v>
      </c>
      <c r="K2356">
        <v>208.8</v>
      </c>
      <c r="L2356">
        <v>44181</v>
      </c>
      <c r="M2356" t="s">
        <v>1100</v>
      </c>
      <c r="N2356">
        <v>286342.58</v>
      </c>
      <c r="O2356">
        <v>6087</v>
      </c>
    </row>
    <row r="2357" spans="1:15" x14ac:dyDescent="0.2">
      <c r="A2357" s="6">
        <v>45832</v>
      </c>
      <c r="B2357" t="s">
        <v>15</v>
      </c>
      <c r="C2357" t="s">
        <v>16</v>
      </c>
      <c r="D2357" s="1">
        <v>45855</v>
      </c>
      <c r="E2357" t="s">
        <v>17</v>
      </c>
      <c r="F2357">
        <v>5750</v>
      </c>
      <c r="G2357">
        <v>279.60000000000002</v>
      </c>
      <c r="H2357">
        <v>294.5</v>
      </c>
      <c r="I2357">
        <v>150.19999999999999</v>
      </c>
      <c r="J2357">
        <v>164.2</v>
      </c>
      <c r="K2357">
        <v>522</v>
      </c>
      <c r="L2357">
        <v>26656</v>
      </c>
      <c r="M2357" t="s">
        <v>1101</v>
      </c>
      <c r="N2357">
        <v>159206.56</v>
      </c>
      <c r="O2357">
        <v>1514</v>
      </c>
    </row>
    <row r="2358" spans="1:15" x14ac:dyDescent="0.2">
      <c r="A2358" s="6">
        <v>45832</v>
      </c>
      <c r="B2358" t="s">
        <v>15</v>
      </c>
      <c r="C2358" t="s">
        <v>16</v>
      </c>
      <c r="D2358" s="1">
        <v>45855</v>
      </c>
      <c r="E2358" t="s">
        <v>19</v>
      </c>
      <c r="F2358">
        <v>6800</v>
      </c>
      <c r="G2358">
        <v>1074.3</v>
      </c>
      <c r="H2358">
        <v>1270</v>
      </c>
      <c r="I2358">
        <v>1074.3</v>
      </c>
      <c r="J2358">
        <v>1265.2</v>
      </c>
      <c r="K2358">
        <v>882.2</v>
      </c>
      <c r="L2358">
        <v>23</v>
      </c>
      <c r="M2358" t="s">
        <v>221</v>
      </c>
      <c r="N2358">
        <v>183.52</v>
      </c>
      <c r="O2358">
        <v>93</v>
      </c>
    </row>
    <row r="2359" spans="1:15" x14ac:dyDescent="0.2">
      <c r="A2359" s="6">
        <v>45832</v>
      </c>
      <c r="B2359" t="s">
        <v>15</v>
      </c>
      <c r="C2359" t="s">
        <v>16</v>
      </c>
      <c r="D2359" s="1">
        <v>45855</v>
      </c>
      <c r="E2359" t="s">
        <v>19</v>
      </c>
      <c r="F2359">
        <v>3850</v>
      </c>
      <c r="J2359">
        <v>0.3</v>
      </c>
      <c r="K2359">
        <v>0.1</v>
      </c>
      <c r="L2359">
        <v>0</v>
      </c>
      <c r="M2359" t="s">
        <v>18</v>
      </c>
      <c r="N2359">
        <v>0</v>
      </c>
      <c r="O2359">
        <v>0</v>
      </c>
    </row>
    <row r="2360" spans="1:15" x14ac:dyDescent="0.2">
      <c r="A2360" s="6">
        <v>45832</v>
      </c>
      <c r="B2360" t="s">
        <v>15</v>
      </c>
      <c r="C2360" t="s">
        <v>16</v>
      </c>
      <c r="D2360" s="1">
        <v>45855</v>
      </c>
      <c r="E2360" t="s">
        <v>19</v>
      </c>
      <c r="F2360">
        <v>7600</v>
      </c>
      <c r="J2360">
        <v>2011.7</v>
      </c>
      <c r="K2360">
        <v>1552.5</v>
      </c>
      <c r="L2360">
        <v>0</v>
      </c>
      <c r="M2360" t="s">
        <v>18</v>
      </c>
      <c r="N2360">
        <v>0</v>
      </c>
      <c r="O2360">
        <v>0</v>
      </c>
    </row>
    <row r="2361" spans="1:15" x14ac:dyDescent="0.2">
      <c r="A2361" s="6">
        <v>45832</v>
      </c>
      <c r="B2361" t="s">
        <v>15</v>
      </c>
      <c r="C2361" t="s">
        <v>16</v>
      </c>
      <c r="D2361" s="1">
        <v>45855</v>
      </c>
      <c r="E2361" t="s">
        <v>19</v>
      </c>
      <c r="F2361">
        <v>5900</v>
      </c>
      <c r="G2361">
        <v>275.5</v>
      </c>
      <c r="H2361">
        <v>493.8</v>
      </c>
      <c r="I2361">
        <v>275.5</v>
      </c>
      <c r="J2361">
        <v>435</v>
      </c>
      <c r="K2361">
        <v>253.8</v>
      </c>
      <c r="L2361">
        <v>18797</v>
      </c>
      <c r="M2361" t="s">
        <v>1102</v>
      </c>
      <c r="N2361">
        <v>118276.85</v>
      </c>
      <c r="O2361">
        <v>599</v>
      </c>
    </row>
    <row r="2362" spans="1:15" x14ac:dyDescent="0.2">
      <c r="A2362" s="6">
        <v>45832</v>
      </c>
      <c r="B2362" t="s">
        <v>15</v>
      </c>
      <c r="C2362" t="s">
        <v>16</v>
      </c>
      <c r="D2362" s="1">
        <v>45855</v>
      </c>
      <c r="E2362" t="s">
        <v>17</v>
      </c>
      <c r="F2362">
        <v>3800</v>
      </c>
      <c r="J2362">
        <v>1776.5</v>
      </c>
      <c r="K2362">
        <v>2237.1999999999998</v>
      </c>
      <c r="L2362">
        <v>0</v>
      </c>
      <c r="M2362" t="s">
        <v>18</v>
      </c>
      <c r="N2362">
        <v>0</v>
      </c>
      <c r="O2362">
        <v>0</v>
      </c>
    </row>
    <row r="2363" spans="1:15" x14ac:dyDescent="0.2">
      <c r="A2363" s="6">
        <v>45832</v>
      </c>
      <c r="B2363" t="s">
        <v>15</v>
      </c>
      <c r="C2363" t="s">
        <v>16</v>
      </c>
      <c r="D2363" s="1">
        <v>45855</v>
      </c>
      <c r="E2363" t="s">
        <v>17</v>
      </c>
      <c r="F2363">
        <v>7250</v>
      </c>
      <c r="G2363">
        <v>45.9</v>
      </c>
      <c r="H2363">
        <v>49.6</v>
      </c>
      <c r="I2363">
        <v>25.1</v>
      </c>
      <c r="J2363">
        <v>29.3</v>
      </c>
      <c r="K2363">
        <v>82.1</v>
      </c>
      <c r="L2363">
        <v>1154</v>
      </c>
      <c r="M2363" t="s">
        <v>1103</v>
      </c>
      <c r="N2363">
        <v>8408.44</v>
      </c>
      <c r="O2363">
        <v>150</v>
      </c>
    </row>
    <row r="2364" spans="1:15" x14ac:dyDescent="0.2">
      <c r="A2364" s="6">
        <v>45832</v>
      </c>
      <c r="B2364" t="s">
        <v>15</v>
      </c>
      <c r="C2364" t="s">
        <v>16</v>
      </c>
      <c r="D2364" s="1">
        <v>45855</v>
      </c>
      <c r="E2364" t="s">
        <v>19</v>
      </c>
      <c r="F2364">
        <v>4600</v>
      </c>
      <c r="G2364">
        <v>22</v>
      </c>
      <c r="H2364">
        <v>28.5</v>
      </c>
      <c r="I2364">
        <v>21.9</v>
      </c>
      <c r="J2364">
        <v>23.6</v>
      </c>
      <c r="K2364">
        <v>1.1000000000000001</v>
      </c>
      <c r="L2364">
        <v>9</v>
      </c>
      <c r="M2364" t="s">
        <v>343</v>
      </c>
      <c r="N2364">
        <v>41.61</v>
      </c>
      <c r="O2364">
        <v>6</v>
      </c>
    </row>
    <row r="2365" spans="1:15" x14ac:dyDescent="0.2">
      <c r="A2365" s="6">
        <v>45832</v>
      </c>
      <c r="B2365" t="s">
        <v>15</v>
      </c>
      <c r="C2365" t="s">
        <v>16</v>
      </c>
      <c r="D2365" s="1">
        <v>45855</v>
      </c>
      <c r="E2365" t="s">
        <v>19</v>
      </c>
      <c r="F2365">
        <v>4950</v>
      </c>
      <c r="G2365">
        <v>38.1</v>
      </c>
      <c r="H2365">
        <v>66.7</v>
      </c>
      <c r="I2365">
        <v>37.200000000000003</v>
      </c>
      <c r="J2365">
        <v>53.8</v>
      </c>
      <c r="K2365">
        <v>19.2</v>
      </c>
      <c r="L2365">
        <v>1135</v>
      </c>
      <c r="M2365" t="s">
        <v>1104</v>
      </c>
      <c r="N2365">
        <v>5679.7</v>
      </c>
      <c r="O2365">
        <v>105</v>
      </c>
    </row>
    <row r="2366" spans="1:15" x14ac:dyDescent="0.2">
      <c r="A2366" s="6">
        <v>45832</v>
      </c>
      <c r="B2366" t="s">
        <v>15</v>
      </c>
      <c r="C2366" t="s">
        <v>16</v>
      </c>
      <c r="D2366" s="1">
        <v>45855</v>
      </c>
      <c r="E2366" t="s">
        <v>17</v>
      </c>
      <c r="F2366">
        <v>6750</v>
      </c>
      <c r="G2366">
        <v>63.9</v>
      </c>
      <c r="H2366">
        <v>73.3</v>
      </c>
      <c r="I2366">
        <v>38.1</v>
      </c>
      <c r="J2366">
        <v>39.6</v>
      </c>
      <c r="K2366">
        <v>145.9</v>
      </c>
      <c r="L2366">
        <v>1546</v>
      </c>
      <c r="M2366" t="s">
        <v>1105</v>
      </c>
      <c r="N2366">
        <v>10516.85</v>
      </c>
      <c r="O2366">
        <v>436</v>
      </c>
    </row>
    <row r="2367" spans="1:15" x14ac:dyDescent="0.2">
      <c r="A2367" s="6">
        <v>45832</v>
      </c>
      <c r="B2367" t="s">
        <v>15</v>
      </c>
      <c r="C2367" t="s">
        <v>16</v>
      </c>
      <c r="D2367" s="1">
        <v>45855</v>
      </c>
      <c r="E2367" t="s">
        <v>17</v>
      </c>
      <c r="F2367">
        <v>3850</v>
      </c>
      <c r="J2367">
        <v>1726.8</v>
      </c>
      <c r="K2367">
        <v>2187.4</v>
      </c>
      <c r="L2367">
        <v>0</v>
      </c>
      <c r="M2367" t="s">
        <v>18</v>
      </c>
      <c r="N2367">
        <v>0</v>
      </c>
      <c r="O2367">
        <v>0</v>
      </c>
    </row>
    <row r="2368" spans="1:15" x14ac:dyDescent="0.2">
      <c r="A2368" s="6">
        <v>45832</v>
      </c>
      <c r="B2368" t="s">
        <v>15</v>
      </c>
      <c r="C2368" t="s">
        <v>16</v>
      </c>
      <c r="D2368" s="1">
        <v>45855</v>
      </c>
      <c r="E2368" t="s">
        <v>17</v>
      </c>
      <c r="F2368">
        <v>5600</v>
      </c>
      <c r="G2368">
        <v>355</v>
      </c>
      <c r="H2368">
        <v>367.7</v>
      </c>
      <c r="I2368">
        <v>199.2</v>
      </c>
      <c r="J2368">
        <v>220.7</v>
      </c>
      <c r="K2368">
        <v>563.79999999999995</v>
      </c>
      <c r="L2368">
        <v>73753</v>
      </c>
      <c r="M2368" t="s">
        <v>1106</v>
      </c>
      <c r="N2368">
        <v>432460.34</v>
      </c>
      <c r="O2368">
        <v>4617</v>
      </c>
    </row>
    <row r="2369" spans="1:15" x14ac:dyDescent="0.2">
      <c r="A2369" s="6">
        <v>45832</v>
      </c>
      <c r="B2369" t="s">
        <v>15</v>
      </c>
      <c r="C2369" t="s">
        <v>16</v>
      </c>
      <c r="D2369" s="1">
        <v>45855</v>
      </c>
      <c r="E2369" t="s">
        <v>19</v>
      </c>
      <c r="F2369">
        <v>4250</v>
      </c>
      <c r="J2369">
        <v>3.8</v>
      </c>
      <c r="K2369">
        <v>0.1</v>
      </c>
      <c r="L2369">
        <v>0</v>
      </c>
      <c r="M2369" t="s">
        <v>18</v>
      </c>
      <c r="N2369">
        <v>0</v>
      </c>
      <c r="O2369">
        <v>0</v>
      </c>
    </row>
    <row r="2370" spans="1:15" x14ac:dyDescent="0.2">
      <c r="A2370" s="6">
        <v>45832</v>
      </c>
      <c r="B2370" t="s">
        <v>15</v>
      </c>
      <c r="C2370" t="s">
        <v>16</v>
      </c>
      <c r="D2370" s="1">
        <v>45855</v>
      </c>
      <c r="E2370" t="s">
        <v>19</v>
      </c>
      <c r="F2370">
        <v>5050</v>
      </c>
      <c r="G2370">
        <v>50.9</v>
      </c>
      <c r="H2370">
        <v>81</v>
      </c>
      <c r="I2370">
        <v>44</v>
      </c>
      <c r="J2370">
        <v>64.8</v>
      </c>
      <c r="K2370">
        <v>38</v>
      </c>
      <c r="L2370">
        <v>3070</v>
      </c>
      <c r="M2370" t="s">
        <v>1107</v>
      </c>
      <c r="N2370">
        <v>15700.16</v>
      </c>
      <c r="O2370">
        <v>169</v>
      </c>
    </row>
    <row r="2371" spans="1:15" x14ac:dyDescent="0.2">
      <c r="A2371" s="6">
        <v>45832</v>
      </c>
      <c r="B2371" t="s">
        <v>15</v>
      </c>
      <c r="C2371" t="s">
        <v>16</v>
      </c>
      <c r="D2371" s="1">
        <v>45855</v>
      </c>
      <c r="E2371" t="s">
        <v>19</v>
      </c>
      <c r="F2371">
        <v>6400</v>
      </c>
      <c r="G2371">
        <v>695</v>
      </c>
      <c r="H2371">
        <v>920.2</v>
      </c>
      <c r="I2371">
        <v>683.4</v>
      </c>
      <c r="J2371">
        <v>887.1</v>
      </c>
      <c r="K2371">
        <v>568.9</v>
      </c>
      <c r="L2371">
        <v>1919</v>
      </c>
      <c r="M2371" t="s">
        <v>1108</v>
      </c>
      <c r="N2371">
        <v>13798.73</v>
      </c>
      <c r="O2371">
        <v>985</v>
      </c>
    </row>
    <row r="2372" spans="1:15" x14ac:dyDescent="0.2">
      <c r="A2372" s="6">
        <v>45832</v>
      </c>
      <c r="B2372" t="s">
        <v>15</v>
      </c>
      <c r="C2372" t="s">
        <v>16</v>
      </c>
      <c r="D2372" s="1">
        <v>45855</v>
      </c>
      <c r="E2372" t="s">
        <v>17</v>
      </c>
      <c r="F2372">
        <v>7650</v>
      </c>
      <c r="G2372">
        <v>30</v>
      </c>
      <c r="H2372">
        <v>35.4</v>
      </c>
      <c r="I2372">
        <v>20</v>
      </c>
      <c r="J2372">
        <v>22.2</v>
      </c>
      <c r="K2372">
        <v>53.6</v>
      </c>
      <c r="L2372">
        <v>1379</v>
      </c>
      <c r="M2372" t="s">
        <v>1109</v>
      </c>
      <c r="N2372">
        <v>10588.6</v>
      </c>
      <c r="O2372">
        <v>207</v>
      </c>
    </row>
    <row r="2373" spans="1:15" x14ac:dyDescent="0.2">
      <c r="A2373" s="6">
        <v>45832</v>
      </c>
      <c r="B2373" t="s">
        <v>15</v>
      </c>
      <c r="C2373" t="s">
        <v>16</v>
      </c>
      <c r="D2373" s="1">
        <v>45855</v>
      </c>
      <c r="E2373" t="s">
        <v>19</v>
      </c>
      <c r="F2373">
        <v>4450</v>
      </c>
      <c r="J2373">
        <v>10</v>
      </c>
      <c r="K2373">
        <v>0.4</v>
      </c>
      <c r="L2373">
        <v>0</v>
      </c>
      <c r="M2373" t="s">
        <v>18</v>
      </c>
      <c r="N2373">
        <v>0</v>
      </c>
      <c r="O2373">
        <v>0</v>
      </c>
    </row>
    <row r="2374" spans="1:15" x14ac:dyDescent="0.2">
      <c r="A2374" s="6">
        <v>45832</v>
      </c>
      <c r="B2374" t="s">
        <v>15</v>
      </c>
      <c r="C2374" t="s">
        <v>16</v>
      </c>
      <c r="D2374" s="1">
        <v>45855</v>
      </c>
      <c r="E2374" t="s">
        <v>19</v>
      </c>
      <c r="F2374">
        <v>5700</v>
      </c>
      <c r="G2374">
        <v>182.5</v>
      </c>
      <c r="H2374">
        <v>348</v>
      </c>
      <c r="I2374">
        <v>182.5</v>
      </c>
      <c r="J2374">
        <v>297.89999999999998</v>
      </c>
      <c r="K2374">
        <v>165.9</v>
      </c>
      <c r="L2374">
        <v>114241</v>
      </c>
      <c r="M2374" t="s">
        <v>1110</v>
      </c>
      <c r="N2374">
        <v>682084.64</v>
      </c>
      <c r="O2374">
        <v>3383</v>
      </c>
    </row>
    <row r="2375" spans="1:15" x14ac:dyDescent="0.2">
      <c r="A2375" s="6">
        <v>45832</v>
      </c>
      <c r="B2375" t="s">
        <v>15</v>
      </c>
      <c r="C2375" t="s">
        <v>16</v>
      </c>
      <c r="D2375" s="1">
        <v>45855</v>
      </c>
      <c r="E2375" t="s">
        <v>17</v>
      </c>
      <c r="F2375">
        <v>6550</v>
      </c>
      <c r="G2375">
        <v>100</v>
      </c>
      <c r="H2375">
        <v>101.5</v>
      </c>
      <c r="I2375">
        <v>46.1</v>
      </c>
      <c r="J2375">
        <v>47.4</v>
      </c>
      <c r="K2375">
        <v>177.9</v>
      </c>
      <c r="L2375">
        <v>5308</v>
      </c>
      <c r="M2375" t="s">
        <v>1111</v>
      </c>
      <c r="N2375">
        <v>35125.160000000003</v>
      </c>
      <c r="O2375">
        <v>1421</v>
      </c>
    </row>
    <row r="2376" spans="1:15" x14ac:dyDescent="0.2">
      <c r="A2376" s="6">
        <v>45832</v>
      </c>
      <c r="B2376" t="s">
        <v>15</v>
      </c>
      <c r="C2376" t="s">
        <v>16</v>
      </c>
      <c r="D2376" s="1">
        <v>45855</v>
      </c>
      <c r="E2376" t="s">
        <v>17</v>
      </c>
      <c r="F2376">
        <v>6050</v>
      </c>
      <c r="G2376">
        <v>205.1</v>
      </c>
      <c r="H2376">
        <v>205.1</v>
      </c>
      <c r="I2376">
        <v>86</v>
      </c>
      <c r="J2376">
        <v>92</v>
      </c>
      <c r="K2376">
        <v>325.10000000000002</v>
      </c>
      <c r="L2376">
        <v>13852</v>
      </c>
      <c r="M2376" t="s">
        <v>1112</v>
      </c>
      <c r="N2376">
        <v>85584.06</v>
      </c>
      <c r="O2376">
        <v>749</v>
      </c>
    </row>
    <row r="2377" spans="1:15" x14ac:dyDescent="0.2">
      <c r="A2377" s="6">
        <v>45832</v>
      </c>
      <c r="B2377" t="s">
        <v>15</v>
      </c>
      <c r="C2377" t="s">
        <v>16</v>
      </c>
      <c r="D2377" s="1">
        <v>45855</v>
      </c>
      <c r="E2377" t="s">
        <v>19</v>
      </c>
      <c r="F2377">
        <v>5300</v>
      </c>
      <c r="G2377">
        <v>91.1</v>
      </c>
      <c r="H2377">
        <v>141.19999999999999</v>
      </c>
      <c r="I2377">
        <v>80.5</v>
      </c>
      <c r="J2377">
        <v>112.5</v>
      </c>
      <c r="K2377">
        <v>61.9</v>
      </c>
      <c r="L2377">
        <v>44573</v>
      </c>
      <c r="M2377" t="s">
        <v>1113</v>
      </c>
      <c r="N2377">
        <v>241007.57</v>
      </c>
      <c r="O2377">
        <v>1889</v>
      </c>
    </row>
    <row r="2378" spans="1:15" x14ac:dyDescent="0.2">
      <c r="A2378" s="6">
        <v>45832</v>
      </c>
      <c r="B2378" t="s">
        <v>15</v>
      </c>
      <c r="C2378" t="s">
        <v>16</v>
      </c>
      <c r="D2378" s="1">
        <v>45855</v>
      </c>
      <c r="E2378" t="s">
        <v>19</v>
      </c>
      <c r="F2378">
        <v>5400</v>
      </c>
      <c r="G2378">
        <v>100.1</v>
      </c>
      <c r="H2378">
        <v>180</v>
      </c>
      <c r="I2378">
        <v>100.1</v>
      </c>
      <c r="J2378">
        <v>145.69999999999999</v>
      </c>
      <c r="K2378">
        <v>80</v>
      </c>
      <c r="L2378">
        <v>54613</v>
      </c>
      <c r="M2378" t="s">
        <v>1114</v>
      </c>
      <c r="N2378">
        <v>302445.31</v>
      </c>
      <c r="O2378">
        <v>2565</v>
      </c>
    </row>
    <row r="2379" spans="1:15" x14ac:dyDescent="0.2">
      <c r="A2379" s="6">
        <v>45832</v>
      </c>
      <c r="B2379" t="s">
        <v>15</v>
      </c>
      <c r="C2379" t="s">
        <v>16</v>
      </c>
      <c r="D2379" s="1">
        <v>45855</v>
      </c>
      <c r="E2379" t="s">
        <v>19</v>
      </c>
      <c r="F2379">
        <v>6750</v>
      </c>
      <c r="G2379">
        <v>1199.8</v>
      </c>
      <c r="H2379">
        <v>1199.8</v>
      </c>
      <c r="I2379">
        <v>1199.8</v>
      </c>
      <c r="J2379">
        <v>1199.8</v>
      </c>
      <c r="K2379">
        <v>720.3</v>
      </c>
      <c r="L2379">
        <v>1</v>
      </c>
      <c r="M2379" t="s">
        <v>155</v>
      </c>
      <c r="N2379">
        <v>7.95</v>
      </c>
      <c r="O2379">
        <v>27</v>
      </c>
    </row>
    <row r="2380" spans="1:15" x14ac:dyDescent="0.2">
      <c r="A2380" s="6">
        <v>45832</v>
      </c>
      <c r="B2380" t="s">
        <v>15</v>
      </c>
      <c r="C2380" t="s">
        <v>16</v>
      </c>
      <c r="D2380" s="1">
        <v>45855</v>
      </c>
      <c r="E2380" t="s">
        <v>19</v>
      </c>
      <c r="F2380">
        <v>3700</v>
      </c>
      <c r="J2380">
        <v>0.1</v>
      </c>
      <c r="K2380">
        <v>0.1</v>
      </c>
      <c r="L2380">
        <v>0</v>
      </c>
      <c r="M2380" t="s">
        <v>18</v>
      </c>
      <c r="N2380">
        <v>0</v>
      </c>
      <c r="O2380">
        <v>0</v>
      </c>
    </row>
    <row r="2381" spans="1:15" x14ac:dyDescent="0.2">
      <c r="A2381" s="6">
        <v>45832</v>
      </c>
      <c r="B2381" t="s">
        <v>15</v>
      </c>
      <c r="C2381" t="s">
        <v>16</v>
      </c>
      <c r="D2381" s="1">
        <v>45855</v>
      </c>
      <c r="E2381" t="s">
        <v>17</v>
      </c>
      <c r="F2381">
        <v>7150</v>
      </c>
      <c r="G2381">
        <v>17.2</v>
      </c>
      <c r="H2381">
        <v>50.6</v>
      </c>
      <c r="I2381">
        <v>17.2</v>
      </c>
      <c r="J2381">
        <v>29.2</v>
      </c>
      <c r="K2381">
        <v>89.5</v>
      </c>
      <c r="L2381">
        <v>500</v>
      </c>
      <c r="M2381" t="s">
        <v>1115</v>
      </c>
      <c r="N2381">
        <v>3593.88</v>
      </c>
      <c r="O2381">
        <v>249</v>
      </c>
    </row>
    <row r="2382" spans="1:15" x14ac:dyDescent="0.2">
      <c r="A2382" s="6">
        <v>45832</v>
      </c>
      <c r="B2382" t="s">
        <v>15</v>
      </c>
      <c r="C2382" t="s">
        <v>16</v>
      </c>
      <c r="D2382" s="1">
        <v>45855</v>
      </c>
      <c r="E2382" t="s">
        <v>19</v>
      </c>
      <c r="F2382">
        <v>7700</v>
      </c>
      <c r="J2382">
        <v>2110.8000000000002</v>
      </c>
      <c r="K2382">
        <v>1650.8</v>
      </c>
      <c r="L2382">
        <v>0</v>
      </c>
      <c r="M2382" t="s">
        <v>18</v>
      </c>
      <c r="N2382">
        <v>0</v>
      </c>
      <c r="O2382">
        <v>0</v>
      </c>
    </row>
    <row r="2383" spans="1:15" x14ac:dyDescent="0.2">
      <c r="A2383" s="6">
        <v>45832</v>
      </c>
      <c r="B2383" t="s">
        <v>15</v>
      </c>
      <c r="C2383" t="s">
        <v>16</v>
      </c>
      <c r="D2383" s="1">
        <v>45855</v>
      </c>
      <c r="E2383" t="s">
        <v>17</v>
      </c>
      <c r="F2383">
        <v>6650</v>
      </c>
      <c r="G2383">
        <v>94.9</v>
      </c>
      <c r="H2383">
        <v>95</v>
      </c>
      <c r="I2383">
        <v>40.799999999999997</v>
      </c>
      <c r="J2383">
        <v>42</v>
      </c>
      <c r="K2383">
        <v>156</v>
      </c>
      <c r="L2383">
        <v>4106</v>
      </c>
      <c r="M2383" t="s">
        <v>1116</v>
      </c>
      <c r="N2383">
        <v>27542.93</v>
      </c>
      <c r="O2383">
        <v>748</v>
      </c>
    </row>
    <row r="2384" spans="1:15" x14ac:dyDescent="0.2">
      <c r="A2384" s="6">
        <v>45832</v>
      </c>
      <c r="B2384" t="s">
        <v>15</v>
      </c>
      <c r="C2384" t="s">
        <v>16</v>
      </c>
      <c r="D2384" s="1">
        <v>45855</v>
      </c>
      <c r="E2384" t="s">
        <v>17</v>
      </c>
      <c r="F2384">
        <v>3750</v>
      </c>
      <c r="J2384">
        <v>1826.3</v>
      </c>
      <c r="K2384">
        <v>2287</v>
      </c>
      <c r="L2384">
        <v>0</v>
      </c>
      <c r="M2384" t="s">
        <v>18</v>
      </c>
      <c r="N2384">
        <v>0</v>
      </c>
      <c r="O2384">
        <v>0</v>
      </c>
    </row>
    <row r="2385" spans="1:15" x14ac:dyDescent="0.2">
      <c r="A2385" s="6">
        <v>45832</v>
      </c>
      <c r="B2385" t="s">
        <v>15</v>
      </c>
      <c r="C2385" t="s">
        <v>16</v>
      </c>
      <c r="D2385" s="1">
        <v>45855</v>
      </c>
      <c r="E2385" t="s">
        <v>19</v>
      </c>
      <c r="F2385">
        <v>5450</v>
      </c>
      <c r="G2385">
        <v>120</v>
      </c>
      <c r="H2385">
        <v>204</v>
      </c>
      <c r="I2385">
        <v>120</v>
      </c>
      <c r="J2385">
        <v>165.8</v>
      </c>
      <c r="K2385">
        <v>91.8</v>
      </c>
      <c r="L2385">
        <v>20302</v>
      </c>
      <c r="M2385" t="s">
        <v>1117</v>
      </c>
      <c r="N2385">
        <v>113863.17</v>
      </c>
      <c r="O2385">
        <v>408</v>
      </c>
    </row>
    <row r="2386" spans="1:15" x14ac:dyDescent="0.2">
      <c r="A2386" s="6">
        <v>45832</v>
      </c>
      <c r="B2386" t="s">
        <v>15</v>
      </c>
      <c r="C2386" t="s">
        <v>16</v>
      </c>
      <c r="D2386" s="1">
        <v>45855</v>
      </c>
      <c r="E2386" t="s">
        <v>17</v>
      </c>
      <c r="F2386">
        <v>7350</v>
      </c>
      <c r="G2386">
        <v>45</v>
      </c>
      <c r="H2386">
        <v>46.6</v>
      </c>
      <c r="I2386">
        <v>24.2</v>
      </c>
      <c r="J2386">
        <v>28.7</v>
      </c>
      <c r="K2386">
        <v>72</v>
      </c>
      <c r="L2386">
        <v>997</v>
      </c>
      <c r="M2386" t="s">
        <v>1118</v>
      </c>
      <c r="N2386">
        <v>7362.79</v>
      </c>
      <c r="O2386">
        <v>252</v>
      </c>
    </row>
    <row r="2387" spans="1:15" x14ac:dyDescent="0.2">
      <c r="A2387" s="6">
        <v>45832</v>
      </c>
      <c r="B2387" t="s">
        <v>15</v>
      </c>
      <c r="C2387" t="s">
        <v>16</v>
      </c>
      <c r="D2387" s="1">
        <v>45855</v>
      </c>
      <c r="E2387" t="s">
        <v>19</v>
      </c>
      <c r="F2387">
        <v>4700</v>
      </c>
      <c r="J2387">
        <v>27.6</v>
      </c>
      <c r="K2387">
        <v>2</v>
      </c>
      <c r="L2387">
        <v>0</v>
      </c>
      <c r="M2387" t="s">
        <v>18</v>
      </c>
      <c r="N2387">
        <v>0</v>
      </c>
      <c r="O2387">
        <v>0</v>
      </c>
    </row>
    <row r="2388" spans="1:15" x14ac:dyDescent="0.2">
      <c r="A2388" s="6">
        <v>45832</v>
      </c>
      <c r="B2388" t="s">
        <v>15</v>
      </c>
      <c r="C2388" t="s">
        <v>16</v>
      </c>
      <c r="D2388" s="1">
        <v>45855</v>
      </c>
      <c r="E2388" t="s">
        <v>19</v>
      </c>
      <c r="F2388">
        <v>3750</v>
      </c>
      <c r="J2388">
        <v>0.2</v>
      </c>
      <c r="K2388">
        <v>0.1</v>
      </c>
      <c r="L2388">
        <v>0</v>
      </c>
      <c r="M2388" t="s">
        <v>18</v>
      </c>
      <c r="N2388">
        <v>0</v>
      </c>
      <c r="O2388">
        <v>0</v>
      </c>
    </row>
    <row r="2389" spans="1:15" x14ac:dyDescent="0.2">
      <c r="A2389" s="6">
        <v>45832</v>
      </c>
      <c r="B2389" t="s">
        <v>15</v>
      </c>
      <c r="C2389" t="s">
        <v>16</v>
      </c>
      <c r="D2389" s="1">
        <v>45855</v>
      </c>
      <c r="E2389" t="s">
        <v>17</v>
      </c>
      <c r="F2389">
        <v>6850</v>
      </c>
      <c r="G2389">
        <v>79.099999999999994</v>
      </c>
      <c r="H2389">
        <v>79.099999999999994</v>
      </c>
      <c r="I2389">
        <v>33.1</v>
      </c>
      <c r="J2389">
        <v>35</v>
      </c>
      <c r="K2389">
        <v>121.2</v>
      </c>
      <c r="L2389">
        <v>1492</v>
      </c>
      <c r="M2389" t="s">
        <v>1119</v>
      </c>
      <c r="N2389">
        <v>10289.450000000001</v>
      </c>
      <c r="O2389">
        <v>395</v>
      </c>
    </row>
    <row r="2390" spans="1:15" x14ac:dyDescent="0.2">
      <c r="A2390" s="6">
        <v>45832</v>
      </c>
      <c r="B2390" t="s">
        <v>15</v>
      </c>
      <c r="C2390" t="s">
        <v>16</v>
      </c>
      <c r="D2390" s="1">
        <v>45855</v>
      </c>
      <c r="E2390" t="s">
        <v>17</v>
      </c>
      <c r="F2390">
        <v>6700</v>
      </c>
      <c r="G2390">
        <v>89.9</v>
      </c>
      <c r="H2390">
        <v>89.9</v>
      </c>
      <c r="I2390">
        <v>38.799999999999997</v>
      </c>
      <c r="J2390">
        <v>39.700000000000003</v>
      </c>
      <c r="K2390">
        <v>144</v>
      </c>
      <c r="L2390">
        <v>9888</v>
      </c>
      <c r="M2390" t="s">
        <v>1120</v>
      </c>
      <c r="N2390">
        <v>66783.42</v>
      </c>
      <c r="O2390">
        <v>2216</v>
      </c>
    </row>
    <row r="2391" spans="1:15" x14ac:dyDescent="0.2">
      <c r="A2391" s="6">
        <v>45832</v>
      </c>
      <c r="B2391" t="s">
        <v>15</v>
      </c>
      <c r="C2391" t="s">
        <v>16</v>
      </c>
      <c r="D2391" s="1">
        <v>45855</v>
      </c>
      <c r="E2391" t="s">
        <v>17</v>
      </c>
      <c r="F2391">
        <v>6800</v>
      </c>
      <c r="G2391">
        <v>61.6</v>
      </c>
      <c r="H2391">
        <v>69.3</v>
      </c>
      <c r="I2391">
        <v>35</v>
      </c>
      <c r="J2391">
        <v>36.5</v>
      </c>
      <c r="K2391">
        <v>128.5</v>
      </c>
      <c r="L2391">
        <v>7085</v>
      </c>
      <c r="M2391" t="s">
        <v>1121</v>
      </c>
      <c r="N2391">
        <v>48536.05</v>
      </c>
      <c r="O2391">
        <v>1731</v>
      </c>
    </row>
    <row r="2392" spans="1:15" x14ac:dyDescent="0.2">
      <c r="A2392" s="6">
        <v>45832</v>
      </c>
      <c r="B2392" t="s">
        <v>15</v>
      </c>
      <c r="C2392" t="s">
        <v>16</v>
      </c>
      <c r="D2392" s="1">
        <v>45855</v>
      </c>
      <c r="E2392" t="s">
        <v>19</v>
      </c>
      <c r="F2392">
        <v>4550</v>
      </c>
      <c r="J2392">
        <v>15.4</v>
      </c>
      <c r="K2392">
        <v>0.8</v>
      </c>
      <c r="L2392">
        <v>0</v>
      </c>
      <c r="M2392" t="s">
        <v>18</v>
      </c>
      <c r="N2392">
        <v>0</v>
      </c>
      <c r="O2392">
        <v>0</v>
      </c>
    </row>
    <row r="2393" spans="1:15" x14ac:dyDescent="0.2">
      <c r="A2393" s="6">
        <v>45832</v>
      </c>
      <c r="B2393" t="s">
        <v>15</v>
      </c>
      <c r="C2393" t="s">
        <v>16</v>
      </c>
      <c r="D2393" s="1">
        <v>45855</v>
      </c>
      <c r="E2393" t="s">
        <v>19</v>
      </c>
      <c r="F2393">
        <v>7150</v>
      </c>
      <c r="J2393">
        <v>1569.6</v>
      </c>
      <c r="K2393">
        <v>1118.3</v>
      </c>
      <c r="L2393">
        <v>0</v>
      </c>
      <c r="M2393" t="s">
        <v>18</v>
      </c>
      <c r="N2393">
        <v>0</v>
      </c>
      <c r="O2393">
        <v>0</v>
      </c>
    </row>
    <row r="2394" spans="1:15" x14ac:dyDescent="0.2">
      <c r="A2394" s="6">
        <v>45832</v>
      </c>
      <c r="B2394" t="s">
        <v>15</v>
      </c>
      <c r="C2394" t="s">
        <v>16</v>
      </c>
      <c r="D2394" s="1">
        <v>45855</v>
      </c>
      <c r="E2394" t="s">
        <v>17</v>
      </c>
      <c r="F2394">
        <v>7500</v>
      </c>
      <c r="G2394">
        <v>44.9</v>
      </c>
      <c r="H2394">
        <v>44.9</v>
      </c>
      <c r="I2394">
        <v>22.5</v>
      </c>
      <c r="J2394">
        <v>26.5</v>
      </c>
      <c r="K2394">
        <v>62.9</v>
      </c>
      <c r="L2394">
        <v>8653</v>
      </c>
      <c r="M2394" t="s">
        <v>1122</v>
      </c>
      <c r="N2394">
        <v>65163.67</v>
      </c>
      <c r="O2394">
        <v>2826</v>
      </c>
    </row>
    <row r="2395" spans="1:15" x14ac:dyDescent="0.2">
      <c r="A2395" s="6">
        <v>45832</v>
      </c>
      <c r="B2395" t="s">
        <v>15</v>
      </c>
      <c r="C2395" t="s">
        <v>16</v>
      </c>
      <c r="D2395" s="1">
        <v>45855</v>
      </c>
      <c r="E2395" t="s">
        <v>17</v>
      </c>
      <c r="F2395">
        <v>6900</v>
      </c>
      <c r="G2395">
        <v>79.900000000000006</v>
      </c>
      <c r="H2395">
        <v>79.900000000000006</v>
      </c>
      <c r="I2395">
        <v>31.8</v>
      </c>
      <c r="J2395">
        <v>33.1</v>
      </c>
      <c r="K2395">
        <v>115</v>
      </c>
      <c r="L2395">
        <v>5781</v>
      </c>
      <c r="M2395" t="s">
        <v>1123</v>
      </c>
      <c r="N2395">
        <v>40152.269999999997</v>
      </c>
      <c r="O2395">
        <v>1757</v>
      </c>
    </row>
    <row r="2396" spans="1:15" x14ac:dyDescent="0.2">
      <c r="A2396" s="6">
        <v>45832</v>
      </c>
      <c r="B2396" t="s">
        <v>15</v>
      </c>
      <c r="C2396" t="s">
        <v>16</v>
      </c>
      <c r="D2396" s="1">
        <v>45855</v>
      </c>
      <c r="E2396" t="s">
        <v>19</v>
      </c>
      <c r="F2396">
        <v>5800</v>
      </c>
      <c r="G2396">
        <v>240.1</v>
      </c>
      <c r="H2396">
        <v>419.5</v>
      </c>
      <c r="I2396">
        <v>240.1</v>
      </c>
      <c r="J2396">
        <v>364.6</v>
      </c>
      <c r="K2396">
        <v>205.9</v>
      </c>
      <c r="L2396">
        <v>48237</v>
      </c>
      <c r="M2396" t="s">
        <v>1124</v>
      </c>
      <c r="N2396">
        <v>295434.52</v>
      </c>
      <c r="O2396">
        <v>2431</v>
      </c>
    </row>
    <row r="2397" spans="1:15" x14ac:dyDescent="0.2">
      <c r="A2397" s="6">
        <v>45832</v>
      </c>
      <c r="B2397" t="s">
        <v>15</v>
      </c>
      <c r="C2397" t="s">
        <v>16</v>
      </c>
      <c r="D2397" s="1">
        <v>45855</v>
      </c>
      <c r="E2397" t="s">
        <v>19</v>
      </c>
      <c r="F2397">
        <v>5200</v>
      </c>
      <c r="G2397">
        <v>70.099999999999994</v>
      </c>
      <c r="H2397">
        <v>111.4</v>
      </c>
      <c r="I2397">
        <v>61.3</v>
      </c>
      <c r="J2397">
        <v>88</v>
      </c>
      <c r="K2397">
        <v>49.6</v>
      </c>
      <c r="L2397">
        <v>49933</v>
      </c>
      <c r="M2397" t="s">
        <v>1125</v>
      </c>
      <c r="N2397">
        <v>263909.19</v>
      </c>
      <c r="O2397">
        <v>3483</v>
      </c>
    </row>
    <row r="2398" spans="1:15" x14ac:dyDescent="0.2">
      <c r="A2398" s="6">
        <v>45832</v>
      </c>
      <c r="B2398" t="s">
        <v>15</v>
      </c>
      <c r="C2398" t="s">
        <v>16</v>
      </c>
      <c r="D2398" s="1">
        <v>45855</v>
      </c>
      <c r="E2398" t="s">
        <v>19</v>
      </c>
      <c r="F2398">
        <v>4050</v>
      </c>
      <c r="J2398">
        <v>1.2</v>
      </c>
      <c r="K2398">
        <v>0.1</v>
      </c>
      <c r="L2398">
        <v>0</v>
      </c>
      <c r="M2398" t="s">
        <v>18</v>
      </c>
      <c r="N2398">
        <v>0</v>
      </c>
      <c r="O2398">
        <v>0</v>
      </c>
    </row>
    <row r="2399" spans="1:15" x14ac:dyDescent="0.2">
      <c r="A2399" s="6">
        <v>45832</v>
      </c>
      <c r="B2399" t="s">
        <v>15</v>
      </c>
      <c r="C2399" t="s">
        <v>16</v>
      </c>
      <c r="D2399" s="1">
        <v>45855</v>
      </c>
      <c r="E2399" t="s">
        <v>17</v>
      </c>
      <c r="F2399">
        <v>4500</v>
      </c>
      <c r="J2399">
        <v>1091.4000000000001</v>
      </c>
      <c r="K2399">
        <v>1540.5</v>
      </c>
      <c r="L2399">
        <v>0</v>
      </c>
      <c r="M2399" t="s">
        <v>18</v>
      </c>
      <c r="N2399">
        <v>0</v>
      </c>
      <c r="O2399">
        <v>0</v>
      </c>
    </row>
    <row r="2400" spans="1:15" x14ac:dyDescent="0.2">
      <c r="A2400" s="6">
        <v>45832</v>
      </c>
      <c r="B2400" t="s">
        <v>15</v>
      </c>
      <c r="C2400" t="s">
        <v>16</v>
      </c>
      <c r="D2400" s="1">
        <v>45855</v>
      </c>
      <c r="E2400" t="s">
        <v>17</v>
      </c>
      <c r="F2400">
        <v>5500</v>
      </c>
      <c r="G2400">
        <v>422.1</v>
      </c>
      <c r="H2400">
        <v>428.8</v>
      </c>
      <c r="I2400">
        <v>243.9</v>
      </c>
      <c r="J2400">
        <v>270.60000000000002</v>
      </c>
      <c r="K2400">
        <v>630.4</v>
      </c>
      <c r="L2400">
        <v>27215</v>
      </c>
      <c r="M2400" t="s">
        <v>1126</v>
      </c>
      <c r="N2400">
        <v>158098.23000000001</v>
      </c>
      <c r="O2400">
        <v>2453</v>
      </c>
    </row>
    <row r="2401" spans="1:15" x14ac:dyDescent="0.2">
      <c r="A2401" s="6">
        <v>45832</v>
      </c>
      <c r="B2401" t="s">
        <v>15</v>
      </c>
      <c r="C2401" t="s">
        <v>16</v>
      </c>
      <c r="D2401" s="1">
        <v>45855</v>
      </c>
      <c r="E2401" t="s">
        <v>17</v>
      </c>
      <c r="F2401">
        <v>4250</v>
      </c>
      <c r="J2401">
        <v>1331.8</v>
      </c>
      <c r="K2401">
        <v>1789</v>
      </c>
      <c r="L2401">
        <v>0</v>
      </c>
      <c r="M2401" t="s">
        <v>18</v>
      </c>
      <c r="N2401">
        <v>0</v>
      </c>
      <c r="O2401">
        <v>0</v>
      </c>
    </row>
    <row r="2402" spans="1:15" x14ac:dyDescent="0.2">
      <c r="A2402" s="6">
        <v>45832</v>
      </c>
      <c r="B2402" t="s">
        <v>15</v>
      </c>
      <c r="C2402" t="s">
        <v>16</v>
      </c>
      <c r="D2402" s="1">
        <v>45855</v>
      </c>
      <c r="E2402" t="s">
        <v>17</v>
      </c>
      <c r="F2402">
        <v>6950</v>
      </c>
      <c r="G2402">
        <v>50.4</v>
      </c>
      <c r="H2402">
        <v>60</v>
      </c>
      <c r="I2402">
        <v>31.2</v>
      </c>
      <c r="J2402">
        <v>32.799999999999997</v>
      </c>
      <c r="K2402">
        <v>109.2</v>
      </c>
      <c r="L2402">
        <v>1628</v>
      </c>
      <c r="M2402" t="s">
        <v>1127</v>
      </c>
      <c r="N2402">
        <v>11388.3</v>
      </c>
      <c r="O2402">
        <v>348</v>
      </c>
    </row>
    <row r="2403" spans="1:15" x14ac:dyDescent="0.2">
      <c r="A2403" s="6">
        <v>45832</v>
      </c>
      <c r="B2403" t="s">
        <v>15</v>
      </c>
      <c r="C2403" t="s">
        <v>16</v>
      </c>
      <c r="D2403" s="1">
        <v>45855</v>
      </c>
      <c r="E2403" t="s">
        <v>17</v>
      </c>
      <c r="F2403">
        <v>5200</v>
      </c>
      <c r="G2403">
        <v>643.79999999999995</v>
      </c>
      <c r="H2403">
        <v>643.79999999999995</v>
      </c>
      <c r="I2403">
        <v>430</v>
      </c>
      <c r="J2403">
        <v>470.1</v>
      </c>
      <c r="K2403">
        <v>1252.9000000000001</v>
      </c>
      <c r="L2403">
        <v>437</v>
      </c>
      <c r="M2403" t="s">
        <v>515</v>
      </c>
      <c r="N2403">
        <v>2498.9899999999998</v>
      </c>
      <c r="O2403">
        <v>68</v>
      </c>
    </row>
    <row r="2404" spans="1:15" x14ac:dyDescent="0.2">
      <c r="A2404" s="6">
        <v>45832</v>
      </c>
      <c r="B2404" t="s">
        <v>15</v>
      </c>
      <c r="C2404" t="s">
        <v>16</v>
      </c>
      <c r="D2404" s="1">
        <v>45855</v>
      </c>
      <c r="E2404" t="s">
        <v>17</v>
      </c>
      <c r="F2404">
        <v>4150</v>
      </c>
      <c r="J2404">
        <v>1429.9</v>
      </c>
      <c r="K2404">
        <v>1888.6</v>
      </c>
      <c r="L2404">
        <v>0</v>
      </c>
      <c r="M2404" t="s">
        <v>18</v>
      </c>
      <c r="N2404">
        <v>0</v>
      </c>
      <c r="O2404">
        <v>0</v>
      </c>
    </row>
    <row r="2405" spans="1:15" x14ac:dyDescent="0.2">
      <c r="A2405" s="6">
        <v>45832</v>
      </c>
      <c r="B2405" t="s">
        <v>15</v>
      </c>
      <c r="C2405" t="s">
        <v>16</v>
      </c>
      <c r="D2405" s="1">
        <v>45855</v>
      </c>
      <c r="E2405" t="s">
        <v>17</v>
      </c>
      <c r="F2405">
        <v>5900</v>
      </c>
      <c r="G2405">
        <v>245.5</v>
      </c>
      <c r="H2405">
        <v>245.5</v>
      </c>
      <c r="I2405">
        <v>111.1</v>
      </c>
      <c r="J2405">
        <v>121.6</v>
      </c>
      <c r="K2405">
        <v>390.7</v>
      </c>
      <c r="L2405">
        <v>74938</v>
      </c>
      <c r="M2405" t="s">
        <v>1128</v>
      </c>
      <c r="N2405">
        <v>454298.85</v>
      </c>
      <c r="O2405">
        <v>3587</v>
      </c>
    </row>
    <row r="2406" spans="1:15" x14ac:dyDescent="0.2">
      <c r="A2406" s="6">
        <v>45832</v>
      </c>
      <c r="B2406" t="s">
        <v>15</v>
      </c>
      <c r="C2406" t="s">
        <v>16</v>
      </c>
      <c r="D2406" s="1">
        <v>45855</v>
      </c>
      <c r="E2406" t="s">
        <v>19</v>
      </c>
      <c r="F2406">
        <v>3900</v>
      </c>
      <c r="J2406">
        <v>0.5</v>
      </c>
      <c r="K2406">
        <v>0.1</v>
      </c>
      <c r="L2406">
        <v>0</v>
      </c>
      <c r="M2406" t="s">
        <v>18</v>
      </c>
      <c r="N2406">
        <v>0</v>
      </c>
      <c r="O2406">
        <v>0</v>
      </c>
    </row>
    <row r="2407" spans="1:15" x14ac:dyDescent="0.2">
      <c r="A2407" s="6">
        <v>45832</v>
      </c>
      <c r="B2407" t="s">
        <v>15</v>
      </c>
      <c r="C2407" t="s">
        <v>16</v>
      </c>
      <c r="D2407" s="1">
        <v>45855</v>
      </c>
      <c r="E2407" t="s">
        <v>19</v>
      </c>
      <c r="F2407">
        <v>7250</v>
      </c>
      <c r="J2407">
        <v>1667.1</v>
      </c>
      <c r="K2407">
        <v>1213.2</v>
      </c>
      <c r="L2407">
        <v>0</v>
      </c>
      <c r="M2407" t="s">
        <v>18</v>
      </c>
      <c r="N2407">
        <v>0</v>
      </c>
      <c r="O2407">
        <v>0</v>
      </c>
    </row>
    <row r="2408" spans="1:15" x14ac:dyDescent="0.2">
      <c r="A2408" s="6">
        <v>45832</v>
      </c>
      <c r="B2408" t="s">
        <v>15</v>
      </c>
      <c r="C2408" t="s">
        <v>16</v>
      </c>
      <c r="D2408" s="1">
        <v>45855</v>
      </c>
      <c r="E2408" t="s">
        <v>17</v>
      </c>
      <c r="F2408">
        <v>6500</v>
      </c>
      <c r="G2408">
        <v>115.1</v>
      </c>
      <c r="H2408">
        <v>122.9</v>
      </c>
      <c r="I2408">
        <v>48.7</v>
      </c>
      <c r="J2408">
        <v>50.1</v>
      </c>
      <c r="K2408">
        <v>184.8</v>
      </c>
      <c r="L2408">
        <v>56353</v>
      </c>
      <c r="M2408" t="s">
        <v>1129</v>
      </c>
      <c r="N2408">
        <v>370322.36</v>
      </c>
      <c r="O2408">
        <v>13271</v>
      </c>
    </row>
    <row r="2409" spans="1:15" x14ac:dyDescent="0.2">
      <c r="A2409" s="6">
        <v>45832</v>
      </c>
      <c r="B2409" t="s">
        <v>15</v>
      </c>
      <c r="C2409" t="s">
        <v>16</v>
      </c>
      <c r="D2409" s="1">
        <v>45855</v>
      </c>
      <c r="E2409" t="s">
        <v>17</v>
      </c>
      <c r="F2409">
        <v>6250</v>
      </c>
      <c r="G2409">
        <v>115.2</v>
      </c>
      <c r="H2409">
        <v>136.69999999999999</v>
      </c>
      <c r="I2409">
        <v>63.7</v>
      </c>
      <c r="J2409">
        <v>66.5</v>
      </c>
      <c r="K2409">
        <v>255.7</v>
      </c>
      <c r="L2409">
        <v>7647</v>
      </c>
      <c r="M2409" t="s">
        <v>1130</v>
      </c>
      <c r="N2409">
        <v>48547.73</v>
      </c>
      <c r="O2409">
        <v>1305</v>
      </c>
    </row>
    <row r="2410" spans="1:15" x14ac:dyDescent="0.2">
      <c r="A2410" s="6">
        <v>45832</v>
      </c>
      <c r="B2410" t="s">
        <v>15</v>
      </c>
      <c r="C2410" t="s">
        <v>16</v>
      </c>
      <c r="D2410" s="1">
        <v>45855</v>
      </c>
      <c r="E2410" t="s">
        <v>17</v>
      </c>
      <c r="F2410">
        <v>6200</v>
      </c>
      <c r="G2410">
        <v>150</v>
      </c>
      <c r="H2410">
        <v>150</v>
      </c>
      <c r="I2410">
        <v>67</v>
      </c>
      <c r="J2410">
        <v>71.8</v>
      </c>
      <c r="K2410">
        <v>271.89999999999998</v>
      </c>
      <c r="L2410">
        <v>42282</v>
      </c>
      <c r="M2410" t="s">
        <v>1131</v>
      </c>
      <c r="N2410">
        <v>266531.84999999998</v>
      </c>
      <c r="O2410">
        <v>3945</v>
      </c>
    </row>
    <row r="2411" spans="1:15" x14ac:dyDescent="0.2">
      <c r="A2411" s="6">
        <v>45832</v>
      </c>
      <c r="B2411" t="s">
        <v>15</v>
      </c>
      <c r="C2411" t="s">
        <v>16</v>
      </c>
      <c r="D2411" s="1">
        <v>45855</v>
      </c>
      <c r="E2411" t="s">
        <v>19</v>
      </c>
      <c r="F2411">
        <v>7500</v>
      </c>
      <c r="J2411">
        <v>1912.9</v>
      </c>
      <c r="K2411">
        <v>1454.7</v>
      </c>
      <c r="L2411">
        <v>0</v>
      </c>
      <c r="M2411" t="s">
        <v>18</v>
      </c>
      <c r="N2411">
        <v>0</v>
      </c>
      <c r="O2411">
        <v>0</v>
      </c>
    </row>
    <row r="2412" spans="1:15" x14ac:dyDescent="0.2">
      <c r="A2412" s="6">
        <v>45832</v>
      </c>
      <c r="B2412" t="s">
        <v>15</v>
      </c>
      <c r="C2412" t="s">
        <v>16</v>
      </c>
      <c r="D2412" s="1">
        <v>45855</v>
      </c>
      <c r="E2412" t="s">
        <v>17</v>
      </c>
      <c r="F2412">
        <v>5050</v>
      </c>
      <c r="J2412">
        <v>615.9</v>
      </c>
      <c r="K2412">
        <v>1004.1</v>
      </c>
      <c r="L2412">
        <v>0</v>
      </c>
      <c r="M2412" t="s">
        <v>18</v>
      </c>
      <c r="N2412">
        <v>0</v>
      </c>
      <c r="O2412">
        <v>0</v>
      </c>
    </row>
    <row r="2413" spans="1:15" x14ac:dyDescent="0.2">
      <c r="A2413" s="6">
        <v>45832</v>
      </c>
      <c r="B2413" t="s">
        <v>15</v>
      </c>
      <c r="C2413" t="s">
        <v>16</v>
      </c>
      <c r="D2413" s="1">
        <v>45855</v>
      </c>
      <c r="E2413" t="s">
        <v>19</v>
      </c>
      <c r="F2413">
        <v>5150</v>
      </c>
      <c r="G2413">
        <v>57.7</v>
      </c>
      <c r="H2413">
        <v>100.5</v>
      </c>
      <c r="I2413">
        <v>54.8</v>
      </c>
      <c r="J2413">
        <v>79.2</v>
      </c>
      <c r="K2413">
        <v>46.6</v>
      </c>
      <c r="L2413">
        <v>6424</v>
      </c>
      <c r="M2413" t="s">
        <v>1132</v>
      </c>
      <c r="N2413">
        <v>33579.42</v>
      </c>
      <c r="O2413">
        <v>548</v>
      </c>
    </row>
    <row r="2414" spans="1:15" x14ac:dyDescent="0.2">
      <c r="A2414" s="6">
        <v>45832</v>
      </c>
      <c r="B2414" t="s">
        <v>15</v>
      </c>
      <c r="C2414" t="s">
        <v>16</v>
      </c>
      <c r="D2414" s="1">
        <v>45855</v>
      </c>
      <c r="E2414" t="s">
        <v>17</v>
      </c>
      <c r="F2414">
        <v>4600</v>
      </c>
      <c r="J2414">
        <v>998.2</v>
      </c>
      <c r="K2414">
        <v>1441.4</v>
      </c>
      <c r="L2414">
        <v>0</v>
      </c>
      <c r="M2414" t="s">
        <v>18</v>
      </c>
      <c r="N2414">
        <v>0</v>
      </c>
      <c r="O2414">
        <v>0</v>
      </c>
    </row>
    <row r="2415" spans="1:15" x14ac:dyDescent="0.2">
      <c r="A2415" s="6">
        <v>45832</v>
      </c>
      <c r="B2415" t="s">
        <v>15</v>
      </c>
      <c r="C2415" t="s">
        <v>16</v>
      </c>
      <c r="D2415" s="1">
        <v>45855</v>
      </c>
      <c r="E2415" t="s">
        <v>17</v>
      </c>
      <c r="F2415">
        <v>5150</v>
      </c>
      <c r="J2415">
        <v>542.29999999999995</v>
      </c>
      <c r="K2415">
        <v>911</v>
      </c>
      <c r="L2415">
        <v>0</v>
      </c>
      <c r="M2415" t="s">
        <v>18</v>
      </c>
      <c r="N2415">
        <v>0</v>
      </c>
      <c r="O2415">
        <v>2</v>
      </c>
    </row>
    <row r="2416" spans="1:15" x14ac:dyDescent="0.2">
      <c r="A2416" s="6">
        <v>45832</v>
      </c>
      <c r="B2416" t="s">
        <v>15</v>
      </c>
      <c r="C2416" t="s">
        <v>16</v>
      </c>
      <c r="D2416" s="1">
        <v>45855</v>
      </c>
      <c r="E2416" t="s">
        <v>17</v>
      </c>
      <c r="F2416">
        <v>5450</v>
      </c>
      <c r="G2416">
        <v>440.1</v>
      </c>
      <c r="H2416">
        <v>460.1</v>
      </c>
      <c r="I2416">
        <v>268.89999999999998</v>
      </c>
      <c r="J2416">
        <v>297.8</v>
      </c>
      <c r="K2416">
        <v>649.6</v>
      </c>
      <c r="L2416">
        <v>2151</v>
      </c>
      <c r="M2416" t="s">
        <v>449</v>
      </c>
      <c r="N2416">
        <v>12472.58</v>
      </c>
      <c r="O2416">
        <v>132</v>
      </c>
    </row>
    <row r="2417" spans="1:15" x14ac:dyDescent="0.2">
      <c r="A2417" s="6">
        <v>45832</v>
      </c>
      <c r="B2417" t="s">
        <v>15</v>
      </c>
      <c r="C2417" t="s">
        <v>16</v>
      </c>
      <c r="D2417" s="1">
        <v>45855</v>
      </c>
      <c r="E2417" t="s">
        <v>17</v>
      </c>
      <c r="F2417">
        <v>5800</v>
      </c>
      <c r="G2417">
        <v>266.7</v>
      </c>
      <c r="H2417">
        <v>272</v>
      </c>
      <c r="I2417">
        <v>134.9</v>
      </c>
      <c r="J2417">
        <v>148</v>
      </c>
      <c r="K2417">
        <v>446.6</v>
      </c>
      <c r="L2417">
        <v>99903</v>
      </c>
      <c r="M2417" t="s">
        <v>1133</v>
      </c>
      <c r="N2417">
        <v>599345.04</v>
      </c>
      <c r="O2417">
        <v>5509</v>
      </c>
    </row>
    <row r="2418" spans="1:15" x14ac:dyDescent="0.2">
      <c r="A2418" s="6">
        <v>45832</v>
      </c>
      <c r="B2418" t="s">
        <v>15</v>
      </c>
      <c r="C2418" t="s">
        <v>16</v>
      </c>
      <c r="D2418" s="1">
        <v>45855</v>
      </c>
      <c r="E2418" t="s">
        <v>19</v>
      </c>
      <c r="F2418">
        <v>6550</v>
      </c>
      <c r="G2418">
        <v>1001</v>
      </c>
      <c r="H2418">
        <v>1001</v>
      </c>
      <c r="I2418">
        <v>876.8</v>
      </c>
      <c r="J2418">
        <v>906.2</v>
      </c>
      <c r="K2418">
        <v>678.8</v>
      </c>
      <c r="L2418">
        <v>8</v>
      </c>
      <c r="M2418" t="s">
        <v>71</v>
      </c>
      <c r="N2418">
        <v>59.65</v>
      </c>
      <c r="O2418">
        <v>55</v>
      </c>
    </row>
    <row r="2419" spans="1:15" x14ac:dyDescent="0.2">
      <c r="A2419" s="6">
        <v>45832</v>
      </c>
      <c r="B2419" t="s">
        <v>15</v>
      </c>
      <c r="C2419" t="s">
        <v>16</v>
      </c>
      <c r="D2419" s="1">
        <v>45855</v>
      </c>
      <c r="E2419" t="s">
        <v>17</v>
      </c>
      <c r="F2419">
        <v>4000</v>
      </c>
      <c r="J2419">
        <v>1578</v>
      </c>
      <c r="K2419">
        <v>2038</v>
      </c>
      <c r="L2419">
        <v>0</v>
      </c>
      <c r="M2419" t="s">
        <v>18</v>
      </c>
      <c r="N2419">
        <v>0</v>
      </c>
      <c r="O2419">
        <v>0</v>
      </c>
    </row>
    <row r="2420" spans="1:15" x14ac:dyDescent="0.2">
      <c r="A2420" s="6">
        <v>45832</v>
      </c>
      <c r="B2420" t="s">
        <v>15</v>
      </c>
      <c r="C2420" t="s">
        <v>16</v>
      </c>
      <c r="D2420" s="1">
        <v>45855</v>
      </c>
      <c r="E2420" t="s">
        <v>19</v>
      </c>
      <c r="F2420">
        <v>4650</v>
      </c>
      <c r="J2420">
        <v>22.9</v>
      </c>
      <c r="K2420">
        <v>1.5</v>
      </c>
      <c r="L2420">
        <v>0</v>
      </c>
      <c r="M2420" t="s">
        <v>18</v>
      </c>
      <c r="N2420">
        <v>0</v>
      </c>
      <c r="O2420">
        <v>0</v>
      </c>
    </row>
    <row r="2421" spans="1:15" x14ac:dyDescent="0.2">
      <c r="A2421" s="6">
        <v>45832</v>
      </c>
      <c r="B2421" t="s">
        <v>15</v>
      </c>
      <c r="C2421" t="s">
        <v>16</v>
      </c>
      <c r="D2421" s="1">
        <v>45855</v>
      </c>
      <c r="E2421" t="s">
        <v>17</v>
      </c>
      <c r="F2421">
        <v>6350</v>
      </c>
      <c r="G2421">
        <v>117.8</v>
      </c>
      <c r="H2421">
        <v>120</v>
      </c>
      <c r="I2421">
        <v>56.5</v>
      </c>
      <c r="J2421">
        <v>59.5</v>
      </c>
      <c r="K2421">
        <v>223</v>
      </c>
      <c r="L2421">
        <v>7162</v>
      </c>
      <c r="M2421" t="s">
        <v>1134</v>
      </c>
      <c r="N2421">
        <v>46108.97</v>
      </c>
      <c r="O2421">
        <v>1503</v>
      </c>
    </row>
    <row r="2422" spans="1:15" x14ac:dyDescent="0.2">
      <c r="A2422" s="6">
        <v>45832</v>
      </c>
      <c r="B2422" t="s">
        <v>15</v>
      </c>
      <c r="C2422" t="s">
        <v>16</v>
      </c>
      <c r="D2422" s="1">
        <v>45855</v>
      </c>
      <c r="E2422" t="s">
        <v>17</v>
      </c>
      <c r="F2422">
        <v>6000</v>
      </c>
      <c r="G2422">
        <v>200</v>
      </c>
      <c r="H2422">
        <v>200</v>
      </c>
      <c r="I2422">
        <v>91.8</v>
      </c>
      <c r="J2422">
        <v>99.2</v>
      </c>
      <c r="K2422">
        <v>343</v>
      </c>
      <c r="L2422">
        <v>113036</v>
      </c>
      <c r="M2422" t="s">
        <v>1135</v>
      </c>
      <c r="N2422">
        <v>693728.82</v>
      </c>
      <c r="O2422">
        <v>8954</v>
      </c>
    </row>
    <row r="2423" spans="1:15" x14ac:dyDescent="0.2">
      <c r="A2423" s="6">
        <v>45832</v>
      </c>
      <c r="B2423" t="s">
        <v>15</v>
      </c>
      <c r="C2423" t="s">
        <v>16</v>
      </c>
      <c r="D2423" s="1">
        <v>45855</v>
      </c>
      <c r="E2423" t="s">
        <v>17</v>
      </c>
      <c r="F2423">
        <v>4050</v>
      </c>
      <c r="J2423">
        <v>1528.5</v>
      </c>
      <c r="K2423">
        <v>1988.2</v>
      </c>
      <c r="L2423">
        <v>0</v>
      </c>
      <c r="M2423" t="s">
        <v>18</v>
      </c>
      <c r="N2423">
        <v>0</v>
      </c>
      <c r="O2423">
        <v>0</v>
      </c>
    </row>
    <row r="2424" spans="1:15" x14ac:dyDescent="0.2">
      <c r="A2424" s="6">
        <v>45832</v>
      </c>
      <c r="B2424" t="s">
        <v>15</v>
      </c>
      <c r="C2424" t="s">
        <v>16</v>
      </c>
      <c r="D2424" s="1">
        <v>45855</v>
      </c>
      <c r="E2424" t="s">
        <v>17</v>
      </c>
      <c r="F2424">
        <v>7000</v>
      </c>
      <c r="G2424">
        <v>75</v>
      </c>
      <c r="H2424">
        <v>80</v>
      </c>
      <c r="I2424">
        <v>31.4</v>
      </c>
      <c r="J2424">
        <v>32</v>
      </c>
      <c r="K2424">
        <v>105.4</v>
      </c>
      <c r="L2424">
        <v>29565</v>
      </c>
      <c r="M2424" t="s">
        <v>1136</v>
      </c>
      <c r="N2424">
        <v>208189.79</v>
      </c>
      <c r="O2424">
        <v>7080</v>
      </c>
    </row>
    <row r="2425" spans="1:15" x14ac:dyDescent="0.2">
      <c r="A2425" s="6">
        <v>45832</v>
      </c>
      <c r="B2425" t="s">
        <v>15</v>
      </c>
      <c r="C2425" t="s">
        <v>16</v>
      </c>
      <c r="D2425" s="1">
        <v>45855</v>
      </c>
      <c r="E2425" t="s">
        <v>19</v>
      </c>
      <c r="F2425">
        <v>4100</v>
      </c>
      <c r="J2425">
        <v>1.7</v>
      </c>
      <c r="K2425">
        <v>0.1</v>
      </c>
      <c r="L2425">
        <v>0</v>
      </c>
      <c r="M2425" t="s">
        <v>18</v>
      </c>
      <c r="N2425">
        <v>0</v>
      </c>
      <c r="O2425">
        <v>0</v>
      </c>
    </row>
    <row r="2426" spans="1:15" x14ac:dyDescent="0.2">
      <c r="A2426" s="6">
        <v>45832</v>
      </c>
      <c r="B2426" t="s">
        <v>15</v>
      </c>
      <c r="C2426" t="s">
        <v>16</v>
      </c>
      <c r="D2426" s="1">
        <v>45855</v>
      </c>
      <c r="E2426" t="s">
        <v>17</v>
      </c>
      <c r="F2426">
        <v>7050</v>
      </c>
      <c r="G2426">
        <v>42.8</v>
      </c>
      <c r="H2426">
        <v>56.5</v>
      </c>
      <c r="I2426">
        <v>31</v>
      </c>
      <c r="J2426">
        <v>33.1</v>
      </c>
      <c r="K2426">
        <v>100</v>
      </c>
      <c r="L2426">
        <v>683</v>
      </c>
      <c r="M2426" t="s">
        <v>1137</v>
      </c>
      <c r="N2426">
        <v>4842.5200000000004</v>
      </c>
      <c r="O2426">
        <v>174</v>
      </c>
    </row>
    <row r="2427" spans="1:15" x14ac:dyDescent="0.2">
      <c r="A2427" s="6">
        <v>45832</v>
      </c>
      <c r="B2427" t="s">
        <v>15</v>
      </c>
      <c r="C2427" t="s">
        <v>16</v>
      </c>
      <c r="D2427" s="1">
        <v>45855</v>
      </c>
      <c r="E2427" t="s">
        <v>19</v>
      </c>
      <c r="F2427">
        <v>7350</v>
      </c>
      <c r="J2427">
        <v>1765.2</v>
      </c>
      <c r="K2427">
        <v>1309.0999999999999</v>
      </c>
      <c r="L2427">
        <v>0</v>
      </c>
      <c r="M2427" t="s">
        <v>18</v>
      </c>
      <c r="N2427">
        <v>0</v>
      </c>
      <c r="O2427">
        <v>0</v>
      </c>
    </row>
    <row r="2428" spans="1:15" x14ac:dyDescent="0.2">
      <c r="A2428" s="6">
        <v>45832</v>
      </c>
      <c r="B2428" t="s">
        <v>15</v>
      </c>
      <c r="C2428" t="s">
        <v>16</v>
      </c>
      <c r="D2428" s="1">
        <v>45855</v>
      </c>
      <c r="E2428" t="s">
        <v>19</v>
      </c>
      <c r="F2428">
        <v>6850</v>
      </c>
      <c r="J2428">
        <v>1281.2</v>
      </c>
      <c r="K2428">
        <v>691</v>
      </c>
      <c r="L2428">
        <v>0</v>
      </c>
      <c r="M2428" t="s">
        <v>18</v>
      </c>
      <c r="N2428">
        <v>0</v>
      </c>
      <c r="O2428">
        <v>18</v>
      </c>
    </row>
    <row r="2429" spans="1:15" x14ac:dyDescent="0.2">
      <c r="A2429" s="6">
        <v>45832</v>
      </c>
      <c r="B2429" t="s">
        <v>15</v>
      </c>
      <c r="C2429" t="s">
        <v>16</v>
      </c>
      <c r="D2429" s="1">
        <v>45855</v>
      </c>
      <c r="E2429" t="s">
        <v>19</v>
      </c>
      <c r="F2429">
        <v>4400</v>
      </c>
      <c r="J2429">
        <v>8</v>
      </c>
      <c r="K2429">
        <v>0.3</v>
      </c>
      <c r="L2429">
        <v>0</v>
      </c>
      <c r="M2429" t="s">
        <v>18</v>
      </c>
      <c r="N2429">
        <v>0</v>
      </c>
      <c r="O2429">
        <v>0</v>
      </c>
    </row>
    <row r="2430" spans="1:15" x14ac:dyDescent="0.2">
      <c r="A2430" s="6">
        <v>45832</v>
      </c>
      <c r="B2430" t="s">
        <v>15</v>
      </c>
      <c r="C2430" t="s">
        <v>16</v>
      </c>
      <c r="D2430" s="1">
        <v>45855</v>
      </c>
      <c r="E2430" t="s">
        <v>19</v>
      </c>
      <c r="F2430">
        <v>5000</v>
      </c>
      <c r="G2430">
        <v>42</v>
      </c>
      <c r="H2430">
        <v>73.400000000000006</v>
      </c>
      <c r="I2430">
        <v>40</v>
      </c>
      <c r="J2430">
        <v>58.7</v>
      </c>
      <c r="K2430">
        <v>36.4</v>
      </c>
      <c r="L2430">
        <v>44461</v>
      </c>
      <c r="M2430" t="s">
        <v>1138</v>
      </c>
      <c r="N2430">
        <v>224756.27</v>
      </c>
      <c r="O2430">
        <v>2596</v>
      </c>
    </row>
    <row r="2431" spans="1:15" x14ac:dyDescent="0.2">
      <c r="A2431" s="6">
        <v>45832</v>
      </c>
      <c r="B2431" t="s">
        <v>15</v>
      </c>
      <c r="C2431" t="s">
        <v>16</v>
      </c>
      <c r="D2431" s="1">
        <v>45855</v>
      </c>
      <c r="E2431" t="s">
        <v>19</v>
      </c>
      <c r="F2431">
        <v>4500</v>
      </c>
      <c r="G2431">
        <v>21.1</v>
      </c>
      <c r="H2431">
        <v>30.5</v>
      </c>
      <c r="I2431">
        <v>19.399999999999999</v>
      </c>
      <c r="J2431">
        <v>27</v>
      </c>
      <c r="K2431">
        <v>21.1</v>
      </c>
      <c r="L2431">
        <v>7954</v>
      </c>
      <c r="M2431" t="s">
        <v>1139</v>
      </c>
      <c r="N2431">
        <v>35989.31</v>
      </c>
      <c r="O2431">
        <v>857</v>
      </c>
    </row>
    <row r="2432" spans="1:15" x14ac:dyDescent="0.2">
      <c r="A2432" s="6">
        <v>45832</v>
      </c>
      <c r="B2432" t="s">
        <v>15</v>
      </c>
      <c r="C2432" t="s">
        <v>16</v>
      </c>
      <c r="D2432" s="1">
        <v>45855</v>
      </c>
      <c r="E2432" t="s">
        <v>19</v>
      </c>
      <c r="F2432">
        <v>5350</v>
      </c>
      <c r="G2432">
        <v>83.5</v>
      </c>
      <c r="H2432">
        <v>160.30000000000001</v>
      </c>
      <c r="I2432">
        <v>83.5</v>
      </c>
      <c r="J2432">
        <v>128.69999999999999</v>
      </c>
      <c r="K2432">
        <v>69.599999999999994</v>
      </c>
      <c r="L2432">
        <v>9789</v>
      </c>
      <c r="M2432" t="s">
        <v>1140</v>
      </c>
      <c r="N2432">
        <v>53588.74</v>
      </c>
      <c r="O2432">
        <v>260</v>
      </c>
    </row>
    <row r="2433" spans="1:15" x14ac:dyDescent="0.2">
      <c r="A2433" s="6">
        <v>45832</v>
      </c>
      <c r="B2433" t="s">
        <v>15</v>
      </c>
      <c r="C2433" t="s">
        <v>16</v>
      </c>
      <c r="D2433" s="1">
        <v>45855</v>
      </c>
      <c r="E2433" t="s">
        <v>17</v>
      </c>
      <c r="F2433">
        <v>6300</v>
      </c>
      <c r="G2433">
        <v>94</v>
      </c>
      <c r="H2433">
        <v>141.19999999999999</v>
      </c>
      <c r="I2433">
        <v>59.4</v>
      </c>
      <c r="J2433">
        <v>63.2</v>
      </c>
      <c r="K2433">
        <v>236.6</v>
      </c>
      <c r="L2433">
        <v>32650</v>
      </c>
      <c r="M2433" t="s">
        <v>1141</v>
      </c>
      <c r="N2433">
        <v>208660.05</v>
      </c>
      <c r="O2433">
        <v>4024</v>
      </c>
    </row>
    <row r="2434" spans="1:15" x14ac:dyDescent="0.2">
      <c r="A2434" s="6">
        <v>45832</v>
      </c>
      <c r="B2434" t="s">
        <v>15</v>
      </c>
      <c r="C2434" t="s">
        <v>16</v>
      </c>
      <c r="D2434" s="1">
        <v>45855</v>
      </c>
      <c r="E2434" t="s">
        <v>17</v>
      </c>
      <c r="F2434">
        <v>4850</v>
      </c>
      <c r="J2434">
        <v>776.7</v>
      </c>
      <c r="K2434">
        <v>1195.8</v>
      </c>
      <c r="L2434">
        <v>0</v>
      </c>
      <c r="M2434" t="s">
        <v>18</v>
      </c>
      <c r="N2434">
        <v>0</v>
      </c>
      <c r="O2434">
        <v>0</v>
      </c>
    </row>
    <row r="2435" spans="1:15" x14ac:dyDescent="0.2">
      <c r="A2435" s="6">
        <v>45832</v>
      </c>
      <c r="B2435" t="s">
        <v>15</v>
      </c>
      <c r="C2435" t="s">
        <v>16</v>
      </c>
      <c r="D2435" s="1">
        <v>45855</v>
      </c>
      <c r="E2435" t="s">
        <v>17</v>
      </c>
      <c r="F2435">
        <v>4700</v>
      </c>
      <c r="J2435">
        <v>907.3</v>
      </c>
      <c r="K2435">
        <v>1342.7</v>
      </c>
      <c r="L2435">
        <v>0</v>
      </c>
      <c r="M2435" t="s">
        <v>18</v>
      </c>
      <c r="N2435">
        <v>0</v>
      </c>
      <c r="O2435">
        <v>0</v>
      </c>
    </row>
    <row r="2436" spans="1:15" x14ac:dyDescent="0.2">
      <c r="A2436" s="6">
        <v>45832</v>
      </c>
      <c r="B2436" t="s">
        <v>15</v>
      </c>
      <c r="C2436" t="s">
        <v>16</v>
      </c>
      <c r="D2436" s="1">
        <v>45855</v>
      </c>
      <c r="E2436" t="s">
        <v>17</v>
      </c>
      <c r="F2436">
        <v>4550</v>
      </c>
      <c r="J2436">
        <v>1044.5</v>
      </c>
      <c r="K2436">
        <v>1490.9</v>
      </c>
      <c r="L2436">
        <v>0</v>
      </c>
      <c r="M2436" t="s">
        <v>18</v>
      </c>
      <c r="N2436">
        <v>0</v>
      </c>
      <c r="O2436">
        <v>0</v>
      </c>
    </row>
    <row r="2437" spans="1:15" x14ac:dyDescent="0.2">
      <c r="A2437" s="6">
        <v>45832</v>
      </c>
      <c r="B2437" t="s">
        <v>15</v>
      </c>
      <c r="C2437" t="s">
        <v>16</v>
      </c>
      <c r="D2437" s="1">
        <v>45855</v>
      </c>
      <c r="E2437" t="s">
        <v>17</v>
      </c>
      <c r="F2437">
        <v>6450</v>
      </c>
      <c r="G2437">
        <v>127.7</v>
      </c>
      <c r="H2437">
        <v>127.7</v>
      </c>
      <c r="I2437">
        <v>52</v>
      </c>
      <c r="J2437">
        <v>53.8</v>
      </c>
      <c r="K2437">
        <v>201.8</v>
      </c>
      <c r="L2437">
        <v>5722</v>
      </c>
      <c r="M2437" t="s">
        <v>1142</v>
      </c>
      <c r="N2437">
        <v>37355.31</v>
      </c>
      <c r="O2437">
        <v>1523</v>
      </c>
    </row>
    <row r="2438" spans="1:15" x14ac:dyDescent="0.2">
      <c r="A2438" s="6">
        <v>45832</v>
      </c>
      <c r="B2438" t="s">
        <v>15</v>
      </c>
      <c r="C2438" t="s">
        <v>16</v>
      </c>
      <c r="D2438" s="1">
        <v>45855</v>
      </c>
      <c r="E2438" t="s">
        <v>17</v>
      </c>
      <c r="F2438">
        <v>3600</v>
      </c>
      <c r="J2438">
        <v>1975.6</v>
      </c>
      <c r="K2438">
        <v>2436.4</v>
      </c>
      <c r="L2438">
        <v>0</v>
      </c>
      <c r="M2438" t="s">
        <v>18</v>
      </c>
      <c r="N2438">
        <v>0</v>
      </c>
      <c r="O2438">
        <v>0</v>
      </c>
    </row>
    <row r="2439" spans="1:15" x14ac:dyDescent="0.2">
      <c r="A2439" s="6">
        <v>45832</v>
      </c>
      <c r="B2439" t="s">
        <v>15</v>
      </c>
      <c r="C2439" t="s">
        <v>16</v>
      </c>
      <c r="D2439" s="1">
        <v>45855</v>
      </c>
      <c r="E2439" t="s">
        <v>17</v>
      </c>
      <c r="F2439">
        <v>3650</v>
      </c>
      <c r="J2439">
        <v>1925.8</v>
      </c>
      <c r="K2439">
        <v>2386.6</v>
      </c>
      <c r="L2439">
        <v>0</v>
      </c>
      <c r="M2439" t="s">
        <v>18</v>
      </c>
      <c r="N2439">
        <v>0</v>
      </c>
      <c r="O2439">
        <v>0</v>
      </c>
    </row>
    <row r="2440" spans="1:15" x14ac:dyDescent="0.2">
      <c r="A2440" s="6">
        <v>45832</v>
      </c>
      <c r="B2440" t="s">
        <v>15</v>
      </c>
      <c r="C2440" t="s">
        <v>16</v>
      </c>
      <c r="D2440" s="1">
        <v>45855</v>
      </c>
      <c r="E2440" t="s">
        <v>19</v>
      </c>
      <c r="F2440">
        <v>7400</v>
      </c>
      <c r="J2440">
        <v>1814.3</v>
      </c>
      <c r="K2440">
        <v>1357.4</v>
      </c>
      <c r="L2440">
        <v>0</v>
      </c>
      <c r="M2440" t="s">
        <v>18</v>
      </c>
      <c r="N2440">
        <v>0</v>
      </c>
      <c r="O2440">
        <v>0</v>
      </c>
    </row>
    <row r="2441" spans="1:15" x14ac:dyDescent="0.2">
      <c r="A2441" s="6">
        <v>45832</v>
      </c>
      <c r="B2441" t="s">
        <v>15</v>
      </c>
      <c r="C2441" t="s">
        <v>16</v>
      </c>
      <c r="D2441" s="1">
        <v>45855</v>
      </c>
      <c r="E2441" t="s">
        <v>19</v>
      </c>
      <c r="F2441">
        <v>6900</v>
      </c>
      <c r="G2441">
        <v>1241.5999999999999</v>
      </c>
      <c r="H2441">
        <v>1310.0999999999999</v>
      </c>
      <c r="I2441">
        <v>1225.7</v>
      </c>
      <c r="J2441">
        <v>1292.9000000000001</v>
      </c>
      <c r="K2441">
        <v>901.4</v>
      </c>
      <c r="L2441">
        <v>19</v>
      </c>
      <c r="M2441" t="s">
        <v>550</v>
      </c>
      <c r="N2441">
        <v>155.15</v>
      </c>
      <c r="O2441">
        <v>41</v>
      </c>
    </row>
    <row r="2442" spans="1:15" x14ac:dyDescent="0.2">
      <c r="A2442" s="6">
        <v>45832</v>
      </c>
      <c r="B2442" t="s">
        <v>15</v>
      </c>
      <c r="C2442" t="s">
        <v>16</v>
      </c>
      <c r="D2442" s="1">
        <v>45855</v>
      </c>
      <c r="E2442" t="s">
        <v>19</v>
      </c>
      <c r="F2442">
        <v>6700</v>
      </c>
      <c r="G2442">
        <v>979.9</v>
      </c>
      <c r="H2442">
        <v>1252.8</v>
      </c>
      <c r="I2442">
        <v>978</v>
      </c>
      <c r="J2442">
        <v>1111.9000000000001</v>
      </c>
      <c r="K2442">
        <v>802.8</v>
      </c>
      <c r="L2442">
        <v>157</v>
      </c>
      <c r="M2442" t="s">
        <v>1143</v>
      </c>
      <c r="N2442">
        <v>1214.79</v>
      </c>
      <c r="O2442">
        <v>284</v>
      </c>
    </row>
    <row r="2443" spans="1:15" x14ac:dyDescent="0.2">
      <c r="A2443" s="6">
        <v>45832</v>
      </c>
      <c r="B2443" t="s">
        <v>15</v>
      </c>
      <c r="C2443" t="s">
        <v>16</v>
      </c>
      <c r="D2443" s="1">
        <v>45855</v>
      </c>
      <c r="E2443" t="s">
        <v>19</v>
      </c>
      <c r="F2443">
        <v>3650</v>
      </c>
      <c r="J2443">
        <v>0.1</v>
      </c>
      <c r="K2443">
        <v>0.1</v>
      </c>
      <c r="L2443">
        <v>0</v>
      </c>
      <c r="M2443" t="s">
        <v>18</v>
      </c>
      <c r="N2443">
        <v>0</v>
      </c>
      <c r="O2443">
        <v>0</v>
      </c>
    </row>
    <row r="2444" spans="1:15" x14ac:dyDescent="0.2">
      <c r="A2444" s="6">
        <v>45832</v>
      </c>
      <c r="B2444" t="s">
        <v>15</v>
      </c>
      <c r="C2444" t="s">
        <v>16</v>
      </c>
      <c r="D2444" s="1">
        <v>45855</v>
      </c>
      <c r="E2444" t="s">
        <v>19</v>
      </c>
      <c r="F2444">
        <v>7100</v>
      </c>
      <c r="J2444">
        <v>1521</v>
      </c>
      <c r="K2444">
        <v>1071.4000000000001</v>
      </c>
      <c r="L2444">
        <v>0</v>
      </c>
      <c r="M2444" t="s">
        <v>18</v>
      </c>
      <c r="N2444">
        <v>0</v>
      </c>
      <c r="O2444">
        <v>0</v>
      </c>
    </row>
    <row r="2445" spans="1:15" x14ac:dyDescent="0.2">
      <c r="A2445" s="6">
        <v>45832</v>
      </c>
      <c r="B2445" t="s">
        <v>15</v>
      </c>
      <c r="C2445" t="s">
        <v>16</v>
      </c>
      <c r="D2445" s="1">
        <v>45855</v>
      </c>
      <c r="E2445" t="s">
        <v>17</v>
      </c>
      <c r="F2445">
        <v>7200</v>
      </c>
      <c r="G2445">
        <v>54.9</v>
      </c>
      <c r="H2445">
        <v>65</v>
      </c>
      <c r="I2445">
        <v>26.5</v>
      </c>
      <c r="J2445">
        <v>29.4</v>
      </c>
      <c r="K2445">
        <v>86.8</v>
      </c>
      <c r="L2445">
        <v>4601</v>
      </c>
      <c r="M2445" t="s">
        <v>1144</v>
      </c>
      <c r="N2445">
        <v>33300.43</v>
      </c>
      <c r="O2445">
        <v>1430</v>
      </c>
    </row>
    <row r="2446" spans="1:15" x14ac:dyDescent="0.2">
      <c r="A2446" s="6">
        <v>45832</v>
      </c>
      <c r="B2446" t="s">
        <v>15</v>
      </c>
      <c r="C2446" t="s">
        <v>16</v>
      </c>
      <c r="D2446" s="1">
        <v>45855</v>
      </c>
      <c r="E2446" t="s">
        <v>17</v>
      </c>
      <c r="F2446">
        <v>5350</v>
      </c>
      <c r="G2446">
        <v>457.2</v>
      </c>
      <c r="H2446">
        <v>507.8</v>
      </c>
      <c r="I2446">
        <v>327.60000000000002</v>
      </c>
      <c r="J2446">
        <v>362.7</v>
      </c>
      <c r="K2446">
        <v>733.1</v>
      </c>
      <c r="L2446">
        <v>764</v>
      </c>
      <c r="M2446" t="s">
        <v>1145</v>
      </c>
      <c r="N2446">
        <v>4408.22</v>
      </c>
      <c r="O2446">
        <v>65</v>
      </c>
    </row>
    <row r="2447" spans="1:15" x14ac:dyDescent="0.2">
      <c r="A2447" s="6">
        <v>45832</v>
      </c>
      <c r="B2447" t="s">
        <v>15</v>
      </c>
      <c r="C2447" t="s">
        <v>16</v>
      </c>
      <c r="D2447" s="1">
        <v>45855</v>
      </c>
      <c r="E2447" t="s">
        <v>17</v>
      </c>
      <c r="F2447">
        <v>6100</v>
      </c>
      <c r="G2447">
        <v>169.7</v>
      </c>
      <c r="H2447">
        <v>170</v>
      </c>
      <c r="I2447">
        <v>77.8</v>
      </c>
      <c r="J2447">
        <v>84</v>
      </c>
      <c r="K2447">
        <v>305.8</v>
      </c>
      <c r="L2447">
        <v>39809</v>
      </c>
      <c r="M2447" t="s">
        <v>1146</v>
      </c>
      <c r="N2447">
        <v>247604.22</v>
      </c>
      <c r="O2447">
        <v>2748</v>
      </c>
    </row>
    <row r="2448" spans="1:15" x14ac:dyDescent="0.2">
      <c r="A2448" s="6">
        <v>45832</v>
      </c>
      <c r="B2448" t="s">
        <v>15</v>
      </c>
      <c r="C2448" t="s">
        <v>16</v>
      </c>
      <c r="D2448" s="1">
        <v>45855</v>
      </c>
      <c r="E2448" t="s">
        <v>19</v>
      </c>
      <c r="F2448">
        <v>4850</v>
      </c>
      <c r="G2448">
        <v>30</v>
      </c>
      <c r="H2448">
        <v>55.5</v>
      </c>
      <c r="I2448">
        <v>29.6</v>
      </c>
      <c r="J2448">
        <v>45.3</v>
      </c>
      <c r="K2448">
        <v>18</v>
      </c>
      <c r="L2448">
        <v>2049</v>
      </c>
      <c r="M2448" t="s">
        <v>1147</v>
      </c>
      <c r="N2448">
        <v>10026.48</v>
      </c>
      <c r="O2448">
        <v>141</v>
      </c>
    </row>
    <row r="2449" spans="1:15" x14ac:dyDescent="0.2">
      <c r="A2449" s="6">
        <v>45832</v>
      </c>
      <c r="B2449" t="s">
        <v>15</v>
      </c>
      <c r="C2449" t="s">
        <v>16</v>
      </c>
      <c r="D2449" s="1">
        <v>45855</v>
      </c>
      <c r="E2449" t="s">
        <v>19</v>
      </c>
      <c r="F2449">
        <v>5600</v>
      </c>
      <c r="G2449">
        <v>180</v>
      </c>
      <c r="H2449">
        <v>284</v>
      </c>
      <c r="I2449">
        <v>180</v>
      </c>
      <c r="J2449">
        <v>238.5</v>
      </c>
      <c r="K2449">
        <v>130.19999999999999</v>
      </c>
      <c r="L2449">
        <v>110311</v>
      </c>
      <c r="M2449" t="s">
        <v>1148</v>
      </c>
      <c r="N2449">
        <v>642462.11</v>
      </c>
      <c r="O2449">
        <v>3545</v>
      </c>
    </row>
    <row r="2450" spans="1:15" x14ac:dyDescent="0.2">
      <c r="A2450" s="6">
        <v>45832</v>
      </c>
      <c r="B2450" t="s">
        <v>15</v>
      </c>
      <c r="C2450" t="s">
        <v>16</v>
      </c>
      <c r="D2450" s="1">
        <v>45855</v>
      </c>
      <c r="E2450" t="s">
        <v>19</v>
      </c>
      <c r="F2450">
        <v>4000</v>
      </c>
      <c r="G2450">
        <v>15.8</v>
      </c>
      <c r="H2450">
        <v>18.8</v>
      </c>
      <c r="I2450">
        <v>12.3</v>
      </c>
      <c r="J2450">
        <v>17.100000000000001</v>
      </c>
      <c r="K2450">
        <v>14.4</v>
      </c>
      <c r="L2450">
        <v>2373</v>
      </c>
      <c r="M2450" t="s">
        <v>1149</v>
      </c>
      <c r="N2450">
        <v>9530.4599999999991</v>
      </c>
      <c r="O2450">
        <v>584</v>
      </c>
    </row>
    <row r="2451" spans="1:15" x14ac:dyDescent="0.2">
      <c r="A2451" s="6">
        <v>45832</v>
      </c>
      <c r="B2451" t="s">
        <v>15</v>
      </c>
      <c r="C2451" t="s">
        <v>16</v>
      </c>
      <c r="D2451" s="1">
        <v>45855</v>
      </c>
      <c r="E2451" t="s">
        <v>19</v>
      </c>
      <c r="F2451">
        <v>5650</v>
      </c>
      <c r="G2451">
        <v>216.7</v>
      </c>
      <c r="H2451">
        <v>313</v>
      </c>
      <c r="I2451">
        <v>206</v>
      </c>
      <c r="J2451">
        <v>265.3</v>
      </c>
      <c r="K2451">
        <v>148.30000000000001</v>
      </c>
      <c r="L2451">
        <v>27125</v>
      </c>
      <c r="M2451" t="s">
        <v>1150</v>
      </c>
      <c r="N2451">
        <v>159976.89000000001</v>
      </c>
      <c r="O2451">
        <v>1351</v>
      </c>
    </row>
    <row r="2452" spans="1:15" x14ac:dyDescent="0.2">
      <c r="A2452" s="6">
        <v>45832</v>
      </c>
      <c r="B2452" t="s">
        <v>15</v>
      </c>
      <c r="C2452" t="s">
        <v>16</v>
      </c>
      <c r="D2452" s="1">
        <v>45855</v>
      </c>
      <c r="E2452" t="s">
        <v>19</v>
      </c>
      <c r="F2452">
        <v>6350</v>
      </c>
      <c r="G2452">
        <v>683.5</v>
      </c>
      <c r="H2452">
        <v>940.3</v>
      </c>
      <c r="I2452">
        <v>683.5</v>
      </c>
      <c r="J2452">
        <v>834.4</v>
      </c>
      <c r="K2452">
        <v>531.5</v>
      </c>
      <c r="L2452">
        <v>610</v>
      </c>
      <c r="M2452" t="s">
        <v>1151</v>
      </c>
      <c r="N2452">
        <v>4316.09</v>
      </c>
      <c r="O2452">
        <v>85</v>
      </c>
    </row>
    <row r="2453" spans="1:15" x14ac:dyDescent="0.2">
      <c r="A2453" s="6">
        <v>45832</v>
      </c>
      <c r="B2453" t="s">
        <v>15</v>
      </c>
      <c r="C2453" t="s">
        <v>16</v>
      </c>
      <c r="D2453" s="1">
        <v>45855</v>
      </c>
      <c r="E2453" t="s">
        <v>17</v>
      </c>
      <c r="F2453">
        <v>3950</v>
      </c>
      <c r="J2453">
        <v>1627.5</v>
      </c>
      <c r="K2453">
        <v>2087.8000000000002</v>
      </c>
      <c r="L2453">
        <v>0</v>
      </c>
      <c r="M2453" t="s">
        <v>18</v>
      </c>
      <c r="N2453">
        <v>0</v>
      </c>
      <c r="O2453">
        <v>0</v>
      </c>
    </row>
    <row r="2454" spans="1:15" x14ac:dyDescent="0.2">
      <c r="A2454" s="6">
        <v>45832</v>
      </c>
      <c r="B2454" t="s">
        <v>15</v>
      </c>
      <c r="C2454" t="s">
        <v>16</v>
      </c>
      <c r="D2454" s="1">
        <v>45855</v>
      </c>
      <c r="E2454" t="s">
        <v>17</v>
      </c>
      <c r="F2454">
        <v>7550</v>
      </c>
      <c r="G2454">
        <v>50</v>
      </c>
      <c r="H2454">
        <v>50</v>
      </c>
      <c r="I2454">
        <v>20.100000000000001</v>
      </c>
      <c r="J2454">
        <v>24.1</v>
      </c>
      <c r="K2454">
        <v>60.9</v>
      </c>
      <c r="L2454">
        <v>941</v>
      </c>
      <c r="M2454" t="s">
        <v>1152</v>
      </c>
      <c r="N2454">
        <v>7133.04</v>
      </c>
      <c r="O2454">
        <v>292</v>
      </c>
    </row>
    <row r="2455" spans="1:15" x14ac:dyDescent="0.2">
      <c r="A2455" s="6">
        <v>45832</v>
      </c>
      <c r="B2455" t="s">
        <v>15</v>
      </c>
      <c r="C2455" t="s">
        <v>16</v>
      </c>
      <c r="D2455" s="1">
        <v>45855</v>
      </c>
      <c r="E2455" t="s">
        <v>19</v>
      </c>
      <c r="F2455">
        <v>7450</v>
      </c>
      <c r="J2455">
        <v>1863.6</v>
      </c>
      <c r="K2455">
        <v>1406</v>
      </c>
      <c r="L2455">
        <v>0</v>
      </c>
      <c r="M2455" t="s">
        <v>18</v>
      </c>
      <c r="N2455">
        <v>0</v>
      </c>
      <c r="O2455">
        <v>0</v>
      </c>
    </row>
    <row r="2456" spans="1:15" x14ac:dyDescent="0.2">
      <c r="A2456" s="6">
        <v>45832</v>
      </c>
      <c r="B2456" t="s">
        <v>15</v>
      </c>
      <c r="C2456" t="s">
        <v>16</v>
      </c>
      <c r="D2456" s="1">
        <v>45855</v>
      </c>
      <c r="E2456" t="s">
        <v>17</v>
      </c>
      <c r="F2456">
        <v>5650</v>
      </c>
      <c r="G2456">
        <v>321.8</v>
      </c>
      <c r="H2456">
        <v>342.7</v>
      </c>
      <c r="I2456">
        <v>181.8</v>
      </c>
      <c r="J2456">
        <v>199.6</v>
      </c>
      <c r="K2456">
        <v>662</v>
      </c>
      <c r="L2456">
        <v>19207</v>
      </c>
      <c r="M2456" t="s">
        <v>1153</v>
      </c>
      <c r="N2456">
        <v>113243.04</v>
      </c>
      <c r="O2456">
        <v>867</v>
      </c>
    </row>
    <row r="2457" spans="1:15" x14ac:dyDescent="0.2">
      <c r="A2457" s="6">
        <v>45832</v>
      </c>
      <c r="B2457" t="s">
        <v>15</v>
      </c>
      <c r="C2457" t="s">
        <v>16</v>
      </c>
      <c r="D2457" s="1">
        <v>45855</v>
      </c>
      <c r="E2457" t="s">
        <v>19</v>
      </c>
      <c r="F2457">
        <v>5750</v>
      </c>
      <c r="G2457">
        <v>268.8</v>
      </c>
      <c r="H2457">
        <v>381.5</v>
      </c>
      <c r="I2457">
        <v>254.5</v>
      </c>
      <c r="J2457">
        <v>328.2</v>
      </c>
      <c r="K2457">
        <v>185.5</v>
      </c>
      <c r="L2457">
        <v>20315</v>
      </c>
      <c r="M2457" t="s">
        <v>1154</v>
      </c>
      <c r="N2457">
        <v>122785.61</v>
      </c>
      <c r="O2457">
        <v>997</v>
      </c>
    </row>
    <row r="2458" spans="1:15" x14ac:dyDescent="0.2">
      <c r="A2458" s="6">
        <v>45832</v>
      </c>
      <c r="B2458" t="s">
        <v>15</v>
      </c>
      <c r="C2458" t="s">
        <v>16</v>
      </c>
      <c r="D2458" s="1">
        <v>45855</v>
      </c>
      <c r="E2458" t="s">
        <v>19</v>
      </c>
      <c r="F2458">
        <v>5500</v>
      </c>
      <c r="G2458">
        <v>145.19999999999999</v>
      </c>
      <c r="H2458">
        <v>228</v>
      </c>
      <c r="I2458">
        <v>141</v>
      </c>
      <c r="J2458">
        <v>187.1</v>
      </c>
      <c r="K2458">
        <v>102.1</v>
      </c>
      <c r="L2458">
        <v>124819</v>
      </c>
      <c r="M2458" t="s">
        <v>1155</v>
      </c>
      <c r="N2458">
        <v>708571.43</v>
      </c>
      <c r="O2458">
        <v>5745</v>
      </c>
    </row>
    <row r="2459" spans="1:15" x14ac:dyDescent="0.2">
      <c r="A2459" s="6">
        <v>45832</v>
      </c>
      <c r="B2459" t="s">
        <v>15</v>
      </c>
      <c r="C2459" t="s">
        <v>16</v>
      </c>
      <c r="D2459" s="1">
        <v>45855</v>
      </c>
      <c r="E2459" t="s">
        <v>19</v>
      </c>
      <c r="F2459">
        <v>6450</v>
      </c>
      <c r="G2459">
        <v>710.1</v>
      </c>
      <c r="H2459">
        <v>959.7</v>
      </c>
      <c r="I2459">
        <v>710.1</v>
      </c>
      <c r="J2459">
        <v>889.2</v>
      </c>
      <c r="K2459">
        <v>606.6</v>
      </c>
      <c r="L2459">
        <v>174</v>
      </c>
      <c r="M2459" t="s">
        <v>1156</v>
      </c>
      <c r="N2459">
        <v>1264.21</v>
      </c>
      <c r="O2459">
        <v>839</v>
      </c>
    </row>
    <row r="2460" spans="1:15" x14ac:dyDescent="0.2">
      <c r="A2460" s="6">
        <v>45832</v>
      </c>
      <c r="B2460" t="s">
        <v>15</v>
      </c>
      <c r="C2460" t="s">
        <v>16</v>
      </c>
      <c r="D2460" s="1">
        <v>45855</v>
      </c>
      <c r="E2460" t="s">
        <v>19</v>
      </c>
      <c r="F2460">
        <v>7300</v>
      </c>
      <c r="J2460">
        <v>1716.1</v>
      </c>
      <c r="K2460">
        <v>1261</v>
      </c>
      <c r="L2460">
        <v>0</v>
      </c>
      <c r="M2460" t="s">
        <v>18</v>
      </c>
      <c r="N2460">
        <v>0</v>
      </c>
      <c r="O2460">
        <v>0</v>
      </c>
    </row>
    <row r="2461" spans="1:15" x14ac:dyDescent="0.2">
      <c r="A2461" s="6">
        <v>45832</v>
      </c>
      <c r="B2461" t="s">
        <v>15</v>
      </c>
      <c r="C2461" t="s">
        <v>16</v>
      </c>
      <c r="D2461" s="1">
        <v>45855</v>
      </c>
      <c r="E2461" t="s">
        <v>19</v>
      </c>
      <c r="F2461">
        <v>5950</v>
      </c>
      <c r="G2461">
        <v>390.4</v>
      </c>
      <c r="H2461">
        <v>530.5</v>
      </c>
      <c r="I2461">
        <v>374.8</v>
      </c>
      <c r="J2461">
        <v>475.7</v>
      </c>
      <c r="K2461">
        <v>280.3</v>
      </c>
      <c r="L2461">
        <v>3931</v>
      </c>
      <c r="M2461" t="s">
        <v>1157</v>
      </c>
      <c r="N2461">
        <v>25083.85</v>
      </c>
      <c r="O2461">
        <v>118</v>
      </c>
    </row>
    <row r="2462" spans="1:15" x14ac:dyDescent="0.2">
      <c r="A2462" s="6">
        <v>45832</v>
      </c>
      <c r="B2462" t="s">
        <v>15</v>
      </c>
      <c r="C2462" t="s">
        <v>16</v>
      </c>
      <c r="D2462" s="1">
        <v>45855</v>
      </c>
      <c r="E2462" t="s">
        <v>17</v>
      </c>
      <c r="F2462">
        <v>7100</v>
      </c>
      <c r="G2462">
        <v>16.5</v>
      </c>
      <c r="H2462">
        <v>55.6</v>
      </c>
      <c r="I2462">
        <v>10</v>
      </c>
      <c r="J2462">
        <v>31.1</v>
      </c>
      <c r="K2462">
        <v>94.1</v>
      </c>
      <c r="L2462">
        <v>2669</v>
      </c>
      <c r="M2462" t="s">
        <v>1158</v>
      </c>
      <c r="N2462">
        <v>19055.66</v>
      </c>
      <c r="O2462">
        <v>581</v>
      </c>
    </row>
    <row r="2463" spans="1:15" x14ac:dyDescent="0.2">
      <c r="A2463" s="6">
        <v>45832</v>
      </c>
      <c r="B2463" t="s">
        <v>15</v>
      </c>
      <c r="C2463" t="s">
        <v>16</v>
      </c>
      <c r="D2463" s="1">
        <v>45855</v>
      </c>
      <c r="E2463" t="s">
        <v>19</v>
      </c>
      <c r="F2463">
        <v>4150</v>
      </c>
      <c r="J2463">
        <v>2.2000000000000002</v>
      </c>
      <c r="K2463">
        <v>0.1</v>
      </c>
      <c r="L2463">
        <v>0</v>
      </c>
      <c r="M2463" t="s">
        <v>18</v>
      </c>
      <c r="N2463">
        <v>0</v>
      </c>
      <c r="O2463">
        <v>0</v>
      </c>
    </row>
    <row r="2464" spans="1:15" x14ac:dyDescent="0.2">
      <c r="A2464" s="6">
        <v>45832</v>
      </c>
      <c r="B2464" t="s">
        <v>15</v>
      </c>
      <c r="C2464" t="s">
        <v>16</v>
      </c>
      <c r="D2464" s="1">
        <v>45855</v>
      </c>
      <c r="E2464" t="s">
        <v>19</v>
      </c>
      <c r="F2464">
        <v>6500</v>
      </c>
      <c r="G2464">
        <v>793</v>
      </c>
      <c r="H2464">
        <v>1020</v>
      </c>
      <c r="I2464">
        <v>793</v>
      </c>
      <c r="J2464">
        <v>974</v>
      </c>
      <c r="K2464">
        <v>642.9</v>
      </c>
      <c r="L2464">
        <v>1835</v>
      </c>
      <c r="M2464" t="s">
        <v>1159</v>
      </c>
      <c r="N2464">
        <v>13542.12</v>
      </c>
      <c r="O2464">
        <v>817</v>
      </c>
    </row>
    <row r="2465" spans="1:15" x14ac:dyDescent="0.2">
      <c r="A2465" s="6">
        <v>45832</v>
      </c>
      <c r="B2465" t="s">
        <v>15</v>
      </c>
      <c r="C2465" t="s">
        <v>16</v>
      </c>
      <c r="D2465" s="1">
        <v>45855</v>
      </c>
      <c r="E2465" t="s">
        <v>19</v>
      </c>
      <c r="F2465">
        <v>6100</v>
      </c>
      <c r="G2465">
        <v>475.9</v>
      </c>
      <c r="H2465">
        <v>657.6</v>
      </c>
      <c r="I2465">
        <v>475</v>
      </c>
      <c r="J2465">
        <v>598.5</v>
      </c>
      <c r="K2465">
        <v>363.5</v>
      </c>
      <c r="L2465">
        <v>4855</v>
      </c>
      <c r="M2465" t="s">
        <v>1160</v>
      </c>
      <c r="N2465">
        <v>32211.94</v>
      </c>
      <c r="O2465">
        <v>645</v>
      </c>
    </row>
    <row r="2466" spans="1:15" x14ac:dyDescent="0.2">
      <c r="A2466" s="6">
        <v>45832</v>
      </c>
      <c r="B2466" t="s">
        <v>15</v>
      </c>
      <c r="C2466" t="s">
        <v>16</v>
      </c>
      <c r="D2466" s="1">
        <v>45855</v>
      </c>
      <c r="E2466" t="s">
        <v>19</v>
      </c>
      <c r="F2466">
        <v>3800</v>
      </c>
      <c r="J2466">
        <v>0.2</v>
      </c>
      <c r="K2466">
        <v>0.1</v>
      </c>
      <c r="L2466">
        <v>0</v>
      </c>
      <c r="M2466" t="s">
        <v>18</v>
      </c>
      <c r="N2466">
        <v>0</v>
      </c>
      <c r="O2466">
        <v>0</v>
      </c>
    </row>
    <row r="2467" spans="1:15" x14ac:dyDescent="0.2">
      <c r="A2467" s="6">
        <v>45832</v>
      </c>
      <c r="B2467" t="s">
        <v>15</v>
      </c>
      <c r="C2467" t="s">
        <v>16</v>
      </c>
      <c r="D2467" s="1">
        <v>45855</v>
      </c>
      <c r="E2467" t="s">
        <v>19</v>
      </c>
      <c r="F2467">
        <v>7000</v>
      </c>
      <c r="G2467">
        <v>1364</v>
      </c>
      <c r="H2467">
        <v>1371</v>
      </c>
      <c r="I2467">
        <v>1364</v>
      </c>
      <c r="J2467">
        <v>1367.5</v>
      </c>
      <c r="K2467">
        <v>880.6</v>
      </c>
      <c r="L2467">
        <v>2</v>
      </c>
      <c r="M2467" t="s">
        <v>28</v>
      </c>
      <c r="N2467">
        <v>16.739999999999998</v>
      </c>
      <c r="O2467">
        <v>12</v>
      </c>
    </row>
    <row r="2468" spans="1:15" x14ac:dyDescent="0.2">
      <c r="A2468" s="6">
        <v>45832</v>
      </c>
      <c r="B2468" t="s">
        <v>15</v>
      </c>
      <c r="C2468" t="s">
        <v>16</v>
      </c>
      <c r="D2468" s="1">
        <v>45855</v>
      </c>
      <c r="E2468" t="s">
        <v>17</v>
      </c>
      <c r="F2468">
        <v>4300</v>
      </c>
      <c r="J2468">
        <v>1283.0999999999999</v>
      </c>
      <c r="K2468">
        <v>1739.3</v>
      </c>
      <c r="L2468">
        <v>0</v>
      </c>
      <c r="M2468" t="s">
        <v>18</v>
      </c>
      <c r="N2468">
        <v>0</v>
      </c>
      <c r="O2468">
        <v>0</v>
      </c>
    </row>
    <row r="2469" spans="1:15" x14ac:dyDescent="0.2">
      <c r="A2469" s="6">
        <v>45832</v>
      </c>
      <c r="B2469" t="s">
        <v>15</v>
      </c>
      <c r="C2469" t="s">
        <v>16</v>
      </c>
      <c r="D2469" s="1">
        <v>45855</v>
      </c>
      <c r="E2469" t="s">
        <v>19</v>
      </c>
      <c r="F2469">
        <v>6600</v>
      </c>
      <c r="G2469">
        <v>900</v>
      </c>
      <c r="H2469">
        <v>1086.2</v>
      </c>
      <c r="I2469">
        <v>900</v>
      </c>
      <c r="J2469">
        <v>1076.5999999999999</v>
      </c>
      <c r="K2469">
        <v>709.4</v>
      </c>
      <c r="L2469">
        <v>130</v>
      </c>
      <c r="M2469" t="s">
        <v>1161</v>
      </c>
      <c r="N2469">
        <v>984.24</v>
      </c>
      <c r="O2469">
        <v>216</v>
      </c>
    </row>
    <row r="2470" spans="1:15" x14ac:dyDescent="0.2">
      <c r="A2470" s="6">
        <v>45832</v>
      </c>
      <c r="B2470" t="s">
        <v>15</v>
      </c>
      <c r="C2470" t="s">
        <v>16</v>
      </c>
      <c r="D2470" s="1">
        <v>45855</v>
      </c>
      <c r="E2470" t="s">
        <v>17</v>
      </c>
      <c r="F2470">
        <v>7700</v>
      </c>
      <c r="G2470">
        <v>20</v>
      </c>
      <c r="H2470">
        <v>45</v>
      </c>
      <c r="I2470">
        <v>18.399999999999999</v>
      </c>
      <c r="J2470">
        <v>22</v>
      </c>
      <c r="K2470">
        <v>52</v>
      </c>
      <c r="L2470">
        <v>6740</v>
      </c>
      <c r="M2470" t="s">
        <v>1162</v>
      </c>
      <c r="N2470">
        <v>52070.81</v>
      </c>
      <c r="O2470">
        <v>2435</v>
      </c>
    </row>
    <row r="2471" spans="1:15" x14ac:dyDescent="0.2">
      <c r="A2471" s="6">
        <v>45832</v>
      </c>
      <c r="B2471" t="s">
        <v>15</v>
      </c>
      <c r="C2471" t="s">
        <v>16</v>
      </c>
      <c r="D2471" s="1">
        <v>45855</v>
      </c>
      <c r="E2471" t="s">
        <v>19</v>
      </c>
      <c r="F2471">
        <v>4300</v>
      </c>
      <c r="J2471">
        <v>5</v>
      </c>
      <c r="K2471">
        <v>0.1</v>
      </c>
      <c r="L2471">
        <v>0</v>
      </c>
      <c r="M2471" t="s">
        <v>18</v>
      </c>
      <c r="N2471">
        <v>0</v>
      </c>
      <c r="O2471">
        <v>0</v>
      </c>
    </row>
    <row r="2472" spans="1:15" x14ac:dyDescent="0.2">
      <c r="A2472" s="6">
        <v>45832</v>
      </c>
      <c r="B2472" t="s">
        <v>15</v>
      </c>
      <c r="C2472" t="s">
        <v>16</v>
      </c>
      <c r="D2472" s="1">
        <v>45855</v>
      </c>
      <c r="E2472" t="s">
        <v>17</v>
      </c>
      <c r="F2472">
        <v>7400</v>
      </c>
      <c r="G2472">
        <v>59.9</v>
      </c>
      <c r="H2472">
        <v>60</v>
      </c>
      <c r="I2472">
        <v>23.5</v>
      </c>
      <c r="J2472">
        <v>27.8</v>
      </c>
      <c r="K2472">
        <v>70.099999999999994</v>
      </c>
      <c r="L2472">
        <v>5422</v>
      </c>
      <c r="M2472" t="s">
        <v>1163</v>
      </c>
      <c r="N2472">
        <v>40303.08</v>
      </c>
      <c r="O2472">
        <v>2843</v>
      </c>
    </row>
    <row r="2473" spans="1:15" x14ac:dyDescent="0.2">
      <c r="A2473" s="6">
        <v>45832</v>
      </c>
      <c r="B2473" t="s">
        <v>15</v>
      </c>
      <c r="C2473" t="s">
        <v>16</v>
      </c>
      <c r="D2473" s="1">
        <v>45855</v>
      </c>
      <c r="E2473" t="s">
        <v>17</v>
      </c>
      <c r="F2473">
        <v>5400</v>
      </c>
      <c r="G2473">
        <v>463</v>
      </c>
      <c r="H2473">
        <v>493</v>
      </c>
      <c r="I2473">
        <v>297</v>
      </c>
      <c r="J2473">
        <v>328</v>
      </c>
      <c r="K2473">
        <v>711.8</v>
      </c>
      <c r="L2473">
        <v>4718</v>
      </c>
      <c r="M2473" t="s">
        <v>1164</v>
      </c>
      <c r="N2473">
        <v>27247.43</v>
      </c>
      <c r="O2473">
        <v>701</v>
      </c>
    </row>
    <row r="2474" spans="1:15" x14ac:dyDescent="0.2">
      <c r="A2474" s="6">
        <v>45832</v>
      </c>
      <c r="B2474" t="s">
        <v>15</v>
      </c>
      <c r="C2474" t="s">
        <v>16</v>
      </c>
      <c r="D2474" s="1">
        <v>45855</v>
      </c>
      <c r="E2474" t="s">
        <v>19</v>
      </c>
      <c r="F2474">
        <v>4750</v>
      </c>
      <c r="J2474">
        <v>33.1</v>
      </c>
      <c r="K2474">
        <v>2.6</v>
      </c>
      <c r="L2474">
        <v>0</v>
      </c>
      <c r="M2474" t="s">
        <v>18</v>
      </c>
      <c r="N2474">
        <v>0</v>
      </c>
      <c r="O2474">
        <v>0</v>
      </c>
    </row>
    <row r="2475" spans="1:15" x14ac:dyDescent="0.2">
      <c r="A2475" s="6">
        <v>45832</v>
      </c>
      <c r="B2475" t="s">
        <v>15</v>
      </c>
      <c r="C2475" t="s">
        <v>16</v>
      </c>
      <c r="D2475" s="1">
        <v>45855</v>
      </c>
      <c r="E2475" t="s">
        <v>17</v>
      </c>
      <c r="F2475">
        <v>6150</v>
      </c>
      <c r="G2475">
        <v>71.7</v>
      </c>
      <c r="H2475">
        <v>158.80000000000001</v>
      </c>
      <c r="I2475">
        <v>71.7</v>
      </c>
      <c r="J2475">
        <v>78.5</v>
      </c>
      <c r="K2475">
        <v>287.89999999999998</v>
      </c>
      <c r="L2475">
        <v>6827</v>
      </c>
      <c r="M2475" t="s">
        <v>1165</v>
      </c>
      <c r="N2475">
        <v>42743.7</v>
      </c>
      <c r="O2475">
        <v>727</v>
      </c>
    </row>
    <row r="2476" spans="1:15" x14ac:dyDescent="0.2">
      <c r="A2476" s="6">
        <v>45832</v>
      </c>
      <c r="B2476" t="s">
        <v>15</v>
      </c>
      <c r="C2476" t="s">
        <v>16</v>
      </c>
      <c r="D2476" s="1">
        <v>45855</v>
      </c>
      <c r="E2476" t="s">
        <v>19</v>
      </c>
      <c r="F2476">
        <v>5550</v>
      </c>
      <c r="G2476">
        <v>169.9</v>
      </c>
      <c r="H2476">
        <v>254.8</v>
      </c>
      <c r="I2476">
        <v>162.4</v>
      </c>
      <c r="J2476">
        <v>212</v>
      </c>
      <c r="K2476">
        <v>115.6</v>
      </c>
      <c r="L2476">
        <v>35626</v>
      </c>
      <c r="M2476" t="s">
        <v>1166</v>
      </c>
      <c r="N2476">
        <v>204953.04</v>
      </c>
      <c r="O2476">
        <v>667</v>
      </c>
    </row>
    <row r="2477" spans="1:15" x14ac:dyDescent="0.2">
      <c r="A2477" s="6">
        <v>45832</v>
      </c>
      <c r="B2477" t="s">
        <v>15</v>
      </c>
      <c r="C2477" t="s">
        <v>16</v>
      </c>
      <c r="D2477" s="1">
        <v>45855</v>
      </c>
      <c r="E2477" t="s">
        <v>19</v>
      </c>
      <c r="F2477">
        <v>7650</v>
      </c>
      <c r="J2477">
        <v>2061.1999999999998</v>
      </c>
      <c r="K2477">
        <v>1601.6</v>
      </c>
      <c r="L2477">
        <v>0</v>
      </c>
      <c r="M2477" t="s">
        <v>18</v>
      </c>
      <c r="N2477">
        <v>0</v>
      </c>
      <c r="O2477">
        <v>0</v>
      </c>
    </row>
    <row r="2478" spans="1:15" x14ac:dyDescent="0.2">
      <c r="A2478" s="6">
        <v>45832</v>
      </c>
      <c r="B2478" t="s">
        <v>15</v>
      </c>
      <c r="C2478" t="s">
        <v>16</v>
      </c>
      <c r="D2478" s="1">
        <v>45855</v>
      </c>
      <c r="E2478" t="s">
        <v>19</v>
      </c>
      <c r="F2478">
        <v>6300</v>
      </c>
      <c r="G2478">
        <v>570</v>
      </c>
      <c r="H2478">
        <v>839.9</v>
      </c>
      <c r="I2478">
        <v>570</v>
      </c>
      <c r="J2478">
        <v>776.8</v>
      </c>
      <c r="K2478">
        <v>496</v>
      </c>
      <c r="L2478">
        <v>3539</v>
      </c>
      <c r="M2478" t="s">
        <v>1167</v>
      </c>
      <c r="N2478">
        <v>24741.67</v>
      </c>
      <c r="O2478">
        <v>780</v>
      </c>
    </row>
    <row r="2479" spans="1:15" x14ac:dyDescent="0.2">
      <c r="A2479" s="6">
        <v>45832</v>
      </c>
      <c r="B2479" t="s">
        <v>15</v>
      </c>
      <c r="C2479" t="s">
        <v>16</v>
      </c>
      <c r="D2479" s="1">
        <v>45855</v>
      </c>
      <c r="E2479" t="s">
        <v>19</v>
      </c>
      <c r="F2479">
        <v>4350</v>
      </c>
      <c r="J2479">
        <v>6.3</v>
      </c>
      <c r="K2479">
        <v>0.2</v>
      </c>
      <c r="L2479">
        <v>0</v>
      </c>
      <c r="M2479" t="s">
        <v>18</v>
      </c>
      <c r="N2479">
        <v>0</v>
      </c>
      <c r="O2479">
        <v>0</v>
      </c>
    </row>
    <row r="2480" spans="1:15" x14ac:dyDescent="0.2">
      <c r="A2480" s="6">
        <v>45832</v>
      </c>
      <c r="B2480" t="s">
        <v>15</v>
      </c>
      <c r="C2480" t="s">
        <v>16</v>
      </c>
      <c r="D2480" s="1">
        <v>45855</v>
      </c>
      <c r="E2480" t="s">
        <v>17</v>
      </c>
      <c r="F2480">
        <v>5850</v>
      </c>
      <c r="G2480">
        <v>300</v>
      </c>
      <c r="H2480">
        <v>300</v>
      </c>
      <c r="I2480">
        <v>122.5</v>
      </c>
      <c r="J2480">
        <v>134.1</v>
      </c>
      <c r="K2480">
        <v>427.6</v>
      </c>
      <c r="L2480">
        <v>18888</v>
      </c>
      <c r="M2480" t="s">
        <v>1168</v>
      </c>
      <c r="N2480">
        <v>113983.23</v>
      </c>
      <c r="O2480">
        <v>812</v>
      </c>
    </row>
    <row r="2481" spans="1:15" x14ac:dyDescent="0.2">
      <c r="A2481" s="6">
        <v>45832</v>
      </c>
      <c r="B2481" t="s">
        <v>15</v>
      </c>
      <c r="C2481" t="s">
        <v>16</v>
      </c>
      <c r="D2481" s="1">
        <v>45855</v>
      </c>
      <c r="E2481" t="s">
        <v>19</v>
      </c>
      <c r="F2481">
        <v>3950</v>
      </c>
      <c r="J2481">
        <v>0.7</v>
      </c>
      <c r="K2481">
        <v>0.1</v>
      </c>
      <c r="L2481">
        <v>0</v>
      </c>
      <c r="M2481" t="s">
        <v>18</v>
      </c>
      <c r="N2481">
        <v>0</v>
      </c>
      <c r="O2481">
        <v>0</v>
      </c>
    </row>
    <row r="2482" spans="1:15" x14ac:dyDescent="0.2">
      <c r="A2482" s="6">
        <v>45832</v>
      </c>
      <c r="B2482" t="s">
        <v>15</v>
      </c>
      <c r="C2482" t="s">
        <v>16</v>
      </c>
      <c r="D2482" s="1">
        <v>45855</v>
      </c>
      <c r="E2482" t="s">
        <v>19</v>
      </c>
      <c r="F2482">
        <v>5850</v>
      </c>
      <c r="G2482">
        <v>320</v>
      </c>
      <c r="H2482">
        <v>452</v>
      </c>
      <c r="I2482">
        <v>311</v>
      </c>
      <c r="J2482">
        <v>400.2</v>
      </c>
      <c r="K2482">
        <v>229.8</v>
      </c>
      <c r="L2482">
        <v>9333</v>
      </c>
      <c r="M2482" t="s">
        <v>1169</v>
      </c>
      <c r="N2482">
        <v>57876.32</v>
      </c>
      <c r="O2482">
        <v>78</v>
      </c>
    </row>
    <row r="2483" spans="1:15" x14ac:dyDescent="0.2">
      <c r="A2483" s="6">
        <v>45832</v>
      </c>
      <c r="B2483" t="s">
        <v>15</v>
      </c>
      <c r="C2483" t="s">
        <v>16</v>
      </c>
      <c r="D2483" s="1">
        <v>45855</v>
      </c>
      <c r="E2483" t="s">
        <v>17</v>
      </c>
      <c r="F2483">
        <v>3900</v>
      </c>
      <c r="J2483">
        <v>1677.2</v>
      </c>
      <c r="K2483">
        <v>2137.6</v>
      </c>
      <c r="L2483">
        <v>0</v>
      </c>
      <c r="M2483" t="s">
        <v>18</v>
      </c>
      <c r="N2483">
        <v>0</v>
      </c>
      <c r="O2483">
        <v>0</v>
      </c>
    </row>
    <row r="2484" spans="1:15" x14ac:dyDescent="0.2">
      <c r="A2484" s="6">
        <v>45832</v>
      </c>
      <c r="B2484" t="s">
        <v>15</v>
      </c>
      <c r="C2484" t="s">
        <v>16</v>
      </c>
      <c r="D2484" s="1">
        <v>45855</v>
      </c>
      <c r="E2484" t="s">
        <v>19</v>
      </c>
      <c r="F2484">
        <v>6200</v>
      </c>
      <c r="G2484">
        <v>555</v>
      </c>
      <c r="H2484">
        <v>744.5</v>
      </c>
      <c r="I2484">
        <v>551.29999999999995</v>
      </c>
      <c r="J2484">
        <v>688.1</v>
      </c>
      <c r="K2484">
        <v>425.9</v>
      </c>
      <c r="L2484">
        <v>3993</v>
      </c>
      <c r="M2484" t="s">
        <v>1170</v>
      </c>
      <c r="N2484">
        <v>27201.07</v>
      </c>
      <c r="O2484">
        <v>904</v>
      </c>
    </row>
    <row r="2485" spans="1:15" x14ac:dyDescent="0.2">
      <c r="A2485" s="6">
        <v>45832</v>
      </c>
      <c r="B2485" t="s">
        <v>15</v>
      </c>
      <c r="C2485" t="s">
        <v>16</v>
      </c>
      <c r="D2485" s="1">
        <v>45855</v>
      </c>
      <c r="E2485" t="s">
        <v>19</v>
      </c>
      <c r="F2485">
        <v>4800</v>
      </c>
      <c r="G2485">
        <v>32.1</v>
      </c>
      <c r="H2485">
        <v>50</v>
      </c>
      <c r="I2485">
        <v>29.7</v>
      </c>
      <c r="J2485">
        <v>42.7</v>
      </c>
      <c r="K2485">
        <v>28.8</v>
      </c>
      <c r="L2485">
        <v>13394</v>
      </c>
      <c r="M2485" t="s">
        <v>1171</v>
      </c>
      <c r="N2485">
        <v>64809.599999999999</v>
      </c>
      <c r="O2485">
        <v>978</v>
      </c>
    </row>
    <row r="2486" spans="1:15" x14ac:dyDescent="0.2">
      <c r="A2486" s="6">
        <v>45832</v>
      </c>
      <c r="B2486" t="s">
        <v>15</v>
      </c>
      <c r="C2486" t="s">
        <v>16</v>
      </c>
      <c r="D2486" s="1">
        <v>45855</v>
      </c>
      <c r="E2486" t="s">
        <v>17</v>
      </c>
      <c r="F2486">
        <v>6600</v>
      </c>
      <c r="G2486">
        <v>89.7</v>
      </c>
      <c r="H2486">
        <v>89.7</v>
      </c>
      <c r="I2486">
        <v>41.7</v>
      </c>
      <c r="J2486">
        <v>42.7</v>
      </c>
      <c r="K2486">
        <v>165.8</v>
      </c>
      <c r="L2486">
        <v>18372</v>
      </c>
      <c r="M2486" t="s">
        <v>1172</v>
      </c>
      <c r="N2486">
        <v>122397.11</v>
      </c>
      <c r="O2486">
        <v>4528</v>
      </c>
    </row>
    <row r="2487" spans="1:15" x14ac:dyDescent="0.2">
      <c r="A2487" s="6">
        <v>45832</v>
      </c>
      <c r="B2487" t="s">
        <v>15</v>
      </c>
      <c r="C2487" t="s">
        <v>16</v>
      </c>
      <c r="D2487" s="1">
        <v>45855</v>
      </c>
      <c r="E2487" t="s">
        <v>17</v>
      </c>
      <c r="F2487">
        <v>7600</v>
      </c>
      <c r="G2487">
        <v>57</v>
      </c>
      <c r="H2487">
        <v>57</v>
      </c>
      <c r="I2487">
        <v>21.2</v>
      </c>
      <c r="J2487">
        <v>24.6</v>
      </c>
      <c r="K2487">
        <v>58.5</v>
      </c>
      <c r="L2487">
        <v>4733</v>
      </c>
      <c r="M2487" t="s">
        <v>1173</v>
      </c>
      <c r="N2487">
        <v>36105.9</v>
      </c>
      <c r="O2487">
        <v>1321</v>
      </c>
    </row>
    <row r="2488" spans="1:15" x14ac:dyDescent="0.2">
      <c r="A2488" s="6">
        <v>45832</v>
      </c>
      <c r="B2488" t="s">
        <v>15</v>
      </c>
      <c r="C2488" t="s">
        <v>16</v>
      </c>
      <c r="D2488" s="1">
        <v>45855</v>
      </c>
      <c r="E2488" t="s">
        <v>19</v>
      </c>
      <c r="F2488">
        <v>6000</v>
      </c>
      <c r="G2488">
        <v>375</v>
      </c>
      <c r="H2488">
        <v>572</v>
      </c>
      <c r="I2488">
        <v>375</v>
      </c>
      <c r="J2488">
        <v>511.2</v>
      </c>
      <c r="K2488">
        <v>306.5</v>
      </c>
      <c r="L2488">
        <v>17510</v>
      </c>
      <c r="M2488" t="s">
        <v>1174</v>
      </c>
      <c r="N2488">
        <v>113115.61</v>
      </c>
      <c r="O2488">
        <v>2808</v>
      </c>
    </row>
    <row r="2489" spans="1:15" x14ac:dyDescent="0.2">
      <c r="A2489" s="6">
        <v>45832</v>
      </c>
      <c r="B2489" t="s">
        <v>15</v>
      </c>
      <c r="C2489" t="s">
        <v>16</v>
      </c>
      <c r="D2489" s="1">
        <v>45855</v>
      </c>
      <c r="E2489" t="s">
        <v>19</v>
      </c>
      <c r="F2489">
        <v>7050</v>
      </c>
      <c r="J2489">
        <v>1472.6</v>
      </c>
      <c r="K2489">
        <v>1024.9000000000001</v>
      </c>
      <c r="L2489">
        <v>0</v>
      </c>
      <c r="M2489" t="s">
        <v>18</v>
      </c>
      <c r="N2489">
        <v>0</v>
      </c>
      <c r="O2489">
        <v>0</v>
      </c>
    </row>
    <row r="2490" spans="1:15" x14ac:dyDescent="0.2">
      <c r="A2490" s="6">
        <v>45832</v>
      </c>
      <c r="B2490" t="s">
        <v>15</v>
      </c>
      <c r="C2490" t="s">
        <v>16</v>
      </c>
      <c r="D2490" s="1">
        <v>45855</v>
      </c>
      <c r="E2490" t="s">
        <v>17</v>
      </c>
      <c r="F2490">
        <v>5550</v>
      </c>
      <c r="G2490">
        <v>377.2</v>
      </c>
      <c r="H2490">
        <v>397.7</v>
      </c>
      <c r="I2490">
        <v>222.1</v>
      </c>
      <c r="J2490">
        <v>245.5</v>
      </c>
      <c r="K2490">
        <v>734</v>
      </c>
      <c r="L2490">
        <v>9634</v>
      </c>
      <c r="M2490" t="s">
        <v>1175</v>
      </c>
      <c r="N2490">
        <v>56124.08</v>
      </c>
      <c r="O2490">
        <v>696</v>
      </c>
    </row>
    <row r="2491" spans="1:15" x14ac:dyDescent="0.2">
      <c r="A2491" s="6">
        <v>45832</v>
      </c>
      <c r="B2491" t="s">
        <v>15</v>
      </c>
      <c r="C2491" t="s">
        <v>16</v>
      </c>
      <c r="D2491" s="1">
        <v>45855</v>
      </c>
      <c r="E2491" t="s">
        <v>19</v>
      </c>
      <c r="F2491">
        <v>7550</v>
      </c>
      <c r="J2491">
        <v>1962.3</v>
      </c>
      <c r="K2491">
        <v>1503.5</v>
      </c>
      <c r="L2491">
        <v>0</v>
      </c>
      <c r="M2491" t="s">
        <v>18</v>
      </c>
      <c r="N2491">
        <v>0</v>
      </c>
      <c r="O2491">
        <v>0</v>
      </c>
    </row>
    <row r="2492" spans="1:15" x14ac:dyDescent="0.2">
      <c r="A2492" s="6">
        <v>45831</v>
      </c>
      <c r="B2492" t="s">
        <v>15</v>
      </c>
      <c r="C2492" t="s">
        <v>16</v>
      </c>
      <c r="D2492" s="1">
        <v>45855</v>
      </c>
      <c r="E2492" t="s">
        <v>17</v>
      </c>
      <c r="F2492">
        <v>4350</v>
      </c>
      <c r="J2492">
        <v>1689.5</v>
      </c>
      <c r="K2492">
        <v>2045</v>
      </c>
      <c r="L2492">
        <v>0</v>
      </c>
      <c r="M2492" t="s">
        <v>18</v>
      </c>
      <c r="N2492">
        <v>0</v>
      </c>
      <c r="O2492">
        <v>0</v>
      </c>
    </row>
    <row r="2493" spans="1:15" x14ac:dyDescent="0.2">
      <c r="A2493" s="6">
        <v>45831</v>
      </c>
      <c r="B2493" t="s">
        <v>15</v>
      </c>
      <c r="C2493" t="s">
        <v>16</v>
      </c>
      <c r="D2493" s="1">
        <v>45855</v>
      </c>
      <c r="E2493" t="s">
        <v>19</v>
      </c>
      <c r="F2493">
        <v>6150</v>
      </c>
      <c r="G2493">
        <v>87.1</v>
      </c>
      <c r="H2493">
        <v>422</v>
      </c>
      <c r="I2493">
        <v>87.1</v>
      </c>
      <c r="J2493">
        <v>394.4</v>
      </c>
      <c r="K2493">
        <v>307.7</v>
      </c>
      <c r="L2493">
        <v>9721</v>
      </c>
      <c r="M2493" t="s">
        <v>1176</v>
      </c>
      <c r="N2493">
        <v>62883.519999999997</v>
      </c>
      <c r="O2493">
        <v>278</v>
      </c>
    </row>
    <row r="2494" spans="1:15" x14ac:dyDescent="0.2">
      <c r="A2494" s="6">
        <v>45831</v>
      </c>
      <c r="B2494" t="s">
        <v>15</v>
      </c>
      <c r="C2494" t="s">
        <v>16</v>
      </c>
      <c r="D2494" s="1">
        <v>45855</v>
      </c>
      <c r="E2494" t="s">
        <v>19</v>
      </c>
      <c r="F2494">
        <v>6250</v>
      </c>
      <c r="G2494">
        <v>310.3</v>
      </c>
      <c r="H2494">
        <v>488.9</v>
      </c>
      <c r="I2494">
        <v>289.7</v>
      </c>
      <c r="J2494">
        <v>461.6</v>
      </c>
      <c r="K2494">
        <v>364.2</v>
      </c>
      <c r="L2494">
        <v>10419</v>
      </c>
      <c r="M2494" t="s">
        <v>1017</v>
      </c>
      <c r="N2494">
        <v>68886.990000000005</v>
      </c>
      <c r="O2494">
        <v>134</v>
      </c>
    </row>
    <row r="2495" spans="1:15" x14ac:dyDescent="0.2">
      <c r="A2495" s="6">
        <v>45831</v>
      </c>
      <c r="B2495" t="s">
        <v>15</v>
      </c>
      <c r="C2495" t="s">
        <v>16</v>
      </c>
      <c r="D2495" s="1">
        <v>45855</v>
      </c>
      <c r="E2495" t="s">
        <v>17</v>
      </c>
      <c r="F2495">
        <v>7450</v>
      </c>
      <c r="G2495">
        <v>224</v>
      </c>
      <c r="H2495">
        <v>226</v>
      </c>
      <c r="I2495">
        <v>58.3</v>
      </c>
      <c r="J2495">
        <v>67</v>
      </c>
      <c r="K2495">
        <v>213.7</v>
      </c>
      <c r="L2495">
        <v>2936</v>
      </c>
      <c r="M2495" t="s">
        <v>1177</v>
      </c>
      <c r="N2495">
        <v>22281.98</v>
      </c>
      <c r="O2495">
        <v>273</v>
      </c>
    </row>
    <row r="2496" spans="1:15" x14ac:dyDescent="0.2">
      <c r="A2496" s="6">
        <v>45831</v>
      </c>
      <c r="B2496" t="s">
        <v>15</v>
      </c>
      <c r="C2496" t="s">
        <v>16</v>
      </c>
      <c r="D2496" s="1">
        <v>45855</v>
      </c>
      <c r="E2496" t="s">
        <v>17</v>
      </c>
      <c r="F2496">
        <v>5950</v>
      </c>
      <c r="G2496">
        <v>757</v>
      </c>
      <c r="H2496">
        <v>757</v>
      </c>
      <c r="I2496">
        <v>325.7</v>
      </c>
      <c r="J2496">
        <v>364.2</v>
      </c>
      <c r="K2496">
        <v>654.9</v>
      </c>
      <c r="L2496">
        <v>299</v>
      </c>
      <c r="M2496" t="s">
        <v>1178</v>
      </c>
      <c r="N2496">
        <v>1899.41</v>
      </c>
      <c r="O2496">
        <v>68</v>
      </c>
    </row>
    <row r="2497" spans="1:15" x14ac:dyDescent="0.2">
      <c r="A2497" s="6">
        <v>45831</v>
      </c>
      <c r="B2497" t="s">
        <v>15</v>
      </c>
      <c r="C2497" t="s">
        <v>16</v>
      </c>
      <c r="D2497" s="1">
        <v>45855</v>
      </c>
      <c r="E2497" t="s">
        <v>17</v>
      </c>
      <c r="F2497">
        <v>5050</v>
      </c>
      <c r="J2497">
        <v>1004.1</v>
      </c>
      <c r="K2497">
        <v>1349.8</v>
      </c>
      <c r="L2497">
        <v>0</v>
      </c>
      <c r="M2497" t="s">
        <v>18</v>
      </c>
      <c r="N2497">
        <v>0</v>
      </c>
      <c r="O2497">
        <v>0</v>
      </c>
    </row>
    <row r="2498" spans="1:15" x14ac:dyDescent="0.2">
      <c r="A2498" s="6">
        <v>45831</v>
      </c>
      <c r="B2498" t="s">
        <v>15</v>
      </c>
      <c r="C2498" t="s">
        <v>16</v>
      </c>
      <c r="D2498" s="1">
        <v>45855</v>
      </c>
      <c r="E2498" t="s">
        <v>17</v>
      </c>
      <c r="F2498">
        <v>5000</v>
      </c>
      <c r="J2498">
        <v>1051.4000000000001</v>
      </c>
      <c r="K2498">
        <v>1399.1</v>
      </c>
      <c r="L2498">
        <v>0</v>
      </c>
      <c r="M2498" t="s">
        <v>18</v>
      </c>
      <c r="N2498">
        <v>0</v>
      </c>
      <c r="O2498">
        <v>5</v>
      </c>
    </row>
    <row r="2499" spans="1:15" x14ac:dyDescent="0.2">
      <c r="A2499" s="6">
        <v>45831</v>
      </c>
      <c r="B2499" t="s">
        <v>15</v>
      </c>
      <c r="C2499" t="s">
        <v>16</v>
      </c>
      <c r="D2499" s="1">
        <v>45855</v>
      </c>
      <c r="E2499" t="s">
        <v>17</v>
      </c>
      <c r="F2499">
        <v>4150</v>
      </c>
      <c r="J2499">
        <v>1888.6</v>
      </c>
      <c r="K2499">
        <v>2244.1</v>
      </c>
      <c r="L2499">
        <v>0</v>
      </c>
      <c r="M2499" t="s">
        <v>18</v>
      </c>
      <c r="N2499">
        <v>0</v>
      </c>
      <c r="O2499">
        <v>0</v>
      </c>
    </row>
    <row r="2500" spans="1:15" x14ac:dyDescent="0.2">
      <c r="A2500" s="6">
        <v>45831</v>
      </c>
      <c r="B2500" t="s">
        <v>15</v>
      </c>
      <c r="C2500" t="s">
        <v>16</v>
      </c>
      <c r="D2500" s="1">
        <v>45855</v>
      </c>
      <c r="E2500" t="s">
        <v>17</v>
      </c>
      <c r="F2500">
        <v>4100</v>
      </c>
      <c r="J2500">
        <v>1938.4</v>
      </c>
      <c r="K2500">
        <v>2293.8000000000002</v>
      </c>
      <c r="L2500">
        <v>0</v>
      </c>
      <c r="M2500" t="s">
        <v>18</v>
      </c>
      <c r="N2500">
        <v>0</v>
      </c>
      <c r="O2500">
        <v>0</v>
      </c>
    </row>
    <row r="2501" spans="1:15" x14ac:dyDescent="0.2">
      <c r="A2501" s="6">
        <v>45831</v>
      </c>
      <c r="B2501" t="s">
        <v>15</v>
      </c>
      <c r="C2501" t="s">
        <v>16</v>
      </c>
      <c r="D2501" s="1">
        <v>45855</v>
      </c>
      <c r="E2501" t="s">
        <v>17</v>
      </c>
      <c r="F2501">
        <v>4000</v>
      </c>
      <c r="J2501">
        <v>2038</v>
      </c>
      <c r="K2501">
        <v>2393.4</v>
      </c>
      <c r="L2501">
        <v>0</v>
      </c>
      <c r="M2501" t="s">
        <v>18</v>
      </c>
      <c r="N2501">
        <v>0</v>
      </c>
      <c r="O2501">
        <v>0</v>
      </c>
    </row>
    <row r="2502" spans="1:15" x14ac:dyDescent="0.2">
      <c r="A2502" s="6">
        <v>45831</v>
      </c>
      <c r="B2502" t="s">
        <v>15</v>
      </c>
      <c r="C2502" t="s">
        <v>16</v>
      </c>
      <c r="D2502" s="1">
        <v>45855</v>
      </c>
      <c r="E2502" t="s">
        <v>17</v>
      </c>
      <c r="F2502">
        <v>5150</v>
      </c>
      <c r="J2502">
        <v>911</v>
      </c>
      <c r="K2502">
        <v>1251.5999999999999</v>
      </c>
      <c r="L2502">
        <v>0</v>
      </c>
      <c r="M2502" t="s">
        <v>18</v>
      </c>
      <c r="N2502">
        <v>0</v>
      </c>
      <c r="O2502">
        <v>2</v>
      </c>
    </row>
    <row r="2503" spans="1:15" x14ac:dyDescent="0.2">
      <c r="A2503" s="6">
        <v>45831</v>
      </c>
      <c r="B2503" t="s">
        <v>15</v>
      </c>
      <c r="C2503" t="s">
        <v>16</v>
      </c>
      <c r="D2503" s="1">
        <v>45855</v>
      </c>
      <c r="E2503" t="s">
        <v>17</v>
      </c>
      <c r="F2503">
        <v>4400</v>
      </c>
      <c r="J2503">
        <v>1639.8</v>
      </c>
      <c r="K2503">
        <v>1995.2</v>
      </c>
      <c r="L2503">
        <v>0</v>
      </c>
      <c r="M2503" t="s">
        <v>18</v>
      </c>
      <c r="N2503">
        <v>0</v>
      </c>
      <c r="O2503">
        <v>0</v>
      </c>
    </row>
    <row r="2504" spans="1:15" x14ac:dyDescent="0.2">
      <c r="A2504" s="6">
        <v>45831</v>
      </c>
      <c r="B2504" t="s">
        <v>15</v>
      </c>
      <c r="C2504" t="s">
        <v>16</v>
      </c>
      <c r="D2504" s="1">
        <v>45855</v>
      </c>
      <c r="E2504" t="s">
        <v>17</v>
      </c>
      <c r="F2504">
        <v>4750</v>
      </c>
      <c r="J2504">
        <v>1293.5999999999999</v>
      </c>
      <c r="K2504">
        <v>1647</v>
      </c>
      <c r="L2504">
        <v>0</v>
      </c>
      <c r="M2504" t="s">
        <v>18</v>
      </c>
      <c r="N2504">
        <v>0</v>
      </c>
      <c r="O2504">
        <v>0</v>
      </c>
    </row>
    <row r="2505" spans="1:15" x14ac:dyDescent="0.2">
      <c r="A2505" s="6">
        <v>45831</v>
      </c>
      <c r="B2505" t="s">
        <v>15</v>
      </c>
      <c r="C2505" t="s">
        <v>16</v>
      </c>
      <c r="D2505" s="1">
        <v>45855</v>
      </c>
      <c r="E2505" t="s">
        <v>19</v>
      </c>
      <c r="F2505">
        <v>7200</v>
      </c>
      <c r="J2505">
        <v>1165.5999999999999</v>
      </c>
      <c r="K2505">
        <v>833.7</v>
      </c>
      <c r="L2505">
        <v>0</v>
      </c>
      <c r="M2505" t="s">
        <v>18</v>
      </c>
      <c r="N2505">
        <v>0</v>
      </c>
      <c r="O2505">
        <v>0</v>
      </c>
    </row>
    <row r="2506" spans="1:15" x14ac:dyDescent="0.2">
      <c r="A2506" s="6">
        <v>45831</v>
      </c>
      <c r="B2506" t="s">
        <v>15</v>
      </c>
      <c r="C2506" t="s">
        <v>16</v>
      </c>
      <c r="D2506" s="1">
        <v>45855</v>
      </c>
      <c r="E2506" t="s">
        <v>17</v>
      </c>
      <c r="F2506">
        <v>5300</v>
      </c>
      <c r="G2506">
        <v>1270.5</v>
      </c>
      <c r="H2506">
        <v>1270.5</v>
      </c>
      <c r="I2506">
        <v>1200</v>
      </c>
      <c r="J2506">
        <v>1235.3</v>
      </c>
      <c r="K2506">
        <v>1139.2</v>
      </c>
      <c r="L2506">
        <v>2</v>
      </c>
      <c r="M2506" t="s">
        <v>28</v>
      </c>
      <c r="N2506">
        <v>13.07</v>
      </c>
      <c r="O2506">
        <v>13</v>
      </c>
    </row>
    <row r="2507" spans="1:15" x14ac:dyDescent="0.2">
      <c r="A2507" s="6">
        <v>45831</v>
      </c>
      <c r="B2507" t="s">
        <v>15</v>
      </c>
      <c r="C2507" t="s">
        <v>16</v>
      </c>
      <c r="D2507" s="1">
        <v>45855</v>
      </c>
      <c r="E2507" t="s">
        <v>17</v>
      </c>
      <c r="F2507">
        <v>4450</v>
      </c>
      <c r="J2507">
        <v>1590.1</v>
      </c>
      <c r="K2507">
        <v>1945.4</v>
      </c>
      <c r="L2507">
        <v>0</v>
      </c>
      <c r="M2507" t="s">
        <v>18</v>
      </c>
      <c r="N2507">
        <v>0</v>
      </c>
      <c r="O2507">
        <v>0</v>
      </c>
    </row>
    <row r="2508" spans="1:15" x14ac:dyDescent="0.2">
      <c r="A2508" s="6">
        <v>45831</v>
      </c>
      <c r="B2508" t="s">
        <v>15</v>
      </c>
      <c r="C2508" t="s">
        <v>16</v>
      </c>
      <c r="D2508" s="1">
        <v>45855</v>
      </c>
      <c r="E2508" t="s">
        <v>19</v>
      </c>
      <c r="F2508">
        <v>6950</v>
      </c>
      <c r="G2508">
        <v>734.6</v>
      </c>
      <c r="H2508">
        <v>738.9</v>
      </c>
      <c r="I2508">
        <v>728.9</v>
      </c>
      <c r="J2508">
        <v>735.6</v>
      </c>
      <c r="K2508">
        <v>838.9</v>
      </c>
      <c r="L2508">
        <v>8</v>
      </c>
      <c r="M2508" t="s">
        <v>71</v>
      </c>
      <c r="N2508">
        <v>61.49</v>
      </c>
      <c r="O2508">
        <v>72</v>
      </c>
    </row>
    <row r="2509" spans="1:15" x14ac:dyDescent="0.2">
      <c r="A2509" s="6">
        <v>45831</v>
      </c>
      <c r="B2509" t="s">
        <v>15</v>
      </c>
      <c r="C2509" t="s">
        <v>16</v>
      </c>
      <c r="D2509" s="1">
        <v>45855</v>
      </c>
      <c r="E2509" t="s">
        <v>19</v>
      </c>
      <c r="F2509">
        <v>4900</v>
      </c>
      <c r="G2509">
        <v>23.1</v>
      </c>
      <c r="H2509">
        <v>34.700000000000003</v>
      </c>
      <c r="I2509">
        <v>19</v>
      </c>
      <c r="J2509">
        <v>31.9</v>
      </c>
      <c r="K2509">
        <v>24.5</v>
      </c>
      <c r="L2509">
        <v>1655</v>
      </c>
      <c r="M2509" t="s">
        <v>1179</v>
      </c>
      <c r="N2509">
        <v>8152.94</v>
      </c>
      <c r="O2509">
        <v>267</v>
      </c>
    </row>
    <row r="2510" spans="1:15" x14ac:dyDescent="0.2">
      <c r="A2510" s="6">
        <v>45831</v>
      </c>
      <c r="B2510" t="s">
        <v>15</v>
      </c>
      <c r="C2510" t="s">
        <v>16</v>
      </c>
      <c r="D2510" s="1">
        <v>45855</v>
      </c>
      <c r="E2510" t="s">
        <v>17</v>
      </c>
      <c r="F2510">
        <v>4850</v>
      </c>
      <c r="J2510">
        <v>1195.8</v>
      </c>
      <c r="K2510">
        <v>1547.6</v>
      </c>
      <c r="L2510">
        <v>0</v>
      </c>
      <c r="M2510" t="s">
        <v>18</v>
      </c>
      <c r="N2510">
        <v>0</v>
      </c>
      <c r="O2510">
        <v>0</v>
      </c>
    </row>
    <row r="2511" spans="1:15" x14ac:dyDescent="0.2">
      <c r="A2511" s="6">
        <v>45831</v>
      </c>
      <c r="B2511" t="s">
        <v>15</v>
      </c>
      <c r="C2511" t="s">
        <v>16</v>
      </c>
      <c r="D2511" s="1">
        <v>45855</v>
      </c>
      <c r="E2511" t="s">
        <v>17</v>
      </c>
      <c r="F2511">
        <v>4950</v>
      </c>
      <c r="J2511">
        <v>1099.2</v>
      </c>
      <c r="K2511">
        <v>1448.5</v>
      </c>
      <c r="L2511">
        <v>0</v>
      </c>
      <c r="M2511" t="s">
        <v>18</v>
      </c>
      <c r="N2511">
        <v>0</v>
      </c>
      <c r="O2511">
        <v>0</v>
      </c>
    </row>
    <row r="2512" spans="1:15" x14ac:dyDescent="0.2">
      <c r="A2512" s="6">
        <v>45831</v>
      </c>
      <c r="B2512" t="s">
        <v>15</v>
      </c>
      <c r="C2512" t="s">
        <v>16</v>
      </c>
      <c r="D2512" s="1">
        <v>45855</v>
      </c>
      <c r="E2512" t="s">
        <v>17</v>
      </c>
      <c r="F2512">
        <v>4900</v>
      </c>
      <c r="J2512">
        <v>1147.4000000000001</v>
      </c>
      <c r="K2512">
        <v>1498.1</v>
      </c>
      <c r="L2512">
        <v>0</v>
      </c>
      <c r="M2512" t="s">
        <v>18</v>
      </c>
      <c r="N2512">
        <v>0</v>
      </c>
      <c r="O2512">
        <v>1</v>
      </c>
    </row>
    <row r="2513" spans="1:15" x14ac:dyDescent="0.2">
      <c r="A2513" s="6">
        <v>45831</v>
      </c>
      <c r="B2513" t="s">
        <v>15</v>
      </c>
      <c r="C2513" t="s">
        <v>16</v>
      </c>
      <c r="D2513" s="1">
        <v>45855</v>
      </c>
      <c r="E2513" t="s">
        <v>17</v>
      </c>
      <c r="F2513">
        <v>4250</v>
      </c>
      <c r="J2513">
        <v>1789</v>
      </c>
      <c r="K2513">
        <v>2144.5</v>
      </c>
      <c r="L2513">
        <v>0</v>
      </c>
      <c r="M2513" t="s">
        <v>18</v>
      </c>
      <c r="N2513">
        <v>0</v>
      </c>
      <c r="O2513">
        <v>0</v>
      </c>
    </row>
    <row r="2514" spans="1:15" x14ac:dyDescent="0.2">
      <c r="A2514" s="6">
        <v>45831</v>
      </c>
      <c r="B2514" t="s">
        <v>15</v>
      </c>
      <c r="C2514" t="s">
        <v>16</v>
      </c>
      <c r="D2514" s="1">
        <v>45855</v>
      </c>
      <c r="E2514" t="s">
        <v>17</v>
      </c>
      <c r="F2514">
        <v>4800</v>
      </c>
      <c r="J2514">
        <v>1244.5999999999999</v>
      </c>
      <c r="K2514">
        <v>1597.3</v>
      </c>
      <c r="L2514">
        <v>0</v>
      </c>
      <c r="M2514" t="s">
        <v>18</v>
      </c>
      <c r="N2514">
        <v>0</v>
      </c>
      <c r="O2514">
        <v>0</v>
      </c>
    </row>
    <row r="2515" spans="1:15" x14ac:dyDescent="0.2">
      <c r="A2515" s="6">
        <v>45831</v>
      </c>
      <c r="B2515" t="s">
        <v>15</v>
      </c>
      <c r="C2515" t="s">
        <v>16</v>
      </c>
      <c r="D2515" s="1">
        <v>45855</v>
      </c>
      <c r="E2515" t="s">
        <v>19</v>
      </c>
      <c r="F2515">
        <v>4200</v>
      </c>
      <c r="J2515">
        <v>0.1</v>
      </c>
      <c r="K2515">
        <v>0.1</v>
      </c>
      <c r="L2515">
        <v>0</v>
      </c>
      <c r="M2515" t="s">
        <v>18</v>
      </c>
      <c r="N2515">
        <v>0</v>
      </c>
      <c r="O2515">
        <v>0</v>
      </c>
    </row>
    <row r="2516" spans="1:15" x14ac:dyDescent="0.2">
      <c r="A2516" s="6">
        <v>45831</v>
      </c>
      <c r="B2516" t="s">
        <v>15</v>
      </c>
      <c r="C2516" t="s">
        <v>16</v>
      </c>
      <c r="D2516" s="1">
        <v>45855</v>
      </c>
      <c r="E2516" t="s">
        <v>17</v>
      </c>
      <c r="F2516">
        <v>7300</v>
      </c>
      <c r="G2516">
        <v>237.9</v>
      </c>
      <c r="H2516">
        <v>249.8</v>
      </c>
      <c r="I2516">
        <v>63.1</v>
      </c>
      <c r="J2516">
        <v>74.5</v>
      </c>
      <c r="K2516">
        <v>234.3</v>
      </c>
      <c r="L2516">
        <v>17797</v>
      </c>
      <c r="M2516" t="s">
        <v>1180</v>
      </c>
      <c r="N2516">
        <v>132919.95000000001</v>
      </c>
      <c r="O2516">
        <v>1860</v>
      </c>
    </row>
    <row r="2517" spans="1:15" x14ac:dyDescent="0.2">
      <c r="A2517" s="6">
        <v>45831</v>
      </c>
      <c r="B2517" t="s">
        <v>15</v>
      </c>
      <c r="C2517" t="s">
        <v>16</v>
      </c>
      <c r="D2517" s="1">
        <v>45855</v>
      </c>
      <c r="E2517" t="s">
        <v>19</v>
      </c>
      <c r="F2517">
        <v>5250</v>
      </c>
      <c r="G2517">
        <v>41</v>
      </c>
      <c r="H2517">
        <v>63.6</v>
      </c>
      <c r="I2517">
        <v>33.799999999999997</v>
      </c>
      <c r="J2517">
        <v>57.6</v>
      </c>
      <c r="K2517">
        <v>46</v>
      </c>
      <c r="L2517">
        <v>1335</v>
      </c>
      <c r="M2517" t="s">
        <v>813</v>
      </c>
      <c r="N2517">
        <v>7073.34</v>
      </c>
      <c r="O2517">
        <v>258</v>
      </c>
    </row>
    <row r="2518" spans="1:15" x14ac:dyDescent="0.2">
      <c r="A2518" s="6">
        <v>45831</v>
      </c>
      <c r="B2518" t="s">
        <v>15</v>
      </c>
      <c r="C2518" t="s">
        <v>16</v>
      </c>
      <c r="D2518" s="1">
        <v>45855</v>
      </c>
      <c r="E2518" t="s">
        <v>17</v>
      </c>
      <c r="F2518">
        <v>6200</v>
      </c>
      <c r="G2518">
        <v>582.4</v>
      </c>
      <c r="H2518">
        <v>613.79999999999995</v>
      </c>
      <c r="I2518">
        <v>235.6</v>
      </c>
      <c r="J2518">
        <v>271.89999999999998</v>
      </c>
      <c r="K2518">
        <v>542.5</v>
      </c>
      <c r="L2518">
        <v>21579</v>
      </c>
      <c r="M2518" t="s">
        <v>1181</v>
      </c>
      <c r="N2518">
        <v>141903.16</v>
      </c>
      <c r="O2518">
        <v>2528</v>
      </c>
    </row>
    <row r="2519" spans="1:15" x14ac:dyDescent="0.2">
      <c r="A2519" s="6">
        <v>45831</v>
      </c>
      <c r="B2519" t="s">
        <v>15</v>
      </c>
      <c r="C2519" t="s">
        <v>16</v>
      </c>
      <c r="D2519" s="1">
        <v>45855</v>
      </c>
      <c r="E2519" t="s">
        <v>17</v>
      </c>
      <c r="F2519">
        <v>4200</v>
      </c>
      <c r="J2519">
        <v>1838.8</v>
      </c>
      <c r="K2519">
        <v>2194.3000000000002</v>
      </c>
      <c r="L2519">
        <v>0</v>
      </c>
      <c r="M2519" t="s">
        <v>18</v>
      </c>
      <c r="N2519">
        <v>0</v>
      </c>
      <c r="O2519">
        <v>0</v>
      </c>
    </row>
    <row r="2520" spans="1:15" x14ac:dyDescent="0.2">
      <c r="A2520" s="6">
        <v>45831</v>
      </c>
      <c r="B2520" t="s">
        <v>15</v>
      </c>
      <c r="C2520" t="s">
        <v>16</v>
      </c>
      <c r="D2520" s="1">
        <v>45855</v>
      </c>
      <c r="E2520" t="s">
        <v>19</v>
      </c>
      <c r="F2520">
        <v>3900</v>
      </c>
      <c r="J2520">
        <v>0.1</v>
      </c>
      <c r="K2520">
        <v>0.1</v>
      </c>
      <c r="L2520">
        <v>0</v>
      </c>
      <c r="M2520" t="s">
        <v>18</v>
      </c>
      <c r="N2520">
        <v>0</v>
      </c>
      <c r="O2520">
        <v>0</v>
      </c>
    </row>
    <row r="2521" spans="1:15" x14ac:dyDescent="0.2">
      <c r="A2521" s="6">
        <v>45831</v>
      </c>
      <c r="B2521" t="s">
        <v>15</v>
      </c>
      <c r="C2521" t="s">
        <v>16</v>
      </c>
      <c r="D2521" s="1">
        <v>45855</v>
      </c>
      <c r="E2521" t="s">
        <v>17</v>
      </c>
      <c r="F2521">
        <v>5700</v>
      </c>
      <c r="G2521">
        <v>938.6</v>
      </c>
      <c r="H2521">
        <v>938.6</v>
      </c>
      <c r="I2521">
        <v>463.3</v>
      </c>
      <c r="J2521">
        <v>490.2</v>
      </c>
      <c r="K2521">
        <v>838</v>
      </c>
      <c r="L2521">
        <v>108</v>
      </c>
      <c r="M2521" t="s">
        <v>1182</v>
      </c>
      <c r="N2521">
        <v>680.59</v>
      </c>
      <c r="O2521">
        <v>525</v>
      </c>
    </row>
    <row r="2522" spans="1:15" x14ac:dyDescent="0.2">
      <c r="A2522" s="6">
        <v>45831</v>
      </c>
      <c r="B2522" t="s">
        <v>15</v>
      </c>
      <c r="C2522" t="s">
        <v>16</v>
      </c>
      <c r="D2522" s="1">
        <v>45855</v>
      </c>
      <c r="E2522" t="s">
        <v>19</v>
      </c>
      <c r="F2522">
        <v>5100</v>
      </c>
      <c r="G2522">
        <v>30.4</v>
      </c>
      <c r="H2522">
        <v>43.3</v>
      </c>
      <c r="I2522">
        <v>18.100000000000001</v>
      </c>
      <c r="J2522">
        <v>39</v>
      </c>
      <c r="K2522">
        <v>32</v>
      </c>
      <c r="L2522">
        <v>5426</v>
      </c>
      <c r="M2522" t="s">
        <v>1183</v>
      </c>
      <c r="N2522">
        <v>27833.81</v>
      </c>
      <c r="O2522">
        <v>1061</v>
      </c>
    </row>
    <row r="2523" spans="1:15" x14ac:dyDescent="0.2">
      <c r="A2523" s="6">
        <v>45831</v>
      </c>
      <c r="B2523" t="s">
        <v>15</v>
      </c>
      <c r="C2523" t="s">
        <v>16</v>
      </c>
      <c r="D2523" s="1">
        <v>45855</v>
      </c>
      <c r="E2523" t="s">
        <v>17</v>
      </c>
      <c r="F2523">
        <v>5250</v>
      </c>
      <c r="J2523">
        <v>820.4</v>
      </c>
      <c r="K2523">
        <v>1154.2</v>
      </c>
      <c r="L2523">
        <v>0</v>
      </c>
      <c r="M2523" t="s">
        <v>18</v>
      </c>
      <c r="N2523">
        <v>0</v>
      </c>
      <c r="O2523">
        <v>0</v>
      </c>
    </row>
    <row r="2524" spans="1:15" x14ac:dyDescent="0.2">
      <c r="A2524" s="6">
        <v>45831</v>
      </c>
      <c r="B2524" t="s">
        <v>15</v>
      </c>
      <c r="C2524" t="s">
        <v>16</v>
      </c>
      <c r="D2524" s="1">
        <v>45855</v>
      </c>
      <c r="E2524" t="s">
        <v>19</v>
      </c>
      <c r="F2524">
        <v>6650</v>
      </c>
      <c r="G2524">
        <v>530.29999999999995</v>
      </c>
      <c r="H2524">
        <v>818.2</v>
      </c>
      <c r="I2524">
        <v>95</v>
      </c>
      <c r="J2524">
        <v>767.7</v>
      </c>
      <c r="K2524">
        <v>631.20000000000005</v>
      </c>
      <c r="L2524">
        <v>2169</v>
      </c>
      <c r="M2524" t="s">
        <v>1184</v>
      </c>
      <c r="N2524">
        <v>15721.3</v>
      </c>
      <c r="O2524">
        <v>64</v>
      </c>
    </row>
    <row r="2525" spans="1:15" x14ac:dyDescent="0.2">
      <c r="A2525" s="6">
        <v>45831</v>
      </c>
      <c r="B2525" t="s">
        <v>15</v>
      </c>
      <c r="C2525" t="s">
        <v>16</v>
      </c>
      <c r="D2525" s="1">
        <v>45855</v>
      </c>
      <c r="E2525" t="s">
        <v>17</v>
      </c>
      <c r="F2525">
        <v>5100</v>
      </c>
      <c r="J2525">
        <v>957.2</v>
      </c>
      <c r="K2525">
        <v>1300.5999999999999</v>
      </c>
      <c r="L2525">
        <v>0</v>
      </c>
      <c r="M2525" t="s">
        <v>18</v>
      </c>
      <c r="N2525">
        <v>0</v>
      </c>
      <c r="O2525">
        <v>5</v>
      </c>
    </row>
    <row r="2526" spans="1:15" x14ac:dyDescent="0.2">
      <c r="A2526" s="6">
        <v>45831</v>
      </c>
      <c r="B2526" t="s">
        <v>15</v>
      </c>
      <c r="C2526" t="s">
        <v>16</v>
      </c>
      <c r="D2526" s="1">
        <v>45855</v>
      </c>
      <c r="E2526" t="s">
        <v>19</v>
      </c>
      <c r="F2526">
        <v>6050</v>
      </c>
      <c r="G2526">
        <v>65.3</v>
      </c>
      <c r="H2526">
        <v>370</v>
      </c>
      <c r="I2526">
        <v>65.3</v>
      </c>
      <c r="J2526">
        <v>336</v>
      </c>
      <c r="K2526">
        <v>261.3</v>
      </c>
      <c r="L2526">
        <v>6122</v>
      </c>
      <c r="M2526" t="s">
        <v>1185</v>
      </c>
      <c r="N2526">
        <v>38738.120000000003</v>
      </c>
      <c r="O2526">
        <v>313</v>
      </c>
    </row>
    <row r="2527" spans="1:15" x14ac:dyDescent="0.2">
      <c r="A2527" s="6">
        <v>45831</v>
      </c>
      <c r="B2527" t="s">
        <v>15</v>
      </c>
      <c r="C2527" t="s">
        <v>16</v>
      </c>
      <c r="D2527" s="1">
        <v>45855</v>
      </c>
      <c r="E2527" t="s">
        <v>17</v>
      </c>
      <c r="F2527">
        <v>4650</v>
      </c>
      <c r="J2527">
        <v>1392</v>
      </c>
      <c r="K2527">
        <v>1746.4</v>
      </c>
      <c r="L2527">
        <v>0</v>
      </c>
      <c r="M2527" t="s">
        <v>18</v>
      </c>
      <c r="N2527">
        <v>0</v>
      </c>
      <c r="O2527">
        <v>0</v>
      </c>
    </row>
    <row r="2528" spans="1:15" x14ac:dyDescent="0.2">
      <c r="A2528" s="6">
        <v>45831</v>
      </c>
      <c r="B2528" t="s">
        <v>15</v>
      </c>
      <c r="C2528" t="s">
        <v>16</v>
      </c>
      <c r="D2528" s="1">
        <v>45855</v>
      </c>
      <c r="E2528" t="s">
        <v>19</v>
      </c>
      <c r="F2528">
        <v>3600</v>
      </c>
      <c r="J2528">
        <v>0.1</v>
      </c>
      <c r="K2528">
        <v>0.1</v>
      </c>
      <c r="L2528">
        <v>0</v>
      </c>
      <c r="M2528" t="s">
        <v>18</v>
      </c>
      <c r="N2528">
        <v>0</v>
      </c>
      <c r="O2528">
        <v>0</v>
      </c>
    </row>
    <row r="2529" spans="1:15" x14ac:dyDescent="0.2">
      <c r="A2529" s="6">
        <v>45831</v>
      </c>
      <c r="B2529" t="s">
        <v>15</v>
      </c>
      <c r="C2529" t="s">
        <v>16</v>
      </c>
      <c r="D2529" s="1">
        <v>45855</v>
      </c>
      <c r="E2529" t="s">
        <v>17</v>
      </c>
      <c r="F2529">
        <v>7500</v>
      </c>
      <c r="G2529">
        <v>210</v>
      </c>
      <c r="H2529">
        <v>217.3</v>
      </c>
      <c r="I2529">
        <v>54.8</v>
      </c>
      <c r="J2529">
        <v>62.9</v>
      </c>
      <c r="K2529">
        <v>205.8</v>
      </c>
      <c r="L2529">
        <v>30391</v>
      </c>
      <c r="M2529" t="s">
        <v>1186</v>
      </c>
      <c r="N2529">
        <v>232327.57</v>
      </c>
      <c r="O2529">
        <v>3422</v>
      </c>
    </row>
    <row r="2530" spans="1:15" x14ac:dyDescent="0.2">
      <c r="A2530" s="6">
        <v>45831</v>
      </c>
      <c r="B2530" t="s">
        <v>15</v>
      </c>
      <c r="C2530" t="s">
        <v>16</v>
      </c>
      <c r="D2530" s="1">
        <v>45855</v>
      </c>
      <c r="E2530" t="s">
        <v>19</v>
      </c>
      <c r="F2530">
        <v>4550</v>
      </c>
      <c r="J2530">
        <v>0.8</v>
      </c>
      <c r="K2530">
        <v>0.1</v>
      </c>
      <c r="L2530">
        <v>0</v>
      </c>
      <c r="M2530" t="s">
        <v>18</v>
      </c>
      <c r="N2530">
        <v>0</v>
      </c>
      <c r="O2530">
        <v>0</v>
      </c>
    </row>
    <row r="2531" spans="1:15" x14ac:dyDescent="0.2">
      <c r="A2531" s="6">
        <v>45831</v>
      </c>
      <c r="B2531" t="s">
        <v>15</v>
      </c>
      <c r="C2531" t="s">
        <v>16</v>
      </c>
      <c r="D2531" s="1">
        <v>45855</v>
      </c>
      <c r="E2531" t="s">
        <v>17</v>
      </c>
      <c r="F2531">
        <v>3600</v>
      </c>
      <c r="J2531">
        <v>2436.4</v>
      </c>
      <c r="K2531">
        <v>2791.6</v>
      </c>
      <c r="L2531">
        <v>0</v>
      </c>
      <c r="M2531" t="s">
        <v>18</v>
      </c>
      <c r="N2531">
        <v>0</v>
      </c>
      <c r="O2531">
        <v>0</v>
      </c>
    </row>
    <row r="2532" spans="1:15" x14ac:dyDescent="0.2">
      <c r="A2532" s="6">
        <v>45831</v>
      </c>
      <c r="B2532" t="s">
        <v>15</v>
      </c>
      <c r="C2532" t="s">
        <v>16</v>
      </c>
      <c r="D2532" s="1">
        <v>45855</v>
      </c>
      <c r="E2532" t="s">
        <v>19</v>
      </c>
      <c r="F2532">
        <v>7150</v>
      </c>
      <c r="J2532">
        <v>1118.3</v>
      </c>
      <c r="K2532">
        <v>789.9</v>
      </c>
      <c r="L2532">
        <v>0</v>
      </c>
      <c r="M2532" t="s">
        <v>18</v>
      </c>
      <c r="N2532">
        <v>0</v>
      </c>
      <c r="O2532">
        <v>0</v>
      </c>
    </row>
    <row r="2533" spans="1:15" x14ac:dyDescent="0.2">
      <c r="A2533" s="6">
        <v>45831</v>
      </c>
      <c r="B2533" t="s">
        <v>15</v>
      </c>
      <c r="C2533" t="s">
        <v>16</v>
      </c>
      <c r="D2533" s="1">
        <v>45855</v>
      </c>
      <c r="E2533" t="s">
        <v>19</v>
      </c>
      <c r="F2533">
        <v>5800</v>
      </c>
      <c r="G2533">
        <v>134.5</v>
      </c>
      <c r="H2533">
        <v>223.8</v>
      </c>
      <c r="I2533">
        <v>113.6</v>
      </c>
      <c r="J2533">
        <v>205.9</v>
      </c>
      <c r="K2533">
        <v>161.9</v>
      </c>
      <c r="L2533">
        <v>29474</v>
      </c>
      <c r="M2533" t="s">
        <v>1187</v>
      </c>
      <c r="N2533">
        <v>175522.48</v>
      </c>
      <c r="O2533">
        <v>1517</v>
      </c>
    </row>
    <row r="2534" spans="1:15" x14ac:dyDescent="0.2">
      <c r="A2534" s="6">
        <v>45831</v>
      </c>
      <c r="B2534" t="s">
        <v>15</v>
      </c>
      <c r="C2534" t="s">
        <v>16</v>
      </c>
      <c r="D2534" s="1">
        <v>45855</v>
      </c>
      <c r="E2534" t="s">
        <v>17</v>
      </c>
      <c r="F2534">
        <v>6700</v>
      </c>
      <c r="G2534">
        <v>381.4</v>
      </c>
      <c r="H2534">
        <v>409.7</v>
      </c>
      <c r="I2534">
        <v>128.4</v>
      </c>
      <c r="J2534">
        <v>144</v>
      </c>
      <c r="K2534">
        <v>360.4</v>
      </c>
      <c r="L2534">
        <v>30617</v>
      </c>
      <c r="M2534" t="s">
        <v>1188</v>
      </c>
      <c r="N2534">
        <v>213988</v>
      </c>
      <c r="O2534">
        <v>2874</v>
      </c>
    </row>
    <row r="2535" spans="1:15" x14ac:dyDescent="0.2">
      <c r="A2535" s="6">
        <v>45831</v>
      </c>
      <c r="B2535" t="s">
        <v>15</v>
      </c>
      <c r="C2535" t="s">
        <v>16</v>
      </c>
      <c r="D2535" s="1">
        <v>45855</v>
      </c>
      <c r="E2535" t="s">
        <v>17</v>
      </c>
      <c r="F2535">
        <v>3650</v>
      </c>
      <c r="J2535">
        <v>2386.6</v>
      </c>
      <c r="K2535">
        <v>2741.9</v>
      </c>
      <c r="L2535">
        <v>0</v>
      </c>
      <c r="M2535" t="s">
        <v>18</v>
      </c>
      <c r="N2535">
        <v>0</v>
      </c>
      <c r="O2535">
        <v>0</v>
      </c>
    </row>
    <row r="2536" spans="1:15" x14ac:dyDescent="0.2">
      <c r="A2536" s="6">
        <v>45831</v>
      </c>
      <c r="B2536" t="s">
        <v>15</v>
      </c>
      <c r="C2536" t="s">
        <v>16</v>
      </c>
      <c r="D2536" s="1">
        <v>45855</v>
      </c>
      <c r="E2536" t="s">
        <v>17</v>
      </c>
      <c r="F2536">
        <v>6800</v>
      </c>
      <c r="G2536">
        <v>355.7</v>
      </c>
      <c r="H2536">
        <v>378.2</v>
      </c>
      <c r="I2536">
        <v>113.4</v>
      </c>
      <c r="J2536">
        <v>128.5</v>
      </c>
      <c r="K2536">
        <v>335.6</v>
      </c>
      <c r="L2536">
        <v>36791</v>
      </c>
      <c r="M2536" t="s">
        <v>1189</v>
      </c>
      <c r="N2536">
        <v>259352.56</v>
      </c>
      <c r="O2536">
        <v>2289</v>
      </c>
    </row>
    <row r="2537" spans="1:15" x14ac:dyDescent="0.2">
      <c r="A2537" s="6">
        <v>45831</v>
      </c>
      <c r="B2537" t="s">
        <v>15</v>
      </c>
      <c r="C2537" t="s">
        <v>16</v>
      </c>
      <c r="D2537" s="1">
        <v>45855</v>
      </c>
      <c r="E2537" t="s">
        <v>17</v>
      </c>
      <c r="F2537">
        <v>6900</v>
      </c>
      <c r="G2537">
        <v>325.8</v>
      </c>
      <c r="H2537">
        <v>354.9</v>
      </c>
      <c r="I2537">
        <v>101.2</v>
      </c>
      <c r="J2537">
        <v>115</v>
      </c>
      <c r="K2537">
        <v>309.10000000000002</v>
      </c>
      <c r="L2537">
        <v>21884</v>
      </c>
      <c r="M2537" t="s">
        <v>1190</v>
      </c>
      <c r="N2537">
        <v>156101.43</v>
      </c>
      <c r="O2537">
        <v>2296</v>
      </c>
    </row>
    <row r="2538" spans="1:15" x14ac:dyDescent="0.2">
      <c r="A2538" s="6">
        <v>45831</v>
      </c>
      <c r="B2538" t="s">
        <v>15</v>
      </c>
      <c r="C2538" t="s">
        <v>16</v>
      </c>
      <c r="D2538" s="1">
        <v>45855</v>
      </c>
      <c r="E2538" t="s">
        <v>17</v>
      </c>
      <c r="F2538">
        <v>6850</v>
      </c>
      <c r="G2538">
        <v>341.9</v>
      </c>
      <c r="H2538">
        <v>352.6</v>
      </c>
      <c r="I2538">
        <v>108.5</v>
      </c>
      <c r="J2538">
        <v>121.2</v>
      </c>
      <c r="K2538">
        <v>322.5</v>
      </c>
      <c r="L2538">
        <v>3681</v>
      </c>
      <c r="M2538" t="s">
        <v>1191</v>
      </c>
      <c r="N2538">
        <v>26095.85</v>
      </c>
      <c r="O2538">
        <v>417</v>
      </c>
    </row>
    <row r="2539" spans="1:15" x14ac:dyDescent="0.2">
      <c r="A2539" s="6">
        <v>45831</v>
      </c>
      <c r="B2539" t="s">
        <v>15</v>
      </c>
      <c r="C2539" t="s">
        <v>16</v>
      </c>
      <c r="D2539" s="1">
        <v>45855</v>
      </c>
      <c r="E2539" t="s">
        <v>17</v>
      </c>
      <c r="F2539">
        <v>6650</v>
      </c>
      <c r="G2539">
        <v>422</v>
      </c>
      <c r="H2539">
        <v>422</v>
      </c>
      <c r="I2539">
        <v>135.5</v>
      </c>
      <c r="J2539">
        <v>156</v>
      </c>
      <c r="K2539">
        <v>376.9</v>
      </c>
      <c r="L2539">
        <v>14603</v>
      </c>
      <c r="M2539" t="s">
        <v>1192</v>
      </c>
      <c r="N2539">
        <v>101359.14</v>
      </c>
      <c r="O2539">
        <v>1580</v>
      </c>
    </row>
    <row r="2540" spans="1:15" x14ac:dyDescent="0.2">
      <c r="A2540" s="6">
        <v>45831</v>
      </c>
      <c r="B2540" t="s">
        <v>15</v>
      </c>
      <c r="C2540" t="s">
        <v>16</v>
      </c>
      <c r="D2540" s="1">
        <v>45855</v>
      </c>
      <c r="E2540" t="s">
        <v>17</v>
      </c>
      <c r="F2540">
        <v>7350</v>
      </c>
      <c r="G2540">
        <v>237.1</v>
      </c>
      <c r="H2540">
        <v>255.2</v>
      </c>
      <c r="I2540">
        <v>64.3</v>
      </c>
      <c r="J2540">
        <v>72</v>
      </c>
      <c r="K2540">
        <v>228.5</v>
      </c>
      <c r="L2540">
        <v>3138</v>
      </c>
      <c r="M2540" t="s">
        <v>1193</v>
      </c>
      <c r="N2540">
        <v>23540.720000000001</v>
      </c>
      <c r="O2540">
        <v>341</v>
      </c>
    </row>
    <row r="2541" spans="1:15" x14ac:dyDescent="0.2">
      <c r="A2541" s="6">
        <v>45831</v>
      </c>
      <c r="B2541" t="s">
        <v>15</v>
      </c>
      <c r="C2541" t="s">
        <v>16</v>
      </c>
      <c r="D2541" s="1">
        <v>45855</v>
      </c>
      <c r="E2541" t="s">
        <v>19</v>
      </c>
      <c r="F2541">
        <v>4700</v>
      </c>
      <c r="J2541">
        <v>2</v>
      </c>
      <c r="K2541">
        <v>0.2</v>
      </c>
      <c r="L2541">
        <v>0</v>
      </c>
      <c r="M2541" t="s">
        <v>18</v>
      </c>
      <c r="N2541">
        <v>0</v>
      </c>
      <c r="O2541">
        <v>0</v>
      </c>
    </row>
    <row r="2542" spans="1:15" x14ac:dyDescent="0.2">
      <c r="A2542" s="6">
        <v>45831</v>
      </c>
      <c r="B2542" t="s">
        <v>15</v>
      </c>
      <c r="C2542" t="s">
        <v>16</v>
      </c>
      <c r="D2542" s="1">
        <v>45855</v>
      </c>
      <c r="E2542" t="s">
        <v>17</v>
      </c>
      <c r="F2542">
        <v>3750</v>
      </c>
      <c r="J2542">
        <v>2287</v>
      </c>
      <c r="K2542">
        <v>2642.3</v>
      </c>
      <c r="L2542">
        <v>0</v>
      </c>
      <c r="M2542" t="s">
        <v>18</v>
      </c>
      <c r="N2542">
        <v>0</v>
      </c>
      <c r="O2542">
        <v>0</v>
      </c>
    </row>
    <row r="2543" spans="1:15" x14ac:dyDescent="0.2">
      <c r="A2543" s="6">
        <v>45831</v>
      </c>
      <c r="B2543" t="s">
        <v>15</v>
      </c>
      <c r="C2543" t="s">
        <v>16</v>
      </c>
      <c r="D2543" s="1">
        <v>45855</v>
      </c>
      <c r="E2543" t="s">
        <v>19</v>
      </c>
      <c r="F2543">
        <v>3750</v>
      </c>
      <c r="J2543">
        <v>0.1</v>
      </c>
      <c r="K2543">
        <v>0.1</v>
      </c>
      <c r="L2543">
        <v>0</v>
      </c>
      <c r="M2543" t="s">
        <v>18</v>
      </c>
      <c r="N2543">
        <v>0</v>
      </c>
      <c r="O2543">
        <v>0</v>
      </c>
    </row>
    <row r="2544" spans="1:15" x14ac:dyDescent="0.2">
      <c r="A2544" s="6">
        <v>45831</v>
      </c>
      <c r="B2544" t="s">
        <v>15</v>
      </c>
      <c r="C2544" t="s">
        <v>16</v>
      </c>
      <c r="D2544" s="1">
        <v>45855</v>
      </c>
      <c r="E2544" t="s">
        <v>19</v>
      </c>
      <c r="F2544">
        <v>7700</v>
      </c>
      <c r="J2544">
        <v>1650.8</v>
      </c>
      <c r="K2544">
        <v>1299.5999999999999</v>
      </c>
      <c r="L2544">
        <v>0</v>
      </c>
      <c r="M2544" t="s">
        <v>18</v>
      </c>
      <c r="N2544">
        <v>0</v>
      </c>
      <c r="O2544">
        <v>0</v>
      </c>
    </row>
    <row r="2545" spans="1:15" x14ac:dyDescent="0.2">
      <c r="A2545" s="6">
        <v>45831</v>
      </c>
      <c r="B2545" t="s">
        <v>15</v>
      </c>
      <c r="C2545" t="s">
        <v>16</v>
      </c>
      <c r="D2545" s="1">
        <v>45855</v>
      </c>
      <c r="E2545" t="s">
        <v>19</v>
      </c>
      <c r="F2545">
        <v>6750</v>
      </c>
      <c r="G2545">
        <v>595.1</v>
      </c>
      <c r="H2545">
        <v>854.4</v>
      </c>
      <c r="I2545">
        <v>583.5</v>
      </c>
      <c r="J2545">
        <v>720.3</v>
      </c>
      <c r="K2545">
        <v>706.1</v>
      </c>
      <c r="L2545">
        <v>43</v>
      </c>
      <c r="M2545" t="s">
        <v>250</v>
      </c>
      <c r="N2545">
        <v>318.94</v>
      </c>
      <c r="O2545">
        <v>27</v>
      </c>
    </row>
    <row r="2546" spans="1:15" x14ac:dyDescent="0.2">
      <c r="A2546" s="6">
        <v>45831</v>
      </c>
      <c r="B2546" t="s">
        <v>15</v>
      </c>
      <c r="C2546" t="s">
        <v>16</v>
      </c>
      <c r="D2546" s="1">
        <v>45855</v>
      </c>
      <c r="E2546" t="s">
        <v>17</v>
      </c>
      <c r="F2546">
        <v>7150</v>
      </c>
      <c r="G2546">
        <v>258.2</v>
      </c>
      <c r="H2546">
        <v>276.8</v>
      </c>
      <c r="I2546">
        <v>77.8</v>
      </c>
      <c r="J2546">
        <v>89.5</v>
      </c>
      <c r="K2546">
        <v>264.8</v>
      </c>
      <c r="L2546">
        <v>2572</v>
      </c>
      <c r="M2546" t="s">
        <v>1194</v>
      </c>
      <c r="N2546">
        <v>18855.87</v>
      </c>
      <c r="O2546">
        <v>269</v>
      </c>
    </row>
    <row r="2547" spans="1:15" x14ac:dyDescent="0.2">
      <c r="A2547" s="6">
        <v>45831</v>
      </c>
      <c r="B2547" t="s">
        <v>15</v>
      </c>
      <c r="C2547" t="s">
        <v>16</v>
      </c>
      <c r="D2547" s="1">
        <v>45855</v>
      </c>
      <c r="E2547" t="s">
        <v>17</v>
      </c>
      <c r="F2547">
        <v>6050</v>
      </c>
      <c r="G2547">
        <v>651</v>
      </c>
      <c r="H2547">
        <v>672.5</v>
      </c>
      <c r="I2547">
        <v>297</v>
      </c>
      <c r="J2547">
        <v>325.10000000000002</v>
      </c>
      <c r="K2547">
        <v>592</v>
      </c>
      <c r="L2547">
        <v>1027</v>
      </c>
      <c r="M2547" t="s">
        <v>1195</v>
      </c>
      <c r="N2547">
        <v>6575.29</v>
      </c>
      <c r="O2547">
        <v>233</v>
      </c>
    </row>
    <row r="2548" spans="1:15" x14ac:dyDescent="0.2">
      <c r="A2548" s="6">
        <v>45831</v>
      </c>
      <c r="B2548" t="s">
        <v>15</v>
      </c>
      <c r="C2548" t="s">
        <v>16</v>
      </c>
      <c r="D2548" s="1">
        <v>45855</v>
      </c>
      <c r="E2548" t="s">
        <v>17</v>
      </c>
      <c r="F2548">
        <v>5600</v>
      </c>
      <c r="G2548">
        <v>1008</v>
      </c>
      <c r="H2548">
        <v>1009</v>
      </c>
      <c r="I2548">
        <v>535.20000000000005</v>
      </c>
      <c r="J2548">
        <v>563.79999999999995</v>
      </c>
      <c r="K2548">
        <v>866.1</v>
      </c>
      <c r="L2548">
        <v>28</v>
      </c>
      <c r="M2548" t="s">
        <v>900</v>
      </c>
      <c r="N2548">
        <v>177.64</v>
      </c>
      <c r="O2548">
        <v>294</v>
      </c>
    </row>
    <row r="2549" spans="1:15" x14ac:dyDescent="0.2">
      <c r="A2549" s="6">
        <v>45831</v>
      </c>
      <c r="B2549" t="s">
        <v>15</v>
      </c>
      <c r="C2549" t="s">
        <v>16</v>
      </c>
      <c r="D2549" s="1">
        <v>45855</v>
      </c>
      <c r="E2549" t="s">
        <v>19</v>
      </c>
      <c r="F2549">
        <v>5700</v>
      </c>
      <c r="G2549">
        <v>121.1</v>
      </c>
      <c r="H2549">
        <v>179.9</v>
      </c>
      <c r="I2549">
        <v>95.5</v>
      </c>
      <c r="J2549">
        <v>165.9</v>
      </c>
      <c r="K2549">
        <v>129.9</v>
      </c>
      <c r="L2549">
        <v>19528</v>
      </c>
      <c r="M2549" t="s">
        <v>1196</v>
      </c>
      <c r="N2549">
        <v>113783.33</v>
      </c>
      <c r="O2549">
        <v>1546</v>
      </c>
    </row>
    <row r="2550" spans="1:15" x14ac:dyDescent="0.2">
      <c r="A2550" s="6">
        <v>45831</v>
      </c>
      <c r="B2550" t="s">
        <v>15</v>
      </c>
      <c r="C2550" t="s">
        <v>16</v>
      </c>
      <c r="D2550" s="1">
        <v>45855</v>
      </c>
      <c r="E2550" t="s">
        <v>19</v>
      </c>
      <c r="F2550">
        <v>5450</v>
      </c>
      <c r="G2550">
        <v>72.5</v>
      </c>
      <c r="H2550">
        <v>100.5</v>
      </c>
      <c r="I2550">
        <v>54.4</v>
      </c>
      <c r="J2550">
        <v>91.8</v>
      </c>
      <c r="K2550">
        <v>74.400000000000006</v>
      </c>
      <c r="L2550">
        <v>3017</v>
      </c>
      <c r="M2550" t="s">
        <v>1197</v>
      </c>
      <c r="N2550">
        <v>16661.580000000002</v>
      </c>
      <c r="O2550">
        <v>221</v>
      </c>
    </row>
    <row r="2551" spans="1:15" x14ac:dyDescent="0.2">
      <c r="A2551" s="6">
        <v>45831</v>
      </c>
      <c r="B2551" t="s">
        <v>15</v>
      </c>
      <c r="C2551" t="s">
        <v>16</v>
      </c>
      <c r="D2551" s="1">
        <v>45855</v>
      </c>
      <c r="E2551" t="s">
        <v>19</v>
      </c>
      <c r="F2551">
        <v>5400</v>
      </c>
      <c r="G2551">
        <v>62</v>
      </c>
      <c r="H2551">
        <v>88.5</v>
      </c>
      <c r="I2551">
        <v>32.9</v>
      </c>
      <c r="J2551">
        <v>80</v>
      </c>
      <c r="K2551">
        <v>65.7</v>
      </c>
      <c r="L2551">
        <v>12285</v>
      </c>
      <c r="M2551" t="s">
        <v>1198</v>
      </c>
      <c r="N2551">
        <v>67086.59</v>
      </c>
      <c r="O2551">
        <v>1852</v>
      </c>
    </row>
    <row r="2552" spans="1:15" x14ac:dyDescent="0.2">
      <c r="A2552" s="6">
        <v>45831</v>
      </c>
      <c r="B2552" t="s">
        <v>15</v>
      </c>
      <c r="C2552" t="s">
        <v>16</v>
      </c>
      <c r="D2552" s="1">
        <v>45855</v>
      </c>
      <c r="E2552" t="s">
        <v>17</v>
      </c>
      <c r="F2552">
        <v>7650</v>
      </c>
      <c r="G2552">
        <v>182</v>
      </c>
      <c r="H2552">
        <v>182.1</v>
      </c>
      <c r="I2552">
        <v>48.6</v>
      </c>
      <c r="J2552">
        <v>53.6</v>
      </c>
      <c r="K2552">
        <v>170</v>
      </c>
      <c r="L2552">
        <v>1473</v>
      </c>
      <c r="M2552" t="s">
        <v>1199</v>
      </c>
      <c r="N2552">
        <v>11414.66</v>
      </c>
      <c r="O2552">
        <v>98</v>
      </c>
    </row>
    <row r="2553" spans="1:15" x14ac:dyDescent="0.2">
      <c r="A2553" s="6">
        <v>45831</v>
      </c>
      <c r="B2553" t="s">
        <v>15</v>
      </c>
      <c r="C2553" t="s">
        <v>16</v>
      </c>
      <c r="D2553" s="1">
        <v>45855</v>
      </c>
      <c r="E2553" t="s">
        <v>17</v>
      </c>
      <c r="F2553">
        <v>3850</v>
      </c>
      <c r="J2553">
        <v>2187.4</v>
      </c>
      <c r="K2553">
        <v>2542.6999999999998</v>
      </c>
      <c r="L2553">
        <v>0</v>
      </c>
      <c r="M2553" t="s">
        <v>18</v>
      </c>
      <c r="N2553">
        <v>0</v>
      </c>
      <c r="O2553">
        <v>0</v>
      </c>
    </row>
    <row r="2554" spans="1:15" x14ac:dyDescent="0.2">
      <c r="A2554" s="6">
        <v>45831</v>
      </c>
      <c r="B2554" t="s">
        <v>15</v>
      </c>
      <c r="C2554" t="s">
        <v>16</v>
      </c>
      <c r="D2554" s="1">
        <v>45855</v>
      </c>
      <c r="E2554" t="s">
        <v>19</v>
      </c>
      <c r="F2554">
        <v>4250</v>
      </c>
      <c r="J2554">
        <v>0.1</v>
      </c>
      <c r="K2554">
        <v>0.1</v>
      </c>
      <c r="L2554">
        <v>0</v>
      </c>
      <c r="M2554" t="s">
        <v>18</v>
      </c>
      <c r="N2554">
        <v>0</v>
      </c>
      <c r="O2554">
        <v>0</v>
      </c>
    </row>
    <row r="2555" spans="1:15" x14ac:dyDescent="0.2">
      <c r="A2555" s="6">
        <v>45831</v>
      </c>
      <c r="B2555" t="s">
        <v>15</v>
      </c>
      <c r="C2555" t="s">
        <v>16</v>
      </c>
      <c r="D2555" s="1">
        <v>45855</v>
      </c>
      <c r="E2555" t="s">
        <v>17</v>
      </c>
      <c r="F2555">
        <v>6550</v>
      </c>
      <c r="G2555">
        <v>463.6</v>
      </c>
      <c r="H2555">
        <v>463.6</v>
      </c>
      <c r="I2555">
        <v>154</v>
      </c>
      <c r="J2555">
        <v>177.9</v>
      </c>
      <c r="K2555">
        <v>407.2</v>
      </c>
      <c r="L2555">
        <v>16114</v>
      </c>
      <c r="M2555" t="s">
        <v>1200</v>
      </c>
      <c r="N2555">
        <v>110772.28</v>
      </c>
      <c r="O2555">
        <v>1284</v>
      </c>
    </row>
    <row r="2556" spans="1:15" x14ac:dyDescent="0.2">
      <c r="A2556" s="6">
        <v>45831</v>
      </c>
      <c r="B2556" t="s">
        <v>15</v>
      </c>
      <c r="C2556" t="s">
        <v>16</v>
      </c>
      <c r="D2556" s="1">
        <v>45855</v>
      </c>
      <c r="E2556" t="s">
        <v>19</v>
      </c>
      <c r="F2556">
        <v>6400</v>
      </c>
      <c r="G2556">
        <v>396.2</v>
      </c>
      <c r="H2556">
        <v>605</v>
      </c>
      <c r="I2556">
        <v>366.8</v>
      </c>
      <c r="J2556">
        <v>568.9</v>
      </c>
      <c r="K2556">
        <v>451.6</v>
      </c>
      <c r="L2556">
        <v>49918</v>
      </c>
      <c r="M2556" t="s">
        <v>1201</v>
      </c>
      <c r="N2556">
        <v>340709.49</v>
      </c>
      <c r="O2556">
        <v>1713</v>
      </c>
    </row>
    <row r="2557" spans="1:15" x14ac:dyDescent="0.2">
      <c r="A2557" s="6">
        <v>45831</v>
      </c>
      <c r="B2557" t="s">
        <v>15</v>
      </c>
      <c r="C2557" t="s">
        <v>16</v>
      </c>
      <c r="D2557" s="1">
        <v>45855</v>
      </c>
      <c r="E2557" t="s">
        <v>19</v>
      </c>
      <c r="F2557">
        <v>5300</v>
      </c>
      <c r="G2557">
        <v>47.6</v>
      </c>
      <c r="H2557">
        <v>67.900000000000006</v>
      </c>
      <c r="I2557">
        <v>32</v>
      </c>
      <c r="J2557">
        <v>61.9</v>
      </c>
      <c r="K2557">
        <v>50.1</v>
      </c>
      <c r="L2557">
        <v>6960</v>
      </c>
      <c r="M2557" t="s">
        <v>1202</v>
      </c>
      <c r="N2557">
        <v>37221.33</v>
      </c>
      <c r="O2557">
        <v>1179</v>
      </c>
    </row>
    <row r="2558" spans="1:15" x14ac:dyDescent="0.2">
      <c r="A2558" s="6">
        <v>45831</v>
      </c>
      <c r="B2558" t="s">
        <v>15</v>
      </c>
      <c r="C2558" t="s">
        <v>16</v>
      </c>
      <c r="D2558" s="1">
        <v>45855</v>
      </c>
      <c r="E2558" t="s">
        <v>19</v>
      </c>
      <c r="F2558">
        <v>4450</v>
      </c>
      <c r="J2558">
        <v>0.4</v>
      </c>
      <c r="K2558">
        <v>0.1</v>
      </c>
      <c r="L2558">
        <v>0</v>
      </c>
      <c r="M2558" t="s">
        <v>18</v>
      </c>
      <c r="N2558">
        <v>0</v>
      </c>
      <c r="O2558">
        <v>0</v>
      </c>
    </row>
    <row r="2559" spans="1:15" x14ac:dyDescent="0.2">
      <c r="A2559" s="6">
        <v>45831</v>
      </c>
      <c r="B2559" t="s">
        <v>15</v>
      </c>
      <c r="C2559" t="s">
        <v>16</v>
      </c>
      <c r="D2559" s="1">
        <v>45855</v>
      </c>
      <c r="E2559" t="s">
        <v>19</v>
      </c>
      <c r="F2559">
        <v>4950</v>
      </c>
      <c r="G2559">
        <v>17.3</v>
      </c>
      <c r="H2559">
        <v>21</v>
      </c>
      <c r="I2559">
        <v>17.3</v>
      </c>
      <c r="J2559">
        <v>19.2</v>
      </c>
      <c r="K2559">
        <v>0.9</v>
      </c>
      <c r="L2559">
        <v>2</v>
      </c>
      <c r="M2559" t="s">
        <v>28</v>
      </c>
      <c r="N2559">
        <v>9.94</v>
      </c>
      <c r="O2559">
        <v>4</v>
      </c>
    </row>
    <row r="2560" spans="1:15" x14ac:dyDescent="0.2">
      <c r="A2560" s="6">
        <v>45831</v>
      </c>
      <c r="B2560" t="s">
        <v>15</v>
      </c>
      <c r="C2560" t="s">
        <v>16</v>
      </c>
      <c r="D2560" s="1">
        <v>45855</v>
      </c>
      <c r="E2560" t="s">
        <v>17</v>
      </c>
      <c r="F2560">
        <v>3800</v>
      </c>
      <c r="J2560">
        <v>2237.1999999999998</v>
      </c>
      <c r="K2560">
        <v>2592.5</v>
      </c>
      <c r="L2560">
        <v>0</v>
      </c>
      <c r="M2560" t="s">
        <v>18</v>
      </c>
      <c r="N2560">
        <v>0</v>
      </c>
      <c r="O2560">
        <v>0</v>
      </c>
    </row>
    <row r="2561" spans="1:15" x14ac:dyDescent="0.2">
      <c r="A2561" s="6">
        <v>45831</v>
      </c>
      <c r="B2561" t="s">
        <v>15</v>
      </c>
      <c r="C2561" t="s">
        <v>16</v>
      </c>
      <c r="D2561" s="1">
        <v>45855</v>
      </c>
      <c r="E2561" t="s">
        <v>17</v>
      </c>
      <c r="F2561">
        <v>6750</v>
      </c>
      <c r="G2561">
        <v>373.4</v>
      </c>
      <c r="H2561">
        <v>400</v>
      </c>
      <c r="I2561">
        <v>121.5</v>
      </c>
      <c r="J2561">
        <v>145.9</v>
      </c>
      <c r="K2561">
        <v>348.4</v>
      </c>
      <c r="L2561">
        <v>4430</v>
      </c>
      <c r="M2561" t="s">
        <v>1203</v>
      </c>
      <c r="N2561">
        <v>31090.16</v>
      </c>
      <c r="O2561">
        <v>345</v>
      </c>
    </row>
    <row r="2562" spans="1:15" x14ac:dyDescent="0.2">
      <c r="A2562" s="6">
        <v>45831</v>
      </c>
      <c r="B2562" t="s">
        <v>15</v>
      </c>
      <c r="C2562" t="s">
        <v>16</v>
      </c>
      <c r="D2562" s="1">
        <v>45855</v>
      </c>
      <c r="E2562" t="s">
        <v>19</v>
      </c>
      <c r="F2562">
        <v>4600</v>
      </c>
      <c r="J2562">
        <v>1.1000000000000001</v>
      </c>
      <c r="K2562">
        <v>0.1</v>
      </c>
      <c r="L2562">
        <v>0</v>
      </c>
      <c r="M2562" t="s">
        <v>18</v>
      </c>
      <c r="N2562">
        <v>0</v>
      </c>
      <c r="O2562">
        <v>0</v>
      </c>
    </row>
    <row r="2563" spans="1:15" x14ac:dyDescent="0.2">
      <c r="A2563" s="6">
        <v>45831</v>
      </c>
      <c r="B2563" t="s">
        <v>15</v>
      </c>
      <c r="C2563" t="s">
        <v>16</v>
      </c>
      <c r="D2563" s="1">
        <v>45855</v>
      </c>
      <c r="E2563" t="s">
        <v>19</v>
      </c>
      <c r="F2563">
        <v>4800</v>
      </c>
      <c r="G2563">
        <v>18.5</v>
      </c>
      <c r="H2563">
        <v>31.6</v>
      </c>
      <c r="I2563">
        <v>16.8</v>
      </c>
      <c r="J2563">
        <v>28.8</v>
      </c>
      <c r="K2563">
        <v>23.3</v>
      </c>
      <c r="L2563">
        <v>1272</v>
      </c>
      <c r="M2563" t="s">
        <v>1204</v>
      </c>
      <c r="N2563">
        <v>6135.7</v>
      </c>
      <c r="O2563">
        <v>358</v>
      </c>
    </row>
    <row r="2564" spans="1:15" x14ac:dyDescent="0.2">
      <c r="A2564" s="6">
        <v>45831</v>
      </c>
      <c r="B2564" t="s">
        <v>15</v>
      </c>
      <c r="C2564" t="s">
        <v>16</v>
      </c>
      <c r="D2564" s="1">
        <v>45855</v>
      </c>
      <c r="E2564" t="s">
        <v>17</v>
      </c>
      <c r="F2564">
        <v>5750</v>
      </c>
      <c r="G2564">
        <v>894.4</v>
      </c>
      <c r="H2564">
        <v>894.4</v>
      </c>
      <c r="I2564">
        <v>470.4</v>
      </c>
      <c r="J2564">
        <v>522</v>
      </c>
      <c r="K2564">
        <v>764.8</v>
      </c>
      <c r="L2564">
        <v>27</v>
      </c>
      <c r="M2564" t="s">
        <v>54</v>
      </c>
      <c r="N2564">
        <v>169.72</v>
      </c>
      <c r="O2564">
        <v>6</v>
      </c>
    </row>
    <row r="2565" spans="1:15" x14ac:dyDescent="0.2">
      <c r="A2565" s="6">
        <v>45831</v>
      </c>
      <c r="B2565" t="s">
        <v>15</v>
      </c>
      <c r="C2565" t="s">
        <v>16</v>
      </c>
      <c r="D2565" s="1">
        <v>45855</v>
      </c>
      <c r="E2565" t="s">
        <v>19</v>
      </c>
      <c r="F2565">
        <v>5050</v>
      </c>
      <c r="G2565">
        <v>32.4</v>
      </c>
      <c r="H2565">
        <v>44.6</v>
      </c>
      <c r="I2565">
        <v>22.4</v>
      </c>
      <c r="J2565">
        <v>38</v>
      </c>
      <c r="K2565">
        <v>30.8</v>
      </c>
      <c r="L2565">
        <v>72</v>
      </c>
      <c r="M2565" t="s">
        <v>1016</v>
      </c>
      <c r="N2565">
        <v>365.67</v>
      </c>
      <c r="O2565">
        <v>30</v>
      </c>
    </row>
    <row r="2566" spans="1:15" x14ac:dyDescent="0.2">
      <c r="A2566" s="6">
        <v>45831</v>
      </c>
      <c r="B2566" t="s">
        <v>15</v>
      </c>
      <c r="C2566" t="s">
        <v>16</v>
      </c>
      <c r="D2566" s="1">
        <v>45855</v>
      </c>
      <c r="E2566" t="s">
        <v>19</v>
      </c>
      <c r="F2566">
        <v>3700</v>
      </c>
      <c r="J2566">
        <v>0.1</v>
      </c>
      <c r="K2566">
        <v>0.1</v>
      </c>
      <c r="L2566">
        <v>0</v>
      </c>
      <c r="M2566" t="s">
        <v>18</v>
      </c>
      <c r="N2566">
        <v>0</v>
      </c>
      <c r="O2566">
        <v>0</v>
      </c>
    </row>
    <row r="2567" spans="1:15" x14ac:dyDescent="0.2">
      <c r="A2567" s="6">
        <v>45831</v>
      </c>
      <c r="B2567" t="s">
        <v>15</v>
      </c>
      <c r="C2567" t="s">
        <v>16</v>
      </c>
      <c r="D2567" s="1">
        <v>45855</v>
      </c>
      <c r="E2567" t="s">
        <v>19</v>
      </c>
      <c r="F2567">
        <v>3950</v>
      </c>
      <c r="J2567">
        <v>0.1</v>
      </c>
      <c r="K2567">
        <v>0.1</v>
      </c>
      <c r="L2567">
        <v>0</v>
      </c>
      <c r="M2567" t="s">
        <v>18</v>
      </c>
      <c r="N2567">
        <v>0</v>
      </c>
      <c r="O2567">
        <v>0</v>
      </c>
    </row>
    <row r="2568" spans="1:15" x14ac:dyDescent="0.2">
      <c r="A2568" s="6">
        <v>45831</v>
      </c>
      <c r="B2568" t="s">
        <v>15</v>
      </c>
      <c r="C2568" t="s">
        <v>16</v>
      </c>
      <c r="D2568" s="1">
        <v>45855</v>
      </c>
      <c r="E2568" t="s">
        <v>17</v>
      </c>
      <c r="F2568">
        <v>7250</v>
      </c>
      <c r="G2568">
        <v>254.9</v>
      </c>
      <c r="H2568">
        <v>255.2</v>
      </c>
      <c r="I2568">
        <v>69</v>
      </c>
      <c r="J2568">
        <v>82.1</v>
      </c>
      <c r="K2568">
        <v>247.1</v>
      </c>
      <c r="L2568">
        <v>1705</v>
      </c>
      <c r="M2568" t="s">
        <v>1205</v>
      </c>
      <c r="N2568">
        <v>12603.59</v>
      </c>
      <c r="O2568">
        <v>156</v>
      </c>
    </row>
    <row r="2569" spans="1:15" x14ac:dyDescent="0.2">
      <c r="A2569" s="6">
        <v>45831</v>
      </c>
      <c r="B2569" t="s">
        <v>15</v>
      </c>
      <c r="C2569" t="s">
        <v>16</v>
      </c>
      <c r="D2569" s="1">
        <v>45855</v>
      </c>
      <c r="E2569" t="s">
        <v>19</v>
      </c>
      <c r="F2569">
        <v>7600</v>
      </c>
      <c r="J2569">
        <v>1552.5</v>
      </c>
      <c r="K2569">
        <v>1203.5</v>
      </c>
      <c r="L2569">
        <v>0</v>
      </c>
      <c r="M2569" t="s">
        <v>18</v>
      </c>
      <c r="N2569">
        <v>0</v>
      </c>
      <c r="O2569">
        <v>0</v>
      </c>
    </row>
    <row r="2570" spans="1:15" x14ac:dyDescent="0.2">
      <c r="A2570" s="6">
        <v>45831</v>
      </c>
      <c r="B2570" t="s">
        <v>15</v>
      </c>
      <c r="C2570" t="s">
        <v>16</v>
      </c>
      <c r="D2570" s="1">
        <v>45855</v>
      </c>
      <c r="E2570" t="s">
        <v>19</v>
      </c>
      <c r="F2570">
        <v>6800</v>
      </c>
      <c r="G2570">
        <v>654.20000000000005</v>
      </c>
      <c r="H2570">
        <v>910.1</v>
      </c>
      <c r="I2570">
        <v>617.79999999999995</v>
      </c>
      <c r="J2570">
        <v>882.2</v>
      </c>
      <c r="K2570">
        <v>741</v>
      </c>
      <c r="L2570">
        <v>1303</v>
      </c>
      <c r="M2570" t="s">
        <v>1206</v>
      </c>
      <c r="N2570">
        <v>9754.1299999999992</v>
      </c>
      <c r="O2570">
        <v>95</v>
      </c>
    </row>
    <row r="2571" spans="1:15" x14ac:dyDescent="0.2">
      <c r="A2571" s="6">
        <v>45831</v>
      </c>
      <c r="B2571" t="s">
        <v>15</v>
      </c>
      <c r="C2571" t="s">
        <v>16</v>
      </c>
      <c r="D2571" s="1">
        <v>45855</v>
      </c>
      <c r="E2571" t="s">
        <v>19</v>
      </c>
      <c r="F2571">
        <v>3800</v>
      </c>
      <c r="J2571">
        <v>0.1</v>
      </c>
      <c r="K2571">
        <v>0.1</v>
      </c>
      <c r="L2571">
        <v>0</v>
      </c>
      <c r="M2571" t="s">
        <v>18</v>
      </c>
      <c r="N2571">
        <v>0</v>
      </c>
      <c r="O2571">
        <v>0</v>
      </c>
    </row>
    <row r="2572" spans="1:15" x14ac:dyDescent="0.2">
      <c r="A2572" s="6">
        <v>45831</v>
      </c>
      <c r="B2572" t="s">
        <v>15</v>
      </c>
      <c r="C2572" t="s">
        <v>16</v>
      </c>
      <c r="D2572" s="1">
        <v>45855</v>
      </c>
      <c r="E2572" t="s">
        <v>17</v>
      </c>
      <c r="F2572">
        <v>6500</v>
      </c>
      <c r="G2572">
        <v>456.2</v>
      </c>
      <c r="H2572">
        <v>478</v>
      </c>
      <c r="I2572">
        <v>164.7</v>
      </c>
      <c r="J2572">
        <v>184.8</v>
      </c>
      <c r="K2572">
        <v>421</v>
      </c>
      <c r="L2572">
        <v>103393</v>
      </c>
      <c r="M2572" t="s">
        <v>1207</v>
      </c>
      <c r="N2572">
        <v>708097.28</v>
      </c>
      <c r="O2572">
        <v>10087</v>
      </c>
    </row>
    <row r="2573" spans="1:15" x14ac:dyDescent="0.2">
      <c r="A2573" s="6">
        <v>45831</v>
      </c>
      <c r="B2573" t="s">
        <v>15</v>
      </c>
      <c r="C2573" t="s">
        <v>16</v>
      </c>
      <c r="D2573" s="1">
        <v>45855</v>
      </c>
      <c r="E2573" t="s">
        <v>19</v>
      </c>
      <c r="F2573">
        <v>4500</v>
      </c>
      <c r="G2573">
        <v>16.399999999999999</v>
      </c>
      <c r="H2573">
        <v>23</v>
      </c>
      <c r="I2573">
        <v>13.2</v>
      </c>
      <c r="J2573">
        <v>21.1</v>
      </c>
      <c r="K2573">
        <v>18.3</v>
      </c>
      <c r="L2573">
        <v>1712</v>
      </c>
      <c r="M2573" t="s">
        <v>1208</v>
      </c>
      <c r="N2573">
        <v>7733.1</v>
      </c>
      <c r="O2573">
        <v>449</v>
      </c>
    </row>
    <row r="2574" spans="1:15" x14ac:dyDescent="0.2">
      <c r="A2574" s="6">
        <v>45831</v>
      </c>
      <c r="B2574" t="s">
        <v>15</v>
      </c>
      <c r="C2574" t="s">
        <v>16</v>
      </c>
      <c r="D2574" s="1">
        <v>45855</v>
      </c>
      <c r="E2574" t="s">
        <v>19</v>
      </c>
      <c r="F2574">
        <v>5500</v>
      </c>
      <c r="G2574">
        <v>68</v>
      </c>
      <c r="H2574">
        <v>111.9</v>
      </c>
      <c r="I2574">
        <v>55.3</v>
      </c>
      <c r="J2574">
        <v>102.1</v>
      </c>
      <c r="K2574">
        <v>83.4</v>
      </c>
      <c r="L2574">
        <v>26100</v>
      </c>
      <c r="M2574" t="s">
        <v>1209</v>
      </c>
      <c r="N2574">
        <v>145605.9</v>
      </c>
      <c r="O2574">
        <v>2782</v>
      </c>
    </row>
    <row r="2575" spans="1:15" x14ac:dyDescent="0.2">
      <c r="A2575" s="6">
        <v>45831</v>
      </c>
      <c r="B2575" t="s">
        <v>15</v>
      </c>
      <c r="C2575" t="s">
        <v>16</v>
      </c>
      <c r="D2575" s="1">
        <v>45855</v>
      </c>
      <c r="E2575" t="s">
        <v>19</v>
      </c>
      <c r="F2575">
        <v>4350</v>
      </c>
      <c r="J2575">
        <v>0.2</v>
      </c>
      <c r="K2575">
        <v>0.1</v>
      </c>
      <c r="L2575">
        <v>0</v>
      </c>
      <c r="M2575" t="s">
        <v>18</v>
      </c>
      <c r="N2575">
        <v>0</v>
      </c>
      <c r="O2575">
        <v>0</v>
      </c>
    </row>
    <row r="2576" spans="1:15" x14ac:dyDescent="0.2">
      <c r="A2576" s="6">
        <v>45831</v>
      </c>
      <c r="B2576" t="s">
        <v>15</v>
      </c>
      <c r="C2576" t="s">
        <v>16</v>
      </c>
      <c r="D2576" s="1">
        <v>45855</v>
      </c>
      <c r="E2576" t="s">
        <v>17</v>
      </c>
      <c r="F2576">
        <v>6300</v>
      </c>
      <c r="G2576">
        <v>535.4</v>
      </c>
      <c r="H2576">
        <v>560.79999999999995</v>
      </c>
      <c r="I2576">
        <v>211.1</v>
      </c>
      <c r="J2576">
        <v>236.6</v>
      </c>
      <c r="K2576">
        <v>496</v>
      </c>
      <c r="L2576">
        <v>38689</v>
      </c>
      <c r="M2576" t="s">
        <v>1210</v>
      </c>
      <c r="N2576">
        <v>258725.27</v>
      </c>
      <c r="O2576">
        <v>3231</v>
      </c>
    </row>
    <row r="2577" spans="1:15" x14ac:dyDescent="0.2">
      <c r="A2577" s="6">
        <v>45831</v>
      </c>
      <c r="B2577" t="s">
        <v>15</v>
      </c>
      <c r="C2577" t="s">
        <v>16</v>
      </c>
      <c r="D2577" s="1">
        <v>45855</v>
      </c>
      <c r="E2577" t="s">
        <v>19</v>
      </c>
      <c r="F2577">
        <v>4100</v>
      </c>
      <c r="J2577">
        <v>0.1</v>
      </c>
      <c r="K2577">
        <v>0.1</v>
      </c>
      <c r="L2577">
        <v>0</v>
      </c>
      <c r="M2577" t="s">
        <v>18</v>
      </c>
      <c r="N2577">
        <v>0</v>
      </c>
      <c r="O2577">
        <v>0</v>
      </c>
    </row>
    <row r="2578" spans="1:15" x14ac:dyDescent="0.2">
      <c r="A2578" s="6">
        <v>45831</v>
      </c>
      <c r="B2578" t="s">
        <v>15</v>
      </c>
      <c r="C2578" t="s">
        <v>16</v>
      </c>
      <c r="D2578" s="1">
        <v>45855</v>
      </c>
      <c r="E2578" t="s">
        <v>17</v>
      </c>
      <c r="F2578">
        <v>5650</v>
      </c>
      <c r="G2578">
        <v>662</v>
      </c>
      <c r="H2578">
        <v>662</v>
      </c>
      <c r="I2578">
        <v>662</v>
      </c>
      <c r="J2578">
        <v>662</v>
      </c>
      <c r="K2578">
        <v>781.6</v>
      </c>
      <c r="L2578">
        <v>1</v>
      </c>
      <c r="M2578" t="s">
        <v>155</v>
      </c>
      <c r="N2578">
        <v>6.31</v>
      </c>
      <c r="O2578">
        <v>4</v>
      </c>
    </row>
    <row r="2579" spans="1:15" x14ac:dyDescent="0.2">
      <c r="A2579" s="6">
        <v>45831</v>
      </c>
      <c r="B2579" t="s">
        <v>15</v>
      </c>
      <c r="C2579" t="s">
        <v>16</v>
      </c>
      <c r="D2579" s="1">
        <v>45855</v>
      </c>
      <c r="E2579" t="s">
        <v>17</v>
      </c>
      <c r="F2579">
        <v>5500</v>
      </c>
      <c r="G2579">
        <v>1100</v>
      </c>
      <c r="H2579">
        <v>1129.7</v>
      </c>
      <c r="I2579">
        <v>605.79999999999995</v>
      </c>
      <c r="J2579">
        <v>630.4</v>
      </c>
      <c r="K2579">
        <v>930</v>
      </c>
      <c r="L2579">
        <v>190</v>
      </c>
      <c r="M2579" t="s">
        <v>1211</v>
      </c>
      <c r="N2579">
        <v>1210.29</v>
      </c>
      <c r="O2579">
        <v>382</v>
      </c>
    </row>
    <row r="2580" spans="1:15" x14ac:dyDescent="0.2">
      <c r="A2580" s="6">
        <v>45831</v>
      </c>
      <c r="B2580" t="s">
        <v>15</v>
      </c>
      <c r="C2580" t="s">
        <v>16</v>
      </c>
      <c r="D2580" s="1">
        <v>45855</v>
      </c>
      <c r="E2580" t="s">
        <v>19</v>
      </c>
      <c r="F2580">
        <v>5750</v>
      </c>
      <c r="G2580">
        <v>114.1</v>
      </c>
      <c r="H2580">
        <v>200.8</v>
      </c>
      <c r="I2580">
        <v>107.6</v>
      </c>
      <c r="J2580">
        <v>185.5</v>
      </c>
      <c r="K2580">
        <v>142.6</v>
      </c>
      <c r="L2580">
        <v>4401</v>
      </c>
      <c r="M2580" t="s">
        <v>1212</v>
      </c>
      <c r="N2580">
        <v>25942.080000000002</v>
      </c>
      <c r="O2580">
        <v>355</v>
      </c>
    </row>
    <row r="2581" spans="1:15" x14ac:dyDescent="0.2">
      <c r="A2581" s="6">
        <v>45831</v>
      </c>
      <c r="B2581" t="s">
        <v>15</v>
      </c>
      <c r="C2581" t="s">
        <v>16</v>
      </c>
      <c r="D2581" s="1">
        <v>45855</v>
      </c>
      <c r="E2581" t="s">
        <v>17</v>
      </c>
      <c r="F2581">
        <v>7000</v>
      </c>
      <c r="G2581">
        <v>299.2</v>
      </c>
      <c r="H2581">
        <v>311.89999999999998</v>
      </c>
      <c r="I2581">
        <v>90</v>
      </c>
      <c r="J2581">
        <v>105.4</v>
      </c>
      <c r="K2581">
        <v>289.8</v>
      </c>
      <c r="L2581">
        <v>71601</v>
      </c>
      <c r="M2581" t="s">
        <v>1213</v>
      </c>
      <c r="N2581">
        <v>516614.23</v>
      </c>
      <c r="O2581">
        <v>9870</v>
      </c>
    </row>
    <row r="2582" spans="1:15" x14ac:dyDescent="0.2">
      <c r="A2582" s="6">
        <v>45831</v>
      </c>
      <c r="B2582" t="s">
        <v>15</v>
      </c>
      <c r="C2582" t="s">
        <v>16</v>
      </c>
      <c r="D2582" s="1">
        <v>45855</v>
      </c>
      <c r="E2582" t="s">
        <v>19</v>
      </c>
      <c r="F2582">
        <v>7350</v>
      </c>
      <c r="J2582">
        <v>1309.0999999999999</v>
      </c>
      <c r="K2582">
        <v>968.9</v>
      </c>
      <c r="L2582">
        <v>0</v>
      </c>
      <c r="M2582" t="s">
        <v>18</v>
      </c>
      <c r="N2582">
        <v>0</v>
      </c>
      <c r="O2582">
        <v>0</v>
      </c>
    </row>
    <row r="2583" spans="1:15" x14ac:dyDescent="0.2">
      <c r="A2583" s="6">
        <v>45831</v>
      </c>
      <c r="B2583" t="s">
        <v>15</v>
      </c>
      <c r="C2583" t="s">
        <v>16</v>
      </c>
      <c r="D2583" s="1">
        <v>45855</v>
      </c>
      <c r="E2583" t="s">
        <v>17</v>
      </c>
      <c r="F2583">
        <v>5800</v>
      </c>
      <c r="G2583">
        <v>859.6</v>
      </c>
      <c r="H2583">
        <v>866.3</v>
      </c>
      <c r="I2583">
        <v>415.2</v>
      </c>
      <c r="J2583">
        <v>446.6</v>
      </c>
      <c r="K2583">
        <v>745.4</v>
      </c>
      <c r="L2583">
        <v>740</v>
      </c>
      <c r="M2583" t="s">
        <v>1214</v>
      </c>
      <c r="N2583">
        <v>4706.5200000000004</v>
      </c>
      <c r="O2583">
        <v>404</v>
      </c>
    </row>
    <row r="2584" spans="1:15" x14ac:dyDescent="0.2">
      <c r="A2584" s="6">
        <v>45831</v>
      </c>
      <c r="B2584" t="s">
        <v>15</v>
      </c>
      <c r="C2584" t="s">
        <v>16</v>
      </c>
      <c r="D2584" s="1">
        <v>45855</v>
      </c>
      <c r="E2584" t="s">
        <v>19</v>
      </c>
      <c r="F2584">
        <v>5000</v>
      </c>
      <c r="G2584">
        <v>30</v>
      </c>
      <c r="H2584">
        <v>40.5</v>
      </c>
      <c r="I2584">
        <v>21.2</v>
      </c>
      <c r="J2584">
        <v>36.4</v>
      </c>
      <c r="K2584">
        <v>29.1</v>
      </c>
      <c r="L2584">
        <v>10728</v>
      </c>
      <c r="M2584" t="s">
        <v>1215</v>
      </c>
      <c r="N2584">
        <v>53943.31</v>
      </c>
      <c r="O2584">
        <v>2464</v>
      </c>
    </row>
    <row r="2585" spans="1:15" x14ac:dyDescent="0.2">
      <c r="A2585" s="6">
        <v>45831</v>
      </c>
      <c r="B2585" t="s">
        <v>15</v>
      </c>
      <c r="C2585" t="s">
        <v>16</v>
      </c>
      <c r="D2585" s="1">
        <v>45855</v>
      </c>
      <c r="E2585" t="s">
        <v>17</v>
      </c>
      <c r="F2585">
        <v>5450</v>
      </c>
      <c r="J2585">
        <v>649.6</v>
      </c>
      <c r="K2585">
        <v>963.5</v>
      </c>
      <c r="L2585">
        <v>0</v>
      </c>
      <c r="M2585" t="s">
        <v>18</v>
      </c>
      <c r="N2585">
        <v>0</v>
      </c>
      <c r="O2585">
        <v>7</v>
      </c>
    </row>
    <row r="2586" spans="1:15" x14ac:dyDescent="0.2">
      <c r="A2586" s="6">
        <v>45831</v>
      </c>
      <c r="B2586" t="s">
        <v>15</v>
      </c>
      <c r="C2586" t="s">
        <v>16</v>
      </c>
      <c r="D2586" s="1">
        <v>45855</v>
      </c>
      <c r="E2586" t="s">
        <v>17</v>
      </c>
      <c r="F2586">
        <v>6000</v>
      </c>
      <c r="G2586">
        <v>699.9</v>
      </c>
      <c r="H2586">
        <v>728.7</v>
      </c>
      <c r="I2586">
        <v>311.7</v>
      </c>
      <c r="J2586">
        <v>343</v>
      </c>
      <c r="K2586">
        <v>638.70000000000005</v>
      </c>
      <c r="L2586">
        <v>14181</v>
      </c>
      <c r="M2586" t="s">
        <v>1216</v>
      </c>
      <c r="N2586">
        <v>91317.18</v>
      </c>
      <c r="O2586">
        <v>3366</v>
      </c>
    </row>
    <row r="2587" spans="1:15" x14ac:dyDescent="0.2">
      <c r="A2587" s="6">
        <v>45831</v>
      </c>
      <c r="B2587" t="s">
        <v>15</v>
      </c>
      <c r="C2587" t="s">
        <v>16</v>
      </c>
      <c r="D2587" s="1">
        <v>45855</v>
      </c>
      <c r="E2587" t="s">
        <v>17</v>
      </c>
      <c r="F2587">
        <v>7050</v>
      </c>
      <c r="G2587">
        <v>293.10000000000002</v>
      </c>
      <c r="H2587">
        <v>299.60000000000002</v>
      </c>
      <c r="I2587">
        <v>87.3</v>
      </c>
      <c r="J2587">
        <v>100</v>
      </c>
      <c r="K2587">
        <v>279.10000000000002</v>
      </c>
      <c r="L2587">
        <v>2427</v>
      </c>
      <c r="M2587" t="s">
        <v>1217</v>
      </c>
      <c r="N2587">
        <v>17598.900000000001</v>
      </c>
      <c r="O2587">
        <v>162</v>
      </c>
    </row>
    <row r="2588" spans="1:15" x14ac:dyDescent="0.2">
      <c r="A2588" s="6">
        <v>45831</v>
      </c>
      <c r="B2588" t="s">
        <v>15</v>
      </c>
      <c r="C2588" t="s">
        <v>16</v>
      </c>
      <c r="D2588" s="1">
        <v>45855</v>
      </c>
      <c r="E2588" t="s">
        <v>19</v>
      </c>
      <c r="F2588">
        <v>4650</v>
      </c>
      <c r="J2588">
        <v>1.5</v>
      </c>
      <c r="K2588">
        <v>0.1</v>
      </c>
      <c r="L2588">
        <v>0</v>
      </c>
      <c r="M2588" t="s">
        <v>18</v>
      </c>
      <c r="N2588">
        <v>0</v>
      </c>
      <c r="O2588">
        <v>0</v>
      </c>
    </row>
    <row r="2589" spans="1:15" x14ac:dyDescent="0.2">
      <c r="A2589" s="6">
        <v>45831</v>
      </c>
      <c r="B2589" t="s">
        <v>15</v>
      </c>
      <c r="C2589" t="s">
        <v>16</v>
      </c>
      <c r="D2589" s="1">
        <v>45855</v>
      </c>
      <c r="E2589" t="s">
        <v>19</v>
      </c>
      <c r="F2589">
        <v>6550</v>
      </c>
      <c r="G2589">
        <v>493.5</v>
      </c>
      <c r="H2589">
        <v>698</v>
      </c>
      <c r="I2589">
        <v>454</v>
      </c>
      <c r="J2589">
        <v>678.8</v>
      </c>
      <c r="K2589">
        <v>547.4</v>
      </c>
      <c r="L2589">
        <v>2994</v>
      </c>
      <c r="M2589" t="s">
        <v>1218</v>
      </c>
      <c r="N2589">
        <v>21154.5</v>
      </c>
      <c r="O2589">
        <v>59</v>
      </c>
    </row>
    <row r="2590" spans="1:15" x14ac:dyDescent="0.2">
      <c r="A2590" s="6">
        <v>45831</v>
      </c>
      <c r="B2590" t="s">
        <v>15</v>
      </c>
      <c r="C2590" t="s">
        <v>16</v>
      </c>
      <c r="D2590" s="1">
        <v>45855</v>
      </c>
      <c r="E2590" t="s">
        <v>19</v>
      </c>
      <c r="F2590">
        <v>7250</v>
      </c>
      <c r="J2590">
        <v>1213.2</v>
      </c>
      <c r="K2590">
        <v>878.2</v>
      </c>
      <c r="L2590">
        <v>0</v>
      </c>
      <c r="M2590" t="s">
        <v>18</v>
      </c>
      <c r="N2590">
        <v>0</v>
      </c>
      <c r="O2590">
        <v>0</v>
      </c>
    </row>
    <row r="2591" spans="1:15" x14ac:dyDescent="0.2">
      <c r="A2591" s="6">
        <v>45831</v>
      </c>
      <c r="B2591" t="s">
        <v>15</v>
      </c>
      <c r="C2591" t="s">
        <v>16</v>
      </c>
      <c r="D2591" s="1">
        <v>45855</v>
      </c>
      <c r="E2591" t="s">
        <v>19</v>
      </c>
      <c r="F2591">
        <v>4400</v>
      </c>
      <c r="J2591">
        <v>0.3</v>
      </c>
      <c r="K2591">
        <v>0.1</v>
      </c>
      <c r="L2591">
        <v>0</v>
      </c>
      <c r="M2591" t="s">
        <v>18</v>
      </c>
      <c r="N2591">
        <v>0</v>
      </c>
      <c r="O2591">
        <v>0</v>
      </c>
    </row>
    <row r="2592" spans="1:15" x14ac:dyDescent="0.2">
      <c r="A2592" s="6">
        <v>45831</v>
      </c>
      <c r="B2592" t="s">
        <v>15</v>
      </c>
      <c r="C2592" t="s">
        <v>16</v>
      </c>
      <c r="D2592" s="1">
        <v>45855</v>
      </c>
      <c r="E2592" t="s">
        <v>17</v>
      </c>
      <c r="F2592">
        <v>6250</v>
      </c>
      <c r="G2592">
        <v>553.6</v>
      </c>
      <c r="H2592">
        <v>586.20000000000005</v>
      </c>
      <c r="I2592">
        <v>199.9</v>
      </c>
      <c r="J2592">
        <v>255.7</v>
      </c>
      <c r="K2592">
        <v>517.79999999999995</v>
      </c>
      <c r="L2592">
        <v>8525</v>
      </c>
      <c r="M2592" t="s">
        <v>1219</v>
      </c>
      <c r="N2592">
        <v>56477.1</v>
      </c>
      <c r="O2592">
        <v>722</v>
      </c>
    </row>
    <row r="2593" spans="1:15" x14ac:dyDescent="0.2">
      <c r="A2593" s="6">
        <v>45831</v>
      </c>
      <c r="B2593" t="s">
        <v>15</v>
      </c>
      <c r="C2593" t="s">
        <v>16</v>
      </c>
      <c r="D2593" s="1">
        <v>45855</v>
      </c>
      <c r="E2593" t="s">
        <v>17</v>
      </c>
      <c r="F2593">
        <v>6350</v>
      </c>
      <c r="G2593">
        <v>522.29999999999995</v>
      </c>
      <c r="H2593">
        <v>537.6</v>
      </c>
      <c r="I2593">
        <v>198.6</v>
      </c>
      <c r="J2593">
        <v>223</v>
      </c>
      <c r="K2593">
        <v>477.4</v>
      </c>
      <c r="L2593">
        <v>21412</v>
      </c>
      <c r="M2593" t="s">
        <v>1220</v>
      </c>
      <c r="N2593">
        <v>144133.65</v>
      </c>
      <c r="O2593">
        <v>1312</v>
      </c>
    </row>
    <row r="2594" spans="1:15" x14ac:dyDescent="0.2">
      <c r="A2594" s="6">
        <v>45831</v>
      </c>
      <c r="B2594" t="s">
        <v>15</v>
      </c>
      <c r="C2594" t="s">
        <v>16</v>
      </c>
      <c r="D2594" s="1">
        <v>45855</v>
      </c>
      <c r="E2594" t="s">
        <v>19</v>
      </c>
      <c r="F2594">
        <v>5150</v>
      </c>
      <c r="G2594">
        <v>35.9</v>
      </c>
      <c r="H2594">
        <v>51.8</v>
      </c>
      <c r="I2594">
        <v>5.6</v>
      </c>
      <c r="J2594">
        <v>46.6</v>
      </c>
      <c r="K2594">
        <v>37.4</v>
      </c>
      <c r="L2594">
        <v>2111</v>
      </c>
      <c r="M2594" t="s">
        <v>1221</v>
      </c>
      <c r="N2594">
        <v>10951.09</v>
      </c>
      <c r="O2594">
        <v>306</v>
      </c>
    </row>
    <row r="2595" spans="1:15" x14ac:dyDescent="0.2">
      <c r="A2595" s="6">
        <v>45831</v>
      </c>
      <c r="B2595" t="s">
        <v>15</v>
      </c>
      <c r="C2595" t="s">
        <v>16</v>
      </c>
      <c r="D2595" s="1">
        <v>45855</v>
      </c>
      <c r="E2595" t="s">
        <v>19</v>
      </c>
      <c r="F2595">
        <v>6850</v>
      </c>
      <c r="G2595">
        <v>665.7</v>
      </c>
      <c r="H2595">
        <v>784</v>
      </c>
      <c r="I2595">
        <v>652.20000000000005</v>
      </c>
      <c r="J2595">
        <v>691</v>
      </c>
      <c r="K2595">
        <v>772.1</v>
      </c>
      <c r="L2595">
        <v>29</v>
      </c>
      <c r="M2595" t="s">
        <v>297</v>
      </c>
      <c r="N2595">
        <v>218.37</v>
      </c>
      <c r="O2595">
        <v>18</v>
      </c>
    </row>
    <row r="2596" spans="1:15" x14ac:dyDescent="0.2">
      <c r="A2596" s="6">
        <v>45831</v>
      </c>
      <c r="B2596" t="s">
        <v>15</v>
      </c>
      <c r="C2596" t="s">
        <v>16</v>
      </c>
      <c r="D2596" s="1">
        <v>45855</v>
      </c>
      <c r="E2596" t="s">
        <v>19</v>
      </c>
      <c r="F2596">
        <v>5350</v>
      </c>
      <c r="G2596">
        <v>55.5</v>
      </c>
      <c r="H2596">
        <v>78.8</v>
      </c>
      <c r="I2596">
        <v>37.200000000000003</v>
      </c>
      <c r="J2596">
        <v>69.599999999999994</v>
      </c>
      <c r="K2596">
        <v>58.4</v>
      </c>
      <c r="L2596">
        <v>72</v>
      </c>
      <c r="M2596" t="s">
        <v>1016</v>
      </c>
      <c r="N2596">
        <v>389.66</v>
      </c>
      <c r="O2596">
        <v>37</v>
      </c>
    </row>
    <row r="2597" spans="1:15" x14ac:dyDescent="0.2">
      <c r="A2597" s="6">
        <v>45831</v>
      </c>
      <c r="B2597" t="s">
        <v>15</v>
      </c>
      <c r="C2597" t="s">
        <v>16</v>
      </c>
      <c r="D2597" s="1">
        <v>45855</v>
      </c>
      <c r="E2597" t="s">
        <v>17</v>
      </c>
      <c r="F2597">
        <v>5900</v>
      </c>
      <c r="G2597">
        <v>770.7</v>
      </c>
      <c r="H2597">
        <v>789.6</v>
      </c>
      <c r="I2597">
        <v>359.6</v>
      </c>
      <c r="J2597">
        <v>390.7</v>
      </c>
      <c r="K2597">
        <v>703.7</v>
      </c>
      <c r="L2597">
        <v>1246</v>
      </c>
      <c r="M2597" t="s">
        <v>1222</v>
      </c>
      <c r="N2597">
        <v>7955.99</v>
      </c>
      <c r="O2597">
        <v>232</v>
      </c>
    </row>
    <row r="2598" spans="1:15" x14ac:dyDescent="0.2">
      <c r="A2598" s="6">
        <v>45831</v>
      </c>
      <c r="B2598" t="s">
        <v>15</v>
      </c>
      <c r="C2598" t="s">
        <v>16</v>
      </c>
      <c r="D2598" s="1">
        <v>45855</v>
      </c>
      <c r="E2598" t="s">
        <v>19</v>
      </c>
      <c r="F2598">
        <v>7500</v>
      </c>
      <c r="J2598">
        <v>1454.7</v>
      </c>
      <c r="K2598">
        <v>1108.5999999999999</v>
      </c>
      <c r="L2598">
        <v>0</v>
      </c>
      <c r="M2598" t="s">
        <v>18</v>
      </c>
      <c r="N2598">
        <v>0</v>
      </c>
      <c r="O2598">
        <v>0</v>
      </c>
    </row>
    <row r="2599" spans="1:15" x14ac:dyDescent="0.2">
      <c r="A2599" s="6">
        <v>45831</v>
      </c>
      <c r="B2599" t="s">
        <v>15</v>
      </c>
      <c r="C2599" t="s">
        <v>16</v>
      </c>
      <c r="D2599" s="1">
        <v>45855</v>
      </c>
      <c r="E2599" t="s">
        <v>17</v>
      </c>
      <c r="F2599">
        <v>3700</v>
      </c>
      <c r="J2599">
        <v>2336.8000000000002</v>
      </c>
      <c r="K2599">
        <v>2692.1</v>
      </c>
      <c r="L2599">
        <v>0</v>
      </c>
      <c r="M2599" t="s">
        <v>18</v>
      </c>
      <c r="N2599">
        <v>0</v>
      </c>
      <c r="O2599">
        <v>0</v>
      </c>
    </row>
    <row r="2600" spans="1:15" x14ac:dyDescent="0.2">
      <c r="A2600" s="6">
        <v>45831</v>
      </c>
      <c r="B2600" t="s">
        <v>15</v>
      </c>
      <c r="C2600" t="s">
        <v>16</v>
      </c>
      <c r="D2600" s="1">
        <v>45855</v>
      </c>
      <c r="E2600" t="s">
        <v>17</v>
      </c>
      <c r="F2600">
        <v>6950</v>
      </c>
      <c r="G2600">
        <v>310.10000000000002</v>
      </c>
      <c r="H2600">
        <v>324.60000000000002</v>
      </c>
      <c r="I2600">
        <v>97.8</v>
      </c>
      <c r="J2600">
        <v>109.2</v>
      </c>
      <c r="K2600">
        <v>298.60000000000002</v>
      </c>
      <c r="L2600">
        <v>3891</v>
      </c>
      <c r="M2600" t="s">
        <v>1223</v>
      </c>
      <c r="N2600">
        <v>27928.53</v>
      </c>
      <c r="O2600">
        <v>293</v>
      </c>
    </row>
    <row r="2601" spans="1:15" x14ac:dyDescent="0.2">
      <c r="A2601" s="6">
        <v>45831</v>
      </c>
      <c r="B2601" t="s">
        <v>15</v>
      </c>
      <c r="C2601" t="s">
        <v>16</v>
      </c>
      <c r="D2601" s="1">
        <v>45855</v>
      </c>
      <c r="E2601" t="s">
        <v>17</v>
      </c>
      <c r="F2601">
        <v>4050</v>
      </c>
      <c r="J2601">
        <v>1988.2</v>
      </c>
      <c r="K2601">
        <v>2343.6</v>
      </c>
      <c r="L2601">
        <v>0</v>
      </c>
      <c r="M2601" t="s">
        <v>18</v>
      </c>
      <c r="N2601">
        <v>0</v>
      </c>
      <c r="O2601">
        <v>0</v>
      </c>
    </row>
    <row r="2602" spans="1:15" x14ac:dyDescent="0.2">
      <c r="A2602" s="6">
        <v>45831</v>
      </c>
      <c r="B2602" t="s">
        <v>15</v>
      </c>
      <c r="C2602" t="s">
        <v>16</v>
      </c>
      <c r="D2602" s="1">
        <v>45855</v>
      </c>
      <c r="E2602" t="s">
        <v>17</v>
      </c>
      <c r="F2602">
        <v>4500</v>
      </c>
      <c r="J2602">
        <v>1540.5</v>
      </c>
      <c r="K2602">
        <v>1895.6</v>
      </c>
      <c r="L2602">
        <v>0</v>
      </c>
      <c r="M2602" t="s">
        <v>18</v>
      </c>
      <c r="N2602">
        <v>0</v>
      </c>
      <c r="O2602">
        <v>0</v>
      </c>
    </row>
    <row r="2603" spans="1:15" x14ac:dyDescent="0.2">
      <c r="A2603" s="6">
        <v>45831</v>
      </c>
      <c r="B2603" t="s">
        <v>15</v>
      </c>
      <c r="C2603" t="s">
        <v>16</v>
      </c>
      <c r="D2603" s="1">
        <v>45855</v>
      </c>
      <c r="E2603" t="s">
        <v>19</v>
      </c>
      <c r="F2603">
        <v>5200</v>
      </c>
      <c r="G2603">
        <v>30</v>
      </c>
      <c r="H2603">
        <v>56.7</v>
      </c>
      <c r="I2603">
        <v>20.6</v>
      </c>
      <c r="J2603">
        <v>49.6</v>
      </c>
      <c r="K2603">
        <v>39.9</v>
      </c>
      <c r="L2603">
        <v>8881</v>
      </c>
      <c r="M2603" t="s">
        <v>1224</v>
      </c>
      <c r="N2603">
        <v>46538.73</v>
      </c>
      <c r="O2603">
        <v>2767</v>
      </c>
    </row>
    <row r="2604" spans="1:15" x14ac:dyDescent="0.2">
      <c r="A2604" s="6">
        <v>45831</v>
      </c>
      <c r="B2604" t="s">
        <v>15</v>
      </c>
      <c r="C2604" t="s">
        <v>16</v>
      </c>
      <c r="D2604" s="1">
        <v>45855</v>
      </c>
      <c r="E2604" t="s">
        <v>17</v>
      </c>
      <c r="F2604">
        <v>4550</v>
      </c>
      <c r="J2604">
        <v>1490.9</v>
      </c>
      <c r="K2604">
        <v>1845.9</v>
      </c>
      <c r="L2604">
        <v>0</v>
      </c>
      <c r="M2604" t="s">
        <v>18</v>
      </c>
      <c r="N2604">
        <v>0</v>
      </c>
      <c r="O2604">
        <v>0</v>
      </c>
    </row>
    <row r="2605" spans="1:15" x14ac:dyDescent="0.2">
      <c r="A2605" s="6">
        <v>45831</v>
      </c>
      <c r="B2605" t="s">
        <v>15</v>
      </c>
      <c r="C2605" t="s">
        <v>16</v>
      </c>
      <c r="D2605" s="1">
        <v>45855</v>
      </c>
      <c r="E2605" t="s">
        <v>17</v>
      </c>
      <c r="F2605">
        <v>5200</v>
      </c>
      <c r="G2605">
        <v>1252.9000000000001</v>
      </c>
      <c r="H2605">
        <v>1252.9000000000001</v>
      </c>
      <c r="I2605">
        <v>1252.9000000000001</v>
      </c>
      <c r="J2605">
        <v>1252.9000000000001</v>
      </c>
      <c r="K2605">
        <v>1202.8</v>
      </c>
      <c r="L2605">
        <v>1</v>
      </c>
      <c r="M2605" t="s">
        <v>155</v>
      </c>
      <c r="N2605">
        <v>6.45</v>
      </c>
      <c r="O2605">
        <v>26</v>
      </c>
    </row>
    <row r="2606" spans="1:15" x14ac:dyDescent="0.2">
      <c r="A2606" s="6">
        <v>45831</v>
      </c>
      <c r="B2606" t="s">
        <v>15</v>
      </c>
      <c r="C2606" t="s">
        <v>16</v>
      </c>
      <c r="D2606" s="1">
        <v>45855</v>
      </c>
      <c r="E2606" t="s">
        <v>17</v>
      </c>
      <c r="F2606">
        <v>7550</v>
      </c>
      <c r="G2606">
        <v>204.3</v>
      </c>
      <c r="H2606">
        <v>206</v>
      </c>
      <c r="I2606">
        <v>53.7</v>
      </c>
      <c r="J2606">
        <v>60.9</v>
      </c>
      <c r="K2606">
        <v>199.4</v>
      </c>
      <c r="L2606">
        <v>3066</v>
      </c>
      <c r="M2606" t="s">
        <v>1225</v>
      </c>
      <c r="N2606">
        <v>23560.43</v>
      </c>
      <c r="O2606">
        <v>354</v>
      </c>
    </row>
    <row r="2607" spans="1:15" x14ac:dyDescent="0.2">
      <c r="A2607" s="6">
        <v>45831</v>
      </c>
      <c r="B2607" t="s">
        <v>15</v>
      </c>
      <c r="C2607" t="s">
        <v>16</v>
      </c>
      <c r="D2607" s="1">
        <v>45855</v>
      </c>
      <c r="E2607" t="s">
        <v>19</v>
      </c>
      <c r="F2607">
        <v>7450</v>
      </c>
      <c r="J2607">
        <v>1406</v>
      </c>
      <c r="K2607">
        <v>1061.5999999999999</v>
      </c>
      <c r="L2607">
        <v>0</v>
      </c>
      <c r="M2607" t="s">
        <v>18</v>
      </c>
      <c r="N2607">
        <v>0</v>
      </c>
      <c r="O2607">
        <v>0</v>
      </c>
    </row>
    <row r="2608" spans="1:15" x14ac:dyDescent="0.2">
      <c r="A2608" s="6">
        <v>45831</v>
      </c>
      <c r="B2608" t="s">
        <v>15</v>
      </c>
      <c r="C2608" t="s">
        <v>16</v>
      </c>
      <c r="D2608" s="1">
        <v>45855</v>
      </c>
      <c r="E2608" t="s">
        <v>19</v>
      </c>
      <c r="F2608">
        <v>6350</v>
      </c>
      <c r="G2608">
        <v>364.9</v>
      </c>
      <c r="H2608">
        <v>562</v>
      </c>
      <c r="I2608">
        <v>338.8</v>
      </c>
      <c r="J2608">
        <v>531.5</v>
      </c>
      <c r="K2608">
        <v>421.5</v>
      </c>
      <c r="L2608">
        <v>22783</v>
      </c>
      <c r="M2608" t="s">
        <v>1226</v>
      </c>
      <c r="N2608">
        <v>153984</v>
      </c>
      <c r="O2608">
        <v>353</v>
      </c>
    </row>
    <row r="2609" spans="1:15" x14ac:dyDescent="0.2">
      <c r="A2609" s="6">
        <v>45831</v>
      </c>
      <c r="B2609" t="s">
        <v>15</v>
      </c>
      <c r="C2609" t="s">
        <v>16</v>
      </c>
      <c r="D2609" s="1">
        <v>45855</v>
      </c>
      <c r="E2609" t="s">
        <v>17</v>
      </c>
      <c r="F2609">
        <v>3950</v>
      </c>
      <c r="J2609">
        <v>2087.8000000000002</v>
      </c>
      <c r="K2609">
        <v>2443.1999999999998</v>
      </c>
      <c r="L2609">
        <v>0</v>
      </c>
      <c r="M2609" t="s">
        <v>18</v>
      </c>
      <c r="N2609">
        <v>0</v>
      </c>
      <c r="O2609">
        <v>0</v>
      </c>
    </row>
    <row r="2610" spans="1:15" x14ac:dyDescent="0.2">
      <c r="A2610" s="6">
        <v>45831</v>
      </c>
      <c r="B2610" t="s">
        <v>15</v>
      </c>
      <c r="C2610" t="s">
        <v>16</v>
      </c>
      <c r="D2610" s="1">
        <v>45855</v>
      </c>
      <c r="E2610" t="s">
        <v>19</v>
      </c>
      <c r="F2610">
        <v>5650</v>
      </c>
      <c r="G2610">
        <v>99.6</v>
      </c>
      <c r="H2610">
        <v>160.69999999999999</v>
      </c>
      <c r="I2610">
        <v>86</v>
      </c>
      <c r="J2610">
        <v>148.30000000000001</v>
      </c>
      <c r="K2610">
        <v>118.5</v>
      </c>
      <c r="L2610">
        <v>4519</v>
      </c>
      <c r="M2610" t="s">
        <v>1227</v>
      </c>
      <c r="N2610">
        <v>26045.49</v>
      </c>
      <c r="O2610">
        <v>168</v>
      </c>
    </row>
    <row r="2611" spans="1:15" x14ac:dyDescent="0.2">
      <c r="A2611" s="6">
        <v>45831</v>
      </c>
      <c r="B2611" t="s">
        <v>15</v>
      </c>
      <c r="C2611" t="s">
        <v>16</v>
      </c>
      <c r="D2611" s="1">
        <v>45855</v>
      </c>
      <c r="E2611" t="s">
        <v>19</v>
      </c>
      <c r="F2611">
        <v>5600</v>
      </c>
      <c r="G2611">
        <v>104.9</v>
      </c>
      <c r="H2611">
        <v>142.6</v>
      </c>
      <c r="I2611">
        <v>74</v>
      </c>
      <c r="J2611">
        <v>130.19999999999999</v>
      </c>
      <c r="K2611">
        <v>104.9</v>
      </c>
      <c r="L2611">
        <v>17541</v>
      </c>
      <c r="M2611" t="s">
        <v>1228</v>
      </c>
      <c r="N2611">
        <v>99992.84</v>
      </c>
      <c r="O2611">
        <v>1547</v>
      </c>
    </row>
    <row r="2612" spans="1:15" x14ac:dyDescent="0.2">
      <c r="A2612" s="6">
        <v>45831</v>
      </c>
      <c r="B2612" t="s">
        <v>15</v>
      </c>
      <c r="C2612" t="s">
        <v>16</v>
      </c>
      <c r="D2612" s="1">
        <v>45855</v>
      </c>
      <c r="E2612" t="s">
        <v>19</v>
      </c>
      <c r="F2612">
        <v>4000</v>
      </c>
      <c r="G2612">
        <v>13.2</v>
      </c>
      <c r="H2612">
        <v>15.9</v>
      </c>
      <c r="I2612">
        <v>12.1</v>
      </c>
      <c r="J2612">
        <v>14.4</v>
      </c>
      <c r="K2612">
        <v>13.6</v>
      </c>
      <c r="L2612">
        <v>827</v>
      </c>
      <c r="M2612" t="s">
        <v>1229</v>
      </c>
      <c r="N2612">
        <v>3319.12</v>
      </c>
      <c r="O2612">
        <v>196</v>
      </c>
    </row>
    <row r="2613" spans="1:15" x14ac:dyDescent="0.2">
      <c r="A2613" s="6">
        <v>45831</v>
      </c>
      <c r="B2613" t="s">
        <v>15</v>
      </c>
      <c r="C2613" t="s">
        <v>16</v>
      </c>
      <c r="D2613" s="1">
        <v>45855</v>
      </c>
      <c r="E2613" t="s">
        <v>19</v>
      </c>
      <c r="F2613">
        <v>4850</v>
      </c>
      <c r="G2613">
        <v>20</v>
      </c>
      <c r="H2613">
        <v>21</v>
      </c>
      <c r="I2613">
        <v>15.1</v>
      </c>
      <c r="J2613">
        <v>18</v>
      </c>
      <c r="K2613">
        <v>22.5</v>
      </c>
      <c r="L2613">
        <v>233</v>
      </c>
      <c r="M2613" t="s">
        <v>1230</v>
      </c>
      <c r="N2613">
        <v>1134.32</v>
      </c>
      <c r="O2613">
        <v>29</v>
      </c>
    </row>
    <row r="2614" spans="1:15" x14ac:dyDescent="0.2">
      <c r="A2614" s="6">
        <v>45831</v>
      </c>
      <c r="B2614" t="s">
        <v>15</v>
      </c>
      <c r="C2614" t="s">
        <v>16</v>
      </c>
      <c r="D2614" s="1">
        <v>45855</v>
      </c>
      <c r="E2614" t="s">
        <v>17</v>
      </c>
      <c r="F2614">
        <v>4600</v>
      </c>
      <c r="J2614">
        <v>1441.4</v>
      </c>
      <c r="K2614">
        <v>1796.1</v>
      </c>
      <c r="L2614">
        <v>0</v>
      </c>
      <c r="M2614" t="s">
        <v>18</v>
      </c>
      <c r="N2614">
        <v>0</v>
      </c>
      <c r="O2614">
        <v>0</v>
      </c>
    </row>
    <row r="2615" spans="1:15" x14ac:dyDescent="0.2">
      <c r="A2615" s="6">
        <v>45831</v>
      </c>
      <c r="B2615" t="s">
        <v>15</v>
      </c>
      <c r="C2615" t="s">
        <v>16</v>
      </c>
      <c r="D2615" s="1">
        <v>45855</v>
      </c>
      <c r="E2615" t="s">
        <v>17</v>
      </c>
      <c r="F2615">
        <v>6100</v>
      </c>
      <c r="G2615">
        <v>654</v>
      </c>
      <c r="H2615">
        <v>677.3</v>
      </c>
      <c r="I2615">
        <v>273.60000000000002</v>
      </c>
      <c r="J2615">
        <v>305.8</v>
      </c>
      <c r="K2615">
        <v>588.4</v>
      </c>
      <c r="L2615">
        <v>10759</v>
      </c>
      <c r="M2615" t="s">
        <v>1231</v>
      </c>
      <c r="N2615">
        <v>69839.5</v>
      </c>
      <c r="O2615">
        <v>1496</v>
      </c>
    </row>
    <row r="2616" spans="1:15" x14ac:dyDescent="0.2">
      <c r="A2616" s="6">
        <v>45831</v>
      </c>
      <c r="B2616" t="s">
        <v>15</v>
      </c>
      <c r="C2616" t="s">
        <v>16</v>
      </c>
      <c r="D2616" s="1">
        <v>45855</v>
      </c>
      <c r="E2616" t="s">
        <v>17</v>
      </c>
      <c r="F2616">
        <v>5350</v>
      </c>
      <c r="J2616">
        <v>733.1</v>
      </c>
      <c r="K2616">
        <v>1058.0999999999999</v>
      </c>
      <c r="L2616">
        <v>0</v>
      </c>
      <c r="M2616" t="s">
        <v>18</v>
      </c>
      <c r="N2616">
        <v>0</v>
      </c>
      <c r="O2616">
        <v>1</v>
      </c>
    </row>
    <row r="2617" spans="1:15" x14ac:dyDescent="0.2">
      <c r="A2617" s="6">
        <v>45831</v>
      </c>
      <c r="B2617" t="s">
        <v>15</v>
      </c>
      <c r="C2617" t="s">
        <v>16</v>
      </c>
      <c r="D2617" s="1">
        <v>45855</v>
      </c>
      <c r="E2617" t="s">
        <v>19</v>
      </c>
      <c r="F2617">
        <v>3650</v>
      </c>
      <c r="J2617">
        <v>0.1</v>
      </c>
      <c r="K2617">
        <v>0.1</v>
      </c>
      <c r="L2617">
        <v>0</v>
      </c>
      <c r="M2617" t="s">
        <v>18</v>
      </c>
      <c r="N2617">
        <v>0</v>
      </c>
      <c r="O2617">
        <v>0</v>
      </c>
    </row>
    <row r="2618" spans="1:15" x14ac:dyDescent="0.2">
      <c r="A2618" s="6">
        <v>45831</v>
      </c>
      <c r="B2618" t="s">
        <v>15</v>
      </c>
      <c r="C2618" t="s">
        <v>16</v>
      </c>
      <c r="D2618" s="1">
        <v>45855</v>
      </c>
      <c r="E2618" t="s">
        <v>17</v>
      </c>
      <c r="F2618">
        <v>7200</v>
      </c>
      <c r="G2618">
        <v>268</v>
      </c>
      <c r="H2618">
        <v>268</v>
      </c>
      <c r="I2618">
        <v>75</v>
      </c>
      <c r="J2618">
        <v>86.8</v>
      </c>
      <c r="K2618">
        <v>250.6</v>
      </c>
      <c r="L2618">
        <v>20111</v>
      </c>
      <c r="M2618" t="s">
        <v>1232</v>
      </c>
      <c r="N2618">
        <v>148343.35999999999</v>
      </c>
      <c r="O2618">
        <v>1962</v>
      </c>
    </row>
    <row r="2619" spans="1:15" x14ac:dyDescent="0.2">
      <c r="A2619" s="6">
        <v>45831</v>
      </c>
      <c r="B2619" t="s">
        <v>15</v>
      </c>
      <c r="C2619" t="s">
        <v>16</v>
      </c>
      <c r="D2619" s="1">
        <v>45855</v>
      </c>
      <c r="E2619" t="s">
        <v>19</v>
      </c>
      <c r="F2619">
        <v>7100</v>
      </c>
      <c r="J2619">
        <v>1071.4000000000001</v>
      </c>
      <c r="K2619">
        <v>746.7</v>
      </c>
      <c r="L2619">
        <v>0</v>
      </c>
      <c r="M2619" t="s">
        <v>18</v>
      </c>
      <c r="N2619">
        <v>0</v>
      </c>
      <c r="O2619">
        <v>0</v>
      </c>
    </row>
    <row r="2620" spans="1:15" x14ac:dyDescent="0.2">
      <c r="A2620" s="6">
        <v>45831</v>
      </c>
      <c r="B2620" t="s">
        <v>15</v>
      </c>
      <c r="C2620" t="s">
        <v>16</v>
      </c>
      <c r="D2620" s="1">
        <v>45855</v>
      </c>
      <c r="E2620" t="s">
        <v>19</v>
      </c>
      <c r="F2620">
        <v>7400</v>
      </c>
      <c r="J2620">
        <v>1357.4</v>
      </c>
      <c r="K2620">
        <v>1015</v>
      </c>
      <c r="L2620">
        <v>0</v>
      </c>
      <c r="M2620" t="s">
        <v>18</v>
      </c>
      <c r="N2620">
        <v>0</v>
      </c>
      <c r="O2620">
        <v>0</v>
      </c>
    </row>
    <row r="2621" spans="1:15" x14ac:dyDescent="0.2">
      <c r="A2621" s="6">
        <v>45831</v>
      </c>
      <c r="B2621" t="s">
        <v>15</v>
      </c>
      <c r="C2621" t="s">
        <v>16</v>
      </c>
      <c r="D2621" s="1">
        <v>45855</v>
      </c>
      <c r="E2621" t="s">
        <v>19</v>
      </c>
      <c r="F2621">
        <v>6900</v>
      </c>
      <c r="G2621">
        <v>706.6</v>
      </c>
      <c r="H2621">
        <v>983.8</v>
      </c>
      <c r="I2621">
        <v>686.9</v>
      </c>
      <c r="J2621">
        <v>901.4</v>
      </c>
      <c r="K2621">
        <v>803.4</v>
      </c>
      <c r="L2621">
        <v>131</v>
      </c>
      <c r="M2621" t="s">
        <v>43</v>
      </c>
      <c r="N2621">
        <v>1003.3</v>
      </c>
      <c r="O2621">
        <v>50</v>
      </c>
    </row>
    <row r="2622" spans="1:15" x14ac:dyDescent="0.2">
      <c r="A2622" s="6">
        <v>45831</v>
      </c>
      <c r="B2622" t="s">
        <v>15</v>
      </c>
      <c r="C2622" t="s">
        <v>16</v>
      </c>
      <c r="D2622" s="1">
        <v>45855</v>
      </c>
      <c r="E2622" t="s">
        <v>19</v>
      </c>
      <c r="F2622">
        <v>6700</v>
      </c>
      <c r="G2622">
        <v>595.29999999999995</v>
      </c>
      <c r="H2622">
        <v>828.6</v>
      </c>
      <c r="I2622">
        <v>549.4</v>
      </c>
      <c r="J2622">
        <v>802.8</v>
      </c>
      <c r="K2622">
        <v>659.6</v>
      </c>
      <c r="L2622">
        <v>1603</v>
      </c>
      <c r="M2622" t="s">
        <v>1233</v>
      </c>
      <c r="N2622">
        <v>11741.27</v>
      </c>
      <c r="O2622">
        <v>324</v>
      </c>
    </row>
    <row r="2623" spans="1:15" x14ac:dyDescent="0.2">
      <c r="A2623" s="6">
        <v>45831</v>
      </c>
      <c r="B2623" t="s">
        <v>15</v>
      </c>
      <c r="C2623" t="s">
        <v>16</v>
      </c>
      <c r="D2623" s="1">
        <v>45855</v>
      </c>
      <c r="E2623" t="s">
        <v>19</v>
      </c>
      <c r="F2623">
        <v>6000</v>
      </c>
      <c r="G2623">
        <v>199.7</v>
      </c>
      <c r="H2623">
        <v>328.2</v>
      </c>
      <c r="I2623">
        <v>180.3</v>
      </c>
      <c r="J2623">
        <v>306.5</v>
      </c>
      <c r="K2623">
        <v>237</v>
      </c>
      <c r="L2623">
        <v>74743</v>
      </c>
      <c r="M2623" t="s">
        <v>1234</v>
      </c>
      <c r="N2623">
        <v>465661.77</v>
      </c>
      <c r="O2623">
        <v>4630</v>
      </c>
    </row>
    <row r="2624" spans="1:15" x14ac:dyDescent="0.2">
      <c r="A2624" s="6">
        <v>45831</v>
      </c>
      <c r="B2624" t="s">
        <v>15</v>
      </c>
      <c r="C2624" t="s">
        <v>16</v>
      </c>
      <c r="D2624" s="1">
        <v>45855</v>
      </c>
      <c r="E2624" t="s">
        <v>19</v>
      </c>
      <c r="F2624">
        <v>7050</v>
      </c>
      <c r="J2624">
        <v>1024.9000000000001</v>
      </c>
      <c r="K2624">
        <v>704.4</v>
      </c>
      <c r="L2624">
        <v>0</v>
      </c>
      <c r="M2624" t="s">
        <v>18</v>
      </c>
      <c r="N2624">
        <v>0</v>
      </c>
      <c r="O2624">
        <v>0</v>
      </c>
    </row>
    <row r="2625" spans="1:15" x14ac:dyDescent="0.2">
      <c r="A2625" s="6">
        <v>45831</v>
      </c>
      <c r="B2625" t="s">
        <v>15</v>
      </c>
      <c r="C2625" t="s">
        <v>16</v>
      </c>
      <c r="D2625" s="1">
        <v>45855</v>
      </c>
      <c r="E2625" t="s">
        <v>17</v>
      </c>
      <c r="F2625">
        <v>7600</v>
      </c>
      <c r="G2625">
        <v>194.8</v>
      </c>
      <c r="H2625">
        <v>200.6</v>
      </c>
      <c r="I2625">
        <v>50.4</v>
      </c>
      <c r="J2625">
        <v>58.5</v>
      </c>
      <c r="K2625">
        <v>185.5</v>
      </c>
      <c r="L2625">
        <v>15653</v>
      </c>
      <c r="M2625" t="s">
        <v>1235</v>
      </c>
      <c r="N2625">
        <v>121033.09</v>
      </c>
      <c r="O2625">
        <v>1929</v>
      </c>
    </row>
    <row r="2626" spans="1:15" x14ac:dyDescent="0.2">
      <c r="A2626" s="6">
        <v>45831</v>
      </c>
      <c r="B2626" t="s">
        <v>15</v>
      </c>
      <c r="C2626" t="s">
        <v>16</v>
      </c>
      <c r="D2626" s="1">
        <v>45855</v>
      </c>
      <c r="E2626" t="s">
        <v>19</v>
      </c>
      <c r="F2626">
        <v>7550</v>
      </c>
      <c r="J2626">
        <v>1503.5</v>
      </c>
      <c r="K2626">
        <v>1155.9000000000001</v>
      </c>
      <c r="L2626">
        <v>0</v>
      </c>
      <c r="M2626" t="s">
        <v>18</v>
      </c>
      <c r="N2626">
        <v>0</v>
      </c>
      <c r="O2626">
        <v>0</v>
      </c>
    </row>
    <row r="2627" spans="1:15" x14ac:dyDescent="0.2">
      <c r="A2627" s="6">
        <v>45831</v>
      </c>
      <c r="B2627" t="s">
        <v>15</v>
      </c>
      <c r="C2627" t="s">
        <v>16</v>
      </c>
      <c r="D2627" s="1">
        <v>45855</v>
      </c>
      <c r="E2627" t="s">
        <v>19</v>
      </c>
      <c r="F2627">
        <v>5550</v>
      </c>
      <c r="G2627">
        <v>13.9</v>
      </c>
      <c r="H2627">
        <v>128</v>
      </c>
      <c r="I2627">
        <v>13.9</v>
      </c>
      <c r="J2627">
        <v>115.6</v>
      </c>
      <c r="K2627">
        <v>93.8</v>
      </c>
      <c r="L2627">
        <v>3721</v>
      </c>
      <c r="M2627" t="s">
        <v>1236</v>
      </c>
      <c r="N2627">
        <v>21000.43</v>
      </c>
      <c r="O2627">
        <v>300</v>
      </c>
    </row>
    <row r="2628" spans="1:15" x14ac:dyDescent="0.2">
      <c r="A2628" s="6">
        <v>45831</v>
      </c>
      <c r="B2628" t="s">
        <v>15</v>
      </c>
      <c r="C2628" t="s">
        <v>16</v>
      </c>
      <c r="D2628" s="1">
        <v>45855</v>
      </c>
      <c r="E2628" t="s">
        <v>19</v>
      </c>
      <c r="F2628">
        <v>6200</v>
      </c>
      <c r="G2628">
        <v>276.89999999999998</v>
      </c>
      <c r="H2628">
        <v>455</v>
      </c>
      <c r="I2628">
        <v>261.3</v>
      </c>
      <c r="J2628">
        <v>425.9</v>
      </c>
      <c r="K2628">
        <v>335.8</v>
      </c>
      <c r="L2628">
        <v>38506</v>
      </c>
      <c r="M2628" t="s">
        <v>1237</v>
      </c>
      <c r="N2628">
        <v>251357.33</v>
      </c>
      <c r="O2628">
        <v>1433</v>
      </c>
    </row>
    <row r="2629" spans="1:15" x14ac:dyDescent="0.2">
      <c r="A2629" s="6">
        <v>45831</v>
      </c>
      <c r="B2629" t="s">
        <v>15</v>
      </c>
      <c r="C2629" t="s">
        <v>16</v>
      </c>
      <c r="D2629" s="1">
        <v>45855</v>
      </c>
      <c r="E2629" t="s">
        <v>17</v>
      </c>
      <c r="F2629">
        <v>6600</v>
      </c>
      <c r="G2629">
        <v>417.4</v>
      </c>
      <c r="H2629">
        <v>449.8</v>
      </c>
      <c r="I2629">
        <v>145</v>
      </c>
      <c r="J2629">
        <v>165.8</v>
      </c>
      <c r="K2629">
        <v>390.3</v>
      </c>
      <c r="L2629">
        <v>50556</v>
      </c>
      <c r="M2629" t="s">
        <v>1238</v>
      </c>
      <c r="N2629">
        <v>349860.55</v>
      </c>
      <c r="O2629">
        <v>4158</v>
      </c>
    </row>
    <row r="2630" spans="1:15" x14ac:dyDescent="0.2">
      <c r="A2630" s="6">
        <v>45831</v>
      </c>
      <c r="B2630" t="s">
        <v>15</v>
      </c>
      <c r="C2630" t="s">
        <v>16</v>
      </c>
      <c r="D2630" s="1">
        <v>45855</v>
      </c>
      <c r="E2630" t="s">
        <v>19</v>
      </c>
      <c r="F2630">
        <v>5850</v>
      </c>
      <c r="G2630">
        <v>149.30000000000001</v>
      </c>
      <c r="H2630">
        <v>247.5</v>
      </c>
      <c r="I2630">
        <v>134.19999999999999</v>
      </c>
      <c r="J2630">
        <v>229.8</v>
      </c>
      <c r="K2630">
        <v>179</v>
      </c>
      <c r="L2630">
        <v>4918</v>
      </c>
      <c r="M2630" t="s">
        <v>1239</v>
      </c>
      <c r="N2630">
        <v>29640.46</v>
      </c>
      <c r="O2630">
        <v>147</v>
      </c>
    </row>
    <row r="2631" spans="1:15" x14ac:dyDescent="0.2">
      <c r="A2631" s="6">
        <v>45831</v>
      </c>
      <c r="B2631" t="s">
        <v>15</v>
      </c>
      <c r="C2631" t="s">
        <v>16</v>
      </c>
      <c r="D2631" s="1">
        <v>45855</v>
      </c>
      <c r="E2631" t="s">
        <v>17</v>
      </c>
      <c r="F2631">
        <v>5400</v>
      </c>
      <c r="G2631">
        <v>1190</v>
      </c>
      <c r="H2631">
        <v>1190</v>
      </c>
      <c r="I2631">
        <v>697.5</v>
      </c>
      <c r="J2631">
        <v>711.8</v>
      </c>
      <c r="K2631">
        <v>1062.5</v>
      </c>
      <c r="L2631">
        <v>55</v>
      </c>
      <c r="M2631" t="s">
        <v>1240</v>
      </c>
      <c r="N2631">
        <v>352.58</v>
      </c>
      <c r="O2631">
        <v>543</v>
      </c>
    </row>
    <row r="2632" spans="1:15" x14ac:dyDescent="0.2">
      <c r="A2632" s="6">
        <v>45831</v>
      </c>
      <c r="B2632" t="s">
        <v>15</v>
      </c>
      <c r="C2632" t="s">
        <v>16</v>
      </c>
      <c r="D2632" s="1">
        <v>45855</v>
      </c>
      <c r="E2632" t="s">
        <v>17</v>
      </c>
      <c r="F2632">
        <v>5550</v>
      </c>
      <c r="G2632">
        <v>734</v>
      </c>
      <c r="H2632">
        <v>734</v>
      </c>
      <c r="I2632">
        <v>734</v>
      </c>
      <c r="J2632">
        <v>734</v>
      </c>
      <c r="K2632">
        <v>871.2</v>
      </c>
      <c r="L2632">
        <v>1</v>
      </c>
      <c r="M2632" t="s">
        <v>155</v>
      </c>
      <c r="N2632">
        <v>6.28</v>
      </c>
      <c r="O2632">
        <v>1</v>
      </c>
    </row>
    <row r="2633" spans="1:15" x14ac:dyDescent="0.2">
      <c r="A2633" s="6">
        <v>45831</v>
      </c>
      <c r="B2633" t="s">
        <v>15</v>
      </c>
      <c r="C2633" t="s">
        <v>16</v>
      </c>
      <c r="D2633" s="1">
        <v>45855</v>
      </c>
      <c r="E2633" t="s">
        <v>19</v>
      </c>
      <c r="F2633">
        <v>5900</v>
      </c>
      <c r="G2633">
        <v>158.1</v>
      </c>
      <c r="H2633">
        <v>272</v>
      </c>
      <c r="I2633">
        <v>148.80000000000001</v>
      </c>
      <c r="J2633">
        <v>253.8</v>
      </c>
      <c r="K2633">
        <v>197.2</v>
      </c>
      <c r="L2633">
        <v>22532</v>
      </c>
      <c r="M2633" t="s">
        <v>1241</v>
      </c>
      <c r="N2633">
        <v>137168.51</v>
      </c>
      <c r="O2633">
        <v>743</v>
      </c>
    </row>
    <row r="2634" spans="1:15" x14ac:dyDescent="0.2">
      <c r="A2634" s="6">
        <v>45831</v>
      </c>
      <c r="B2634" t="s">
        <v>15</v>
      </c>
      <c r="C2634" t="s">
        <v>16</v>
      </c>
      <c r="D2634" s="1">
        <v>45855</v>
      </c>
      <c r="E2634" t="s">
        <v>19</v>
      </c>
      <c r="F2634">
        <v>3850</v>
      </c>
      <c r="J2634">
        <v>0.1</v>
      </c>
      <c r="K2634">
        <v>0.1</v>
      </c>
      <c r="L2634">
        <v>0</v>
      </c>
      <c r="M2634" t="s">
        <v>18</v>
      </c>
      <c r="N2634">
        <v>0</v>
      </c>
      <c r="O2634">
        <v>0</v>
      </c>
    </row>
    <row r="2635" spans="1:15" x14ac:dyDescent="0.2">
      <c r="A2635" s="6">
        <v>45831</v>
      </c>
      <c r="B2635" t="s">
        <v>15</v>
      </c>
      <c r="C2635" t="s">
        <v>16</v>
      </c>
      <c r="D2635" s="1">
        <v>45855</v>
      </c>
      <c r="E2635" t="s">
        <v>19</v>
      </c>
      <c r="F2635">
        <v>6300</v>
      </c>
      <c r="G2635">
        <v>303.2</v>
      </c>
      <c r="H2635">
        <v>526.70000000000005</v>
      </c>
      <c r="I2635">
        <v>303.2</v>
      </c>
      <c r="J2635">
        <v>496</v>
      </c>
      <c r="K2635">
        <v>390.7</v>
      </c>
      <c r="L2635">
        <v>42700</v>
      </c>
      <c r="M2635" t="s">
        <v>1242</v>
      </c>
      <c r="N2635">
        <v>284950.87</v>
      </c>
      <c r="O2635">
        <v>1851</v>
      </c>
    </row>
    <row r="2636" spans="1:15" x14ac:dyDescent="0.2">
      <c r="A2636" s="6">
        <v>45831</v>
      </c>
      <c r="B2636" t="s">
        <v>15</v>
      </c>
      <c r="C2636" t="s">
        <v>16</v>
      </c>
      <c r="D2636" s="1">
        <v>45855</v>
      </c>
      <c r="E2636" t="s">
        <v>19</v>
      </c>
      <c r="F2636">
        <v>6600</v>
      </c>
      <c r="G2636">
        <v>502.1</v>
      </c>
      <c r="H2636">
        <v>742.5</v>
      </c>
      <c r="I2636">
        <v>484.1</v>
      </c>
      <c r="J2636">
        <v>709.4</v>
      </c>
      <c r="K2636">
        <v>578.70000000000005</v>
      </c>
      <c r="L2636">
        <v>4856</v>
      </c>
      <c r="M2636" t="s">
        <v>1243</v>
      </c>
      <c r="N2636">
        <v>34674.47</v>
      </c>
      <c r="O2636">
        <v>232</v>
      </c>
    </row>
    <row r="2637" spans="1:15" x14ac:dyDescent="0.2">
      <c r="A2637" s="6">
        <v>45831</v>
      </c>
      <c r="B2637" t="s">
        <v>15</v>
      </c>
      <c r="C2637" t="s">
        <v>16</v>
      </c>
      <c r="D2637" s="1">
        <v>45855</v>
      </c>
      <c r="E2637" t="s">
        <v>19</v>
      </c>
      <c r="F2637">
        <v>7650</v>
      </c>
      <c r="J2637">
        <v>1601.6</v>
      </c>
      <c r="K2637">
        <v>1251.5</v>
      </c>
      <c r="L2637">
        <v>0</v>
      </c>
      <c r="M2637" t="s">
        <v>18</v>
      </c>
      <c r="N2637">
        <v>0</v>
      </c>
      <c r="O2637">
        <v>0</v>
      </c>
    </row>
    <row r="2638" spans="1:15" x14ac:dyDescent="0.2">
      <c r="A2638" s="6">
        <v>45831</v>
      </c>
      <c r="B2638" t="s">
        <v>15</v>
      </c>
      <c r="C2638" t="s">
        <v>16</v>
      </c>
      <c r="D2638" s="1">
        <v>45855</v>
      </c>
      <c r="E2638" t="s">
        <v>17</v>
      </c>
      <c r="F2638">
        <v>5850</v>
      </c>
      <c r="G2638">
        <v>826.4</v>
      </c>
      <c r="H2638">
        <v>826.4</v>
      </c>
      <c r="I2638">
        <v>397.8</v>
      </c>
      <c r="J2638">
        <v>427.6</v>
      </c>
      <c r="K2638">
        <v>723.5</v>
      </c>
      <c r="L2638">
        <v>44</v>
      </c>
      <c r="M2638" t="s">
        <v>94</v>
      </c>
      <c r="N2638">
        <v>277.62</v>
      </c>
      <c r="O2638">
        <v>11</v>
      </c>
    </row>
    <row r="2639" spans="1:15" x14ac:dyDescent="0.2">
      <c r="A2639" s="6">
        <v>45831</v>
      </c>
      <c r="B2639" t="s">
        <v>15</v>
      </c>
      <c r="C2639" t="s">
        <v>16</v>
      </c>
      <c r="D2639" s="1">
        <v>45855</v>
      </c>
      <c r="E2639" t="s">
        <v>17</v>
      </c>
      <c r="F2639">
        <v>7400</v>
      </c>
      <c r="G2639">
        <v>216.2</v>
      </c>
      <c r="H2639">
        <v>249</v>
      </c>
      <c r="I2639">
        <v>58.8</v>
      </c>
      <c r="J2639">
        <v>70.099999999999994</v>
      </c>
      <c r="K2639">
        <v>219.6</v>
      </c>
      <c r="L2639">
        <v>28314</v>
      </c>
      <c r="M2639" t="s">
        <v>1244</v>
      </c>
      <c r="N2639">
        <v>214024.05</v>
      </c>
      <c r="O2639">
        <v>2776</v>
      </c>
    </row>
    <row r="2640" spans="1:15" x14ac:dyDescent="0.2">
      <c r="A2640" s="6">
        <v>45831</v>
      </c>
      <c r="B2640" t="s">
        <v>15</v>
      </c>
      <c r="C2640" t="s">
        <v>16</v>
      </c>
      <c r="D2640" s="1">
        <v>45855</v>
      </c>
      <c r="E2640" t="s">
        <v>19</v>
      </c>
      <c r="F2640">
        <v>7300</v>
      </c>
      <c r="J2640">
        <v>1261</v>
      </c>
      <c r="K2640">
        <v>923.3</v>
      </c>
      <c r="L2640">
        <v>0</v>
      </c>
      <c r="M2640" t="s">
        <v>18</v>
      </c>
      <c r="N2640">
        <v>0</v>
      </c>
      <c r="O2640">
        <v>0</v>
      </c>
    </row>
    <row r="2641" spans="1:15" x14ac:dyDescent="0.2">
      <c r="A2641" s="6">
        <v>45831</v>
      </c>
      <c r="B2641" t="s">
        <v>15</v>
      </c>
      <c r="C2641" t="s">
        <v>16</v>
      </c>
      <c r="D2641" s="1">
        <v>45855</v>
      </c>
      <c r="E2641" t="s">
        <v>17</v>
      </c>
      <c r="F2641">
        <v>7700</v>
      </c>
      <c r="G2641">
        <v>159.6</v>
      </c>
      <c r="H2641">
        <v>168.9</v>
      </c>
      <c r="I2641">
        <v>43.8</v>
      </c>
      <c r="J2641">
        <v>52</v>
      </c>
      <c r="K2641">
        <v>155.80000000000001</v>
      </c>
      <c r="L2641">
        <v>24266</v>
      </c>
      <c r="M2641" t="s">
        <v>1245</v>
      </c>
      <c r="N2641">
        <v>189578.76</v>
      </c>
      <c r="O2641">
        <v>2278</v>
      </c>
    </row>
    <row r="2642" spans="1:15" x14ac:dyDescent="0.2">
      <c r="A2642" s="6">
        <v>45831</v>
      </c>
      <c r="B2642" t="s">
        <v>15</v>
      </c>
      <c r="C2642" t="s">
        <v>16</v>
      </c>
      <c r="D2642" s="1">
        <v>45855</v>
      </c>
      <c r="E2642" t="s">
        <v>17</v>
      </c>
      <c r="F2642">
        <v>3900</v>
      </c>
      <c r="J2642">
        <v>2137.6</v>
      </c>
      <c r="K2642">
        <v>2493</v>
      </c>
      <c r="L2642">
        <v>0</v>
      </c>
      <c r="M2642" t="s">
        <v>18</v>
      </c>
      <c r="N2642">
        <v>0</v>
      </c>
      <c r="O2642">
        <v>0</v>
      </c>
    </row>
    <row r="2643" spans="1:15" x14ac:dyDescent="0.2">
      <c r="A2643" s="6">
        <v>45831</v>
      </c>
      <c r="B2643" t="s">
        <v>15</v>
      </c>
      <c r="C2643" t="s">
        <v>16</v>
      </c>
      <c r="D2643" s="1">
        <v>45855</v>
      </c>
      <c r="E2643" t="s">
        <v>17</v>
      </c>
      <c r="F2643">
        <v>4300</v>
      </c>
      <c r="J2643">
        <v>1739.3</v>
      </c>
      <c r="K2643">
        <v>2094.6999999999998</v>
      </c>
      <c r="L2643">
        <v>0</v>
      </c>
      <c r="M2643" t="s">
        <v>18</v>
      </c>
      <c r="N2643">
        <v>0</v>
      </c>
      <c r="O2643">
        <v>0</v>
      </c>
    </row>
    <row r="2644" spans="1:15" x14ac:dyDescent="0.2">
      <c r="A2644" s="6">
        <v>45831</v>
      </c>
      <c r="B2644" t="s">
        <v>15</v>
      </c>
      <c r="C2644" t="s">
        <v>16</v>
      </c>
      <c r="D2644" s="1">
        <v>45855</v>
      </c>
      <c r="E2644" t="s">
        <v>19</v>
      </c>
      <c r="F2644">
        <v>7000</v>
      </c>
      <c r="G2644">
        <v>770</v>
      </c>
      <c r="H2644">
        <v>995.3</v>
      </c>
      <c r="I2644">
        <v>324.7</v>
      </c>
      <c r="J2644">
        <v>880.6</v>
      </c>
      <c r="K2644">
        <v>662.9</v>
      </c>
      <c r="L2644">
        <v>46</v>
      </c>
      <c r="M2644" t="s">
        <v>338</v>
      </c>
      <c r="N2644">
        <v>361.43</v>
      </c>
      <c r="O2644">
        <v>14</v>
      </c>
    </row>
    <row r="2645" spans="1:15" x14ac:dyDescent="0.2">
      <c r="A2645" s="6">
        <v>45831</v>
      </c>
      <c r="B2645" t="s">
        <v>15</v>
      </c>
      <c r="C2645" t="s">
        <v>16</v>
      </c>
      <c r="D2645" s="1">
        <v>45855</v>
      </c>
      <c r="E2645" t="s">
        <v>17</v>
      </c>
      <c r="F2645">
        <v>6150</v>
      </c>
      <c r="G2645">
        <v>600.5</v>
      </c>
      <c r="H2645">
        <v>639.6</v>
      </c>
      <c r="I2645">
        <v>255.6</v>
      </c>
      <c r="J2645">
        <v>287.89999999999998</v>
      </c>
      <c r="K2645">
        <v>568.70000000000005</v>
      </c>
      <c r="L2645">
        <v>3123</v>
      </c>
      <c r="M2645" t="s">
        <v>1246</v>
      </c>
      <c r="N2645">
        <v>20350</v>
      </c>
      <c r="O2645">
        <v>472</v>
      </c>
    </row>
    <row r="2646" spans="1:15" x14ac:dyDescent="0.2">
      <c r="A2646" s="6">
        <v>45831</v>
      </c>
      <c r="B2646" t="s">
        <v>15</v>
      </c>
      <c r="C2646" t="s">
        <v>16</v>
      </c>
      <c r="D2646" s="1">
        <v>45855</v>
      </c>
      <c r="E2646" t="s">
        <v>19</v>
      </c>
      <c r="F2646">
        <v>6100</v>
      </c>
      <c r="G2646">
        <v>217.1</v>
      </c>
      <c r="H2646">
        <v>389.5</v>
      </c>
      <c r="I2646">
        <v>217.1</v>
      </c>
      <c r="J2646">
        <v>363.5</v>
      </c>
      <c r="K2646">
        <v>285.3</v>
      </c>
      <c r="L2646">
        <v>27469</v>
      </c>
      <c r="M2646" t="s">
        <v>1247</v>
      </c>
      <c r="N2646">
        <v>175423.74</v>
      </c>
      <c r="O2646">
        <v>1462</v>
      </c>
    </row>
    <row r="2647" spans="1:15" x14ac:dyDescent="0.2">
      <c r="A2647" s="6">
        <v>45831</v>
      </c>
      <c r="B2647" t="s">
        <v>15</v>
      </c>
      <c r="C2647" t="s">
        <v>16</v>
      </c>
      <c r="D2647" s="1">
        <v>45855</v>
      </c>
      <c r="E2647" t="s">
        <v>19</v>
      </c>
      <c r="F2647">
        <v>6500</v>
      </c>
      <c r="G2647">
        <v>450</v>
      </c>
      <c r="H2647">
        <v>680</v>
      </c>
      <c r="I2647">
        <v>423.8</v>
      </c>
      <c r="J2647">
        <v>642.9</v>
      </c>
      <c r="K2647">
        <v>514.4</v>
      </c>
      <c r="L2647">
        <v>32950</v>
      </c>
      <c r="M2647" t="s">
        <v>1248</v>
      </c>
      <c r="N2647">
        <v>229897.09</v>
      </c>
      <c r="O2647">
        <v>1165</v>
      </c>
    </row>
    <row r="2648" spans="1:15" x14ac:dyDescent="0.2">
      <c r="A2648" s="6">
        <v>45831</v>
      </c>
      <c r="B2648" t="s">
        <v>15</v>
      </c>
      <c r="C2648" t="s">
        <v>16</v>
      </c>
      <c r="D2648" s="1">
        <v>45855</v>
      </c>
      <c r="E2648" t="s">
        <v>19</v>
      </c>
      <c r="F2648">
        <v>4750</v>
      </c>
      <c r="J2648">
        <v>2.6</v>
      </c>
      <c r="K2648">
        <v>0.2</v>
      </c>
      <c r="L2648">
        <v>0</v>
      </c>
      <c r="M2648" t="s">
        <v>18</v>
      </c>
      <c r="N2648">
        <v>0</v>
      </c>
      <c r="O2648">
        <v>0</v>
      </c>
    </row>
    <row r="2649" spans="1:15" x14ac:dyDescent="0.2">
      <c r="A2649" s="6">
        <v>45831</v>
      </c>
      <c r="B2649" t="s">
        <v>15</v>
      </c>
      <c r="C2649" t="s">
        <v>16</v>
      </c>
      <c r="D2649" s="1">
        <v>45855</v>
      </c>
      <c r="E2649" t="s">
        <v>17</v>
      </c>
      <c r="F2649">
        <v>7100</v>
      </c>
      <c r="G2649">
        <v>279</v>
      </c>
      <c r="H2649">
        <v>305</v>
      </c>
      <c r="I2649">
        <v>82.6</v>
      </c>
      <c r="J2649">
        <v>94.1</v>
      </c>
      <c r="K2649">
        <v>271.10000000000002</v>
      </c>
      <c r="L2649">
        <v>10860</v>
      </c>
      <c r="M2649" t="s">
        <v>1249</v>
      </c>
      <c r="N2649">
        <v>79315.39</v>
      </c>
      <c r="O2649">
        <v>647</v>
      </c>
    </row>
    <row r="2650" spans="1:15" x14ac:dyDescent="0.2">
      <c r="A2650" s="6">
        <v>45831</v>
      </c>
      <c r="B2650" t="s">
        <v>15</v>
      </c>
      <c r="C2650" t="s">
        <v>16</v>
      </c>
      <c r="D2650" s="1">
        <v>45855</v>
      </c>
      <c r="E2650" t="s">
        <v>19</v>
      </c>
      <c r="F2650">
        <v>4300</v>
      </c>
      <c r="J2650">
        <v>0.1</v>
      </c>
      <c r="K2650">
        <v>0.1</v>
      </c>
      <c r="L2650">
        <v>0</v>
      </c>
      <c r="M2650" t="s">
        <v>18</v>
      </c>
      <c r="N2650">
        <v>0</v>
      </c>
      <c r="O2650">
        <v>0</v>
      </c>
    </row>
    <row r="2651" spans="1:15" x14ac:dyDescent="0.2">
      <c r="A2651" s="6">
        <v>45831</v>
      </c>
      <c r="B2651" t="s">
        <v>15</v>
      </c>
      <c r="C2651" t="s">
        <v>16</v>
      </c>
      <c r="D2651" s="1">
        <v>45855</v>
      </c>
      <c r="E2651" t="s">
        <v>19</v>
      </c>
      <c r="F2651">
        <v>5950</v>
      </c>
      <c r="G2651">
        <v>173.8</v>
      </c>
      <c r="H2651">
        <v>299.89999999999998</v>
      </c>
      <c r="I2651">
        <v>165.2</v>
      </c>
      <c r="J2651">
        <v>280.3</v>
      </c>
      <c r="K2651">
        <v>217.6</v>
      </c>
      <c r="L2651">
        <v>6402</v>
      </c>
      <c r="M2651" t="s">
        <v>1250</v>
      </c>
      <c r="N2651">
        <v>39447.910000000003</v>
      </c>
      <c r="O2651">
        <v>188</v>
      </c>
    </row>
    <row r="2652" spans="1:15" x14ac:dyDescent="0.2">
      <c r="A2652" s="6">
        <v>45831</v>
      </c>
      <c r="B2652" t="s">
        <v>15</v>
      </c>
      <c r="C2652" t="s">
        <v>16</v>
      </c>
      <c r="D2652" s="1">
        <v>45855</v>
      </c>
      <c r="E2652" t="s">
        <v>17</v>
      </c>
      <c r="F2652">
        <v>6450</v>
      </c>
      <c r="G2652">
        <v>492.8</v>
      </c>
      <c r="H2652">
        <v>499.7</v>
      </c>
      <c r="I2652">
        <v>176.6</v>
      </c>
      <c r="J2652">
        <v>201.8</v>
      </c>
      <c r="K2652">
        <v>439.4</v>
      </c>
      <c r="L2652">
        <v>27692</v>
      </c>
      <c r="M2652" t="s">
        <v>1251</v>
      </c>
      <c r="N2652">
        <v>188800.78</v>
      </c>
      <c r="O2652">
        <v>1559</v>
      </c>
    </row>
    <row r="2653" spans="1:15" x14ac:dyDescent="0.2">
      <c r="A2653" s="6">
        <v>45831</v>
      </c>
      <c r="B2653" t="s">
        <v>15</v>
      </c>
      <c r="C2653" t="s">
        <v>16</v>
      </c>
      <c r="D2653" s="1">
        <v>45855</v>
      </c>
      <c r="E2653" t="s">
        <v>17</v>
      </c>
      <c r="F2653">
        <v>4700</v>
      </c>
      <c r="J2653">
        <v>1342.7</v>
      </c>
      <c r="K2653">
        <v>1696.7</v>
      </c>
      <c r="L2653">
        <v>0</v>
      </c>
      <c r="M2653" t="s">
        <v>18</v>
      </c>
      <c r="N2653">
        <v>0</v>
      </c>
      <c r="O2653">
        <v>0</v>
      </c>
    </row>
    <row r="2654" spans="1:15" x14ac:dyDescent="0.2">
      <c r="A2654" s="6">
        <v>45831</v>
      </c>
      <c r="B2654" t="s">
        <v>15</v>
      </c>
      <c r="C2654" t="s">
        <v>16</v>
      </c>
      <c r="D2654" s="1">
        <v>45855</v>
      </c>
      <c r="E2654" t="s">
        <v>17</v>
      </c>
      <c r="F2654">
        <v>6400</v>
      </c>
      <c r="G2654">
        <v>525.20000000000005</v>
      </c>
      <c r="H2654">
        <v>525.20000000000005</v>
      </c>
      <c r="I2654">
        <v>186.5</v>
      </c>
      <c r="J2654">
        <v>208.8</v>
      </c>
      <c r="K2654">
        <v>458.1</v>
      </c>
      <c r="L2654">
        <v>85398</v>
      </c>
      <c r="M2654" t="s">
        <v>1252</v>
      </c>
      <c r="N2654">
        <v>578937.87</v>
      </c>
      <c r="O2654">
        <v>5933</v>
      </c>
    </row>
    <row r="2655" spans="1:15" x14ac:dyDescent="0.2">
      <c r="A2655" s="6">
        <v>45831</v>
      </c>
      <c r="B2655" t="s">
        <v>15</v>
      </c>
      <c r="C2655" t="s">
        <v>16</v>
      </c>
      <c r="D2655" s="1">
        <v>45855</v>
      </c>
      <c r="E2655" t="s">
        <v>19</v>
      </c>
      <c r="F2655">
        <v>6450</v>
      </c>
      <c r="G2655">
        <v>317.60000000000002</v>
      </c>
      <c r="H2655">
        <v>819.7</v>
      </c>
      <c r="I2655">
        <v>317.5</v>
      </c>
      <c r="J2655">
        <v>606.6</v>
      </c>
      <c r="K2655">
        <v>484.1</v>
      </c>
      <c r="L2655">
        <v>12050</v>
      </c>
      <c r="M2655" t="s">
        <v>1253</v>
      </c>
      <c r="N2655">
        <v>83263.47</v>
      </c>
      <c r="O2655">
        <v>863</v>
      </c>
    </row>
    <row r="2656" spans="1:15" x14ac:dyDescent="0.2">
      <c r="A2656" s="6">
        <v>45831</v>
      </c>
      <c r="B2656" t="s">
        <v>15</v>
      </c>
      <c r="C2656" t="s">
        <v>16</v>
      </c>
      <c r="D2656" s="1">
        <v>45855</v>
      </c>
      <c r="E2656" t="s">
        <v>19</v>
      </c>
      <c r="F2656">
        <v>4150</v>
      </c>
      <c r="J2656">
        <v>0.1</v>
      </c>
      <c r="K2656">
        <v>0.1</v>
      </c>
      <c r="L2656">
        <v>0</v>
      </c>
      <c r="M2656" t="s">
        <v>18</v>
      </c>
      <c r="N2656">
        <v>0</v>
      </c>
      <c r="O2656">
        <v>0</v>
      </c>
    </row>
    <row r="2657" spans="1:15" x14ac:dyDescent="0.2">
      <c r="A2657" s="6">
        <v>45831</v>
      </c>
      <c r="B2657" t="s">
        <v>15</v>
      </c>
      <c r="C2657" t="s">
        <v>16</v>
      </c>
      <c r="D2657" s="1">
        <v>45855</v>
      </c>
      <c r="E2657" t="s">
        <v>19</v>
      </c>
      <c r="F2657">
        <v>4050</v>
      </c>
      <c r="J2657">
        <v>0.1</v>
      </c>
      <c r="K2657">
        <v>0.1</v>
      </c>
      <c r="L2657">
        <v>0</v>
      </c>
      <c r="M2657" t="s">
        <v>18</v>
      </c>
      <c r="N2657">
        <v>0</v>
      </c>
      <c r="O2657">
        <v>0</v>
      </c>
    </row>
    <row r="2658" spans="1:15" x14ac:dyDescent="0.2">
      <c r="A2658" s="6">
        <v>45828</v>
      </c>
      <c r="B2658" t="s">
        <v>15</v>
      </c>
      <c r="C2658" t="s">
        <v>16</v>
      </c>
      <c r="D2658" s="1">
        <v>45855</v>
      </c>
      <c r="E2658" t="s">
        <v>17</v>
      </c>
      <c r="F2658">
        <v>4650</v>
      </c>
      <c r="J2658">
        <v>1746.4</v>
      </c>
      <c r="K2658">
        <v>1790.9</v>
      </c>
      <c r="L2658">
        <v>0</v>
      </c>
      <c r="M2658" t="s">
        <v>18</v>
      </c>
      <c r="N2658">
        <v>0</v>
      </c>
      <c r="O2658">
        <v>0</v>
      </c>
    </row>
    <row r="2659" spans="1:15" x14ac:dyDescent="0.2">
      <c r="A2659" s="6">
        <v>45828</v>
      </c>
      <c r="B2659" t="s">
        <v>15</v>
      </c>
      <c r="C2659" t="s">
        <v>16</v>
      </c>
      <c r="D2659" s="1">
        <v>45855</v>
      </c>
      <c r="E2659" t="s">
        <v>19</v>
      </c>
      <c r="F2659">
        <v>6650</v>
      </c>
      <c r="G2659">
        <v>603.9</v>
      </c>
      <c r="H2659">
        <v>663.4</v>
      </c>
      <c r="I2659">
        <v>592.20000000000005</v>
      </c>
      <c r="J2659">
        <v>631.20000000000005</v>
      </c>
      <c r="K2659">
        <v>605.9</v>
      </c>
      <c r="L2659">
        <v>69</v>
      </c>
      <c r="M2659" t="s">
        <v>887</v>
      </c>
      <c r="N2659">
        <v>501.98</v>
      </c>
      <c r="O2659">
        <v>12</v>
      </c>
    </row>
    <row r="2660" spans="1:15" x14ac:dyDescent="0.2">
      <c r="A2660" s="6">
        <v>45828</v>
      </c>
      <c r="B2660" t="s">
        <v>15</v>
      </c>
      <c r="C2660" t="s">
        <v>16</v>
      </c>
      <c r="D2660" s="1">
        <v>45855</v>
      </c>
      <c r="E2660" t="s">
        <v>17</v>
      </c>
      <c r="F2660">
        <v>4200</v>
      </c>
      <c r="J2660">
        <v>2194.3000000000002</v>
      </c>
      <c r="K2660">
        <v>2238.6999999999998</v>
      </c>
      <c r="L2660">
        <v>0</v>
      </c>
      <c r="M2660" t="s">
        <v>18</v>
      </c>
      <c r="N2660">
        <v>0</v>
      </c>
      <c r="O2660">
        <v>0</v>
      </c>
    </row>
    <row r="2661" spans="1:15" x14ac:dyDescent="0.2">
      <c r="A2661" s="6">
        <v>45828</v>
      </c>
      <c r="B2661" t="s">
        <v>15</v>
      </c>
      <c r="C2661" t="s">
        <v>16</v>
      </c>
      <c r="D2661" s="1">
        <v>45855</v>
      </c>
      <c r="E2661" t="s">
        <v>17</v>
      </c>
      <c r="F2661">
        <v>5250</v>
      </c>
      <c r="J2661">
        <v>1154.2</v>
      </c>
      <c r="K2661">
        <v>1199.5</v>
      </c>
      <c r="L2661">
        <v>0</v>
      </c>
      <c r="M2661" t="s">
        <v>18</v>
      </c>
      <c r="N2661">
        <v>0</v>
      </c>
      <c r="O2661">
        <v>0</v>
      </c>
    </row>
    <row r="2662" spans="1:15" x14ac:dyDescent="0.2">
      <c r="A2662" s="6">
        <v>45828</v>
      </c>
      <c r="B2662" t="s">
        <v>15</v>
      </c>
      <c r="C2662" t="s">
        <v>16</v>
      </c>
      <c r="D2662" s="1">
        <v>45855</v>
      </c>
      <c r="E2662" t="s">
        <v>19</v>
      </c>
      <c r="F2662">
        <v>5100</v>
      </c>
      <c r="G2662">
        <v>33.4</v>
      </c>
      <c r="H2662">
        <v>35.6</v>
      </c>
      <c r="I2662">
        <v>29.3</v>
      </c>
      <c r="J2662">
        <v>32</v>
      </c>
      <c r="K2662">
        <v>34.1</v>
      </c>
      <c r="L2662">
        <v>1724</v>
      </c>
      <c r="M2662" t="s">
        <v>1254</v>
      </c>
      <c r="N2662">
        <v>8849.07</v>
      </c>
      <c r="O2662">
        <v>1049</v>
      </c>
    </row>
    <row r="2663" spans="1:15" x14ac:dyDescent="0.2">
      <c r="A2663" s="6">
        <v>45828</v>
      </c>
      <c r="B2663" t="s">
        <v>15</v>
      </c>
      <c r="C2663" t="s">
        <v>16</v>
      </c>
      <c r="D2663" s="1">
        <v>45855</v>
      </c>
      <c r="E2663" t="s">
        <v>17</v>
      </c>
      <c r="F2663">
        <v>5100</v>
      </c>
      <c r="J2663">
        <v>1300.5999999999999</v>
      </c>
      <c r="K2663">
        <v>1320</v>
      </c>
      <c r="L2663">
        <v>0</v>
      </c>
      <c r="M2663" t="s">
        <v>18</v>
      </c>
      <c r="N2663">
        <v>0</v>
      </c>
      <c r="O2663">
        <v>5</v>
      </c>
    </row>
    <row r="2664" spans="1:15" x14ac:dyDescent="0.2">
      <c r="A2664" s="6">
        <v>45828</v>
      </c>
      <c r="B2664" t="s">
        <v>15</v>
      </c>
      <c r="C2664" t="s">
        <v>16</v>
      </c>
      <c r="D2664" s="1">
        <v>45855</v>
      </c>
      <c r="E2664" t="s">
        <v>19</v>
      </c>
      <c r="F2664">
        <v>6050</v>
      </c>
      <c r="G2664">
        <v>250.7</v>
      </c>
      <c r="H2664">
        <v>295</v>
      </c>
      <c r="I2664">
        <v>243.7</v>
      </c>
      <c r="J2664">
        <v>261.3</v>
      </c>
      <c r="K2664">
        <v>257.10000000000002</v>
      </c>
      <c r="L2664">
        <v>2265</v>
      </c>
      <c r="M2664" t="s">
        <v>1255</v>
      </c>
      <c r="N2664">
        <v>14313.29</v>
      </c>
      <c r="O2664">
        <v>172</v>
      </c>
    </row>
    <row r="2665" spans="1:15" x14ac:dyDescent="0.2">
      <c r="A2665" s="6">
        <v>45828</v>
      </c>
      <c r="B2665" t="s">
        <v>15</v>
      </c>
      <c r="C2665" t="s">
        <v>16</v>
      </c>
      <c r="D2665" s="1">
        <v>45855</v>
      </c>
      <c r="E2665" t="s">
        <v>17</v>
      </c>
      <c r="F2665">
        <v>7300</v>
      </c>
      <c r="G2665">
        <v>222.9</v>
      </c>
      <c r="H2665">
        <v>243.4</v>
      </c>
      <c r="I2665">
        <v>196.9</v>
      </c>
      <c r="J2665">
        <v>234.3</v>
      </c>
      <c r="K2665">
        <v>251.2</v>
      </c>
      <c r="L2665">
        <v>9426</v>
      </c>
      <c r="M2665" t="s">
        <v>1256</v>
      </c>
      <c r="N2665">
        <v>70912.479999999996</v>
      </c>
      <c r="O2665">
        <v>954</v>
      </c>
    </row>
    <row r="2666" spans="1:15" x14ac:dyDescent="0.2">
      <c r="A2666" s="6">
        <v>45828</v>
      </c>
      <c r="B2666" t="s">
        <v>15</v>
      </c>
      <c r="C2666" t="s">
        <v>16</v>
      </c>
      <c r="D2666" s="1">
        <v>45855</v>
      </c>
      <c r="E2666" t="s">
        <v>19</v>
      </c>
      <c r="F2666">
        <v>4900</v>
      </c>
      <c r="G2666">
        <v>29.6</v>
      </c>
      <c r="H2666">
        <v>29.6</v>
      </c>
      <c r="I2666">
        <v>21</v>
      </c>
      <c r="J2666">
        <v>24.5</v>
      </c>
      <c r="K2666">
        <v>28.2</v>
      </c>
      <c r="L2666">
        <v>428</v>
      </c>
      <c r="M2666" t="s">
        <v>676</v>
      </c>
      <c r="N2666">
        <v>2108.27</v>
      </c>
      <c r="O2666">
        <v>111</v>
      </c>
    </row>
    <row r="2667" spans="1:15" x14ac:dyDescent="0.2">
      <c r="A2667" s="6">
        <v>45828</v>
      </c>
      <c r="B2667" t="s">
        <v>15</v>
      </c>
      <c r="C2667" t="s">
        <v>16</v>
      </c>
      <c r="D2667" s="1">
        <v>45855</v>
      </c>
      <c r="E2667" t="s">
        <v>19</v>
      </c>
      <c r="F2667">
        <v>3600</v>
      </c>
      <c r="J2667">
        <v>0.1</v>
      </c>
      <c r="K2667">
        <v>0.1</v>
      </c>
      <c r="L2667">
        <v>0</v>
      </c>
      <c r="M2667" t="s">
        <v>18</v>
      </c>
      <c r="N2667">
        <v>0</v>
      </c>
      <c r="O2667">
        <v>0</v>
      </c>
    </row>
    <row r="2668" spans="1:15" x14ac:dyDescent="0.2">
      <c r="A2668" s="6">
        <v>45828</v>
      </c>
      <c r="B2668" t="s">
        <v>15</v>
      </c>
      <c r="C2668" t="s">
        <v>16</v>
      </c>
      <c r="D2668" s="1">
        <v>45855</v>
      </c>
      <c r="E2668" t="s">
        <v>19</v>
      </c>
      <c r="F2668">
        <v>4200</v>
      </c>
      <c r="J2668">
        <v>0.1</v>
      </c>
      <c r="K2668">
        <v>0.1</v>
      </c>
      <c r="L2668">
        <v>0</v>
      </c>
      <c r="M2668" t="s">
        <v>18</v>
      </c>
      <c r="N2668">
        <v>0</v>
      </c>
      <c r="O2668">
        <v>0</v>
      </c>
    </row>
    <row r="2669" spans="1:15" x14ac:dyDescent="0.2">
      <c r="A2669" s="6">
        <v>45828</v>
      </c>
      <c r="B2669" t="s">
        <v>15</v>
      </c>
      <c r="C2669" t="s">
        <v>16</v>
      </c>
      <c r="D2669" s="1">
        <v>45855</v>
      </c>
      <c r="E2669" t="s">
        <v>17</v>
      </c>
      <c r="F2669">
        <v>4800</v>
      </c>
      <c r="J2669">
        <v>1597.3</v>
      </c>
      <c r="K2669">
        <v>1641.9</v>
      </c>
      <c r="L2669">
        <v>0</v>
      </c>
      <c r="M2669" t="s">
        <v>18</v>
      </c>
      <c r="N2669">
        <v>0</v>
      </c>
      <c r="O2669">
        <v>0</v>
      </c>
    </row>
    <row r="2670" spans="1:15" x14ac:dyDescent="0.2">
      <c r="A2670" s="6">
        <v>45828</v>
      </c>
      <c r="B2670" t="s">
        <v>15</v>
      </c>
      <c r="C2670" t="s">
        <v>16</v>
      </c>
      <c r="D2670" s="1">
        <v>45855</v>
      </c>
      <c r="E2670" t="s">
        <v>17</v>
      </c>
      <c r="F2670">
        <v>5950</v>
      </c>
      <c r="G2670">
        <v>651.9</v>
      </c>
      <c r="H2670">
        <v>679.7</v>
      </c>
      <c r="I2670">
        <v>614.5</v>
      </c>
      <c r="J2670">
        <v>654.9</v>
      </c>
      <c r="K2670">
        <v>711.6</v>
      </c>
      <c r="L2670">
        <v>25</v>
      </c>
      <c r="M2670" t="s">
        <v>465</v>
      </c>
      <c r="N2670">
        <v>164.97</v>
      </c>
      <c r="O2670">
        <v>40</v>
      </c>
    </row>
    <row r="2671" spans="1:15" x14ac:dyDescent="0.2">
      <c r="A2671" s="6">
        <v>45828</v>
      </c>
      <c r="B2671" t="s">
        <v>15</v>
      </c>
      <c r="C2671" t="s">
        <v>16</v>
      </c>
      <c r="D2671" s="1">
        <v>45855</v>
      </c>
      <c r="E2671" t="s">
        <v>19</v>
      </c>
      <c r="F2671">
        <v>3900</v>
      </c>
      <c r="J2671">
        <v>0.1</v>
      </c>
      <c r="K2671">
        <v>0.1</v>
      </c>
      <c r="L2671">
        <v>0</v>
      </c>
      <c r="M2671" t="s">
        <v>18</v>
      </c>
      <c r="N2671">
        <v>0</v>
      </c>
      <c r="O2671">
        <v>0</v>
      </c>
    </row>
    <row r="2672" spans="1:15" x14ac:dyDescent="0.2">
      <c r="A2672" s="6">
        <v>45828</v>
      </c>
      <c r="B2672" t="s">
        <v>15</v>
      </c>
      <c r="C2672" t="s">
        <v>16</v>
      </c>
      <c r="D2672" s="1">
        <v>45855</v>
      </c>
      <c r="E2672" t="s">
        <v>19</v>
      </c>
      <c r="F2672">
        <v>6550</v>
      </c>
      <c r="G2672">
        <v>537.9</v>
      </c>
      <c r="H2672">
        <v>596.4</v>
      </c>
      <c r="I2672">
        <v>525</v>
      </c>
      <c r="J2672">
        <v>547.4</v>
      </c>
      <c r="K2672">
        <v>530</v>
      </c>
      <c r="L2672">
        <v>1314</v>
      </c>
      <c r="M2672" t="s">
        <v>1257</v>
      </c>
      <c r="N2672">
        <v>9349.7999999999993</v>
      </c>
      <c r="O2672">
        <v>57</v>
      </c>
    </row>
    <row r="2673" spans="1:15" x14ac:dyDescent="0.2">
      <c r="A2673" s="6">
        <v>45828</v>
      </c>
      <c r="B2673" t="s">
        <v>15</v>
      </c>
      <c r="C2673" t="s">
        <v>16</v>
      </c>
      <c r="D2673" s="1">
        <v>45855</v>
      </c>
      <c r="E2673" t="s">
        <v>17</v>
      </c>
      <c r="F2673">
        <v>4900</v>
      </c>
      <c r="J2673">
        <v>1498.1</v>
      </c>
      <c r="K2673">
        <v>1542.8</v>
      </c>
      <c r="L2673">
        <v>0</v>
      </c>
      <c r="M2673" t="s">
        <v>18</v>
      </c>
      <c r="N2673">
        <v>0</v>
      </c>
      <c r="O2673">
        <v>1</v>
      </c>
    </row>
    <row r="2674" spans="1:15" x14ac:dyDescent="0.2">
      <c r="A2674" s="6">
        <v>45828</v>
      </c>
      <c r="B2674" t="s">
        <v>15</v>
      </c>
      <c r="C2674" t="s">
        <v>16</v>
      </c>
      <c r="D2674" s="1">
        <v>45855</v>
      </c>
      <c r="E2674" t="s">
        <v>17</v>
      </c>
      <c r="F2674">
        <v>5700</v>
      </c>
      <c r="G2674">
        <v>810</v>
      </c>
      <c r="H2674">
        <v>857.7</v>
      </c>
      <c r="I2674">
        <v>745.3</v>
      </c>
      <c r="J2674">
        <v>838</v>
      </c>
      <c r="K2674">
        <v>837.8</v>
      </c>
      <c r="L2674">
        <v>89</v>
      </c>
      <c r="M2674" t="s">
        <v>1258</v>
      </c>
      <c r="N2674">
        <v>579.44000000000005</v>
      </c>
      <c r="O2674">
        <v>533</v>
      </c>
    </row>
    <row r="2675" spans="1:15" x14ac:dyDescent="0.2">
      <c r="A2675" s="6">
        <v>45828</v>
      </c>
      <c r="B2675" t="s">
        <v>15</v>
      </c>
      <c r="C2675" t="s">
        <v>16</v>
      </c>
      <c r="D2675" s="1">
        <v>45855</v>
      </c>
      <c r="E2675" t="s">
        <v>17</v>
      </c>
      <c r="F2675">
        <v>6200</v>
      </c>
      <c r="G2675">
        <v>530.1</v>
      </c>
      <c r="H2675">
        <v>556</v>
      </c>
      <c r="I2675">
        <v>463.3</v>
      </c>
      <c r="J2675">
        <v>542.5</v>
      </c>
      <c r="K2675">
        <v>568</v>
      </c>
      <c r="L2675">
        <v>5430</v>
      </c>
      <c r="M2675" t="s">
        <v>1259</v>
      </c>
      <c r="N2675">
        <v>36476.949999999997</v>
      </c>
      <c r="O2675">
        <v>1125</v>
      </c>
    </row>
    <row r="2676" spans="1:15" x14ac:dyDescent="0.2">
      <c r="A2676" s="6">
        <v>45828</v>
      </c>
      <c r="B2676" t="s">
        <v>15</v>
      </c>
      <c r="C2676" t="s">
        <v>16</v>
      </c>
      <c r="D2676" s="1">
        <v>45855</v>
      </c>
      <c r="E2676" t="s">
        <v>17</v>
      </c>
      <c r="F2676">
        <v>4950</v>
      </c>
      <c r="J2676">
        <v>1448.5</v>
      </c>
      <c r="K2676">
        <v>1493.3</v>
      </c>
      <c r="L2676">
        <v>0</v>
      </c>
      <c r="M2676" t="s">
        <v>18</v>
      </c>
      <c r="N2676">
        <v>0</v>
      </c>
      <c r="O2676">
        <v>0</v>
      </c>
    </row>
    <row r="2677" spans="1:15" x14ac:dyDescent="0.2">
      <c r="A2677" s="6">
        <v>45828</v>
      </c>
      <c r="B2677" t="s">
        <v>15</v>
      </c>
      <c r="C2677" t="s">
        <v>16</v>
      </c>
      <c r="D2677" s="1">
        <v>45855</v>
      </c>
      <c r="E2677" t="s">
        <v>19</v>
      </c>
      <c r="F2677">
        <v>6150</v>
      </c>
      <c r="G2677">
        <v>311.89999999999998</v>
      </c>
      <c r="H2677">
        <v>349.9</v>
      </c>
      <c r="I2677">
        <v>291.8</v>
      </c>
      <c r="J2677">
        <v>307.7</v>
      </c>
      <c r="K2677">
        <v>302.60000000000002</v>
      </c>
      <c r="L2677">
        <v>4584</v>
      </c>
      <c r="M2677" t="s">
        <v>1260</v>
      </c>
      <c r="N2677">
        <v>29656.35</v>
      </c>
      <c r="O2677">
        <v>332</v>
      </c>
    </row>
    <row r="2678" spans="1:15" x14ac:dyDescent="0.2">
      <c r="A2678" s="6">
        <v>45828</v>
      </c>
      <c r="B2678" t="s">
        <v>15</v>
      </c>
      <c r="C2678" t="s">
        <v>16</v>
      </c>
      <c r="D2678" s="1">
        <v>45855</v>
      </c>
      <c r="E2678" t="s">
        <v>17</v>
      </c>
      <c r="F2678">
        <v>4450</v>
      </c>
      <c r="J2678">
        <v>1945.4</v>
      </c>
      <c r="K2678">
        <v>1989.9</v>
      </c>
      <c r="L2678">
        <v>0</v>
      </c>
      <c r="M2678" t="s">
        <v>18</v>
      </c>
      <c r="N2678">
        <v>0</v>
      </c>
      <c r="O2678">
        <v>0</v>
      </c>
    </row>
    <row r="2679" spans="1:15" x14ac:dyDescent="0.2">
      <c r="A2679" s="6">
        <v>45828</v>
      </c>
      <c r="B2679" t="s">
        <v>15</v>
      </c>
      <c r="C2679" t="s">
        <v>16</v>
      </c>
      <c r="D2679" s="1">
        <v>45855</v>
      </c>
      <c r="E2679" t="s">
        <v>17</v>
      </c>
      <c r="F2679">
        <v>5500</v>
      </c>
      <c r="G2679">
        <v>953</v>
      </c>
      <c r="H2679">
        <v>978.3</v>
      </c>
      <c r="I2679">
        <v>915.3</v>
      </c>
      <c r="J2679">
        <v>930</v>
      </c>
      <c r="K2679">
        <v>1073.5999999999999</v>
      </c>
      <c r="L2679">
        <v>25</v>
      </c>
      <c r="M2679" t="s">
        <v>465</v>
      </c>
      <c r="N2679">
        <v>160.97999999999999</v>
      </c>
      <c r="O2679">
        <v>433</v>
      </c>
    </row>
    <row r="2680" spans="1:15" x14ac:dyDescent="0.2">
      <c r="A2680" s="6">
        <v>45828</v>
      </c>
      <c r="B2680" t="s">
        <v>15</v>
      </c>
      <c r="C2680" t="s">
        <v>16</v>
      </c>
      <c r="D2680" s="1">
        <v>45855</v>
      </c>
      <c r="E2680" t="s">
        <v>19</v>
      </c>
      <c r="F2680">
        <v>7200</v>
      </c>
      <c r="J2680">
        <v>833.7</v>
      </c>
      <c r="K2680">
        <v>802.4</v>
      </c>
      <c r="L2680">
        <v>0</v>
      </c>
      <c r="M2680" t="s">
        <v>18</v>
      </c>
      <c r="N2680">
        <v>0</v>
      </c>
      <c r="O2680">
        <v>0</v>
      </c>
    </row>
    <row r="2681" spans="1:15" x14ac:dyDescent="0.2">
      <c r="A2681" s="6">
        <v>45828</v>
      </c>
      <c r="B2681" t="s">
        <v>15</v>
      </c>
      <c r="C2681" t="s">
        <v>16</v>
      </c>
      <c r="D2681" s="1">
        <v>45855</v>
      </c>
      <c r="E2681" t="s">
        <v>17</v>
      </c>
      <c r="F2681">
        <v>5300</v>
      </c>
      <c r="G2681">
        <v>1139.2</v>
      </c>
      <c r="H2681">
        <v>1139.2</v>
      </c>
      <c r="I2681">
        <v>1139.2</v>
      </c>
      <c r="J2681">
        <v>1139.2</v>
      </c>
      <c r="K2681">
        <v>1142.4000000000001</v>
      </c>
      <c r="L2681">
        <v>1</v>
      </c>
      <c r="M2681" t="s">
        <v>155</v>
      </c>
      <c r="N2681">
        <v>6.44</v>
      </c>
      <c r="O2681">
        <v>15</v>
      </c>
    </row>
    <row r="2682" spans="1:15" x14ac:dyDescent="0.2">
      <c r="A2682" s="6">
        <v>45828</v>
      </c>
      <c r="B2682" t="s">
        <v>15</v>
      </c>
      <c r="C2682" t="s">
        <v>16</v>
      </c>
      <c r="D2682" s="1">
        <v>45855</v>
      </c>
      <c r="E2682" t="s">
        <v>17</v>
      </c>
      <c r="F2682">
        <v>4750</v>
      </c>
      <c r="J2682">
        <v>1647</v>
      </c>
      <c r="K2682">
        <v>1691.6</v>
      </c>
      <c r="L2682">
        <v>0</v>
      </c>
      <c r="M2682" t="s">
        <v>18</v>
      </c>
      <c r="N2682">
        <v>0</v>
      </c>
      <c r="O2682">
        <v>0</v>
      </c>
    </row>
    <row r="2683" spans="1:15" x14ac:dyDescent="0.2">
      <c r="A2683" s="6">
        <v>45828</v>
      </c>
      <c r="B2683" t="s">
        <v>15</v>
      </c>
      <c r="C2683" t="s">
        <v>16</v>
      </c>
      <c r="D2683" s="1">
        <v>45855</v>
      </c>
      <c r="E2683" t="s">
        <v>19</v>
      </c>
      <c r="F2683">
        <v>5150</v>
      </c>
      <c r="G2683">
        <v>35.299999999999997</v>
      </c>
      <c r="H2683">
        <v>42</v>
      </c>
      <c r="I2683">
        <v>33.1</v>
      </c>
      <c r="J2683">
        <v>37.4</v>
      </c>
      <c r="K2683">
        <v>40.4</v>
      </c>
      <c r="L2683">
        <v>279</v>
      </c>
      <c r="M2683" t="s">
        <v>1261</v>
      </c>
      <c r="N2683">
        <v>1447.44</v>
      </c>
      <c r="O2683">
        <v>64</v>
      </c>
    </row>
    <row r="2684" spans="1:15" x14ac:dyDescent="0.2">
      <c r="A2684" s="6">
        <v>45828</v>
      </c>
      <c r="B2684" t="s">
        <v>15</v>
      </c>
      <c r="C2684" t="s">
        <v>16</v>
      </c>
      <c r="D2684" s="1">
        <v>45855</v>
      </c>
      <c r="E2684" t="s">
        <v>17</v>
      </c>
      <c r="F2684">
        <v>4400</v>
      </c>
      <c r="J2684">
        <v>1995.2</v>
      </c>
      <c r="K2684">
        <v>2039.7</v>
      </c>
      <c r="L2684">
        <v>0</v>
      </c>
      <c r="M2684" t="s">
        <v>18</v>
      </c>
      <c r="N2684">
        <v>0</v>
      </c>
      <c r="O2684">
        <v>0</v>
      </c>
    </row>
    <row r="2685" spans="1:15" x14ac:dyDescent="0.2">
      <c r="A2685" s="6">
        <v>45828</v>
      </c>
      <c r="B2685" t="s">
        <v>15</v>
      </c>
      <c r="C2685" t="s">
        <v>16</v>
      </c>
      <c r="D2685" s="1">
        <v>45855</v>
      </c>
      <c r="E2685" t="s">
        <v>17</v>
      </c>
      <c r="F2685">
        <v>4100</v>
      </c>
      <c r="J2685">
        <v>2293.8000000000002</v>
      </c>
      <c r="K2685">
        <v>2338.3000000000002</v>
      </c>
      <c r="L2685">
        <v>0</v>
      </c>
      <c r="M2685" t="s">
        <v>18</v>
      </c>
      <c r="N2685">
        <v>0</v>
      </c>
      <c r="O2685">
        <v>0</v>
      </c>
    </row>
    <row r="2686" spans="1:15" x14ac:dyDescent="0.2">
      <c r="A2686" s="6">
        <v>45828</v>
      </c>
      <c r="B2686" t="s">
        <v>15</v>
      </c>
      <c r="C2686" t="s">
        <v>16</v>
      </c>
      <c r="D2686" s="1">
        <v>45855</v>
      </c>
      <c r="E2686" t="s">
        <v>17</v>
      </c>
      <c r="F2686">
        <v>5000</v>
      </c>
      <c r="J2686">
        <v>1399.1</v>
      </c>
      <c r="K2686">
        <v>1450</v>
      </c>
      <c r="L2686">
        <v>0</v>
      </c>
      <c r="M2686" t="s">
        <v>18</v>
      </c>
      <c r="N2686">
        <v>0</v>
      </c>
      <c r="O2686">
        <v>5</v>
      </c>
    </row>
    <row r="2687" spans="1:15" x14ac:dyDescent="0.2">
      <c r="A2687" s="6">
        <v>45828</v>
      </c>
      <c r="B2687" t="s">
        <v>15</v>
      </c>
      <c r="C2687" t="s">
        <v>16</v>
      </c>
      <c r="D2687" s="1">
        <v>45855</v>
      </c>
      <c r="E2687" t="s">
        <v>19</v>
      </c>
      <c r="F2687">
        <v>5250</v>
      </c>
      <c r="G2687">
        <v>49.3</v>
      </c>
      <c r="H2687">
        <v>51.7</v>
      </c>
      <c r="I2687">
        <v>40</v>
      </c>
      <c r="J2687">
        <v>46</v>
      </c>
      <c r="K2687">
        <v>47</v>
      </c>
      <c r="L2687">
        <v>33</v>
      </c>
      <c r="M2687" t="s">
        <v>1077</v>
      </c>
      <c r="N2687">
        <v>174.76</v>
      </c>
      <c r="O2687">
        <v>54</v>
      </c>
    </row>
    <row r="2688" spans="1:15" x14ac:dyDescent="0.2">
      <c r="A2688" s="6">
        <v>45828</v>
      </c>
      <c r="B2688" t="s">
        <v>15</v>
      </c>
      <c r="C2688" t="s">
        <v>16</v>
      </c>
      <c r="D2688" s="1">
        <v>45855</v>
      </c>
      <c r="E2688" t="s">
        <v>17</v>
      </c>
      <c r="F2688">
        <v>3700</v>
      </c>
      <c r="J2688">
        <v>2692.1</v>
      </c>
      <c r="K2688">
        <v>2736.4</v>
      </c>
      <c r="L2688">
        <v>0</v>
      </c>
      <c r="M2688" t="s">
        <v>18</v>
      </c>
      <c r="N2688">
        <v>0</v>
      </c>
      <c r="O2688">
        <v>0</v>
      </c>
    </row>
    <row r="2689" spans="1:15" x14ac:dyDescent="0.2">
      <c r="A2689" s="6">
        <v>45828</v>
      </c>
      <c r="B2689" t="s">
        <v>15</v>
      </c>
      <c r="C2689" t="s">
        <v>16</v>
      </c>
      <c r="D2689" s="1">
        <v>45855</v>
      </c>
      <c r="E2689" t="s">
        <v>17</v>
      </c>
      <c r="F2689">
        <v>4850</v>
      </c>
      <c r="J2689">
        <v>1547.6</v>
      </c>
      <c r="K2689">
        <v>1592.3</v>
      </c>
      <c r="L2689">
        <v>0</v>
      </c>
      <c r="M2689" t="s">
        <v>18</v>
      </c>
      <c r="N2689">
        <v>0</v>
      </c>
      <c r="O2689">
        <v>0</v>
      </c>
    </row>
    <row r="2690" spans="1:15" x14ac:dyDescent="0.2">
      <c r="A2690" s="6">
        <v>45828</v>
      </c>
      <c r="B2690" t="s">
        <v>15</v>
      </c>
      <c r="C2690" t="s">
        <v>16</v>
      </c>
      <c r="D2690" s="1">
        <v>45855</v>
      </c>
      <c r="E2690" t="s">
        <v>19</v>
      </c>
      <c r="F2690">
        <v>5200</v>
      </c>
      <c r="G2690">
        <v>43</v>
      </c>
      <c r="H2690">
        <v>43.7</v>
      </c>
      <c r="I2690">
        <v>36</v>
      </c>
      <c r="J2690">
        <v>39.9</v>
      </c>
      <c r="K2690">
        <v>42.1</v>
      </c>
      <c r="L2690">
        <v>3665</v>
      </c>
      <c r="M2690" t="s">
        <v>1262</v>
      </c>
      <c r="N2690">
        <v>19205.18</v>
      </c>
      <c r="O2690">
        <v>2629</v>
      </c>
    </row>
    <row r="2691" spans="1:15" x14ac:dyDescent="0.2">
      <c r="A2691" s="6">
        <v>45828</v>
      </c>
      <c r="B2691" t="s">
        <v>15</v>
      </c>
      <c r="C2691" t="s">
        <v>16</v>
      </c>
      <c r="D2691" s="1">
        <v>45855</v>
      </c>
      <c r="E2691" t="s">
        <v>17</v>
      </c>
      <c r="F2691">
        <v>4350</v>
      </c>
      <c r="J2691">
        <v>2045</v>
      </c>
      <c r="K2691">
        <v>2089.4</v>
      </c>
      <c r="L2691">
        <v>0</v>
      </c>
      <c r="M2691" t="s">
        <v>18</v>
      </c>
      <c r="N2691">
        <v>0</v>
      </c>
      <c r="O2691">
        <v>0</v>
      </c>
    </row>
    <row r="2692" spans="1:15" x14ac:dyDescent="0.2">
      <c r="A2692" s="6">
        <v>45828</v>
      </c>
      <c r="B2692" t="s">
        <v>15</v>
      </c>
      <c r="C2692" t="s">
        <v>16</v>
      </c>
      <c r="D2692" s="1">
        <v>45855</v>
      </c>
      <c r="E2692" t="s">
        <v>17</v>
      </c>
      <c r="F2692">
        <v>7450</v>
      </c>
      <c r="G2692">
        <v>220</v>
      </c>
      <c r="H2692">
        <v>221.2</v>
      </c>
      <c r="I2692">
        <v>179</v>
      </c>
      <c r="J2692">
        <v>213.7</v>
      </c>
      <c r="K2692">
        <v>222.3</v>
      </c>
      <c r="L2692">
        <v>822</v>
      </c>
      <c r="M2692" t="s">
        <v>1263</v>
      </c>
      <c r="N2692">
        <v>6290.63</v>
      </c>
      <c r="O2692">
        <v>136</v>
      </c>
    </row>
    <row r="2693" spans="1:15" x14ac:dyDescent="0.2">
      <c r="A2693" s="6">
        <v>45828</v>
      </c>
      <c r="B2693" t="s">
        <v>15</v>
      </c>
      <c r="C2693" t="s">
        <v>16</v>
      </c>
      <c r="D2693" s="1">
        <v>45855</v>
      </c>
      <c r="E2693" t="s">
        <v>19</v>
      </c>
      <c r="F2693">
        <v>6950</v>
      </c>
      <c r="G2693">
        <v>839.3</v>
      </c>
      <c r="H2693">
        <v>839.3</v>
      </c>
      <c r="I2693">
        <v>838.5</v>
      </c>
      <c r="J2693">
        <v>838.9</v>
      </c>
      <c r="K2693">
        <v>821.8</v>
      </c>
      <c r="L2693">
        <v>2</v>
      </c>
      <c r="M2693" t="s">
        <v>28</v>
      </c>
      <c r="N2693">
        <v>15.58</v>
      </c>
      <c r="O2693">
        <v>71</v>
      </c>
    </row>
    <row r="2694" spans="1:15" x14ac:dyDescent="0.2">
      <c r="A2694" s="6">
        <v>45828</v>
      </c>
      <c r="B2694" t="s">
        <v>15</v>
      </c>
      <c r="C2694" t="s">
        <v>16</v>
      </c>
      <c r="D2694" s="1">
        <v>45855</v>
      </c>
      <c r="E2694" t="s">
        <v>17</v>
      </c>
      <c r="F2694">
        <v>5450</v>
      </c>
      <c r="J2694">
        <v>963.5</v>
      </c>
      <c r="K2694">
        <v>1009.1</v>
      </c>
      <c r="L2694">
        <v>0</v>
      </c>
      <c r="M2694" t="s">
        <v>18</v>
      </c>
      <c r="N2694">
        <v>0</v>
      </c>
      <c r="O2694">
        <v>7</v>
      </c>
    </row>
    <row r="2695" spans="1:15" x14ac:dyDescent="0.2">
      <c r="A2695" s="6">
        <v>45828</v>
      </c>
      <c r="B2695" t="s">
        <v>15</v>
      </c>
      <c r="C2695" t="s">
        <v>16</v>
      </c>
      <c r="D2695" s="1">
        <v>45855</v>
      </c>
      <c r="E2695" t="s">
        <v>17</v>
      </c>
      <c r="F2695">
        <v>5750</v>
      </c>
      <c r="G2695">
        <v>764.8</v>
      </c>
      <c r="H2695">
        <v>764.8</v>
      </c>
      <c r="I2695">
        <v>764.8</v>
      </c>
      <c r="J2695">
        <v>764.8</v>
      </c>
      <c r="K2695">
        <v>740.8</v>
      </c>
      <c r="L2695">
        <v>2</v>
      </c>
      <c r="M2695" t="s">
        <v>28</v>
      </c>
      <c r="N2695">
        <v>13.03</v>
      </c>
      <c r="O2695">
        <v>15</v>
      </c>
    </row>
    <row r="2696" spans="1:15" x14ac:dyDescent="0.2">
      <c r="A2696" s="6">
        <v>45828</v>
      </c>
      <c r="B2696" t="s">
        <v>15</v>
      </c>
      <c r="C2696" t="s">
        <v>16</v>
      </c>
      <c r="D2696" s="1">
        <v>45855</v>
      </c>
      <c r="E2696" t="s">
        <v>19</v>
      </c>
      <c r="F2696">
        <v>7600</v>
      </c>
      <c r="J2696">
        <v>1203.5</v>
      </c>
      <c r="K2696">
        <v>1164.7</v>
      </c>
      <c r="L2696">
        <v>0</v>
      </c>
      <c r="M2696" t="s">
        <v>18</v>
      </c>
      <c r="N2696">
        <v>0</v>
      </c>
      <c r="O2696">
        <v>0</v>
      </c>
    </row>
    <row r="2697" spans="1:15" x14ac:dyDescent="0.2">
      <c r="A2697" s="6">
        <v>45828</v>
      </c>
      <c r="B2697" t="s">
        <v>15</v>
      </c>
      <c r="C2697" t="s">
        <v>16</v>
      </c>
      <c r="D2697" s="1">
        <v>45855</v>
      </c>
      <c r="E2697" t="s">
        <v>17</v>
      </c>
      <c r="F2697">
        <v>3800</v>
      </c>
      <c r="J2697">
        <v>2592.5</v>
      </c>
      <c r="K2697">
        <v>2636.9</v>
      </c>
      <c r="L2697">
        <v>0</v>
      </c>
      <c r="M2697" t="s">
        <v>18</v>
      </c>
      <c r="N2697">
        <v>0</v>
      </c>
      <c r="O2697">
        <v>0</v>
      </c>
    </row>
    <row r="2698" spans="1:15" x14ac:dyDescent="0.2">
      <c r="A2698" s="6">
        <v>45828</v>
      </c>
      <c r="B2698" t="s">
        <v>15</v>
      </c>
      <c r="C2698" t="s">
        <v>16</v>
      </c>
      <c r="D2698" s="1">
        <v>45855</v>
      </c>
      <c r="E2698" t="s">
        <v>17</v>
      </c>
      <c r="F2698">
        <v>7250</v>
      </c>
      <c r="G2698">
        <v>227</v>
      </c>
      <c r="H2698">
        <v>306.60000000000002</v>
      </c>
      <c r="I2698">
        <v>200.2</v>
      </c>
      <c r="J2698">
        <v>247.1</v>
      </c>
      <c r="K2698">
        <v>264.39999999999998</v>
      </c>
      <c r="L2698">
        <v>125</v>
      </c>
      <c r="M2698" t="s">
        <v>1264</v>
      </c>
      <c r="N2698">
        <v>935.24</v>
      </c>
      <c r="O2698">
        <v>28</v>
      </c>
    </row>
    <row r="2699" spans="1:15" x14ac:dyDescent="0.2">
      <c r="A2699" s="6">
        <v>45828</v>
      </c>
      <c r="B2699" t="s">
        <v>15</v>
      </c>
      <c r="C2699" t="s">
        <v>16</v>
      </c>
      <c r="D2699" s="1">
        <v>45855</v>
      </c>
      <c r="E2699" t="s">
        <v>19</v>
      </c>
      <c r="F2699">
        <v>6200</v>
      </c>
      <c r="G2699">
        <v>334.1</v>
      </c>
      <c r="H2699">
        <v>377.9</v>
      </c>
      <c r="I2699">
        <v>316.89999999999998</v>
      </c>
      <c r="J2699">
        <v>335.8</v>
      </c>
      <c r="K2699">
        <v>329.6</v>
      </c>
      <c r="L2699">
        <v>21888</v>
      </c>
      <c r="M2699" t="s">
        <v>1265</v>
      </c>
      <c r="N2699">
        <v>143269.43</v>
      </c>
      <c r="O2699">
        <v>1266</v>
      </c>
    </row>
    <row r="2700" spans="1:15" x14ac:dyDescent="0.2">
      <c r="A2700" s="6">
        <v>45828</v>
      </c>
      <c r="B2700" t="s">
        <v>15</v>
      </c>
      <c r="C2700" t="s">
        <v>16</v>
      </c>
      <c r="D2700" s="1">
        <v>45855</v>
      </c>
      <c r="E2700" t="s">
        <v>19</v>
      </c>
      <c r="F2700">
        <v>3700</v>
      </c>
      <c r="J2700">
        <v>0.1</v>
      </c>
      <c r="K2700">
        <v>0.1</v>
      </c>
      <c r="L2700">
        <v>0</v>
      </c>
      <c r="M2700" t="s">
        <v>18</v>
      </c>
      <c r="N2700">
        <v>0</v>
      </c>
      <c r="O2700">
        <v>0</v>
      </c>
    </row>
    <row r="2701" spans="1:15" x14ac:dyDescent="0.2">
      <c r="A2701" s="6">
        <v>45828</v>
      </c>
      <c r="B2701" t="s">
        <v>15</v>
      </c>
      <c r="C2701" t="s">
        <v>16</v>
      </c>
      <c r="D2701" s="1">
        <v>45855</v>
      </c>
      <c r="E2701" t="s">
        <v>19</v>
      </c>
      <c r="F2701">
        <v>4800</v>
      </c>
      <c r="G2701">
        <v>25</v>
      </c>
      <c r="H2701">
        <v>25.1</v>
      </c>
      <c r="I2701">
        <v>20.100000000000001</v>
      </c>
      <c r="J2701">
        <v>23.3</v>
      </c>
      <c r="K2701">
        <v>25.8</v>
      </c>
      <c r="L2701">
        <v>546</v>
      </c>
      <c r="M2701" t="s">
        <v>1266</v>
      </c>
      <c r="N2701">
        <v>2633.56</v>
      </c>
      <c r="O2701">
        <v>276</v>
      </c>
    </row>
    <row r="2702" spans="1:15" x14ac:dyDescent="0.2">
      <c r="A2702" s="6">
        <v>45828</v>
      </c>
      <c r="B2702" t="s">
        <v>15</v>
      </c>
      <c r="C2702" t="s">
        <v>16</v>
      </c>
      <c r="D2702" s="1">
        <v>45855</v>
      </c>
      <c r="E2702" t="s">
        <v>19</v>
      </c>
      <c r="F2702">
        <v>4600</v>
      </c>
      <c r="J2702">
        <v>0.1</v>
      </c>
      <c r="K2702">
        <v>0.1</v>
      </c>
      <c r="L2702">
        <v>0</v>
      </c>
      <c r="M2702" t="s">
        <v>18</v>
      </c>
      <c r="N2702">
        <v>0</v>
      </c>
      <c r="O2702">
        <v>0</v>
      </c>
    </row>
    <row r="2703" spans="1:15" x14ac:dyDescent="0.2">
      <c r="A2703" s="6">
        <v>45828</v>
      </c>
      <c r="B2703" t="s">
        <v>15</v>
      </c>
      <c r="C2703" t="s">
        <v>16</v>
      </c>
      <c r="D2703" s="1">
        <v>45855</v>
      </c>
      <c r="E2703" t="s">
        <v>17</v>
      </c>
      <c r="F2703">
        <v>5550</v>
      </c>
      <c r="J2703">
        <v>871.2</v>
      </c>
      <c r="K2703">
        <v>916.8</v>
      </c>
      <c r="L2703">
        <v>0</v>
      </c>
      <c r="M2703" t="s">
        <v>18</v>
      </c>
      <c r="N2703">
        <v>0</v>
      </c>
      <c r="O2703">
        <v>1</v>
      </c>
    </row>
    <row r="2704" spans="1:15" x14ac:dyDescent="0.2">
      <c r="A2704" s="6">
        <v>45828</v>
      </c>
      <c r="B2704" t="s">
        <v>15</v>
      </c>
      <c r="C2704" t="s">
        <v>16</v>
      </c>
      <c r="D2704" s="1">
        <v>45855</v>
      </c>
      <c r="E2704" t="s">
        <v>17</v>
      </c>
      <c r="F2704">
        <v>5600</v>
      </c>
      <c r="G2704">
        <v>871</v>
      </c>
      <c r="H2704">
        <v>898.3</v>
      </c>
      <c r="I2704">
        <v>815.1</v>
      </c>
      <c r="J2704">
        <v>866.1</v>
      </c>
      <c r="K2704">
        <v>1003.8</v>
      </c>
      <c r="L2704">
        <v>67</v>
      </c>
      <c r="M2704" t="s">
        <v>41</v>
      </c>
      <c r="N2704">
        <v>433.58</v>
      </c>
      <c r="O2704">
        <v>302</v>
      </c>
    </row>
    <row r="2705" spans="1:15" x14ac:dyDescent="0.2">
      <c r="A2705" s="6">
        <v>45828</v>
      </c>
      <c r="B2705" t="s">
        <v>15</v>
      </c>
      <c r="C2705" t="s">
        <v>16</v>
      </c>
      <c r="D2705" s="1">
        <v>45855</v>
      </c>
      <c r="E2705" t="s">
        <v>17</v>
      </c>
      <c r="F2705">
        <v>6750</v>
      </c>
      <c r="G2705">
        <v>331.3</v>
      </c>
      <c r="H2705">
        <v>359</v>
      </c>
      <c r="I2705">
        <v>294.10000000000002</v>
      </c>
      <c r="J2705">
        <v>348.4</v>
      </c>
      <c r="K2705">
        <v>382</v>
      </c>
      <c r="L2705">
        <v>1231</v>
      </c>
      <c r="M2705" t="s">
        <v>1267</v>
      </c>
      <c r="N2705">
        <v>8716.77</v>
      </c>
      <c r="O2705">
        <v>141</v>
      </c>
    </row>
    <row r="2706" spans="1:15" x14ac:dyDescent="0.2">
      <c r="A2706" s="6">
        <v>45828</v>
      </c>
      <c r="B2706" t="s">
        <v>15</v>
      </c>
      <c r="C2706" t="s">
        <v>16</v>
      </c>
      <c r="D2706" s="1">
        <v>45855</v>
      </c>
      <c r="E2706" t="s">
        <v>19</v>
      </c>
      <c r="F2706">
        <v>6800</v>
      </c>
      <c r="G2706">
        <v>724.7</v>
      </c>
      <c r="H2706">
        <v>764.6</v>
      </c>
      <c r="I2706">
        <v>712</v>
      </c>
      <c r="J2706">
        <v>741</v>
      </c>
      <c r="K2706">
        <v>714.6</v>
      </c>
      <c r="L2706">
        <v>82</v>
      </c>
      <c r="M2706" t="s">
        <v>1268</v>
      </c>
      <c r="N2706">
        <v>618.4</v>
      </c>
      <c r="O2706">
        <v>66</v>
      </c>
    </row>
    <row r="2707" spans="1:15" x14ac:dyDescent="0.2">
      <c r="A2707" s="6">
        <v>45828</v>
      </c>
      <c r="B2707" t="s">
        <v>15</v>
      </c>
      <c r="C2707" t="s">
        <v>16</v>
      </c>
      <c r="D2707" s="1">
        <v>45855</v>
      </c>
      <c r="E2707" t="s">
        <v>19</v>
      </c>
      <c r="F2707">
        <v>4950</v>
      </c>
      <c r="J2707">
        <v>0.9</v>
      </c>
      <c r="K2707">
        <v>32.6</v>
      </c>
      <c r="L2707">
        <v>0</v>
      </c>
      <c r="M2707" t="s">
        <v>18</v>
      </c>
      <c r="N2707">
        <v>0</v>
      </c>
      <c r="O2707">
        <v>5</v>
      </c>
    </row>
    <row r="2708" spans="1:15" x14ac:dyDescent="0.2">
      <c r="A2708" s="6">
        <v>45828</v>
      </c>
      <c r="B2708" t="s">
        <v>15</v>
      </c>
      <c r="C2708" t="s">
        <v>16</v>
      </c>
      <c r="D2708" s="1">
        <v>45855</v>
      </c>
      <c r="E2708" t="s">
        <v>19</v>
      </c>
      <c r="F2708">
        <v>4450</v>
      </c>
      <c r="J2708">
        <v>0.1</v>
      </c>
      <c r="K2708">
        <v>0.1</v>
      </c>
      <c r="L2708">
        <v>0</v>
      </c>
      <c r="M2708" t="s">
        <v>18</v>
      </c>
      <c r="N2708">
        <v>0</v>
      </c>
      <c r="O2708">
        <v>0</v>
      </c>
    </row>
    <row r="2709" spans="1:15" x14ac:dyDescent="0.2">
      <c r="A2709" s="6">
        <v>45828</v>
      </c>
      <c r="B2709" t="s">
        <v>15</v>
      </c>
      <c r="C2709" t="s">
        <v>16</v>
      </c>
      <c r="D2709" s="1">
        <v>45855</v>
      </c>
      <c r="E2709" t="s">
        <v>17</v>
      </c>
      <c r="F2709">
        <v>6550</v>
      </c>
      <c r="G2709">
        <v>387.7</v>
      </c>
      <c r="H2709">
        <v>415.7</v>
      </c>
      <c r="I2709">
        <v>344.6</v>
      </c>
      <c r="J2709">
        <v>407.2</v>
      </c>
      <c r="K2709">
        <v>439.9</v>
      </c>
      <c r="L2709">
        <v>5676</v>
      </c>
      <c r="M2709" t="s">
        <v>1269</v>
      </c>
      <c r="N2709">
        <v>39378.21</v>
      </c>
      <c r="O2709">
        <v>560</v>
      </c>
    </row>
    <row r="2710" spans="1:15" x14ac:dyDescent="0.2">
      <c r="A2710" s="6">
        <v>45828</v>
      </c>
      <c r="B2710" t="s">
        <v>15</v>
      </c>
      <c r="C2710" t="s">
        <v>16</v>
      </c>
      <c r="D2710" s="1">
        <v>45855</v>
      </c>
      <c r="E2710" t="s">
        <v>17</v>
      </c>
      <c r="F2710">
        <v>3850</v>
      </c>
      <c r="J2710">
        <v>2542.6999999999998</v>
      </c>
      <c r="K2710">
        <v>2587.1</v>
      </c>
      <c r="L2710">
        <v>0</v>
      </c>
      <c r="M2710" t="s">
        <v>18</v>
      </c>
      <c r="N2710">
        <v>0</v>
      </c>
      <c r="O2710">
        <v>0</v>
      </c>
    </row>
    <row r="2711" spans="1:15" x14ac:dyDescent="0.2">
      <c r="A2711" s="6">
        <v>45828</v>
      </c>
      <c r="B2711" t="s">
        <v>15</v>
      </c>
      <c r="C2711" t="s">
        <v>16</v>
      </c>
      <c r="D2711" s="1">
        <v>45855</v>
      </c>
      <c r="E2711" t="s">
        <v>19</v>
      </c>
      <c r="F2711">
        <v>4250</v>
      </c>
      <c r="J2711">
        <v>0.1</v>
      </c>
      <c r="K2711">
        <v>0.1</v>
      </c>
      <c r="L2711">
        <v>0</v>
      </c>
      <c r="M2711" t="s">
        <v>18</v>
      </c>
      <c r="N2711">
        <v>0</v>
      </c>
      <c r="O2711">
        <v>0</v>
      </c>
    </row>
    <row r="2712" spans="1:15" x14ac:dyDescent="0.2">
      <c r="A2712" s="6">
        <v>45828</v>
      </c>
      <c r="B2712" t="s">
        <v>15</v>
      </c>
      <c r="C2712" t="s">
        <v>16</v>
      </c>
      <c r="D2712" s="1">
        <v>45855</v>
      </c>
      <c r="E2712" t="s">
        <v>17</v>
      </c>
      <c r="F2712">
        <v>7650</v>
      </c>
      <c r="G2712">
        <v>171</v>
      </c>
      <c r="H2712">
        <v>171</v>
      </c>
      <c r="I2712">
        <v>157</v>
      </c>
      <c r="J2712">
        <v>170</v>
      </c>
      <c r="K2712">
        <v>16.399999999999999</v>
      </c>
      <c r="L2712">
        <v>112</v>
      </c>
      <c r="M2712" t="s">
        <v>158</v>
      </c>
      <c r="N2712">
        <v>875.69</v>
      </c>
      <c r="O2712">
        <v>7</v>
      </c>
    </row>
    <row r="2713" spans="1:15" x14ac:dyDescent="0.2">
      <c r="A2713" s="6">
        <v>45828</v>
      </c>
      <c r="B2713" t="s">
        <v>15</v>
      </c>
      <c r="C2713" t="s">
        <v>16</v>
      </c>
      <c r="D2713" s="1">
        <v>45855</v>
      </c>
      <c r="E2713" t="s">
        <v>19</v>
      </c>
      <c r="F2713">
        <v>5050</v>
      </c>
      <c r="G2713">
        <v>32.9</v>
      </c>
      <c r="H2713">
        <v>32.9</v>
      </c>
      <c r="I2713">
        <v>30</v>
      </c>
      <c r="J2713">
        <v>30.8</v>
      </c>
      <c r="K2713">
        <v>32.5</v>
      </c>
      <c r="L2713">
        <v>10</v>
      </c>
      <c r="M2713" t="s">
        <v>69</v>
      </c>
      <c r="N2713">
        <v>50.81</v>
      </c>
      <c r="O2713">
        <v>26</v>
      </c>
    </row>
    <row r="2714" spans="1:15" x14ac:dyDescent="0.2">
      <c r="A2714" s="6">
        <v>45828</v>
      </c>
      <c r="B2714" t="s">
        <v>15</v>
      </c>
      <c r="C2714" t="s">
        <v>16</v>
      </c>
      <c r="D2714" s="1">
        <v>45855</v>
      </c>
      <c r="E2714" t="s">
        <v>19</v>
      </c>
      <c r="F2714">
        <v>5300</v>
      </c>
      <c r="G2714">
        <v>50.1</v>
      </c>
      <c r="H2714">
        <v>54.8</v>
      </c>
      <c r="I2714">
        <v>44.3</v>
      </c>
      <c r="J2714">
        <v>50.1</v>
      </c>
      <c r="K2714">
        <v>51.3</v>
      </c>
      <c r="L2714">
        <v>3623</v>
      </c>
      <c r="M2714" t="s">
        <v>1270</v>
      </c>
      <c r="N2714">
        <v>19384.71</v>
      </c>
      <c r="O2714">
        <v>1438</v>
      </c>
    </row>
    <row r="2715" spans="1:15" x14ac:dyDescent="0.2">
      <c r="A2715" s="6">
        <v>45828</v>
      </c>
      <c r="B2715" t="s">
        <v>15</v>
      </c>
      <c r="C2715" t="s">
        <v>16</v>
      </c>
      <c r="D2715" s="1">
        <v>45855</v>
      </c>
      <c r="E2715" t="s">
        <v>19</v>
      </c>
      <c r="F2715">
        <v>5700</v>
      </c>
      <c r="G2715">
        <v>124.3</v>
      </c>
      <c r="H2715">
        <v>147.19999999999999</v>
      </c>
      <c r="I2715">
        <v>116.7</v>
      </c>
      <c r="J2715">
        <v>129.9</v>
      </c>
      <c r="K2715">
        <v>128.5</v>
      </c>
      <c r="L2715">
        <v>7083</v>
      </c>
      <c r="M2715" t="s">
        <v>1271</v>
      </c>
      <c r="N2715">
        <v>41318.19</v>
      </c>
      <c r="O2715">
        <v>1058</v>
      </c>
    </row>
    <row r="2716" spans="1:15" x14ac:dyDescent="0.2">
      <c r="A2716" s="6">
        <v>45828</v>
      </c>
      <c r="B2716" t="s">
        <v>15</v>
      </c>
      <c r="C2716" t="s">
        <v>16</v>
      </c>
      <c r="D2716" s="1">
        <v>45855</v>
      </c>
      <c r="E2716" t="s">
        <v>19</v>
      </c>
      <c r="F2716">
        <v>5400</v>
      </c>
      <c r="G2716">
        <v>66.5</v>
      </c>
      <c r="H2716">
        <v>72</v>
      </c>
      <c r="I2716">
        <v>57.4</v>
      </c>
      <c r="J2716">
        <v>65.7</v>
      </c>
      <c r="K2716">
        <v>65.099999999999994</v>
      </c>
      <c r="L2716">
        <v>6026</v>
      </c>
      <c r="M2716" t="s">
        <v>1272</v>
      </c>
      <c r="N2716">
        <v>32942.1</v>
      </c>
      <c r="O2716">
        <v>1753</v>
      </c>
    </row>
    <row r="2717" spans="1:15" x14ac:dyDescent="0.2">
      <c r="A2717" s="6">
        <v>45828</v>
      </c>
      <c r="B2717" t="s">
        <v>15</v>
      </c>
      <c r="C2717" t="s">
        <v>16</v>
      </c>
      <c r="D2717" s="1">
        <v>45855</v>
      </c>
      <c r="E2717" t="s">
        <v>19</v>
      </c>
      <c r="F2717">
        <v>7700</v>
      </c>
      <c r="J2717">
        <v>1299.5999999999999</v>
      </c>
      <c r="K2717">
        <v>1259.5</v>
      </c>
      <c r="L2717">
        <v>0</v>
      </c>
      <c r="M2717" t="s">
        <v>18</v>
      </c>
      <c r="N2717">
        <v>0</v>
      </c>
      <c r="O2717">
        <v>0</v>
      </c>
    </row>
    <row r="2718" spans="1:15" x14ac:dyDescent="0.2">
      <c r="A2718" s="6">
        <v>45828</v>
      </c>
      <c r="B2718" t="s">
        <v>15</v>
      </c>
      <c r="C2718" t="s">
        <v>16</v>
      </c>
      <c r="D2718" s="1">
        <v>45855</v>
      </c>
      <c r="E2718" t="s">
        <v>19</v>
      </c>
      <c r="F2718">
        <v>6750</v>
      </c>
      <c r="G2718">
        <v>682</v>
      </c>
      <c r="H2718">
        <v>719.7</v>
      </c>
      <c r="I2718">
        <v>679.6</v>
      </c>
      <c r="J2718">
        <v>706.1</v>
      </c>
      <c r="K2718">
        <v>683.2</v>
      </c>
      <c r="L2718">
        <v>30</v>
      </c>
      <c r="M2718" t="s">
        <v>399</v>
      </c>
      <c r="N2718">
        <v>223.66</v>
      </c>
      <c r="O2718">
        <v>8</v>
      </c>
    </row>
    <row r="2719" spans="1:15" x14ac:dyDescent="0.2">
      <c r="A2719" s="6">
        <v>45828</v>
      </c>
      <c r="B2719" t="s">
        <v>15</v>
      </c>
      <c r="C2719" t="s">
        <v>16</v>
      </c>
      <c r="D2719" s="1">
        <v>45855</v>
      </c>
      <c r="E2719" t="s">
        <v>17</v>
      </c>
      <c r="F2719">
        <v>7150</v>
      </c>
      <c r="G2719">
        <v>242</v>
      </c>
      <c r="H2719">
        <v>267</v>
      </c>
      <c r="I2719">
        <v>210.3</v>
      </c>
      <c r="J2719">
        <v>264.8</v>
      </c>
      <c r="K2719">
        <v>286.3</v>
      </c>
      <c r="L2719">
        <v>475</v>
      </c>
      <c r="M2719" t="s">
        <v>1273</v>
      </c>
      <c r="N2719">
        <v>3513.84</v>
      </c>
      <c r="O2719">
        <v>67</v>
      </c>
    </row>
    <row r="2720" spans="1:15" x14ac:dyDescent="0.2">
      <c r="A2720" s="6">
        <v>45828</v>
      </c>
      <c r="B2720" t="s">
        <v>15</v>
      </c>
      <c r="C2720" t="s">
        <v>16</v>
      </c>
      <c r="D2720" s="1">
        <v>45855</v>
      </c>
      <c r="E2720" t="s">
        <v>19</v>
      </c>
      <c r="F2720">
        <v>3750</v>
      </c>
      <c r="J2720">
        <v>0.1</v>
      </c>
      <c r="K2720">
        <v>0.1</v>
      </c>
      <c r="L2720">
        <v>0</v>
      </c>
      <c r="M2720" t="s">
        <v>18</v>
      </c>
      <c r="N2720">
        <v>0</v>
      </c>
      <c r="O2720">
        <v>0</v>
      </c>
    </row>
    <row r="2721" spans="1:15" x14ac:dyDescent="0.2">
      <c r="A2721" s="6">
        <v>45828</v>
      </c>
      <c r="B2721" t="s">
        <v>15</v>
      </c>
      <c r="C2721" t="s">
        <v>16</v>
      </c>
      <c r="D2721" s="1">
        <v>45855</v>
      </c>
      <c r="E2721" t="s">
        <v>17</v>
      </c>
      <c r="F2721">
        <v>3750</v>
      </c>
      <c r="J2721">
        <v>2642.3</v>
      </c>
      <c r="K2721">
        <v>2686.7</v>
      </c>
      <c r="L2721">
        <v>0</v>
      </c>
      <c r="M2721" t="s">
        <v>18</v>
      </c>
      <c r="N2721">
        <v>0</v>
      </c>
      <c r="O2721">
        <v>0</v>
      </c>
    </row>
    <row r="2722" spans="1:15" x14ac:dyDescent="0.2">
      <c r="A2722" s="6">
        <v>45828</v>
      </c>
      <c r="B2722" t="s">
        <v>15</v>
      </c>
      <c r="C2722" t="s">
        <v>16</v>
      </c>
      <c r="D2722" s="1">
        <v>45855</v>
      </c>
      <c r="E2722" t="s">
        <v>19</v>
      </c>
      <c r="F2722">
        <v>4700</v>
      </c>
      <c r="J2722">
        <v>0.2</v>
      </c>
      <c r="K2722">
        <v>0.2</v>
      </c>
      <c r="L2722">
        <v>0</v>
      </c>
      <c r="M2722" t="s">
        <v>18</v>
      </c>
      <c r="N2722">
        <v>0</v>
      </c>
      <c r="O2722">
        <v>0</v>
      </c>
    </row>
    <row r="2723" spans="1:15" x14ac:dyDescent="0.2">
      <c r="A2723" s="6">
        <v>45828</v>
      </c>
      <c r="B2723" t="s">
        <v>15</v>
      </c>
      <c r="C2723" t="s">
        <v>16</v>
      </c>
      <c r="D2723" s="1">
        <v>45855</v>
      </c>
      <c r="E2723" t="s">
        <v>17</v>
      </c>
      <c r="F2723">
        <v>6050</v>
      </c>
      <c r="G2723">
        <v>589</v>
      </c>
      <c r="H2723">
        <v>623.9</v>
      </c>
      <c r="I2723">
        <v>572.29999999999995</v>
      </c>
      <c r="J2723">
        <v>592</v>
      </c>
      <c r="K2723">
        <v>655.6</v>
      </c>
      <c r="L2723">
        <v>38</v>
      </c>
      <c r="M2723" t="s">
        <v>205</v>
      </c>
      <c r="N2723">
        <v>252.31</v>
      </c>
      <c r="O2723">
        <v>42</v>
      </c>
    </row>
    <row r="2724" spans="1:15" x14ac:dyDescent="0.2">
      <c r="A2724" s="6">
        <v>45828</v>
      </c>
      <c r="B2724" t="s">
        <v>15</v>
      </c>
      <c r="C2724" t="s">
        <v>16</v>
      </c>
      <c r="D2724" s="1">
        <v>45855</v>
      </c>
      <c r="E2724" t="s">
        <v>17</v>
      </c>
      <c r="F2724">
        <v>7350</v>
      </c>
      <c r="G2724">
        <v>212.9</v>
      </c>
      <c r="H2724">
        <v>235.3</v>
      </c>
      <c r="I2724">
        <v>190.4</v>
      </c>
      <c r="J2724">
        <v>228.5</v>
      </c>
      <c r="K2724">
        <v>243.7</v>
      </c>
      <c r="L2724">
        <v>1020</v>
      </c>
      <c r="M2724" t="s">
        <v>1274</v>
      </c>
      <c r="N2724">
        <v>7716.84</v>
      </c>
      <c r="O2724">
        <v>244</v>
      </c>
    </row>
    <row r="2725" spans="1:15" x14ac:dyDescent="0.2">
      <c r="A2725" s="6">
        <v>45828</v>
      </c>
      <c r="B2725" t="s">
        <v>15</v>
      </c>
      <c r="C2725" t="s">
        <v>16</v>
      </c>
      <c r="D2725" s="1">
        <v>45855</v>
      </c>
      <c r="E2725" t="s">
        <v>19</v>
      </c>
      <c r="F2725">
        <v>7150</v>
      </c>
      <c r="J2725">
        <v>789.9</v>
      </c>
      <c r="K2725">
        <v>759.8</v>
      </c>
      <c r="L2725">
        <v>0</v>
      </c>
      <c r="M2725" t="s">
        <v>18</v>
      </c>
      <c r="N2725">
        <v>0</v>
      </c>
      <c r="O2725">
        <v>0</v>
      </c>
    </row>
    <row r="2726" spans="1:15" x14ac:dyDescent="0.2">
      <c r="A2726" s="6">
        <v>45828</v>
      </c>
      <c r="B2726" t="s">
        <v>15</v>
      </c>
      <c r="C2726" t="s">
        <v>16</v>
      </c>
      <c r="D2726" s="1">
        <v>45855</v>
      </c>
      <c r="E2726" t="s">
        <v>17</v>
      </c>
      <c r="F2726">
        <v>6850</v>
      </c>
      <c r="G2726">
        <v>304.3</v>
      </c>
      <c r="H2726">
        <v>332.3</v>
      </c>
      <c r="I2726">
        <v>271.60000000000002</v>
      </c>
      <c r="J2726">
        <v>322.5</v>
      </c>
      <c r="K2726">
        <v>350.7</v>
      </c>
      <c r="L2726">
        <v>1092</v>
      </c>
      <c r="M2726" t="s">
        <v>1275</v>
      </c>
      <c r="N2726">
        <v>7817.3</v>
      </c>
      <c r="O2726">
        <v>172</v>
      </c>
    </row>
    <row r="2727" spans="1:15" x14ac:dyDescent="0.2">
      <c r="A2727" s="6">
        <v>45828</v>
      </c>
      <c r="B2727" t="s">
        <v>15</v>
      </c>
      <c r="C2727" t="s">
        <v>16</v>
      </c>
      <c r="D2727" s="1">
        <v>45855</v>
      </c>
      <c r="E2727" t="s">
        <v>17</v>
      </c>
      <c r="F2727">
        <v>6650</v>
      </c>
      <c r="G2727">
        <v>359.6</v>
      </c>
      <c r="H2727">
        <v>385</v>
      </c>
      <c r="I2727">
        <v>318.89999999999998</v>
      </c>
      <c r="J2727">
        <v>376.9</v>
      </c>
      <c r="K2727">
        <v>402.8</v>
      </c>
      <c r="L2727">
        <v>3774</v>
      </c>
      <c r="M2727" t="s">
        <v>1276</v>
      </c>
      <c r="N2727">
        <v>26440.400000000001</v>
      </c>
      <c r="O2727">
        <v>252</v>
      </c>
    </row>
    <row r="2728" spans="1:15" x14ac:dyDescent="0.2">
      <c r="A2728" s="6">
        <v>45828</v>
      </c>
      <c r="B2728" t="s">
        <v>15</v>
      </c>
      <c r="C2728" t="s">
        <v>16</v>
      </c>
      <c r="D2728" s="1">
        <v>45855</v>
      </c>
      <c r="E2728" t="s">
        <v>17</v>
      </c>
      <c r="F2728">
        <v>6800</v>
      </c>
      <c r="G2728">
        <v>318.2</v>
      </c>
      <c r="H2728">
        <v>348.5</v>
      </c>
      <c r="I2728">
        <v>284.2</v>
      </c>
      <c r="J2728">
        <v>335.6</v>
      </c>
      <c r="K2728">
        <v>365.4</v>
      </c>
      <c r="L2728">
        <v>11308</v>
      </c>
      <c r="M2728" t="s">
        <v>1277</v>
      </c>
      <c r="N2728">
        <v>80502.98</v>
      </c>
      <c r="O2728">
        <v>1398</v>
      </c>
    </row>
    <row r="2729" spans="1:15" x14ac:dyDescent="0.2">
      <c r="A2729" s="6">
        <v>45828</v>
      </c>
      <c r="B2729" t="s">
        <v>15</v>
      </c>
      <c r="C2729" t="s">
        <v>16</v>
      </c>
      <c r="D2729" s="1">
        <v>45855</v>
      </c>
      <c r="E2729" t="s">
        <v>17</v>
      </c>
      <c r="F2729">
        <v>6900</v>
      </c>
      <c r="G2729">
        <v>293</v>
      </c>
      <c r="H2729">
        <v>320</v>
      </c>
      <c r="I2729">
        <v>262.5</v>
      </c>
      <c r="J2729">
        <v>309.10000000000002</v>
      </c>
      <c r="K2729">
        <v>340.4</v>
      </c>
      <c r="L2729">
        <v>13485</v>
      </c>
      <c r="M2729" t="s">
        <v>1278</v>
      </c>
      <c r="N2729">
        <v>97049.56</v>
      </c>
      <c r="O2729">
        <v>1790</v>
      </c>
    </row>
    <row r="2730" spans="1:15" x14ac:dyDescent="0.2">
      <c r="A2730" s="6">
        <v>45828</v>
      </c>
      <c r="B2730" t="s">
        <v>15</v>
      </c>
      <c r="C2730" t="s">
        <v>16</v>
      </c>
      <c r="D2730" s="1">
        <v>45855</v>
      </c>
      <c r="E2730" t="s">
        <v>19</v>
      </c>
      <c r="F2730">
        <v>6400</v>
      </c>
      <c r="G2730">
        <v>457.1</v>
      </c>
      <c r="H2730">
        <v>506</v>
      </c>
      <c r="I2730">
        <v>431.3</v>
      </c>
      <c r="J2730">
        <v>451.6</v>
      </c>
      <c r="K2730">
        <v>444.5</v>
      </c>
      <c r="L2730">
        <v>32492</v>
      </c>
      <c r="M2730" t="s">
        <v>1279</v>
      </c>
      <c r="N2730">
        <v>223050.04</v>
      </c>
      <c r="O2730">
        <v>1487</v>
      </c>
    </row>
    <row r="2731" spans="1:15" x14ac:dyDescent="0.2">
      <c r="A2731" s="6">
        <v>45828</v>
      </c>
      <c r="B2731" t="s">
        <v>15</v>
      </c>
      <c r="C2731" t="s">
        <v>16</v>
      </c>
      <c r="D2731" s="1">
        <v>45855</v>
      </c>
      <c r="E2731" t="s">
        <v>17</v>
      </c>
      <c r="F2731">
        <v>3650</v>
      </c>
      <c r="J2731">
        <v>2741.9</v>
      </c>
      <c r="K2731">
        <v>2786.2</v>
      </c>
      <c r="L2731">
        <v>0</v>
      </c>
      <c r="M2731" t="s">
        <v>18</v>
      </c>
      <c r="N2731">
        <v>0</v>
      </c>
      <c r="O2731">
        <v>0</v>
      </c>
    </row>
    <row r="2732" spans="1:15" x14ac:dyDescent="0.2">
      <c r="A2732" s="6">
        <v>45828</v>
      </c>
      <c r="B2732" t="s">
        <v>15</v>
      </c>
      <c r="C2732" t="s">
        <v>16</v>
      </c>
      <c r="D2732" s="1">
        <v>45855</v>
      </c>
      <c r="E2732" t="s">
        <v>17</v>
      </c>
      <c r="F2732">
        <v>6700</v>
      </c>
      <c r="G2732">
        <v>335.3</v>
      </c>
      <c r="H2732">
        <v>372</v>
      </c>
      <c r="I2732">
        <v>306</v>
      </c>
      <c r="J2732">
        <v>360.4</v>
      </c>
      <c r="K2732">
        <v>389.6</v>
      </c>
      <c r="L2732">
        <v>12997</v>
      </c>
      <c r="M2732" t="s">
        <v>1280</v>
      </c>
      <c r="N2732">
        <v>91550.6</v>
      </c>
      <c r="O2732">
        <v>1217</v>
      </c>
    </row>
    <row r="2733" spans="1:15" x14ac:dyDescent="0.2">
      <c r="A2733" s="6">
        <v>45828</v>
      </c>
      <c r="B2733" t="s">
        <v>15</v>
      </c>
      <c r="C2733" t="s">
        <v>16</v>
      </c>
      <c r="D2733" s="1">
        <v>45855</v>
      </c>
      <c r="E2733" t="s">
        <v>17</v>
      </c>
      <c r="F2733">
        <v>7500</v>
      </c>
      <c r="G2733">
        <v>198</v>
      </c>
      <c r="H2733">
        <v>220</v>
      </c>
      <c r="I2733">
        <v>170.8</v>
      </c>
      <c r="J2733">
        <v>205.8</v>
      </c>
      <c r="K2733">
        <v>223.3</v>
      </c>
      <c r="L2733">
        <v>19392</v>
      </c>
      <c r="M2733" t="s">
        <v>1281</v>
      </c>
      <c r="N2733">
        <v>149225.41</v>
      </c>
      <c r="O2733">
        <v>2446</v>
      </c>
    </row>
    <row r="2734" spans="1:15" x14ac:dyDescent="0.2">
      <c r="A2734" s="6">
        <v>45828</v>
      </c>
      <c r="B2734" t="s">
        <v>15</v>
      </c>
      <c r="C2734" t="s">
        <v>16</v>
      </c>
      <c r="D2734" s="1">
        <v>45855</v>
      </c>
      <c r="E2734" t="s">
        <v>19</v>
      </c>
      <c r="F2734">
        <v>5450</v>
      </c>
      <c r="G2734">
        <v>73.2</v>
      </c>
      <c r="H2734">
        <v>81.3</v>
      </c>
      <c r="I2734">
        <v>66.5</v>
      </c>
      <c r="J2734">
        <v>74.400000000000006</v>
      </c>
      <c r="K2734">
        <v>73.099999999999994</v>
      </c>
      <c r="L2734">
        <v>800</v>
      </c>
      <c r="M2734" t="s">
        <v>1282</v>
      </c>
      <c r="N2734">
        <v>4420.38</v>
      </c>
      <c r="O2734">
        <v>106</v>
      </c>
    </row>
    <row r="2735" spans="1:15" x14ac:dyDescent="0.2">
      <c r="A2735" s="6">
        <v>45828</v>
      </c>
      <c r="B2735" t="s">
        <v>15</v>
      </c>
      <c r="C2735" t="s">
        <v>16</v>
      </c>
      <c r="D2735" s="1">
        <v>45855</v>
      </c>
      <c r="E2735" t="s">
        <v>19</v>
      </c>
      <c r="F2735">
        <v>5800</v>
      </c>
      <c r="G2735">
        <v>157.69999999999999</v>
      </c>
      <c r="H2735">
        <v>183.9</v>
      </c>
      <c r="I2735">
        <v>146.80000000000001</v>
      </c>
      <c r="J2735">
        <v>161.9</v>
      </c>
      <c r="K2735">
        <v>159.69999999999999</v>
      </c>
      <c r="L2735">
        <v>15573</v>
      </c>
      <c r="M2735" t="s">
        <v>1283</v>
      </c>
      <c r="N2735">
        <v>92917.92</v>
      </c>
      <c r="O2735">
        <v>1540</v>
      </c>
    </row>
    <row r="2736" spans="1:15" x14ac:dyDescent="0.2">
      <c r="A2736" s="6">
        <v>45828</v>
      </c>
      <c r="B2736" t="s">
        <v>15</v>
      </c>
      <c r="C2736" t="s">
        <v>16</v>
      </c>
      <c r="D2736" s="1">
        <v>45855</v>
      </c>
      <c r="E2736" t="s">
        <v>17</v>
      </c>
      <c r="F2736">
        <v>3600</v>
      </c>
      <c r="J2736">
        <v>2791.6</v>
      </c>
      <c r="K2736">
        <v>2836</v>
      </c>
      <c r="L2736">
        <v>0</v>
      </c>
      <c r="M2736" t="s">
        <v>18</v>
      </c>
      <c r="N2736">
        <v>0</v>
      </c>
      <c r="O2736">
        <v>0</v>
      </c>
    </row>
    <row r="2737" spans="1:15" x14ac:dyDescent="0.2">
      <c r="A2737" s="6">
        <v>45828</v>
      </c>
      <c r="B2737" t="s">
        <v>15</v>
      </c>
      <c r="C2737" t="s">
        <v>16</v>
      </c>
      <c r="D2737" s="1">
        <v>45855</v>
      </c>
      <c r="E2737" t="s">
        <v>19</v>
      </c>
      <c r="F2737">
        <v>4550</v>
      </c>
      <c r="J2737">
        <v>0.1</v>
      </c>
      <c r="K2737">
        <v>0.1</v>
      </c>
      <c r="L2737">
        <v>0</v>
      </c>
      <c r="M2737" t="s">
        <v>18</v>
      </c>
      <c r="N2737">
        <v>0</v>
      </c>
      <c r="O2737">
        <v>0</v>
      </c>
    </row>
    <row r="2738" spans="1:15" x14ac:dyDescent="0.2">
      <c r="A2738" s="6">
        <v>45828</v>
      </c>
      <c r="B2738" t="s">
        <v>15</v>
      </c>
      <c r="C2738" t="s">
        <v>16</v>
      </c>
      <c r="D2738" s="1">
        <v>45855</v>
      </c>
      <c r="E2738" t="s">
        <v>17</v>
      </c>
      <c r="F2738">
        <v>5050</v>
      </c>
      <c r="J2738">
        <v>1349.8</v>
      </c>
      <c r="K2738">
        <v>1394.7</v>
      </c>
      <c r="L2738">
        <v>0</v>
      </c>
      <c r="M2738" t="s">
        <v>18</v>
      </c>
      <c r="N2738">
        <v>0</v>
      </c>
      <c r="O2738">
        <v>0</v>
      </c>
    </row>
    <row r="2739" spans="1:15" x14ac:dyDescent="0.2">
      <c r="A2739" s="6">
        <v>45828</v>
      </c>
      <c r="B2739" t="s">
        <v>15</v>
      </c>
      <c r="C2739" t="s">
        <v>16</v>
      </c>
      <c r="D2739" s="1">
        <v>45855</v>
      </c>
      <c r="E2739" t="s">
        <v>17</v>
      </c>
      <c r="F2739">
        <v>4500</v>
      </c>
      <c r="J2739">
        <v>1895.6</v>
      </c>
      <c r="K2739">
        <v>1940.1</v>
      </c>
      <c r="L2739">
        <v>0</v>
      </c>
      <c r="M2739" t="s">
        <v>18</v>
      </c>
      <c r="N2739">
        <v>0</v>
      </c>
      <c r="O2739">
        <v>0</v>
      </c>
    </row>
    <row r="2740" spans="1:15" x14ac:dyDescent="0.2">
      <c r="A2740" s="6">
        <v>45828</v>
      </c>
      <c r="B2740" t="s">
        <v>15</v>
      </c>
      <c r="C2740" t="s">
        <v>16</v>
      </c>
      <c r="D2740" s="1">
        <v>45855</v>
      </c>
      <c r="E2740" t="s">
        <v>17</v>
      </c>
      <c r="F2740">
        <v>6950</v>
      </c>
      <c r="G2740">
        <v>294.60000000000002</v>
      </c>
      <c r="H2740">
        <v>307.2</v>
      </c>
      <c r="I2740">
        <v>253.5</v>
      </c>
      <c r="J2740">
        <v>298.60000000000002</v>
      </c>
      <c r="K2740">
        <v>324.39999999999998</v>
      </c>
      <c r="L2740">
        <v>1399</v>
      </c>
      <c r="M2740" t="s">
        <v>1284</v>
      </c>
      <c r="N2740">
        <v>10126.02</v>
      </c>
      <c r="O2740">
        <v>159</v>
      </c>
    </row>
    <row r="2741" spans="1:15" x14ac:dyDescent="0.2">
      <c r="A2741" s="6">
        <v>45828</v>
      </c>
      <c r="B2741" t="s">
        <v>15</v>
      </c>
      <c r="C2741" t="s">
        <v>16</v>
      </c>
      <c r="D2741" s="1">
        <v>45855</v>
      </c>
      <c r="E2741" t="s">
        <v>17</v>
      </c>
      <c r="F2741">
        <v>4250</v>
      </c>
      <c r="J2741">
        <v>2144.5</v>
      </c>
      <c r="K2741">
        <v>2189</v>
      </c>
      <c r="L2741">
        <v>0</v>
      </c>
      <c r="M2741" t="s">
        <v>18</v>
      </c>
      <c r="N2741">
        <v>0</v>
      </c>
      <c r="O2741">
        <v>0</v>
      </c>
    </row>
    <row r="2742" spans="1:15" x14ac:dyDescent="0.2">
      <c r="A2742" s="6">
        <v>45828</v>
      </c>
      <c r="B2742" t="s">
        <v>15</v>
      </c>
      <c r="C2742" t="s">
        <v>16</v>
      </c>
      <c r="D2742" s="1">
        <v>45855</v>
      </c>
      <c r="E2742" t="s">
        <v>17</v>
      </c>
      <c r="F2742">
        <v>4150</v>
      </c>
      <c r="J2742">
        <v>2244.1</v>
      </c>
      <c r="K2742">
        <v>2288.5</v>
      </c>
      <c r="L2742">
        <v>0</v>
      </c>
      <c r="M2742" t="s">
        <v>18</v>
      </c>
      <c r="N2742">
        <v>0</v>
      </c>
      <c r="O2742">
        <v>0</v>
      </c>
    </row>
    <row r="2743" spans="1:15" x14ac:dyDescent="0.2">
      <c r="A2743" s="6">
        <v>45828</v>
      </c>
      <c r="B2743" t="s">
        <v>15</v>
      </c>
      <c r="C2743" t="s">
        <v>16</v>
      </c>
      <c r="D2743" s="1">
        <v>45855</v>
      </c>
      <c r="E2743" t="s">
        <v>17</v>
      </c>
      <c r="F2743">
        <v>5900</v>
      </c>
      <c r="G2743">
        <v>678</v>
      </c>
      <c r="H2743">
        <v>714.2</v>
      </c>
      <c r="I2743">
        <v>612.29999999999995</v>
      </c>
      <c r="J2743">
        <v>703.7</v>
      </c>
      <c r="K2743">
        <v>779.2</v>
      </c>
      <c r="L2743">
        <v>863</v>
      </c>
      <c r="M2743" t="s">
        <v>1285</v>
      </c>
      <c r="N2743">
        <v>5659.51</v>
      </c>
      <c r="O2743">
        <v>109</v>
      </c>
    </row>
    <row r="2744" spans="1:15" x14ac:dyDescent="0.2">
      <c r="A2744" s="6">
        <v>45828</v>
      </c>
      <c r="B2744" t="s">
        <v>15</v>
      </c>
      <c r="C2744" t="s">
        <v>16</v>
      </c>
      <c r="D2744" s="1">
        <v>45855</v>
      </c>
      <c r="E2744" t="s">
        <v>17</v>
      </c>
      <c r="F2744">
        <v>5200</v>
      </c>
      <c r="J2744">
        <v>1202.8</v>
      </c>
      <c r="K2744">
        <v>1215.5999999999999</v>
      </c>
      <c r="L2744">
        <v>0</v>
      </c>
      <c r="M2744" t="s">
        <v>18</v>
      </c>
      <c r="N2744">
        <v>0</v>
      </c>
      <c r="O2744">
        <v>26</v>
      </c>
    </row>
    <row r="2745" spans="1:15" x14ac:dyDescent="0.2">
      <c r="A2745" s="6">
        <v>45828</v>
      </c>
      <c r="B2745" t="s">
        <v>15</v>
      </c>
      <c r="C2745" t="s">
        <v>16</v>
      </c>
      <c r="D2745" s="1">
        <v>45855</v>
      </c>
      <c r="E2745" t="s">
        <v>19</v>
      </c>
      <c r="F2745">
        <v>7500</v>
      </c>
      <c r="J2745">
        <v>1108.5999999999999</v>
      </c>
      <c r="K2745">
        <v>1071.2</v>
      </c>
      <c r="L2745">
        <v>0</v>
      </c>
      <c r="M2745" t="s">
        <v>18</v>
      </c>
      <c r="N2745">
        <v>0</v>
      </c>
      <c r="O2745">
        <v>0</v>
      </c>
    </row>
    <row r="2746" spans="1:15" x14ac:dyDescent="0.2">
      <c r="A2746" s="6">
        <v>45828</v>
      </c>
      <c r="B2746" t="s">
        <v>15</v>
      </c>
      <c r="C2746" t="s">
        <v>16</v>
      </c>
      <c r="D2746" s="1">
        <v>45855</v>
      </c>
      <c r="E2746" t="s">
        <v>19</v>
      </c>
      <c r="F2746">
        <v>6250</v>
      </c>
      <c r="G2746">
        <v>349.2</v>
      </c>
      <c r="H2746">
        <v>408.7</v>
      </c>
      <c r="I2746">
        <v>344</v>
      </c>
      <c r="J2746">
        <v>364.2</v>
      </c>
      <c r="K2746">
        <v>358.1</v>
      </c>
      <c r="L2746">
        <v>4023</v>
      </c>
      <c r="M2746" t="s">
        <v>1286</v>
      </c>
      <c r="N2746">
        <v>26661.82</v>
      </c>
      <c r="O2746">
        <v>223</v>
      </c>
    </row>
    <row r="2747" spans="1:15" x14ac:dyDescent="0.2">
      <c r="A2747" s="6">
        <v>45828</v>
      </c>
      <c r="B2747" t="s">
        <v>15</v>
      </c>
      <c r="C2747" t="s">
        <v>16</v>
      </c>
      <c r="D2747" s="1">
        <v>45855</v>
      </c>
      <c r="E2747" t="s">
        <v>17</v>
      </c>
      <c r="F2747">
        <v>6350</v>
      </c>
      <c r="G2747">
        <v>465.4</v>
      </c>
      <c r="H2747">
        <v>492.3</v>
      </c>
      <c r="I2747">
        <v>407.2</v>
      </c>
      <c r="J2747">
        <v>477.4</v>
      </c>
      <c r="K2747">
        <v>509.8</v>
      </c>
      <c r="L2747">
        <v>9764</v>
      </c>
      <c r="M2747" t="s">
        <v>1287</v>
      </c>
      <c r="N2747">
        <v>66431.55</v>
      </c>
      <c r="O2747">
        <v>380</v>
      </c>
    </row>
    <row r="2748" spans="1:15" x14ac:dyDescent="0.2">
      <c r="A2748" s="6">
        <v>45828</v>
      </c>
      <c r="B2748" t="s">
        <v>15</v>
      </c>
      <c r="C2748" t="s">
        <v>16</v>
      </c>
      <c r="D2748" s="1">
        <v>45855</v>
      </c>
      <c r="E2748" t="s">
        <v>17</v>
      </c>
      <c r="F2748">
        <v>6250</v>
      </c>
      <c r="G2748">
        <v>498.5</v>
      </c>
      <c r="H2748">
        <v>531.6</v>
      </c>
      <c r="I2748">
        <v>443</v>
      </c>
      <c r="J2748">
        <v>517.79999999999995</v>
      </c>
      <c r="K2748">
        <v>551.9</v>
      </c>
      <c r="L2748">
        <v>2223</v>
      </c>
      <c r="M2748" t="s">
        <v>1288</v>
      </c>
      <c r="N2748">
        <v>14986.8</v>
      </c>
      <c r="O2748">
        <v>124</v>
      </c>
    </row>
    <row r="2749" spans="1:15" x14ac:dyDescent="0.2">
      <c r="A2749" s="6">
        <v>45828</v>
      </c>
      <c r="B2749" t="s">
        <v>15</v>
      </c>
      <c r="C2749" t="s">
        <v>16</v>
      </c>
      <c r="D2749" s="1">
        <v>45855</v>
      </c>
      <c r="E2749" t="s">
        <v>19</v>
      </c>
      <c r="F2749">
        <v>7250</v>
      </c>
      <c r="J2749">
        <v>878.2</v>
      </c>
      <c r="K2749">
        <v>845.7</v>
      </c>
      <c r="L2749">
        <v>0</v>
      </c>
      <c r="M2749" t="s">
        <v>18</v>
      </c>
      <c r="N2749">
        <v>0</v>
      </c>
      <c r="O2749">
        <v>0</v>
      </c>
    </row>
    <row r="2750" spans="1:15" x14ac:dyDescent="0.2">
      <c r="A2750" s="6">
        <v>45828</v>
      </c>
      <c r="B2750" t="s">
        <v>15</v>
      </c>
      <c r="C2750" t="s">
        <v>16</v>
      </c>
      <c r="D2750" s="1">
        <v>45855</v>
      </c>
      <c r="E2750" t="s">
        <v>17</v>
      </c>
      <c r="F2750">
        <v>5150</v>
      </c>
      <c r="J2750">
        <v>1251.5999999999999</v>
      </c>
      <c r="K2750">
        <v>1296.7</v>
      </c>
      <c r="L2750">
        <v>0</v>
      </c>
      <c r="M2750" t="s">
        <v>18</v>
      </c>
      <c r="N2750">
        <v>0</v>
      </c>
      <c r="O2750">
        <v>2</v>
      </c>
    </row>
    <row r="2751" spans="1:15" x14ac:dyDescent="0.2">
      <c r="A2751" s="6">
        <v>45828</v>
      </c>
      <c r="B2751" t="s">
        <v>15</v>
      </c>
      <c r="C2751" t="s">
        <v>16</v>
      </c>
      <c r="D2751" s="1">
        <v>45855</v>
      </c>
      <c r="E2751" t="s">
        <v>17</v>
      </c>
      <c r="F2751">
        <v>5800</v>
      </c>
      <c r="G2751">
        <v>745.5</v>
      </c>
      <c r="H2751">
        <v>789.7</v>
      </c>
      <c r="I2751">
        <v>666</v>
      </c>
      <c r="J2751">
        <v>745.4</v>
      </c>
      <c r="K2751">
        <v>813.2</v>
      </c>
      <c r="L2751">
        <v>123</v>
      </c>
      <c r="M2751" t="s">
        <v>1289</v>
      </c>
      <c r="N2751">
        <v>803.18</v>
      </c>
      <c r="O2751">
        <v>398</v>
      </c>
    </row>
    <row r="2752" spans="1:15" x14ac:dyDescent="0.2">
      <c r="A2752" s="6">
        <v>45828</v>
      </c>
      <c r="B2752" t="s">
        <v>15</v>
      </c>
      <c r="C2752" t="s">
        <v>16</v>
      </c>
      <c r="D2752" s="1">
        <v>45855</v>
      </c>
      <c r="E2752" t="s">
        <v>17</v>
      </c>
      <c r="F2752">
        <v>4550</v>
      </c>
      <c r="J2752">
        <v>1845.9</v>
      </c>
      <c r="K2752">
        <v>1890.4</v>
      </c>
      <c r="L2752">
        <v>0</v>
      </c>
      <c r="M2752" t="s">
        <v>18</v>
      </c>
      <c r="N2752">
        <v>0</v>
      </c>
      <c r="O2752">
        <v>0</v>
      </c>
    </row>
    <row r="2753" spans="1:15" x14ac:dyDescent="0.2">
      <c r="A2753" s="6">
        <v>45828</v>
      </c>
      <c r="B2753" t="s">
        <v>15</v>
      </c>
      <c r="C2753" t="s">
        <v>16</v>
      </c>
      <c r="D2753" s="1">
        <v>45855</v>
      </c>
      <c r="E2753" t="s">
        <v>17</v>
      </c>
      <c r="F2753">
        <v>7050</v>
      </c>
      <c r="G2753">
        <v>262</v>
      </c>
      <c r="H2753">
        <v>285.60000000000002</v>
      </c>
      <c r="I2753">
        <v>234.7</v>
      </c>
      <c r="J2753">
        <v>279.10000000000002</v>
      </c>
      <c r="K2753">
        <v>307</v>
      </c>
      <c r="L2753">
        <v>1005</v>
      </c>
      <c r="M2753" t="s">
        <v>1290</v>
      </c>
      <c r="N2753">
        <v>7350.89</v>
      </c>
      <c r="O2753">
        <v>84</v>
      </c>
    </row>
    <row r="2754" spans="1:15" x14ac:dyDescent="0.2">
      <c r="A2754" s="6">
        <v>45828</v>
      </c>
      <c r="B2754" t="s">
        <v>15</v>
      </c>
      <c r="C2754" t="s">
        <v>16</v>
      </c>
      <c r="D2754" s="1">
        <v>45855</v>
      </c>
      <c r="E2754" t="s">
        <v>19</v>
      </c>
      <c r="F2754">
        <v>4650</v>
      </c>
      <c r="J2754">
        <v>0.1</v>
      </c>
      <c r="K2754">
        <v>0.2</v>
      </c>
      <c r="L2754">
        <v>0</v>
      </c>
      <c r="M2754" t="s">
        <v>18</v>
      </c>
      <c r="N2754">
        <v>0</v>
      </c>
      <c r="O2754">
        <v>0</v>
      </c>
    </row>
    <row r="2755" spans="1:15" x14ac:dyDescent="0.2">
      <c r="A2755" s="6">
        <v>45828</v>
      </c>
      <c r="B2755" t="s">
        <v>15</v>
      </c>
      <c r="C2755" t="s">
        <v>16</v>
      </c>
      <c r="D2755" s="1">
        <v>45855</v>
      </c>
      <c r="E2755" t="s">
        <v>17</v>
      </c>
      <c r="F2755">
        <v>4050</v>
      </c>
      <c r="J2755">
        <v>2343.6</v>
      </c>
      <c r="K2755">
        <v>2388</v>
      </c>
      <c r="L2755">
        <v>0</v>
      </c>
      <c r="M2755" t="s">
        <v>18</v>
      </c>
      <c r="N2755">
        <v>0</v>
      </c>
      <c r="O2755">
        <v>0</v>
      </c>
    </row>
    <row r="2756" spans="1:15" x14ac:dyDescent="0.2">
      <c r="A2756" s="6">
        <v>45828</v>
      </c>
      <c r="B2756" t="s">
        <v>15</v>
      </c>
      <c r="C2756" t="s">
        <v>16</v>
      </c>
      <c r="D2756" s="1">
        <v>45855</v>
      </c>
      <c r="E2756" t="s">
        <v>17</v>
      </c>
      <c r="F2756">
        <v>4000</v>
      </c>
      <c r="J2756">
        <v>2393.4</v>
      </c>
      <c r="K2756">
        <v>2437.8000000000002</v>
      </c>
      <c r="L2756">
        <v>0</v>
      </c>
      <c r="M2756" t="s">
        <v>18</v>
      </c>
      <c r="N2756">
        <v>0</v>
      </c>
      <c r="O2756">
        <v>0</v>
      </c>
    </row>
    <row r="2757" spans="1:15" x14ac:dyDescent="0.2">
      <c r="A2757" s="6">
        <v>45828</v>
      </c>
      <c r="B2757" t="s">
        <v>15</v>
      </c>
      <c r="C2757" t="s">
        <v>16</v>
      </c>
      <c r="D2757" s="1">
        <v>45855</v>
      </c>
      <c r="E2757" t="s">
        <v>19</v>
      </c>
      <c r="F2757">
        <v>4400</v>
      </c>
      <c r="J2757">
        <v>0.1</v>
      </c>
      <c r="K2757">
        <v>0.1</v>
      </c>
      <c r="L2757">
        <v>0</v>
      </c>
      <c r="M2757" t="s">
        <v>18</v>
      </c>
      <c r="N2757">
        <v>0</v>
      </c>
      <c r="O2757">
        <v>0</v>
      </c>
    </row>
    <row r="2758" spans="1:15" x14ac:dyDescent="0.2">
      <c r="A2758" s="6">
        <v>45828</v>
      </c>
      <c r="B2758" t="s">
        <v>15</v>
      </c>
      <c r="C2758" t="s">
        <v>16</v>
      </c>
      <c r="D2758" s="1">
        <v>45855</v>
      </c>
      <c r="E2758" t="s">
        <v>19</v>
      </c>
      <c r="F2758">
        <v>6850</v>
      </c>
      <c r="G2758">
        <v>765.2</v>
      </c>
      <c r="H2758">
        <v>800</v>
      </c>
      <c r="I2758">
        <v>754.6</v>
      </c>
      <c r="J2758">
        <v>772.1</v>
      </c>
      <c r="K2758">
        <v>522.4</v>
      </c>
      <c r="L2758">
        <v>13</v>
      </c>
      <c r="M2758" t="s">
        <v>121</v>
      </c>
      <c r="N2758">
        <v>99.08</v>
      </c>
      <c r="O2758">
        <v>7</v>
      </c>
    </row>
    <row r="2759" spans="1:15" x14ac:dyDescent="0.2">
      <c r="A2759" s="6">
        <v>45828</v>
      </c>
      <c r="B2759" t="s">
        <v>15</v>
      </c>
      <c r="C2759" t="s">
        <v>16</v>
      </c>
      <c r="D2759" s="1">
        <v>45855</v>
      </c>
      <c r="E2759" t="s">
        <v>19</v>
      </c>
      <c r="F2759">
        <v>7350</v>
      </c>
      <c r="J2759">
        <v>968.9</v>
      </c>
      <c r="K2759">
        <v>934.3</v>
      </c>
      <c r="L2759">
        <v>0</v>
      </c>
      <c r="M2759" t="s">
        <v>18</v>
      </c>
      <c r="N2759">
        <v>0</v>
      </c>
      <c r="O2759">
        <v>0</v>
      </c>
    </row>
    <row r="2760" spans="1:15" x14ac:dyDescent="0.2">
      <c r="A2760" s="6">
        <v>45828</v>
      </c>
      <c r="B2760" t="s">
        <v>15</v>
      </c>
      <c r="C2760" t="s">
        <v>16</v>
      </c>
      <c r="D2760" s="1">
        <v>45855</v>
      </c>
      <c r="E2760" t="s">
        <v>17</v>
      </c>
      <c r="F2760">
        <v>7000</v>
      </c>
      <c r="G2760">
        <v>279.7</v>
      </c>
      <c r="H2760">
        <v>298</v>
      </c>
      <c r="I2760">
        <v>243.9</v>
      </c>
      <c r="J2760">
        <v>289.8</v>
      </c>
      <c r="K2760">
        <v>313.39999999999998</v>
      </c>
      <c r="L2760">
        <v>29103</v>
      </c>
      <c r="M2760" t="s">
        <v>1291</v>
      </c>
      <c r="N2760">
        <v>211759.48</v>
      </c>
      <c r="O2760">
        <v>4880</v>
      </c>
    </row>
    <row r="2761" spans="1:15" x14ac:dyDescent="0.2">
      <c r="A2761" s="6">
        <v>45828</v>
      </c>
      <c r="B2761" t="s">
        <v>15</v>
      </c>
      <c r="C2761" t="s">
        <v>16</v>
      </c>
      <c r="D2761" s="1">
        <v>45855</v>
      </c>
      <c r="E2761" t="s">
        <v>19</v>
      </c>
      <c r="F2761">
        <v>5750</v>
      </c>
      <c r="G2761">
        <v>139.9</v>
      </c>
      <c r="H2761">
        <v>163.80000000000001</v>
      </c>
      <c r="I2761">
        <v>132</v>
      </c>
      <c r="J2761">
        <v>142.6</v>
      </c>
      <c r="K2761">
        <v>141.6</v>
      </c>
      <c r="L2761">
        <v>1519</v>
      </c>
      <c r="M2761" t="s">
        <v>1292</v>
      </c>
      <c r="N2761">
        <v>8959.99</v>
      </c>
      <c r="O2761">
        <v>258</v>
      </c>
    </row>
    <row r="2762" spans="1:15" x14ac:dyDescent="0.2">
      <c r="A2762" s="6">
        <v>45828</v>
      </c>
      <c r="B2762" t="s">
        <v>15</v>
      </c>
      <c r="C2762" t="s">
        <v>16</v>
      </c>
      <c r="D2762" s="1">
        <v>45855</v>
      </c>
      <c r="E2762" t="s">
        <v>19</v>
      </c>
      <c r="F2762">
        <v>5350</v>
      </c>
      <c r="G2762">
        <v>64</v>
      </c>
      <c r="H2762">
        <v>64</v>
      </c>
      <c r="I2762">
        <v>36.5</v>
      </c>
      <c r="J2762">
        <v>58.4</v>
      </c>
      <c r="K2762">
        <v>60.8</v>
      </c>
      <c r="L2762">
        <v>180</v>
      </c>
      <c r="M2762" t="s">
        <v>239</v>
      </c>
      <c r="N2762">
        <v>973.59</v>
      </c>
      <c r="O2762">
        <v>27</v>
      </c>
    </row>
    <row r="2763" spans="1:15" x14ac:dyDescent="0.2">
      <c r="A2763" s="6">
        <v>45828</v>
      </c>
      <c r="B2763" t="s">
        <v>15</v>
      </c>
      <c r="C2763" t="s">
        <v>16</v>
      </c>
      <c r="D2763" s="1">
        <v>45855</v>
      </c>
      <c r="E2763" t="s">
        <v>19</v>
      </c>
      <c r="F2763">
        <v>4500</v>
      </c>
      <c r="G2763">
        <v>18.5</v>
      </c>
      <c r="H2763">
        <v>19.2</v>
      </c>
      <c r="I2763">
        <v>16.600000000000001</v>
      </c>
      <c r="J2763">
        <v>18.3</v>
      </c>
      <c r="K2763">
        <v>19.399999999999999</v>
      </c>
      <c r="L2763">
        <v>885</v>
      </c>
      <c r="M2763" t="s">
        <v>1293</v>
      </c>
      <c r="N2763">
        <v>3998.5</v>
      </c>
      <c r="O2763">
        <v>444</v>
      </c>
    </row>
    <row r="2764" spans="1:15" x14ac:dyDescent="0.2">
      <c r="A2764" s="6">
        <v>45828</v>
      </c>
      <c r="B2764" t="s">
        <v>15</v>
      </c>
      <c r="C2764" t="s">
        <v>16</v>
      </c>
      <c r="D2764" s="1">
        <v>45855</v>
      </c>
      <c r="E2764" t="s">
        <v>19</v>
      </c>
      <c r="F2764">
        <v>4100</v>
      </c>
      <c r="J2764">
        <v>0.1</v>
      </c>
      <c r="K2764">
        <v>0.1</v>
      </c>
      <c r="L2764">
        <v>0</v>
      </c>
      <c r="M2764" t="s">
        <v>18</v>
      </c>
      <c r="N2764">
        <v>0</v>
      </c>
      <c r="O2764">
        <v>0</v>
      </c>
    </row>
    <row r="2765" spans="1:15" x14ac:dyDescent="0.2">
      <c r="A2765" s="6">
        <v>45828</v>
      </c>
      <c r="B2765" t="s">
        <v>15</v>
      </c>
      <c r="C2765" t="s">
        <v>16</v>
      </c>
      <c r="D2765" s="1">
        <v>45855</v>
      </c>
      <c r="E2765" t="s">
        <v>19</v>
      </c>
      <c r="F2765">
        <v>5500</v>
      </c>
      <c r="G2765">
        <v>80</v>
      </c>
      <c r="H2765">
        <v>91.8</v>
      </c>
      <c r="I2765">
        <v>72</v>
      </c>
      <c r="J2765">
        <v>83.4</v>
      </c>
      <c r="K2765">
        <v>81.099999999999994</v>
      </c>
      <c r="L2765">
        <v>13305</v>
      </c>
      <c r="M2765" t="s">
        <v>1294</v>
      </c>
      <c r="N2765">
        <v>74302.789999999994</v>
      </c>
      <c r="O2765">
        <v>2632</v>
      </c>
    </row>
    <row r="2766" spans="1:15" x14ac:dyDescent="0.2">
      <c r="A2766" s="6">
        <v>45828</v>
      </c>
      <c r="B2766" t="s">
        <v>15</v>
      </c>
      <c r="C2766" t="s">
        <v>16</v>
      </c>
      <c r="D2766" s="1">
        <v>45855</v>
      </c>
      <c r="E2766" t="s">
        <v>17</v>
      </c>
      <c r="F2766">
        <v>6300</v>
      </c>
      <c r="G2766">
        <v>473.4</v>
      </c>
      <c r="H2766">
        <v>513.70000000000005</v>
      </c>
      <c r="I2766">
        <v>424.1</v>
      </c>
      <c r="J2766">
        <v>496</v>
      </c>
      <c r="K2766">
        <v>529.4</v>
      </c>
      <c r="L2766">
        <v>23799</v>
      </c>
      <c r="M2766" t="s">
        <v>1295</v>
      </c>
      <c r="N2766">
        <v>161156.16</v>
      </c>
      <c r="O2766">
        <v>1365</v>
      </c>
    </row>
    <row r="2767" spans="1:15" x14ac:dyDescent="0.2">
      <c r="A2767" s="6">
        <v>45828</v>
      </c>
      <c r="B2767" t="s">
        <v>15</v>
      </c>
      <c r="C2767" t="s">
        <v>16</v>
      </c>
      <c r="D2767" s="1">
        <v>45855</v>
      </c>
      <c r="E2767" t="s">
        <v>17</v>
      </c>
      <c r="F2767">
        <v>6500</v>
      </c>
      <c r="G2767">
        <v>408.8</v>
      </c>
      <c r="H2767">
        <v>434.6</v>
      </c>
      <c r="I2767">
        <v>358.6</v>
      </c>
      <c r="J2767">
        <v>421</v>
      </c>
      <c r="K2767">
        <v>452.1</v>
      </c>
      <c r="L2767">
        <v>45717</v>
      </c>
      <c r="M2767" t="s">
        <v>1296</v>
      </c>
      <c r="N2767">
        <v>315725.46999999997</v>
      </c>
      <c r="O2767">
        <v>3342</v>
      </c>
    </row>
    <row r="2768" spans="1:15" x14ac:dyDescent="0.2">
      <c r="A2768" s="6">
        <v>45828</v>
      </c>
      <c r="B2768" t="s">
        <v>15</v>
      </c>
      <c r="C2768" t="s">
        <v>16</v>
      </c>
      <c r="D2768" s="1">
        <v>45855</v>
      </c>
      <c r="E2768" t="s">
        <v>17</v>
      </c>
      <c r="F2768">
        <v>7100</v>
      </c>
      <c r="G2768">
        <v>246.3</v>
      </c>
      <c r="H2768">
        <v>277.2</v>
      </c>
      <c r="I2768">
        <v>227.2</v>
      </c>
      <c r="J2768">
        <v>271.10000000000002</v>
      </c>
      <c r="K2768">
        <v>295.8</v>
      </c>
      <c r="L2768">
        <v>4528</v>
      </c>
      <c r="M2768" t="s">
        <v>1297</v>
      </c>
      <c r="N2768">
        <v>33315.129999999997</v>
      </c>
      <c r="O2768">
        <v>470</v>
      </c>
    </row>
    <row r="2769" spans="1:15" x14ac:dyDescent="0.2">
      <c r="A2769" s="6">
        <v>45828</v>
      </c>
      <c r="B2769" t="s">
        <v>15</v>
      </c>
      <c r="C2769" t="s">
        <v>16</v>
      </c>
      <c r="D2769" s="1">
        <v>45855</v>
      </c>
      <c r="E2769" t="s">
        <v>19</v>
      </c>
      <c r="F2769">
        <v>6700</v>
      </c>
      <c r="G2769">
        <v>646.5</v>
      </c>
      <c r="H2769">
        <v>721.1</v>
      </c>
      <c r="I2769">
        <v>629.20000000000005</v>
      </c>
      <c r="J2769">
        <v>659.6</v>
      </c>
      <c r="K2769">
        <v>635.1</v>
      </c>
      <c r="L2769">
        <v>569</v>
      </c>
      <c r="M2769" t="s">
        <v>228</v>
      </c>
      <c r="N2769">
        <v>4196.78</v>
      </c>
      <c r="O2769">
        <v>245</v>
      </c>
    </row>
    <row r="2770" spans="1:15" x14ac:dyDescent="0.2">
      <c r="A2770" s="6">
        <v>45828</v>
      </c>
      <c r="B2770" t="s">
        <v>15</v>
      </c>
      <c r="C2770" t="s">
        <v>16</v>
      </c>
      <c r="D2770" s="1">
        <v>45855</v>
      </c>
      <c r="E2770" t="s">
        <v>19</v>
      </c>
      <c r="F2770">
        <v>6900</v>
      </c>
      <c r="G2770">
        <v>768</v>
      </c>
      <c r="H2770">
        <v>842.4</v>
      </c>
      <c r="I2770">
        <v>768</v>
      </c>
      <c r="J2770">
        <v>803.4</v>
      </c>
      <c r="K2770">
        <v>789.3</v>
      </c>
      <c r="L2770">
        <v>16</v>
      </c>
      <c r="M2770" t="s">
        <v>259</v>
      </c>
      <c r="N2770">
        <v>123.28</v>
      </c>
      <c r="O2770">
        <v>38</v>
      </c>
    </row>
    <row r="2771" spans="1:15" x14ac:dyDescent="0.2">
      <c r="A2771" s="6">
        <v>45828</v>
      </c>
      <c r="B2771" t="s">
        <v>15</v>
      </c>
      <c r="C2771" t="s">
        <v>16</v>
      </c>
      <c r="D2771" s="1">
        <v>45855</v>
      </c>
      <c r="E2771" t="s">
        <v>19</v>
      </c>
      <c r="F2771">
        <v>7400</v>
      </c>
      <c r="J2771">
        <v>1015</v>
      </c>
      <c r="K2771">
        <v>979.5</v>
      </c>
      <c r="L2771">
        <v>0</v>
      </c>
      <c r="M2771" t="s">
        <v>18</v>
      </c>
      <c r="N2771">
        <v>0</v>
      </c>
      <c r="O2771">
        <v>0</v>
      </c>
    </row>
    <row r="2772" spans="1:15" x14ac:dyDescent="0.2">
      <c r="A2772" s="6">
        <v>45828</v>
      </c>
      <c r="B2772" t="s">
        <v>15</v>
      </c>
      <c r="C2772" t="s">
        <v>16</v>
      </c>
      <c r="D2772" s="1">
        <v>45855</v>
      </c>
      <c r="E2772" t="s">
        <v>19</v>
      </c>
      <c r="F2772">
        <v>7100</v>
      </c>
      <c r="J2772">
        <v>746.7</v>
      </c>
      <c r="K2772">
        <v>717.9</v>
      </c>
      <c r="L2772">
        <v>0</v>
      </c>
      <c r="M2772" t="s">
        <v>18</v>
      </c>
      <c r="N2772">
        <v>0</v>
      </c>
      <c r="O2772">
        <v>0</v>
      </c>
    </row>
    <row r="2773" spans="1:15" x14ac:dyDescent="0.2">
      <c r="A2773" s="6">
        <v>45828</v>
      </c>
      <c r="B2773" t="s">
        <v>15</v>
      </c>
      <c r="C2773" t="s">
        <v>16</v>
      </c>
      <c r="D2773" s="1">
        <v>45855</v>
      </c>
      <c r="E2773" t="s">
        <v>17</v>
      </c>
      <c r="F2773">
        <v>4600</v>
      </c>
      <c r="J2773">
        <v>1796.1</v>
      </c>
      <c r="K2773">
        <v>1840.7</v>
      </c>
      <c r="L2773">
        <v>0</v>
      </c>
      <c r="M2773" t="s">
        <v>18</v>
      </c>
      <c r="N2773">
        <v>0</v>
      </c>
      <c r="O2773">
        <v>0</v>
      </c>
    </row>
    <row r="2774" spans="1:15" x14ac:dyDescent="0.2">
      <c r="A2774" s="6">
        <v>45828</v>
      </c>
      <c r="B2774" t="s">
        <v>15</v>
      </c>
      <c r="C2774" t="s">
        <v>16</v>
      </c>
      <c r="D2774" s="1">
        <v>45855</v>
      </c>
      <c r="E2774" t="s">
        <v>19</v>
      </c>
      <c r="F2774">
        <v>3650</v>
      </c>
      <c r="J2774">
        <v>0.1</v>
      </c>
      <c r="K2774">
        <v>0.1</v>
      </c>
      <c r="L2774">
        <v>0</v>
      </c>
      <c r="M2774" t="s">
        <v>18</v>
      </c>
      <c r="N2774">
        <v>0</v>
      </c>
      <c r="O2774">
        <v>0</v>
      </c>
    </row>
    <row r="2775" spans="1:15" x14ac:dyDescent="0.2">
      <c r="A2775" s="6">
        <v>45828</v>
      </c>
      <c r="B2775" t="s">
        <v>15</v>
      </c>
      <c r="C2775" t="s">
        <v>16</v>
      </c>
      <c r="D2775" s="1">
        <v>45855</v>
      </c>
      <c r="E2775" t="s">
        <v>17</v>
      </c>
      <c r="F2775">
        <v>7200</v>
      </c>
      <c r="G2775">
        <v>232.1</v>
      </c>
      <c r="H2775">
        <v>259.89999999999998</v>
      </c>
      <c r="I2775">
        <v>211.1</v>
      </c>
      <c r="J2775">
        <v>250.6</v>
      </c>
      <c r="K2775">
        <v>271.60000000000002</v>
      </c>
      <c r="L2775">
        <v>9910</v>
      </c>
      <c r="M2775" t="s">
        <v>1298</v>
      </c>
      <c r="N2775">
        <v>73734.759999999995</v>
      </c>
      <c r="O2775">
        <v>1079</v>
      </c>
    </row>
    <row r="2776" spans="1:15" x14ac:dyDescent="0.2">
      <c r="A2776" s="6">
        <v>45828</v>
      </c>
      <c r="B2776" t="s">
        <v>15</v>
      </c>
      <c r="C2776" t="s">
        <v>16</v>
      </c>
      <c r="D2776" s="1">
        <v>45855</v>
      </c>
      <c r="E2776" t="s">
        <v>17</v>
      </c>
      <c r="F2776">
        <v>5350</v>
      </c>
      <c r="J2776">
        <v>1058.0999999999999</v>
      </c>
      <c r="K2776">
        <v>1103.5</v>
      </c>
      <c r="L2776">
        <v>0</v>
      </c>
      <c r="M2776" t="s">
        <v>18</v>
      </c>
      <c r="N2776">
        <v>0</v>
      </c>
      <c r="O2776">
        <v>1</v>
      </c>
    </row>
    <row r="2777" spans="1:15" x14ac:dyDescent="0.2">
      <c r="A2777" s="6">
        <v>45828</v>
      </c>
      <c r="B2777" t="s">
        <v>15</v>
      </c>
      <c r="C2777" t="s">
        <v>16</v>
      </c>
      <c r="D2777" s="1">
        <v>45855</v>
      </c>
      <c r="E2777" t="s">
        <v>17</v>
      </c>
      <c r="F2777">
        <v>6100</v>
      </c>
      <c r="G2777">
        <v>576.20000000000005</v>
      </c>
      <c r="H2777">
        <v>606.1</v>
      </c>
      <c r="I2777">
        <v>507.4</v>
      </c>
      <c r="J2777">
        <v>588.4</v>
      </c>
      <c r="K2777">
        <v>653.1</v>
      </c>
      <c r="L2777">
        <v>2075</v>
      </c>
      <c r="M2777" t="s">
        <v>1299</v>
      </c>
      <c r="N2777">
        <v>13822.64</v>
      </c>
      <c r="O2777">
        <v>491</v>
      </c>
    </row>
    <row r="2778" spans="1:15" x14ac:dyDescent="0.2">
      <c r="A2778" s="6">
        <v>45828</v>
      </c>
      <c r="B2778" t="s">
        <v>15</v>
      </c>
      <c r="C2778" t="s">
        <v>16</v>
      </c>
      <c r="D2778" s="1">
        <v>45855</v>
      </c>
      <c r="E2778" t="s">
        <v>19</v>
      </c>
      <c r="F2778">
        <v>4850</v>
      </c>
      <c r="G2778">
        <v>27</v>
      </c>
      <c r="H2778">
        <v>27</v>
      </c>
      <c r="I2778">
        <v>19.8</v>
      </c>
      <c r="J2778">
        <v>22.5</v>
      </c>
      <c r="K2778">
        <v>28.3</v>
      </c>
      <c r="L2778">
        <v>14</v>
      </c>
      <c r="M2778" t="s">
        <v>217</v>
      </c>
      <c r="N2778">
        <v>68.22</v>
      </c>
      <c r="O2778">
        <v>16</v>
      </c>
    </row>
    <row r="2779" spans="1:15" x14ac:dyDescent="0.2">
      <c r="A2779" s="6">
        <v>45828</v>
      </c>
      <c r="B2779" t="s">
        <v>15</v>
      </c>
      <c r="C2779" t="s">
        <v>16</v>
      </c>
      <c r="D2779" s="1">
        <v>45855</v>
      </c>
      <c r="E2779" t="s">
        <v>19</v>
      </c>
      <c r="F2779">
        <v>4000</v>
      </c>
      <c r="G2779">
        <v>15</v>
      </c>
      <c r="H2779">
        <v>15</v>
      </c>
      <c r="I2779">
        <v>9.1</v>
      </c>
      <c r="J2779">
        <v>13.6</v>
      </c>
      <c r="K2779">
        <v>15.1</v>
      </c>
      <c r="L2779">
        <v>238</v>
      </c>
      <c r="M2779" t="s">
        <v>1300</v>
      </c>
      <c r="N2779">
        <v>955.16</v>
      </c>
      <c r="O2779">
        <v>22</v>
      </c>
    </row>
    <row r="2780" spans="1:15" x14ac:dyDescent="0.2">
      <c r="A2780" s="6">
        <v>45828</v>
      </c>
      <c r="B2780" t="s">
        <v>15</v>
      </c>
      <c r="C2780" t="s">
        <v>16</v>
      </c>
      <c r="D2780" s="1">
        <v>45855</v>
      </c>
      <c r="E2780" t="s">
        <v>19</v>
      </c>
      <c r="F2780">
        <v>5600</v>
      </c>
      <c r="G2780">
        <v>103.8</v>
      </c>
      <c r="H2780">
        <v>117.5</v>
      </c>
      <c r="I2780">
        <v>93.6</v>
      </c>
      <c r="J2780">
        <v>104.9</v>
      </c>
      <c r="K2780">
        <v>104.9</v>
      </c>
      <c r="L2780">
        <v>10091</v>
      </c>
      <c r="M2780" t="s">
        <v>1301</v>
      </c>
      <c r="N2780">
        <v>57593.32</v>
      </c>
      <c r="O2780">
        <v>1543</v>
      </c>
    </row>
    <row r="2781" spans="1:15" x14ac:dyDescent="0.2">
      <c r="A2781" s="6">
        <v>45828</v>
      </c>
      <c r="B2781" t="s">
        <v>15</v>
      </c>
      <c r="C2781" t="s">
        <v>16</v>
      </c>
      <c r="D2781" s="1">
        <v>45855</v>
      </c>
      <c r="E2781" t="s">
        <v>19</v>
      </c>
      <c r="F2781">
        <v>6350</v>
      </c>
      <c r="G2781">
        <v>414.2</v>
      </c>
      <c r="H2781">
        <v>473.2</v>
      </c>
      <c r="I2781">
        <v>401.4</v>
      </c>
      <c r="J2781">
        <v>421.5</v>
      </c>
      <c r="K2781">
        <v>416.9</v>
      </c>
      <c r="L2781">
        <v>10656</v>
      </c>
      <c r="M2781" t="s">
        <v>1302</v>
      </c>
      <c r="N2781">
        <v>72313.08</v>
      </c>
      <c r="O2781">
        <v>406</v>
      </c>
    </row>
    <row r="2782" spans="1:15" x14ac:dyDescent="0.2">
      <c r="A2782" s="6">
        <v>45828</v>
      </c>
      <c r="B2782" t="s">
        <v>15</v>
      </c>
      <c r="C2782" t="s">
        <v>16</v>
      </c>
      <c r="D2782" s="1">
        <v>45855</v>
      </c>
      <c r="E2782" t="s">
        <v>19</v>
      </c>
      <c r="F2782">
        <v>5650</v>
      </c>
      <c r="G2782">
        <v>117.1</v>
      </c>
      <c r="H2782">
        <v>130.30000000000001</v>
      </c>
      <c r="I2782">
        <v>104.7</v>
      </c>
      <c r="J2782">
        <v>118.5</v>
      </c>
      <c r="K2782">
        <v>116.1</v>
      </c>
      <c r="L2782">
        <v>1035</v>
      </c>
      <c r="M2782" t="s">
        <v>1303</v>
      </c>
      <c r="N2782">
        <v>5972.14</v>
      </c>
      <c r="O2782">
        <v>87</v>
      </c>
    </row>
    <row r="2783" spans="1:15" x14ac:dyDescent="0.2">
      <c r="A2783" s="6">
        <v>45828</v>
      </c>
      <c r="B2783" t="s">
        <v>15</v>
      </c>
      <c r="C2783" t="s">
        <v>16</v>
      </c>
      <c r="D2783" s="1">
        <v>45855</v>
      </c>
      <c r="E2783" t="s">
        <v>17</v>
      </c>
      <c r="F2783">
        <v>3950</v>
      </c>
      <c r="J2783">
        <v>2443.1999999999998</v>
      </c>
      <c r="K2783">
        <v>2487.6</v>
      </c>
      <c r="L2783">
        <v>0</v>
      </c>
      <c r="M2783" t="s">
        <v>18</v>
      </c>
      <c r="N2783">
        <v>0</v>
      </c>
      <c r="O2783">
        <v>0</v>
      </c>
    </row>
    <row r="2784" spans="1:15" x14ac:dyDescent="0.2">
      <c r="A2784" s="6">
        <v>45828</v>
      </c>
      <c r="B2784" t="s">
        <v>15</v>
      </c>
      <c r="C2784" t="s">
        <v>16</v>
      </c>
      <c r="D2784" s="1">
        <v>45855</v>
      </c>
      <c r="E2784" t="s">
        <v>17</v>
      </c>
      <c r="F2784">
        <v>7550</v>
      </c>
      <c r="G2784">
        <v>204.8</v>
      </c>
      <c r="H2784">
        <v>204.8</v>
      </c>
      <c r="I2784">
        <v>165.6</v>
      </c>
      <c r="J2784">
        <v>199.4</v>
      </c>
      <c r="K2784">
        <v>216.5</v>
      </c>
      <c r="L2784">
        <v>3822</v>
      </c>
      <c r="M2784" t="s">
        <v>1304</v>
      </c>
      <c r="N2784">
        <v>29579.98</v>
      </c>
      <c r="O2784">
        <v>322</v>
      </c>
    </row>
    <row r="2785" spans="1:15" x14ac:dyDescent="0.2">
      <c r="A2785" s="6">
        <v>45828</v>
      </c>
      <c r="B2785" t="s">
        <v>15</v>
      </c>
      <c r="C2785" t="s">
        <v>16</v>
      </c>
      <c r="D2785" s="1">
        <v>45855</v>
      </c>
      <c r="E2785" t="s">
        <v>19</v>
      </c>
      <c r="F2785">
        <v>7450</v>
      </c>
      <c r="J2785">
        <v>1061.5999999999999</v>
      </c>
      <c r="K2785">
        <v>1025.0999999999999</v>
      </c>
      <c r="L2785">
        <v>0</v>
      </c>
      <c r="M2785" t="s">
        <v>18</v>
      </c>
      <c r="N2785">
        <v>0</v>
      </c>
      <c r="O2785">
        <v>0</v>
      </c>
    </row>
    <row r="2786" spans="1:15" x14ac:dyDescent="0.2">
      <c r="A2786" s="6">
        <v>45828</v>
      </c>
      <c r="B2786" t="s">
        <v>15</v>
      </c>
      <c r="C2786" t="s">
        <v>16</v>
      </c>
      <c r="D2786" s="1">
        <v>45855</v>
      </c>
      <c r="E2786" t="s">
        <v>19</v>
      </c>
      <c r="F2786">
        <v>4050</v>
      </c>
      <c r="J2786">
        <v>0.1</v>
      </c>
      <c r="K2786">
        <v>0.1</v>
      </c>
      <c r="L2786">
        <v>0</v>
      </c>
      <c r="M2786" t="s">
        <v>18</v>
      </c>
      <c r="N2786">
        <v>0</v>
      </c>
      <c r="O2786">
        <v>0</v>
      </c>
    </row>
    <row r="2787" spans="1:15" x14ac:dyDescent="0.2">
      <c r="A2787" s="6">
        <v>45828</v>
      </c>
      <c r="B2787" t="s">
        <v>15</v>
      </c>
      <c r="C2787" t="s">
        <v>16</v>
      </c>
      <c r="D2787" s="1">
        <v>45855</v>
      </c>
      <c r="E2787" t="s">
        <v>19</v>
      </c>
      <c r="F2787">
        <v>6100</v>
      </c>
      <c r="G2787">
        <v>278.2</v>
      </c>
      <c r="H2787">
        <v>322.60000000000002</v>
      </c>
      <c r="I2787">
        <v>268.39999999999998</v>
      </c>
      <c r="J2787">
        <v>285.3</v>
      </c>
      <c r="K2787">
        <v>281.10000000000002</v>
      </c>
      <c r="L2787">
        <v>14736</v>
      </c>
      <c r="M2787" t="s">
        <v>1305</v>
      </c>
      <c r="N2787">
        <v>94224.7</v>
      </c>
      <c r="O2787">
        <v>1151</v>
      </c>
    </row>
    <row r="2788" spans="1:15" x14ac:dyDescent="0.2">
      <c r="A2788" s="6">
        <v>45828</v>
      </c>
      <c r="B2788" t="s">
        <v>15</v>
      </c>
      <c r="C2788" t="s">
        <v>16</v>
      </c>
      <c r="D2788" s="1">
        <v>45855</v>
      </c>
      <c r="E2788" t="s">
        <v>17</v>
      </c>
      <c r="F2788">
        <v>6000</v>
      </c>
      <c r="G2788">
        <v>628.1</v>
      </c>
      <c r="H2788">
        <v>657.2</v>
      </c>
      <c r="I2788">
        <v>548.6</v>
      </c>
      <c r="J2788">
        <v>638.70000000000005</v>
      </c>
      <c r="K2788">
        <v>692.8</v>
      </c>
      <c r="L2788">
        <v>3105</v>
      </c>
      <c r="M2788" t="s">
        <v>1306</v>
      </c>
      <c r="N2788">
        <v>20522.59</v>
      </c>
      <c r="O2788">
        <v>2416</v>
      </c>
    </row>
    <row r="2789" spans="1:15" x14ac:dyDescent="0.2">
      <c r="A2789" s="6">
        <v>45828</v>
      </c>
      <c r="B2789" t="s">
        <v>15</v>
      </c>
      <c r="C2789" t="s">
        <v>16</v>
      </c>
      <c r="D2789" s="1">
        <v>45855</v>
      </c>
      <c r="E2789" t="s">
        <v>19</v>
      </c>
      <c r="F2789">
        <v>3800</v>
      </c>
      <c r="J2789">
        <v>0.1</v>
      </c>
      <c r="K2789">
        <v>0.1</v>
      </c>
      <c r="L2789">
        <v>0</v>
      </c>
      <c r="M2789" t="s">
        <v>18</v>
      </c>
      <c r="N2789">
        <v>0</v>
      </c>
      <c r="O2789">
        <v>0</v>
      </c>
    </row>
    <row r="2790" spans="1:15" x14ac:dyDescent="0.2">
      <c r="A2790" s="6">
        <v>45828</v>
      </c>
      <c r="B2790" t="s">
        <v>15</v>
      </c>
      <c r="C2790" t="s">
        <v>16</v>
      </c>
      <c r="D2790" s="1">
        <v>45855</v>
      </c>
      <c r="E2790" t="s">
        <v>17</v>
      </c>
      <c r="F2790">
        <v>4700</v>
      </c>
      <c r="J2790">
        <v>1696.7</v>
      </c>
      <c r="K2790">
        <v>1741.2</v>
      </c>
      <c r="L2790">
        <v>0</v>
      </c>
      <c r="M2790" t="s">
        <v>18</v>
      </c>
      <c r="N2790">
        <v>0</v>
      </c>
      <c r="O2790">
        <v>0</v>
      </c>
    </row>
    <row r="2791" spans="1:15" x14ac:dyDescent="0.2">
      <c r="A2791" s="6">
        <v>45828</v>
      </c>
      <c r="B2791" t="s">
        <v>15</v>
      </c>
      <c r="C2791" t="s">
        <v>16</v>
      </c>
      <c r="D2791" s="1">
        <v>45855</v>
      </c>
      <c r="E2791" t="s">
        <v>17</v>
      </c>
      <c r="F2791">
        <v>6450</v>
      </c>
      <c r="G2791">
        <v>427.5</v>
      </c>
      <c r="H2791">
        <v>452.4</v>
      </c>
      <c r="I2791">
        <v>375</v>
      </c>
      <c r="J2791">
        <v>439.4</v>
      </c>
      <c r="K2791">
        <v>469.3</v>
      </c>
      <c r="L2791">
        <v>14326</v>
      </c>
      <c r="M2791" t="s">
        <v>1307</v>
      </c>
      <c r="N2791">
        <v>98440.51</v>
      </c>
      <c r="O2791">
        <v>1121</v>
      </c>
    </row>
    <row r="2792" spans="1:15" x14ac:dyDescent="0.2">
      <c r="A2792" s="6">
        <v>45828</v>
      </c>
      <c r="B2792" t="s">
        <v>15</v>
      </c>
      <c r="C2792" t="s">
        <v>16</v>
      </c>
      <c r="D2792" s="1">
        <v>45855</v>
      </c>
      <c r="E2792" t="s">
        <v>19</v>
      </c>
      <c r="F2792">
        <v>5950</v>
      </c>
      <c r="G2792">
        <v>211.1</v>
      </c>
      <c r="H2792">
        <v>245.6</v>
      </c>
      <c r="I2792">
        <v>200.9</v>
      </c>
      <c r="J2792">
        <v>217.6</v>
      </c>
      <c r="K2792">
        <v>214.8</v>
      </c>
      <c r="L2792">
        <v>1586</v>
      </c>
      <c r="M2792" t="s">
        <v>1308</v>
      </c>
      <c r="N2792">
        <v>9792.4599999999991</v>
      </c>
      <c r="O2792">
        <v>119</v>
      </c>
    </row>
    <row r="2793" spans="1:15" x14ac:dyDescent="0.2">
      <c r="A2793" s="6">
        <v>45828</v>
      </c>
      <c r="B2793" t="s">
        <v>15</v>
      </c>
      <c r="C2793" t="s">
        <v>16</v>
      </c>
      <c r="D2793" s="1">
        <v>45855</v>
      </c>
      <c r="E2793" t="s">
        <v>19</v>
      </c>
      <c r="F2793">
        <v>4150</v>
      </c>
      <c r="J2793">
        <v>0.1</v>
      </c>
      <c r="K2793">
        <v>0.1</v>
      </c>
      <c r="L2793">
        <v>0</v>
      </c>
      <c r="M2793" t="s">
        <v>18</v>
      </c>
      <c r="N2793">
        <v>0</v>
      </c>
      <c r="O2793">
        <v>0</v>
      </c>
    </row>
    <row r="2794" spans="1:15" x14ac:dyDescent="0.2">
      <c r="A2794" s="6">
        <v>45828</v>
      </c>
      <c r="B2794" t="s">
        <v>15</v>
      </c>
      <c r="C2794" t="s">
        <v>16</v>
      </c>
      <c r="D2794" s="1">
        <v>45855</v>
      </c>
      <c r="E2794" t="s">
        <v>19</v>
      </c>
      <c r="F2794">
        <v>5000</v>
      </c>
      <c r="G2794">
        <v>29.9</v>
      </c>
      <c r="H2794">
        <v>31.7</v>
      </c>
      <c r="I2794">
        <v>25.9</v>
      </c>
      <c r="J2794">
        <v>29.1</v>
      </c>
      <c r="K2794">
        <v>31</v>
      </c>
      <c r="L2794">
        <v>3449</v>
      </c>
      <c r="M2794" t="s">
        <v>1055</v>
      </c>
      <c r="N2794">
        <v>17344.62</v>
      </c>
      <c r="O2794">
        <v>2192</v>
      </c>
    </row>
    <row r="2795" spans="1:15" x14ac:dyDescent="0.2">
      <c r="A2795" s="6">
        <v>45828</v>
      </c>
      <c r="B2795" t="s">
        <v>15</v>
      </c>
      <c r="C2795" t="s">
        <v>16</v>
      </c>
      <c r="D2795" s="1">
        <v>45855</v>
      </c>
      <c r="E2795" t="s">
        <v>17</v>
      </c>
      <c r="F2795">
        <v>6150</v>
      </c>
      <c r="G2795">
        <v>545.5</v>
      </c>
      <c r="H2795">
        <v>575.5</v>
      </c>
      <c r="I2795">
        <v>494.3</v>
      </c>
      <c r="J2795">
        <v>568.70000000000005</v>
      </c>
      <c r="K2795">
        <v>574.5</v>
      </c>
      <c r="L2795">
        <v>285</v>
      </c>
      <c r="M2795" t="s">
        <v>1309</v>
      </c>
      <c r="N2795">
        <v>1907.52</v>
      </c>
      <c r="O2795">
        <v>89</v>
      </c>
    </row>
    <row r="2796" spans="1:15" x14ac:dyDescent="0.2">
      <c r="A2796" s="6">
        <v>45828</v>
      </c>
      <c r="B2796" t="s">
        <v>15</v>
      </c>
      <c r="C2796" t="s">
        <v>16</v>
      </c>
      <c r="D2796" s="1">
        <v>45855</v>
      </c>
      <c r="E2796" t="s">
        <v>17</v>
      </c>
      <c r="F2796">
        <v>5650</v>
      </c>
      <c r="J2796">
        <v>781.6</v>
      </c>
      <c r="K2796">
        <v>827.2</v>
      </c>
      <c r="L2796">
        <v>0</v>
      </c>
      <c r="M2796" t="s">
        <v>18</v>
      </c>
      <c r="N2796">
        <v>0</v>
      </c>
      <c r="O2796">
        <v>3</v>
      </c>
    </row>
    <row r="2797" spans="1:15" x14ac:dyDescent="0.2">
      <c r="A2797" s="6">
        <v>45828</v>
      </c>
      <c r="B2797" t="s">
        <v>15</v>
      </c>
      <c r="C2797" t="s">
        <v>16</v>
      </c>
      <c r="D2797" s="1">
        <v>45855</v>
      </c>
      <c r="E2797" t="s">
        <v>17</v>
      </c>
      <c r="F2797">
        <v>4300</v>
      </c>
      <c r="J2797">
        <v>2094.6999999999998</v>
      </c>
      <c r="K2797">
        <v>2139.1999999999998</v>
      </c>
      <c r="L2797">
        <v>0</v>
      </c>
      <c r="M2797" t="s">
        <v>18</v>
      </c>
      <c r="N2797">
        <v>0</v>
      </c>
      <c r="O2797">
        <v>0</v>
      </c>
    </row>
    <row r="2798" spans="1:15" x14ac:dyDescent="0.2">
      <c r="A2798" s="6">
        <v>45828</v>
      </c>
      <c r="B2798" t="s">
        <v>15</v>
      </c>
      <c r="C2798" t="s">
        <v>16</v>
      </c>
      <c r="D2798" s="1">
        <v>45855</v>
      </c>
      <c r="E2798" t="s">
        <v>17</v>
      </c>
      <c r="F2798">
        <v>5400</v>
      </c>
      <c r="G2798">
        <v>1033.2</v>
      </c>
      <c r="H2798">
        <v>1085.3</v>
      </c>
      <c r="I2798">
        <v>1033.2</v>
      </c>
      <c r="J2798">
        <v>1062.5</v>
      </c>
      <c r="K2798">
        <v>1159.5999999999999</v>
      </c>
      <c r="L2798">
        <v>6</v>
      </c>
      <c r="M2798" t="s">
        <v>132</v>
      </c>
      <c r="N2798">
        <v>38.770000000000003</v>
      </c>
      <c r="O2798">
        <v>586</v>
      </c>
    </row>
    <row r="2799" spans="1:15" x14ac:dyDescent="0.2">
      <c r="A2799" s="6">
        <v>45828</v>
      </c>
      <c r="B2799" t="s">
        <v>15</v>
      </c>
      <c r="C2799" t="s">
        <v>16</v>
      </c>
      <c r="D2799" s="1">
        <v>45855</v>
      </c>
      <c r="E2799" t="s">
        <v>19</v>
      </c>
      <c r="F2799">
        <v>4300</v>
      </c>
      <c r="J2799">
        <v>0.1</v>
      </c>
      <c r="K2799">
        <v>0.1</v>
      </c>
      <c r="L2799">
        <v>0</v>
      </c>
      <c r="M2799" t="s">
        <v>18</v>
      </c>
      <c r="N2799">
        <v>0</v>
      </c>
      <c r="O2799">
        <v>0</v>
      </c>
    </row>
    <row r="2800" spans="1:15" x14ac:dyDescent="0.2">
      <c r="A2800" s="6">
        <v>45828</v>
      </c>
      <c r="B2800" t="s">
        <v>15</v>
      </c>
      <c r="C2800" t="s">
        <v>16</v>
      </c>
      <c r="D2800" s="1">
        <v>45855</v>
      </c>
      <c r="E2800" t="s">
        <v>17</v>
      </c>
      <c r="F2800">
        <v>3900</v>
      </c>
      <c r="J2800">
        <v>2493</v>
      </c>
      <c r="K2800">
        <v>2537.4</v>
      </c>
      <c r="L2800">
        <v>0</v>
      </c>
      <c r="M2800" t="s">
        <v>18</v>
      </c>
      <c r="N2800">
        <v>0</v>
      </c>
      <c r="O2800">
        <v>0</v>
      </c>
    </row>
    <row r="2801" spans="1:15" x14ac:dyDescent="0.2">
      <c r="A2801" s="6">
        <v>45828</v>
      </c>
      <c r="B2801" t="s">
        <v>15</v>
      </c>
      <c r="C2801" t="s">
        <v>16</v>
      </c>
      <c r="D2801" s="1">
        <v>45855</v>
      </c>
      <c r="E2801" t="s">
        <v>19</v>
      </c>
      <c r="F2801">
        <v>6450</v>
      </c>
      <c r="G2801">
        <v>490.8</v>
      </c>
      <c r="H2801">
        <v>540.70000000000005</v>
      </c>
      <c r="I2801">
        <v>462</v>
      </c>
      <c r="J2801">
        <v>484.1</v>
      </c>
      <c r="K2801">
        <v>486.4</v>
      </c>
      <c r="L2801">
        <v>6122</v>
      </c>
      <c r="M2801" t="s">
        <v>1185</v>
      </c>
      <c r="N2801">
        <v>42525.03</v>
      </c>
      <c r="O2801">
        <v>995</v>
      </c>
    </row>
    <row r="2802" spans="1:15" x14ac:dyDescent="0.2">
      <c r="A2802" s="6">
        <v>45828</v>
      </c>
      <c r="B2802" t="s">
        <v>15</v>
      </c>
      <c r="C2802" t="s">
        <v>16</v>
      </c>
      <c r="D2802" s="1">
        <v>45855</v>
      </c>
      <c r="E2802" t="s">
        <v>19</v>
      </c>
      <c r="F2802">
        <v>6600</v>
      </c>
      <c r="G2802">
        <v>579.5</v>
      </c>
      <c r="H2802">
        <v>645.6</v>
      </c>
      <c r="I2802">
        <v>559.20000000000005</v>
      </c>
      <c r="J2802">
        <v>578.70000000000005</v>
      </c>
      <c r="K2802">
        <v>570.4</v>
      </c>
      <c r="L2802">
        <v>1704</v>
      </c>
      <c r="M2802" t="s">
        <v>1310</v>
      </c>
      <c r="N2802">
        <v>12264.8</v>
      </c>
      <c r="O2802">
        <v>237</v>
      </c>
    </row>
    <row r="2803" spans="1:15" x14ac:dyDescent="0.2">
      <c r="A2803" s="6">
        <v>45828</v>
      </c>
      <c r="B2803" t="s">
        <v>15</v>
      </c>
      <c r="C2803" t="s">
        <v>16</v>
      </c>
      <c r="D2803" s="1">
        <v>45855</v>
      </c>
      <c r="E2803" t="s">
        <v>19</v>
      </c>
      <c r="F2803">
        <v>7300</v>
      </c>
      <c r="J2803">
        <v>923.3</v>
      </c>
      <c r="K2803">
        <v>889.7</v>
      </c>
      <c r="L2803">
        <v>0</v>
      </c>
      <c r="M2803" t="s">
        <v>18</v>
      </c>
      <c r="N2803">
        <v>0</v>
      </c>
      <c r="O2803">
        <v>0</v>
      </c>
    </row>
    <row r="2804" spans="1:15" x14ac:dyDescent="0.2">
      <c r="A2804" s="6">
        <v>45828</v>
      </c>
      <c r="B2804" t="s">
        <v>15</v>
      </c>
      <c r="C2804" t="s">
        <v>16</v>
      </c>
      <c r="D2804" s="1">
        <v>45855</v>
      </c>
      <c r="E2804" t="s">
        <v>17</v>
      </c>
      <c r="F2804">
        <v>7700</v>
      </c>
      <c r="G2804">
        <v>155.80000000000001</v>
      </c>
      <c r="H2804">
        <v>155.80000000000001</v>
      </c>
      <c r="I2804">
        <v>148.6</v>
      </c>
      <c r="J2804">
        <v>155.80000000000001</v>
      </c>
      <c r="K2804">
        <v>14.2</v>
      </c>
      <c r="L2804">
        <v>534</v>
      </c>
      <c r="M2804" t="s">
        <v>1311</v>
      </c>
      <c r="N2804">
        <v>4194.4799999999996</v>
      </c>
      <c r="O2804">
        <v>161</v>
      </c>
    </row>
    <row r="2805" spans="1:15" x14ac:dyDescent="0.2">
      <c r="A2805" s="6">
        <v>45828</v>
      </c>
      <c r="B2805" t="s">
        <v>15</v>
      </c>
      <c r="C2805" t="s">
        <v>16</v>
      </c>
      <c r="D2805" s="1">
        <v>45855</v>
      </c>
      <c r="E2805" t="s">
        <v>17</v>
      </c>
      <c r="F2805">
        <v>7400</v>
      </c>
      <c r="G2805">
        <v>205.1</v>
      </c>
      <c r="H2805">
        <v>227.4</v>
      </c>
      <c r="I2805">
        <v>182.6</v>
      </c>
      <c r="J2805">
        <v>219.6</v>
      </c>
      <c r="K2805">
        <v>235.8</v>
      </c>
      <c r="L2805">
        <v>16763</v>
      </c>
      <c r="M2805" t="s">
        <v>1312</v>
      </c>
      <c r="N2805">
        <v>127543.87</v>
      </c>
      <c r="O2805">
        <v>2558</v>
      </c>
    </row>
    <row r="2806" spans="1:15" x14ac:dyDescent="0.2">
      <c r="A2806" s="6">
        <v>45828</v>
      </c>
      <c r="B2806" t="s">
        <v>15</v>
      </c>
      <c r="C2806" t="s">
        <v>16</v>
      </c>
      <c r="D2806" s="1">
        <v>45855</v>
      </c>
      <c r="E2806" t="s">
        <v>19</v>
      </c>
      <c r="F2806">
        <v>7000</v>
      </c>
      <c r="J2806">
        <v>662.9</v>
      </c>
      <c r="K2806">
        <v>841.6</v>
      </c>
      <c r="L2806">
        <v>0</v>
      </c>
      <c r="M2806" t="s">
        <v>18</v>
      </c>
      <c r="N2806">
        <v>0</v>
      </c>
      <c r="O2806">
        <v>4</v>
      </c>
    </row>
    <row r="2807" spans="1:15" x14ac:dyDescent="0.2">
      <c r="A2807" s="6">
        <v>45828</v>
      </c>
      <c r="B2807" t="s">
        <v>15</v>
      </c>
      <c r="C2807" t="s">
        <v>16</v>
      </c>
      <c r="D2807" s="1">
        <v>45855</v>
      </c>
      <c r="E2807" t="s">
        <v>19</v>
      </c>
      <c r="F2807">
        <v>4350</v>
      </c>
      <c r="J2807">
        <v>0.1</v>
      </c>
      <c r="K2807">
        <v>0.1</v>
      </c>
      <c r="L2807">
        <v>0</v>
      </c>
      <c r="M2807" t="s">
        <v>18</v>
      </c>
      <c r="N2807">
        <v>0</v>
      </c>
      <c r="O2807">
        <v>0</v>
      </c>
    </row>
    <row r="2808" spans="1:15" x14ac:dyDescent="0.2">
      <c r="A2808" s="6">
        <v>45828</v>
      </c>
      <c r="B2808" t="s">
        <v>15</v>
      </c>
      <c r="C2808" t="s">
        <v>16</v>
      </c>
      <c r="D2808" s="1">
        <v>45855</v>
      </c>
      <c r="E2808" t="s">
        <v>19</v>
      </c>
      <c r="F2808">
        <v>4750</v>
      </c>
      <c r="J2808">
        <v>0.2</v>
      </c>
      <c r="K2808">
        <v>0.3</v>
      </c>
      <c r="L2808">
        <v>0</v>
      </c>
      <c r="M2808" t="s">
        <v>18</v>
      </c>
      <c r="N2808">
        <v>0</v>
      </c>
      <c r="O2808">
        <v>0</v>
      </c>
    </row>
    <row r="2809" spans="1:15" x14ac:dyDescent="0.2">
      <c r="A2809" s="6">
        <v>45828</v>
      </c>
      <c r="B2809" t="s">
        <v>15</v>
      </c>
      <c r="C2809" t="s">
        <v>16</v>
      </c>
      <c r="D2809" s="1">
        <v>45855</v>
      </c>
      <c r="E2809" t="s">
        <v>19</v>
      </c>
      <c r="F2809">
        <v>7650</v>
      </c>
      <c r="J2809">
        <v>1251.5</v>
      </c>
      <c r="K2809">
        <v>1211.9000000000001</v>
      </c>
      <c r="L2809">
        <v>0</v>
      </c>
      <c r="M2809" t="s">
        <v>18</v>
      </c>
      <c r="N2809">
        <v>0</v>
      </c>
      <c r="O2809">
        <v>0</v>
      </c>
    </row>
    <row r="2810" spans="1:15" x14ac:dyDescent="0.2">
      <c r="A2810" s="6">
        <v>45828</v>
      </c>
      <c r="B2810" t="s">
        <v>15</v>
      </c>
      <c r="C2810" t="s">
        <v>16</v>
      </c>
      <c r="D2810" s="1">
        <v>45855</v>
      </c>
      <c r="E2810" t="s">
        <v>19</v>
      </c>
      <c r="F2810">
        <v>3850</v>
      </c>
      <c r="J2810">
        <v>0.1</v>
      </c>
      <c r="K2810">
        <v>0.1</v>
      </c>
      <c r="L2810">
        <v>0</v>
      </c>
      <c r="M2810" t="s">
        <v>18</v>
      </c>
      <c r="N2810">
        <v>0</v>
      </c>
      <c r="O2810">
        <v>0</v>
      </c>
    </row>
    <row r="2811" spans="1:15" x14ac:dyDescent="0.2">
      <c r="A2811" s="6">
        <v>45828</v>
      </c>
      <c r="B2811" t="s">
        <v>15</v>
      </c>
      <c r="C2811" t="s">
        <v>16</v>
      </c>
      <c r="D2811" s="1">
        <v>45855</v>
      </c>
      <c r="E2811" t="s">
        <v>19</v>
      </c>
      <c r="F2811">
        <v>6500</v>
      </c>
      <c r="G2811">
        <v>485.9</v>
      </c>
      <c r="H2811">
        <v>573.79999999999995</v>
      </c>
      <c r="I2811">
        <v>485.9</v>
      </c>
      <c r="J2811">
        <v>514.4</v>
      </c>
      <c r="K2811">
        <v>504.6</v>
      </c>
      <c r="L2811">
        <v>12462</v>
      </c>
      <c r="M2811" t="s">
        <v>1313</v>
      </c>
      <c r="N2811">
        <v>87571.69</v>
      </c>
      <c r="O2811">
        <v>977</v>
      </c>
    </row>
    <row r="2812" spans="1:15" x14ac:dyDescent="0.2">
      <c r="A2812" s="6">
        <v>45828</v>
      </c>
      <c r="B2812" t="s">
        <v>15</v>
      </c>
      <c r="C2812" t="s">
        <v>16</v>
      </c>
      <c r="D2812" s="1">
        <v>45855</v>
      </c>
      <c r="E2812" t="s">
        <v>17</v>
      </c>
      <c r="F2812">
        <v>5850</v>
      </c>
      <c r="G2812">
        <v>714.7</v>
      </c>
      <c r="H2812">
        <v>732.2</v>
      </c>
      <c r="I2812">
        <v>714.7</v>
      </c>
      <c r="J2812">
        <v>723.5</v>
      </c>
      <c r="K2812">
        <v>712.1</v>
      </c>
      <c r="L2812">
        <v>2</v>
      </c>
      <c r="M2812" t="s">
        <v>28</v>
      </c>
      <c r="N2812">
        <v>13.15</v>
      </c>
      <c r="O2812">
        <v>3</v>
      </c>
    </row>
    <row r="2813" spans="1:15" x14ac:dyDescent="0.2">
      <c r="A2813" s="6">
        <v>45828</v>
      </c>
      <c r="B2813" t="s">
        <v>15</v>
      </c>
      <c r="C2813" t="s">
        <v>16</v>
      </c>
      <c r="D2813" s="1">
        <v>45855</v>
      </c>
      <c r="E2813" t="s">
        <v>19</v>
      </c>
      <c r="F2813">
        <v>5900</v>
      </c>
      <c r="G2813">
        <v>197.1</v>
      </c>
      <c r="H2813">
        <v>222.4</v>
      </c>
      <c r="I2813">
        <v>180.4</v>
      </c>
      <c r="J2813">
        <v>197.2</v>
      </c>
      <c r="K2813">
        <v>194.8</v>
      </c>
      <c r="L2813">
        <v>16616</v>
      </c>
      <c r="M2813" t="s">
        <v>1314</v>
      </c>
      <c r="N2813">
        <v>101393.06</v>
      </c>
      <c r="O2813">
        <v>723</v>
      </c>
    </row>
    <row r="2814" spans="1:15" x14ac:dyDescent="0.2">
      <c r="A2814" s="6">
        <v>45828</v>
      </c>
      <c r="B2814" t="s">
        <v>15</v>
      </c>
      <c r="C2814" t="s">
        <v>16</v>
      </c>
      <c r="D2814" s="1">
        <v>45855</v>
      </c>
      <c r="E2814" t="s">
        <v>19</v>
      </c>
      <c r="F2814">
        <v>5850</v>
      </c>
      <c r="G2814">
        <v>178.4</v>
      </c>
      <c r="H2814">
        <v>202.5</v>
      </c>
      <c r="I2814">
        <v>165.3</v>
      </c>
      <c r="J2814">
        <v>179</v>
      </c>
      <c r="K2814">
        <v>176.6</v>
      </c>
      <c r="L2814">
        <v>2107</v>
      </c>
      <c r="M2814" t="s">
        <v>1315</v>
      </c>
      <c r="N2814">
        <v>12715.3</v>
      </c>
      <c r="O2814">
        <v>191</v>
      </c>
    </row>
    <row r="2815" spans="1:15" x14ac:dyDescent="0.2">
      <c r="A2815" s="6">
        <v>45828</v>
      </c>
      <c r="B2815" t="s">
        <v>15</v>
      </c>
      <c r="C2815" t="s">
        <v>16</v>
      </c>
      <c r="D2815" s="1">
        <v>45855</v>
      </c>
      <c r="E2815" t="s">
        <v>19</v>
      </c>
      <c r="F2815">
        <v>6000</v>
      </c>
      <c r="G2815">
        <v>237.9</v>
      </c>
      <c r="H2815">
        <v>270</v>
      </c>
      <c r="I2815">
        <v>221</v>
      </c>
      <c r="J2815">
        <v>237</v>
      </c>
      <c r="K2815">
        <v>235.8</v>
      </c>
      <c r="L2815">
        <v>33094</v>
      </c>
      <c r="M2815" t="s">
        <v>1316</v>
      </c>
      <c r="N2815">
        <v>206649.35</v>
      </c>
      <c r="O2815">
        <v>2528</v>
      </c>
    </row>
    <row r="2816" spans="1:15" x14ac:dyDescent="0.2">
      <c r="A2816" s="6">
        <v>45828</v>
      </c>
      <c r="B2816" t="s">
        <v>15</v>
      </c>
      <c r="C2816" t="s">
        <v>16</v>
      </c>
      <c r="D2816" s="1">
        <v>45855</v>
      </c>
      <c r="E2816" t="s">
        <v>19</v>
      </c>
      <c r="F2816">
        <v>6300</v>
      </c>
      <c r="G2816">
        <v>378.5</v>
      </c>
      <c r="H2816">
        <v>440.1</v>
      </c>
      <c r="I2816">
        <v>371.3</v>
      </c>
      <c r="J2816">
        <v>390.7</v>
      </c>
      <c r="K2816">
        <v>386.2</v>
      </c>
      <c r="L2816">
        <v>29469</v>
      </c>
      <c r="M2816" t="s">
        <v>1317</v>
      </c>
      <c r="N2816">
        <v>197562.13</v>
      </c>
      <c r="O2816">
        <v>1535</v>
      </c>
    </row>
    <row r="2817" spans="1:15" x14ac:dyDescent="0.2">
      <c r="A2817" s="6">
        <v>45828</v>
      </c>
      <c r="B2817" t="s">
        <v>15</v>
      </c>
      <c r="C2817" t="s">
        <v>16</v>
      </c>
      <c r="D2817" s="1">
        <v>45855</v>
      </c>
      <c r="E2817" t="s">
        <v>17</v>
      </c>
      <c r="F2817">
        <v>6600</v>
      </c>
      <c r="G2817">
        <v>374.7</v>
      </c>
      <c r="H2817">
        <v>405</v>
      </c>
      <c r="I2817">
        <v>331.2</v>
      </c>
      <c r="J2817">
        <v>390.3</v>
      </c>
      <c r="K2817">
        <v>421</v>
      </c>
      <c r="L2817">
        <v>18788</v>
      </c>
      <c r="M2817" t="s">
        <v>1318</v>
      </c>
      <c r="N2817">
        <v>131015.4</v>
      </c>
      <c r="O2817">
        <v>1440</v>
      </c>
    </row>
    <row r="2818" spans="1:15" x14ac:dyDescent="0.2">
      <c r="A2818" s="6">
        <v>45828</v>
      </c>
      <c r="B2818" t="s">
        <v>15</v>
      </c>
      <c r="C2818" t="s">
        <v>16</v>
      </c>
      <c r="D2818" s="1">
        <v>45855</v>
      </c>
      <c r="E2818" t="s">
        <v>19</v>
      </c>
      <c r="F2818">
        <v>5550</v>
      </c>
      <c r="G2818">
        <v>92.4</v>
      </c>
      <c r="H2818">
        <v>103.8</v>
      </c>
      <c r="I2818">
        <v>82.4</v>
      </c>
      <c r="J2818">
        <v>93.8</v>
      </c>
      <c r="K2818">
        <v>90.2</v>
      </c>
      <c r="L2818">
        <v>1841</v>
      </c>
      <c r="M2818" t="s">
        <v>1319</v>
      </c>
      <c r="N2818">
        <v>10395.209999999999</v>
      </c>
      <c r="O2818">
        <v>135</v>
      </c>
    </row>
    <row r="2819" spans="1:15" x14ac:dyDescent="0.2">
      <c r="A2819" s="6">
        <v>45828</v>
      </c>
      <c r="B2819" t="s">
        <v>15</v>
      </c>
      <c r="C2819" t="s">
        <v>16</v>
      </c>
      <c r="D2819" s="1">
        <v>45855</v>
      </c>
      <c r="E2819" t="s">
        <v>19</v>
      </c>
      <c r="F2819">
        <v>7550</v>
      </c>
      <c r="J2819">
        <v>1155.9000000000001</v>
      </c>
      <c r="K2819">
        <v>1117.8</v>
      </c>
      <c r="L2819">
        <v>0</v>
      </c>
      <c r="M2819" t="s">
        <v>18</v>
      </c>
      <c r="N2819">
        <v>0</v>
      </c>
      <c r="O2819">
        <v>0</v>
      </c>
    </row>
    <row r="2820" spans="1:15" x14ac:dyDescent="0.2">
      <c r="A2820" s="6">
        <v>45828</v>
      </c>
      <c r="B2820" t="s">
        <v>15</v>
      </c>
      <c r="C2820" t="s">
        <v>16</v>
      </c>
      <c r="D2820" s="1">
        <v>45855</v>
      </c>
      <c r="E2820" t="s">
        <v>17</v>
      </c>
      <c r="F2820">
        <v>7600</v>
      </c>
      <c r="G2820">
        <v>187.3</v>
      </c>
      <c r="H2820">
        <v>187.3</v>
      </c>
      <c r="I2820">
        <v>159</v>
      </c>
      <c r="J2820">
        <v>185.5</v>
      </c>
      <c r="K2820">
        <v>211.4</v>
      </c>
      <c r="L2820">
        <v>9410</v>
      </c>
      <c r="M2820" t="s">
        <v>1320</v>
      </c>
      <c r="N2820">
        <v>73196.899999999994</v>
      </c>
      <c r="O2820">
        <v>703</v>
      </c>
    </row>
    <row r="2821" spans="1:15" x14ac:dyDescent="0.2">
      <c r="A2821" s="6">
        <v>45828</v>
      </c>
      <c r="B2821" t="s">
        <v>15</v>
      </c>
      <c r="C2821" t="s">
        <v>16</v>
      </c>
      <c r="D2821" s="1">
        <v>45855</v>
      </c>
      <c r="E2821" t="s">
        <v>19</v>
      </c>
      <c r="F2821">
        <v>7050</v>
      </c>
      <c r="J2821">
        <v>704.4</v>
      </c>
      <c r="K2821">
        <v>676.9</v>
      </c>
      <c r="L2821">
        <v>0</v>
      </c>
      <c r="M2821" t="s">
        <v>18</v>
      </c>
      <c r="N2821">
        <v>0</v>
      </c>
      <c r="O2821">
        <v>0</v>
      </c>
    </row>
    <row r="2822" spans="1:15" x14ac:dyDescent="0.2">
      <c r="A2822" s="6">
        <v>45828</v>
      </c>
      <c r="B2822" t="s">
        <v>15</v>
      </c>
      <c r="C2822" t="s">
        <v>16</v>
      </c>
      <c r="D2822" s="1">
        <v>45855</v>
      </c>
      <c r="E2822" t="s">
        <v>19</v>
      </c>
      <c r="F2822">
        <v>3950</v>
      </c>
      <c r="J2822">
        <v>0.1</v>
      </c>
      <c r="K2822">
        <v>0.1</v>
      </c>
      <c r="L2822">
        <v>0</v>
      </c>
      <c r="M2822" t="s">
        <v>18</v>
      </c>
      <c r="N2822">
        <v>0</v>
      </c>
      <c r="O2822">
        <v>0</v>
      </c>
    </row>
    <row r="2823" spans="1:15" x14ac:dyDescent="0.2">
      <c r="A2823" s="6">
        <v>45828</v>
      </c>
      <c r="B2823" t="s">
        <v>15</v>
      </c>
      <c r="C2823" t="s">
        <v>16</v>
      </c>
      <c r="D2823" s="1">
        <v>45855</v>
      </c>
      <c r="E2823" t="s">
        <v>17</v>
      </c>
      <c r="F2823">
        <v>6400</v>
      </c>
      <c r="G2823">
        <v>444.2</v>
      </c>
      <c r="H2823">
        <v>473.5</v>
      </c>
      <c r="I2823">
        <v>389.6</v>
      </c>
      <c r="J2823">
        <v>458.1</v>
      </c>
      <c r="K2823">
        <v>486.9</v>
      </c>
      <c r="L2823">
        <v>43429</v>
      </c>
      <c r="M2823" t="s">
        <v>1321</v>
      </c>
      <c r="N2823">
        <v>297036.44</v>
      </c>
      <c r="O2823">
        <v>3119</v>
      </c>
    </row>
    <row r="2824" spans="1:15" x14ac:dyDescent="0.2">
      <c r="A2824" s="6">
        <v>45827</v>
      </c>
      <c r="B2824" t="s">
        <v>15</v>
      </c>
      <c r="C2824" t="s">
        <v>16</v>
      </c>
      <c r="D2824" s="1">
        <v>45855</v>
      </c>
      <c r="E2824" t="s">
        <v>19</v>
      </c>
      <c r="F2824">
        <v>6950</v>
      </c>
      <c r="G2824">
        <v>810.8</v>
      </c>
      <c r="H2824">
        <v>837.6</v>
      </c>
      <c r="I2824">
        <v>810.8</v>
      </c>
      <c r="J2824">
        <v>821.8</v>
      </c>
      <c r="K2824">
        <v>691.9</v>
      </c>
      <c r="L2824">
        <v>77</v>
      </c>
      <c r="M2824" t="s">
        <v>689</v>
      </c>
      <c r="N2824">
        <v>598.42999999999995</v>
      </c>
      <c r="O2824">
        <v>71</v>
      </c>
    </row>
    <row r="2825" spans="1:15" x14ac:dyDescent="0.2">
      <c r="A2825" s="6">
        <v>45827</v>
      </c>
      <c r="B2825" t="s">
        <v>15</v>
      </c>
      <c r="C2825" t="s">
        <v>16</v>
      </c>
      <c r="D2825" s="1">
        <v>45855</v>
      </c>
      <c r="E2825" t="s">
        <v>17</v>
      </c>
      <c r="F2825">
        <v>7450</v>
      </c>
      <c r="G2825">
        <v>198.3</v>
      </c>
      <c r="H2825">
        <v>280.89999999999998</v>
      </c>
      <c r="I2825">
        <v>175.2</v>
      </c>
      <c r="J2825">
        <v>222.3</v>
      </c>
      <c r="K2825">
        <v>208.6</v>
      </c>
      <c r="L2825">
        <v>1040</v>
      </c>
      <c r="M2825" t="s">
        <v>1322</v>
      </c>
      <c r="N2825">
        <v>7999.02</v>
      </c>
      <c r="O2825">
        <v>103</v>
      </c>
    </row>
    <row r="2826" spans="1:15" x14ac:dyDescent="0.2">
      <c r="A2826" s="6">
        <v>45827</v>
      </c>
      <c r="B2826" t="s">
        <v>15</v>
      </c>
      <c r="C2826" t="s">
        <v>16</v>
      </c>
      <c r="D2826" s="1">
        <v>45855</v>
      </c>
      <c r="E2826" t="s">
        <v>17</v>
      </c>
      <c r="F2826">
        <v>4350</v>
      </c>
      <c r="J2826">
        <v>2089.4</v>
      </c>
      <c r="K2826">
        <v>1974.7</v>
      </c>
      <c r="L2826">
        <v>0</v>
      </c>
      <c r="M2826" t="s">
        <v>18</v>
      </c>
      <c r="N2826">
        <v>0</v>
      </c>
      <c r="O2826">
        <v>0</v>
      </c>
    </row>
    <row r="2827" spans="1:15" x14ac:dyDescent="0.2">
      <c r="A2827" s="6">
        <v>45827</v>
      </c>
      <c r="B2827" t="s">
        <v>15</v>
      </c>
      <c r="C2827" t="s">
        <v>16</v>
      </c>
      <c r="D2827" s="1">
        <v>45855</v>
      </c>
      <c r="E2827" t="s">
        <v>19</v>
      </c>
      <c r="F2827">
        <v>5200</v>
      </c>
      <c r="G2827">
        <v>49.9</v>
      </c>
      <c r="H2827">
        <v>51.8</v>
      </c>
      <c r="I2827">
        <v>39.200000000000003</v>
      </c>
      <c r="J2827">
        <v>42.1</v>
      </c>
      <c r="K2827">
        <v>51.6</v>
      </c>
      <c r="L2827">
        <v>4814</v>
      </c>
      <c r="M2827" t="s">
        <v>1323</v>
      </c>
      <c r="N2827">
        <v>25254.07</v>
      </c>
      <c r="O2827">
        <v>2733</v>
      </c>
    </row>
    <row r="2828" spans="1:15" x14ac:dyDescent="0.2">
      <c r="A2828" s="6">
        <v>45827</v>
      </c>
      <c r="B2828" t="s">
        <v>15</v>
      </c>
      <c r="C2828" t="s">
        <v>16</v>
      </c>
      <c r="D2828" s="1">
        <v>45855</v>
      </c>
      <c r="E2828" t="s">
        <v>17</v>
      </c>
      <c r="F2828">
        <v>4850</v>
      </c>
      <c r="J2828">
        <v>1592.3</v>
      </c>
      <c r="K2828">
        <v>1478.4</v>
      </c>
      <c r="L2828">
        <v>0</v>
      </c>
      <c r="M2828" t="s">
        <v>18</v>
      </c>
      <c r="N2828">
        <v>0</v>
      </c>
      <c r="O2828">
        <v>0</v>
      </c>
    </row>
    <row r="2829" spans="1:15" x14ac:dyDescent="0.2">
      <c r="A2829" s="6">
        <v>45827</v>
      </c>
      <c r="B2829" t="s">
        <v>15</v>
      </c>
      <c r="C2829" t="s">
        <v>16</v>
      </c>
      <c r="D2829" s="1">
        <v>45855</v>
      </c>
      <c r="E2829" t="s">
        <v>19</v>
      </c>
      <c r="F2829">
        <v>5250</v>
      </c>
      <c r="G2829">
        <v>59.4</v>
      </c>
      <c r="H2829">
        <v>59.4</v>
      </c>
      <c r="I2829">
        <v>45</v>
      </c>
      <c r="J2829">
        <v>47</v>
      </c>
      <c r="K2829">
        <v>57.2</v>
      </c>
      <c r="L2829">
        <v>127</v>
      </c>
      <c r="M2829" t="s">
        <v>403</v>
      </c>
      <c r="N2829">
        <v>673.2</v>
      </c>
      <c r="O2829">
        <v>59</v>
      </c>
    </row>
    <row r="2830" spans="1:15" x14ac:dyDescent="0.2">
      <c r="A2830" s="6">
        <v>45827</v>
      </c>
      <c r="B2830" t="s">
        <v>15</v>
      </c>
      <c r="C2830" t="s">
        <v>16</v>
      </c>
      <c r="D2830" s="1">
        <v>45855</v>
      </c>
      <c r="E2830" t="s">
        <v>17</v>
      </c>
      <c r="F2830">
        <v>5000</v>
      </c>
      <c r="G2830">
        <v>1450</v>
      </c>
      <c r="H2830">
        <v>1450</v>
      </c>
      <c r="I2830">
        <v>1450</v>
      </c>
      <c r="J2830">
        <v>1450</v>
      </c>
      <c r="K2830">
        <v>1246.5999999999999</v>
      </c>
      <c r="L2830">
        <v>1</v>
      </c>
      <c r="M2830" t="s">
        <v>155</v>
      </c>
      <c r="N2830">
        <v>6.45</v>
      </c>
      <c r="O2830">
        <v>5</v>
      </c>
    </row>
    <row r="2831" spans="1:15" x14ac:dyDescent="0.2">
      <c r="A2831" s="6">
        <v>45827</v>
      </c>
      <c r="B2831" t="s">
        <v>15</v>
      </c>
      <c r="C2831" t="s">
        <v>16</v>
      </c>
      <c r="D2831" s="1">
        <v>45855</v>
      </c>
      <c r="E2831" t="s">
        <v>17</v>
      </c>
      <c r="F2831">
        <v>4100</v>
      </c>
      <c r="J2831">
        <v>2338.3000000000002</v>
      </c>
      <c r="K2831">
        <v>2223.4</v>
      </c>
      <c r="L2831">
        <v>0</v>
      </c>
      <c r="M2831" t="s">
        <v>18</v>
      </c>
      <c r="N2831">
        <v>0</v>
      </c>
      <c r="O2831">
        <v>0</v>
      </c>
    </row>
    <row r="2832" spans="1:15" x14ac:dyDescent="0.2">
      <c r="A2832" s="6">
        <v>45827</v>
      </c>
      <c r="B2832" t="s">
        <v>15</v>
      </c>
      <c r="C2832" t="s">
        <v>16</v>
      </c>
      <c r="D2832" s="1">
        <v>45855</v>
      </c>
      <c r="E2832" t="s">
        <v>17</v>
      </c>
      <c r="F2832">
        <v>4400</v>
      </c>
      <c r="J2832">
        <v>2039.7</v>
      </c>
      <c r="K2832">
        <v>1924.9</v>
      </c>
      <c r="L2832">
        <v>0</v>
      </c>
      <c r="M2832" t="s">
        <v>18</v>
      </c>
      <c r="N2832">
        <v>0</v>
      </c>
      <c r="O2832">
        <v>0</v>
      </c>
    </row>
    <row r="2833" spans="1:15" x14ac:dyDescent="0.2">
      <c r="A2833" s="6">
        <v>45827</v>
      </c>
      <c r="B2833" t="s">
        <v>15</v>
      </c>
      <c r="C2833" t="s">
        <v>16</v>
      </c>
      <c r="D2833" s="1">
        <v>45855</v>
      </c>
      <c r="E2833" t="s">
        <v>17</v>
      </c>
      <c r="F2833">
        <v>4750</v>
      </c>
      <c r="J2833">
        <v>1691.6</v>
      </c>
      <c r="K2833">
        <v>1577.3</v>
      </c>
      <c r="L2833">
        <v>0</v>
      </c>
      <c r="M2833" t="s">
        <v>18</v>
      </c>
      <c r="N2833">
        <v>0</v>
      </c>
      <c r="O2833">
        <v>0</v>
      </c>
    </row>
    <row r="2834" spans="1:15" x14ac:dyDescent="0.2">
      <c r="A2834" s="6">
        <v>45827</v>
      </c>
      <c r="B2834" t="s">
        <v>15</v>
      </c>
      <c r="C2834" t="s">
        <v>16</v>
      </c>
      <c r="D2834" s="1">
        <v>45855</v>
      </c>
      <c r="E2834" t="s">
        <v>17</v>
      </c>
      <c r="F2834">
        <v>5300</v>
      </c>
      <c r="G2834">
        <v>1107.5999999999999</v>
      </c>
      <c r="H2834">
        <v>1250</v>
      </c>
      <c r="I2834">
        <v>1107.5999999999999</v>
      </c>
      <c r="J2834">
        <v>1142.4000000000001</v>
      </c>
      <c r="K2834">
        <v>1050.2</v>
      </c>
      <c r="L2834">
        <v>5</v>
      </c>
      <c r="M2834" t="s">
        <v>26</v>
      </c>
      <c r="N2834">
        <v>32.21</v>
      </c>
      <c r="O2834">
        <v>16</v>
      </c>
    </row>
    <row r="2835" spans="1:15" x14ac:dyDescent="0.2">
      <c r="A2835" s="6">
        <v>45827</v>
      </c>
      <c r="B2835" t="s">
        <v>15</v>
      </c>
      <c r="C2835" t="s">
        <v>16</v>
      </c>
      <c r="D2835" s="1">
        <v>45855</v>
      </c>
      <c r="E2835" t="s">
        <v>19</v>
      </c>
      <c r="F2835">
        <v>7200</v>
      </c>
      <c r="J2835">
        <v>802.4</v>
      </c>
      <c r="K2835">
        <v>905</v>
      </c>
      <c r="L2835">
        <v>0</v>
      </c>
      <c r="M2835" t="s">
        <v>18</v>
      </c>
      <c r="N2835">
        <v>0</v>
      </c>
      <c r="O2835">
        <v>0</v>
      </c>
    </row>
    <row r="2836" spans="1:15" x14ac:dyDescent="0.2">
      <c r="A2836" s="6">
        <v>45827</v>
      </c>
      <c r="B2836" t="s">
        <v>15</v>
      </c>
      <c r="C2836" t="s">
        <v>16</v>
      </c>
      <c r="D2836" s="1">
        <v>45855</v>
      </c>
      <c r="E2836" t="s">
        <v>17</v>
      </c>
      <c r="F2836">
        <v>4450</v>
      </c>
      <c r="J2836">
        <v>1989.9</v>
      </c>
      <c r="K2836">
        <v>1875.2</v>
      </c>
      <c r="L2836">
        <v>0</v>
      </c>
      <c r="M2836" t="s">
        <v>18</v>
      </c>
      <c r="N2836">
        <v>0</v>
      </c>
      <c r="O2836">
        <v>0</v>
      </c>
    </row>
    <row r="2837" spans="1:15" x14ac:dyDescent="0.2">
      <c r="A2837" s="6">
        <v>45827</v>
      </c>
      <c r="B2837" t="s">
        <v>15</v>
      </c>
      <c r="C2837" t="s">
        <v>16</v>
      </c>
      <c r="D2837" s="1">
        <v>45855</v>
      </c>
      <c r="E2837" t="s">
        <v>19</v>
      </c>
      <c r="F2837">
        <v>6150</v>
      </c>
      <c r="G2837">
        <v>348.6</v>
      </c>
      <c r="H2837">
        <v>349.1</v>
      </c>
      <c r="I2837">
        <v>271.2</v>
      </c>
      <c r="J2837">
        <v>302.60000000000002</v>
      </c>
      <c r="K2837">
        <v>362.2</v>
      </c>
      <c r="L2837">
        <v>3507</v>
      </c>
      <c r="M2837" t="s">
        <v>1324</v>
      </c>
      <c r="N2837">
        <v>22634.46</v>
      </c>
      <c r="O2837">
        <v>352</v>
      </c>
    </row>
    <row r="2838" spans="1:15" x14ac:dyDescent="0.2">
      <c r="A2838" s="6">
        <v>45827</v>
      </c>
      <c r="B2838" t="s">
        <v>15</v>
      </c>
      <c r="C2838" t="s">
        <v>16</v>
      </c>
      <c r="D2838" s="1">
        <v>45855</v>
      </c>
      <c r="E2838" t="s">
        <v>17</v>
      </c>
      <c r="F2838">
        <v>4950</v>
      </c>
      <c r="J2838">
        <v>1493.3</v>
      </c>
      <c r="K2838">
        <v>1379.9</v>
      </c>
      <c r="L2838">
        <v>0</v>
      </c>
      <c r="M2838" t="s">
        <v>18</v>
      </c>
      <c r="N2838">
        <v>0</v>
      </c>
      <c r="O2838">
        <v>0</v>
      </c>
    </row>
    <row r="2839" spans="1:15" x14ac:dyDescent="0.2">
      <c r="A2839" s="6">
        <v>45827</v>
      </c>
      <c r="B2839" t="s">
        <v>15</v>
      </c>
      <c r="C2839" t="s">
        <v>16</v>
      </c>
      <c r="D2839" s="1">
        <v>45855</v>
      </c>
      <c r="E2839" t="s">
        <v>17</v>
      </c>
      <c r="F2839">
        <v>6200</v>
      </c>
      <c r="G2839">
        <v>540</v>
      </c>
      <c r="H2839">
        <v>680.5</v>
      </c>
      <c r="I2839">
        <v>471.4</v>
      </c>
      <c r="J2839">
        <v>568</v>
      </c>
      <c r="K2839">
        <v>520.1</v>
      </c>
      <c r="L2839">
        <v>5182</v>
      </c>
      <c r="M2839" t="s">
        <v>1325</v>
      </c>
      <c r="N2839">
        <v>35209.300000000003</v>
      </c>
      <c r="O2839">
        <v>1339</v>
      </c>
    </row>
    <row r="2840" spans="1:15" x14ac:dyDescent="0.2">
      <c r="A2840" s="6">
        <v>45827</v>
      </c>
      <c r="B2840" t="s">
        <v>15</v>
      </c>
      <c r="C2840" t="s">
        <v>16</v>
      </c>
      <c r="D2840" s="1">
        <v>45855</v>
      </c>
      <c r="E2840" t="s">
        <v>17</v>
      </c>
      <c r="F2840">
        <v>5700</v>
      </c>
      <c r="G2840">
        <v>787</v>
      </c>
      <c r="H2840">
        <v>980</v>
      </c>
      <c r="I2840">
        <v>615</v>
      </c>
      <c r="J2840">
        <v>837.8</v>
      </c>
      <c r="K2840">
        <v>788.4</v>
      </c>
      <c r="L2840">
        <v>99</v>
      </c>
      <c r="M2840" t="s">
        <v>960</v>
      </c>
      <c r="N2840">
        <v>651.28</v>
      </c>
      <c r="O2840">
        <v>558</v>
      </c>
    </row>
    <row r="2841" spans="1:15" x14ac:dyDescent="0.2">
      <c r="A2841" s="6">
        <v>45827</v>
      </c>
      <c r="B2841" t="s">
        <v>15</v>
      </c>
      <c r="C2841" t="s">
        <v>16</v>
      </c>
      <c r="D2841" s="1">
        <v>45855</v>
      </c>
      <c r="E2841" t="s">
        <v>17</v>
      </c>
      <c r="F2841">
        <v>4900</v>
      </c>
      <c r="J2841">
        <v>1542.8</v>
      </c>
      <c r="K2841">
        <v>1340.9</v>
      </c>
      <c r="L2841">
        <v>0</v>
      </c>
      <c r="M2841" t="s">
        <v>18</v>
      </c>
      <c r="N2841">
        <v>0</v>
      </c>
      <c r="O2841">
        <v>1</v>
      </c>
    </row>
    <row r="2842" spans="1:15" x14ac:dyDescent="0.2">
      <c r="A2842" s="6">
        <v>45827</v>
      </c>
      <c r="B2842" t="s">
        <v>15</v>
      </c>
      <c r="C2842" t="s">
        <v>16</v>
      </c>
      <c r="D2842" s="1">
        <v>45855</v>
      </c>
      <c r="E2842" t="s">
        <v>19</v>
      </c>
      <c r="F2842">
        <v>3900</v>
      </c>
      <c r="J2842">
        <v>0.1</v>
      </c>
      <c r="K2842">
        <v>0.1</v>
      </c>
      <c r="L2842">
        <v>0</v>
      </c>
      <c r="M2842" t="s">
        <v>18</v>
      </c>
      <c r="N2842">
        <v>0</v>
      </c>
      <c r="O2842">
        <v>0</v>
      </c>
    </row>
    <row r="2843" spans="1:15" x14ac:dyDescent="0.2">
      <c r="A2843" s="6">
        <v>45827</v>
      </c>
      <c r="B2843" t="s">
        <v>15</v>
      </c>
      <c r="C2843" t="s">
        <v>16</v>
      </c>
      <c r="D2843" s="1">
        <v>45855</v>
      </c>
      <c r="E2843" t="s">
        <v>17</v>
      </c>
      <c r="F2843">
        <v>5950</v>
      </c>
      <c r="G2843">
        <v>669.1</v>
      </c>
      <c r="H2843">
        <v>727</v>
      </c>
      <c r="I2843">
        <v>669.1</v>
      </c>
      <c r="J2843">
        <v>711.6</v>
      </c>
      <c r="K2843">
        <v>625.79999999999995</v>
      </c>
      <c r="L2843">
        <v>15</v>
      </c>
      <c r="M2843" t="s">
        <v>278</v>
      </c>
      <c r="N2843">
        <v>99.88</v>
      </c>
      <c r="O2843">
        <v>44</v>
      </c>
    </row>
    <row r="2844" spans="1:15" x14ac:dyDescent="0.2">
      <c r="A2844" s="6">
        <v>45827</v>
      </c>
      <c r="B2844" t="s">
        <v>15</v>
      </c>
      <c r="C2844" t="s">
        <v>16</v>
      </c>
      <c r="D2844" s="1">
        <v>45855</v>
      </c>
      <c r="E2844" t="s">
        <v>17</v>
      </c>
      <c r="F2844">
        <v>4800</v>
      </c>
      <c r="J2844">
        <v>1641.9</v>
      </c>
      <c r="K2844">
        <v>1527.8</v>
      </c>
      <c r="L2844">
        <v>0</v>
      </c>
      <c r="M2844" t="s">
        <v>18</v>
      </c>
      <c r="N2844">
        <v>0</v>
      </c>
      <c r="O2844">
        <v>0</v>
      </c>
    </row>
    <row r="2845" spans="1:15" x14ac:dyDescent="0.2">
      <c r="A2845" s="6">
        <v>45827</v>
      </c>
      <c r="B2845" t="s">
        <v>15</v>
      </c>
      <c r="C2845" t="s">
        <v>16</v>
      </c>
      <c r="D2845" s="1">
        <v>45855</v>
      </c>
      <c r="E2845" t="s">
        <v>19</v>
      </c>
      <c r="F2845">
        <v>4200</v>
      </c>
      <c r="J2845">
        <v>0.1</v>
      </c>
      <c r="K2845">
        <v>0.1</v>
      </c>
      <c r="L2845">
        <v>0</v>
      </c>
      <c r="M2845" t="s">
        <v>18</v>
      </c>
      <c r="N2845">
        <v>0</v>
      </c>
      <c r="O2845">
        <v>0</v>
      </c>
    </row>
    <row r="2846" spans="1:15" x14ac:dyDescent="0.2">
      <c r="A2846" s="6">
        <v>45827</v>
      </c>
      <c r="B2846" t="s">
        <v>15</v>
      </c>
      <c r="C2846" t="s">
        <v>16</v>
      </c>
      <c r="D2846" s="1">
        <v>45855</v>
      </c>
      <c r="E2846" t="s">
        <v>19</v>
      </c>
      <c r="F2846">
        <v>3600</v>
      </c>
      <c r="J2846">
        <v>0.1</v>
      </c>
      <c r="K2846">
        <v>0.1</v>
      </c>
      <c r="L2846">
        <v>0</v>
      </c>
      <c r="M2846" t="s">
        <v>18</v>
      </c>
      <c r="N2846">
        <v>0</v>
      </c>
      <c r="O2846">
        <v>0</v>
      </c>
    </row>
    <row r="2847" spans="1:15" x14ac:dyDescent="0.2">
      <c r="A2847" s="6">
        <v>45827</v>
      </c>
      <c r="B2847" t="s">
        <v>15</v>
      </c>
      <c r="C2847" t="s">
        <v>16</v>
      </c>
      <c r="D2847" s="1">
        <v>45855</v>
      </c>
      <c r="E2847" t="s">
        <v>17</v>
      </c>
      <c r="F2847">
        <v>7300</v>
      </c>
      <c r="G2847">
        <v>228.4</v>
      </c>
      <c r="H2847">
        <v>311.8</v>
      </c>
      <c r="I2847">
        <v>215.8</v>
      </c>
      <c r="J2847">
        <v>251.2</v>
      </c>
      <c r="K2847">
        <v>229.9</v>
      </c>
      <c r="L2847">
        <v>7999</v>
      </c>
      <c r="M2847" t="s">
        <v>1326</v>
      </c>
      <c r="N2847">
        <v>60552.79</v>
      </c>
      <c r="O2847">
        <v>1132</v>
      </c>
    </row>
    <row r="2848" spans="1:15" x14ac:dyDescent="0.2">
      <c r="A2848" s="6">
        <v>45827</v>
      </c>
      <c r="B2848" t="s">
        <v>15</v>
      </c>
      <c r="C2848" t="s">
        <v>16</v>
      </c>
      <c r="D2848" s="1">
        <v>45855</v>
      </c>
      <c r="E2848" t="s">
        <v>19</v>
      </c>
      <c r="F2848">
        <v>4900</v>
      </c>
      <c r="G2848">
        <v>31</v>
      </c>
      <c r="H2848">
        <v>33.200000000000003</v>
      </c>
      <c r="I2848">
        <v>27.2</v>
      </c>
      <c r="J2848">
        <v>28.2</v>
      </c>
      <c r="K2848">
        <v>33</v>
      </c>
      <c r="L2848">
        <v>1017</v>
      </c>
      <c r="M2848" t="s">
        <v>1327</v>
      </c>
      <c r="N2848">
        <v>5013.66</v>
      </c>
      <c r="O2848">
        <v>106</v>
      </c>
    </row>
    <row r="2849" spans="1:15" x14ac:dyDescent="0.2">
      <c r="A2849" s="6">
        <v>45827</v>
      </c>
      <c r="B2849" t="s">
        <v>15</v>
      </c>
      <c r="C2849" t="s">
        <v>16</v>
      </c>
      <c r="D2849" s="1">
        <v>45855</v>
      </c>
      <c r="E2849" t="s">
        <v>17</v>
      </c>
      <c r="F2849">
        <v>5100</v>
      </c>
      <c r="G2849">
        <v>1320</v>
      </c>
      <c r="H2849">
        <v>1320</v>
      </c>
      <c r="I2849">
        <v>1320</v>
      </c>
      <c r="J2849">
        <v>1320</v>
      </c>
      <c r="K2849">
        <v>1233.5999999999999</v>
      </c>
      <c r="L2849">
        <v>1</v>
      </c>
      <c r="M2849" t="s">
        <v>155</v>
      </c>
      <c r="N2849">
        <v>6.42</v>
      </c>
      <c r="O2849">
        <v>5</v>
      </c>
    </row>
    <row r="2850" spans="1:15" x14ac:dyDescent="0.2">
      <c r="A2850" s="6">
        <v>45827</v>
      </c>
      <c r="B2850" t="s">
        <v>15</v>
      </c>
      <c r="C2850" t="s">
        <v>16</v>
      </c>
      <c r="D2850" s="1">
        <v>45855</v>
      </c>
      <c r="E2850" t="s">
        <v>19</v>
      </c>
      <c r="F2850">
        <v>5100</v>
      </c>
      <c r="G2850">
        <v>41.9</v>
      </c>
      <c r="H2850">
        <v>43.2</v>
      </c>
      <c r="I2850">
        <v>33</v>
      </c>
      <c r="J2850">
        <v>34.1</v>
      </c>
      <c r="K2850">
        <v>42.2</v>
      </c>
      <c r="L2850">
        <v>3457</v>
      </c>
      <c r="M2850" t="s">
        <v>633</v>
      </c>
      <c r="N2850">
        <v>17764.099999999999</v>
      </c>
      <c r="O2850">
        <v>1055</v>
      </c>
    </row>
    <row r="2851" spans="1:15" x14ac:dyDescent="0.2">
      <c r="A2851" s="6">
        <v>45827</v>
      </c>
      <c r="B2851" t="s">
        <v>15</v>
      </c>
      <c r="C2851" t="s">
        <v>16</v>
      </c>
      <c r="D2851" s="1">
        <v>45855</v>
      </c>
      <c r="E2851" t="s">
        <v>17</v>
      </c>
      <c r="F2851">
        <v>5250</v>
      </c>
      <c r="J2851">
        <v>1199.5</v>
      </c>
      <c r="K2851">
        <v>1089.7</v>
      </c>
      <c r="L2851">
        <v>0</v>
      </c>
      <c r="M2851" t="s">
        <v>18</v>
      </c>
      <c r="N2851">
        <v>0</v>
      </c>
      <c r="O2851">
        <v>0</v>
      </c>
    </row>
    <row r="2852" spans="1:15" x14ac:dyDescent="0.2">
      <c r="A2852" s="6">
        <v>45827</v>
      </c>
      <c r="B2852" t="s">
        <v>15</v>
      </c>
      <c r="C2852" t="s">
        <v>16</v>
      </c>
      <c r="D2852" s="1">
        <v>45855</v>
      </c>
      <c r="E2852" t="s">
        <v>17</v>
      </c>
      <c r="F2852">
        <v>4200</v>
      </c>
      <c r="J2852">
        <v>2238.6999999999998</v>
      </c>
      <c r="K2852">
        <v>2123.9</v>
      </c>
      <c r="L2852">
        <v>0</v>
      </c>
      <c r="M2852" t="s">
        <v>18</v>
      </c>
      <c r="N2852">
        <v>0</v>
      </c>
      <c r="O2852">
        <v>0</v>
      </c>
    </row>
    <row r="2853" spans="1:15" x14ac:dyDescent="0.2">
      <c r="A2853" s="6">
        <v>45827</v>
      </c>
      <c r="B2853" t="s">
        <v>15</v>
      </c>
      <c r="C2853" t="s">
        <v>16</v>
      </c>
      <c r="D2853" s="1">
        <v>45855</v>
      </c>
      <c r="E2853" t="s">
        <v>19</v>
      </c>
      <c r="F2853">
        <v>6650</v>
      </c>
      <c r="G2853">
        <v>655.7</v>
      </c>
      <c r="H2853">
        <v>655.7</v>
      </c>
      <c r="I2853">
        <v>511.9</v>
      </c>
      <c r="J2853">
        <v>605.9</v>
      </c>
      <c r="K2853">
        <v>703.6</v>
      </c>
      <c r="L2853">
        <v>161</v>
      </c>
      <c r="M2853" t="s">
        <v>1328</v>
      </c>
      <c r="N2853">
        <v>1167.28</v>
      </c>
      <c r="O2853">
        <v>22</v>
      </c>
    </row>
    <row r="2854" spans="1:15" x14ac:dyDescent="0.2">
      <c r="A2854" s="6">
        <v>45827</v>
      </c>
      <c r="B2854" t="s">
        <v>15</v>
      </c>
      <c r="C2854" t="s">
        <v>16</v>
      </c>
      <c r="D2854" s="1">
        <v>45855</v>
      </c>
      <c r="E2854" t="s">
        <v>19</v>
      </c>
      <c r="F2854">
        <v>6050</v>
      </c>
      <c r="G2854">
        <v>297.3</v>
      </c>
      <c r="H2854">
        <v>297.39999999999998</v>
      </c>
      <c r="I2854">
        <v>231.9</v>
      </c>
      <c r="J2854">
        <v>257.10000000000002</v>
      </c>
      <c r="K2854">
        <v>309.60000000000002</v>
      </c>
      <c r="L2854">
        <v>3084</v>
      </c>
      <c r="M2854" t="s">
        <v>1329</v>
      </c>
      <c r="N2854">
        <v>19457.669999999998</v>
      </c>
      <c r="O2854">
        <v>158</v>
      </c>
    </row>
    <row r="2855" spans="1:15" x14ac:dyDescent="0.2">
      <c r="A2855" s="6">
        <v>45827</v>
      </c>
      <c r="B2855" t="s">
        <v>15</v>
      </c>
      <c r="C2855" t="s">
        <v>16</v>
      </c>
      <c r="D2855" s="1">
        <v>45855</v>
      </c>
      <c r="E2855" t="s">
        <v>19</v>
      </c>
      <c r="F2855">
        <v>6550</v>
      </c>
      <c r="G2855">
        <v>585.70000000000005</v>
      </c>
      <c r="H2855">
        <v>585.70000000000005</v>
      </c>
      <c r="I2855">
        <v>490</v>
      </c>
      <c r="J2855">
        <v>530</v>
      </c>
      <c r="K2855">
        <v>614.5</v>
      </c>
      <c r="L2855">
        <v>2415</v>
      </c>
      <c r="M2855" t="s">
        <v>1330</v>
      </c>
      <c r="N2855">
        <v>17064.990000000002</v>
      </c>
      <c r="O2855">
        <v>93</v>
      </c>
    </row>
    <row r="2856" spans="1:15" x14ac:dyDescent="0.2">
      <c r="A2856" s="6">
        <v>45827</v>
      </c>
      <c r="B2856" t="s">
        <v>15</v>
      </c>
      <c r="C2856" t="s">
        <v>16</v>
      </c>
      <c r="D2856" s="1">
        <v>45855</v>
      </c>
      <c r="E2856" t="s">
        <v>17</v>
      </c>
      <c r="F2856">
        <v>4650</v>
      </c>
      <c r="J2856">
        <v>1790.9</v>
      </c>
      <c r="K2856">
        <v>1676.4</v>
      </c>
      <c r="L2856">
        <v>0</v>
      </c>
      <c r="M2856" t="s">
        <v>18</v>
      </c>
      <c r="N2856">
        <v>0</v>
      </c>
      <c r="O2856">
        <v>0</v>
      </c>
    </row>
    <row r="2857" spans="1:15" x14ac:dyDescent="0.2">
      <c r="A2857" s="6">
        <v>45827</v>
      </c>
      <c r="B2857" t="s">
        <v>15</v>
      </c>
      <c r="C2857" t="s">
        <v>16</v>
      </c>
      <c r="D2857" s="1">
        <v>45855</v>
      </c>
      <c r="E2857" t="s">
        <v>19</v>
      </c>
      <c r="F2857">
        <v>4550</v>
      </c>
      <c r="J2857">
        <v>0.1</v>
      </c>
      <c r="K2857">
        <v>0.2</v>
      </c>
      <c r="L2857">
        <v>0</v>
      </c>
      <c r="M2857" t="s">
        <v>18</v>
      </c>
      <c r="N2857">
        <v>0</v>
      </c>
      <c r="O2857">
        <v>0</v>
      </c>
    </row>
    <row r="2858" spans="1:15" x14ac:dyDescent="0.2">
      <c r="A2858" s="6">
        <v>45827</v>
      </c>
      <c r="B2858" t="s">
        <v>15</v>
      </c>
      <c r="C2858" t="s">
        <v>16</v>
      </c>
      <c r="D2858" s="1">
        <v>45855</v>
      </c>
      <c r="E2858" t="s">
        <v>17</v>
      </c>
      <c r="F2858">
        <v>3600</v>
      </c>
      <c r="J2858">
        <v>2836</v>
      </c>
      <c r="K2858">
        <v>2721.1</v>
      </c>
      <c r="L2858">
        <v>0</v>
      </c>
      <c r="M2858" t="s">
        <v>18</v>
      </c>
      <c r="N2858">
        <v>0</v>
      </c>
      <c r="O2858">
        <v>0</v>
      </c>
    </row>
    <row r="2859" spans="1:15" x14ac:dyDescent="0.2">
      <c r="A2859" s="6">
        <v>45827</v>
      </c>
      <c r="B2859" t="s">
        <v>15</v>
      </c>
      <c r="C2859" t="s">
        <v>16</v>
      </c>
      <c r="D2859" s="1">
        <v>45855</v>
      </c>
      <c r="E2859" t="s">
        <v>19</v>
      </c>
      <c r="F2859">
        <v>5450</v>
      </c>
      <c r="G2859">
        <v>92</v>
      </c>
      <c r="H2859">
        <v>92</v>
      </c>
      <c r="I2859">
        <v>66.400000000000006</v>
      </c>
      <c r="J2859">
        <v>73.099999999999994</v>
      </c>
      <c r="K2859">
        <v>92.3</v>
      </c>
      <c r="L2859">
        <v>309</v>
      </c>
      <c r="M2859" t="s">
        <v>1331</v>
      </c>
      <c r="N2859">
        <v>1708.27</v>
      </c>
      <c r="O2859">
        <v>57</v>
      </c>
    </row>
    <row r="2860" spans="1:15" x14ac:dyDescent="0.2">
      <c r="A2860" s="6">
        <v>45827</v>
      </c>
      <c r="B2860" t="s">
        <v>15</v>
      </c>
      <c r="C2860" t="s">
        <v>16</v>
      </c>
      <c r="D2860" s="1">
        <v>45855</v>
      </c>
      <c r="E2860" t="s">
        <v>17</v>
      </c>
      <c r="F2860">
        <v>7500</v>
      </c>
      <c r="G2860">
        <v>181.5</v>
      </c>
      <c r="H2860">
        <v>274.10000000000002</v>
      </c>
      <c r="I2860">
        <v>181.5</v>
      </c>
      <c r="J2860">
        <v>223.3</v>
      </c>
      <c r="K2860">
        <v>203.9</v>
      </c>
      <c r="L2860">
        <v>19355</v>
      </c>
      <c r="M2860" t="s">
        <v>1332</v>
      </c>
      <c r="N2860">
        <v>149785.42000000001</v>
      </c>
      <c r="O2860">
        <v>2593</v>
      </c>
    </row>
    <row r="2861" spans="1:15" x14ac:dyDescent="0.2">
      <c r="A2861" s="6">
        <v>45827</v>
      </c>
      <c r="B2861" t="s">
        <v>15</v>
      </c>
      <c r="C2861" t="s">
        <v>16</v>
      </c>
      <c r="D2861" s="1">
        <v>45855</v>
      </c>
      <c r="E2861" t="s">
        <v>19</v>
      </c>
      <c r="F2861">
        <v>5800</v>
      </c>
      <c r="G2861">
        <v>182.3</v>
      </c>
      <c r="H2861">
        <v>201</v>
      </c>
      <c r="I2861">
        <v>142.1</v>
      </c>
      <c r="J2861">
        <v>159.69999999999999</v>
      </c>
      <c r="K2861">
        <v>196.2</v>
      </c>
      <c r="L2861">
        <v>11905</v>
      </c>
      <c r="M2861" t="s">
        <v>1333</v>
      </c>
      <c r="N2861">
        <v>71002.94</v>
      </c>
      <c r="O2861">
        <v>1456</v>
      </c>
    </row>
    <row r="2862" spans="1:15" x14ac:dyDescent="0.2">
      <c r="A2862" s="6">
        <v>45827</v>
      </c>
      <c r="B2862" t="s">
        <v>15</v>
      </c>
      <c r="C2862" t="s">
        <v>16</v>
      </c>
      <c r="D2862" s="1">
        <v>45855</v>
      </c>
      <c r="E2862" t="s">
        <v>17</v>
      </c>
      <c r="F2862">
        <v>6700</v>
      </c>
      <c r="G2862">
        <v>351.8</v>
      </c>
      <c r="H2862">
        <v>467.8</v>
      </c>
      <c r="I2862">
        <v>329.8</v>
      </c>
      <c r="J2862">
        <v>389.6</v>
      </c>
      <c r="K2862">
        <v>352.6</v>
      </c>
      <c r="L2862">
        <v>19299</v>
      </c>
      <c r="M2862" t="s">
        <v>1334</v>
      </c>
      <c r="N2862">
        <v>137266.01999999999</v>
      </c>
      <c r="O2862">
        <v>1479</v>
      </c>
    </row>
    <row r="2863" spans="1:15" x14ac:dyDescent="0.2">
      <c r="A2863" s="6">
        <v>45827</v>
      </c>
      <c r="B2863" t="s">
        <v>15</v>
      </c>
      <c r="C2863" t="s">
        <v>16</v>
      </c>
      <c r="D2863" s="1">
        <v>45855</v>
      </c>
      <c r="E2863" t="s">
        <v>19</v>
      </c>
      <c r="F2863">
        <v>7150</v>
      </c>
      <c r="J2863">
        <v>759.8</v>
      </c>
      <c r="K2863">
        <v>861</v>
      </c>
      <c r="L2863">
        <v>0</v>
      </c>
      <c r="M2863" t="s">
        <v>18</v>
      </c>
      <c r="N2863">
        <v>0</v>
      </c>
      <c r="O2863">
        <v>0</v>
      </c>
    </row>
    <row r="2864" spans="1:15" x14ac:dyDescent="0.2">
      <c r="A2864" s="6">
        <v>45827</v>
      </c>
      <c r="B2864" t="s">
        <v>15</v>
      </c>
      <c r="C2864" t="s">
        <v>16</v>
      </c>
      <c r="D2864" s="1">
        <v>45855</v>
      </c>
      <c r="E2864" t="s">
        <v>17</v>
      </c>
      <c r="F2864">
        <v>3650</v>
      </c>
      <c r="J2864">
        <v>2786.2</v>
      </c>
      <c r="K2864">
        <v>2671.3</v>
      </c>
      <c r="L2864">
        <v>0</v>
      </c>
      <c r="M2864" t="s">
        <v>18</v>
      </c>
      <c r="N2864">
        <v>0</v>
      </c>
      <c r="O2864">
        <v>0</v>
      </c>
    </row>
    <row r="2865" spans="1:15" x14ac:dyDescent="0.2">
      <c r="A2865" s="6">
        <v>45827</v>
      </c>
      <c r="B2865" t="s">
        <v>15</v>
      </c>
      <c r="C2865" t="s">
        <v>16</v>
      </c>
      <c r="D2865" s="1">
        <v>45855</v>
      </c>
      <c r="E2865" t="s">
        <v>19</v>
      </c>
      <c r="F2865">
        <v>6400</v>
      </c>
      <c r="G2865">
        <v>502.4</v>
      </c>
      <c r="H2865">
        <v>502.5</v>
      </c>
      <c r="I2865">
        <v>401.9</v>
      </c>
      <c r="J2865">
        <v>444.5</v>
      </c>
      <c r="K2865">
        <v>514</v>
      </c>
      <c r="L2865">
        <v>29126</v>
      </c>
      <c r="M2865" t="s">
        <v>1335</v>
      </c>
      <c r="N2865">
        <v>199294.93</v>
      </c>
      <c r="O2865">
        <v>1453</v>
      </c>
    </row>
    <row r="2866" spans="1:15" x14ac:dyDescent="0.2">
      <c r="A2866" s="6">
        <v>45827</v>
      </c>
      <c r="B2866" t="s">
        <v>15</v>
      </c>
      <c r="C2866" t="s">
        <v>16</v>
      </c>
      <c r="D2866" s="1">
        <v>45855</v>
      </c>
      <c r="E2866" t="s">
        <v>17</v>
      </c>
      <c r="F2866">
        <v>6800</v>
      </c>
      <c r="G2866">
        <v>329.5</v>
      </c>
      <c r="H2866">
        <v>435.3</v>
      </c>
      <c r="I2866">
        <v>300</v>
      </c>
      <c r="J2866">
        <v>365.4</v>
      </c>
      <c r="K2866">
        <v>330.3</v>
      </c>
      <c r="L2866">
        <v>13838</v>
      </c>
      <c r="M2866" t="s">
        <v>1336</v>
      </c>
      <c r="N2866">
        <v>99354.7</v>
      </c>
      <c r="O2866">
        <v>1214</v>
      </c>
    </row>
    <row r="2867" spans="1:15" x14ac:dyDescent="0.2">
      <c r="A2867" s="6">
        <v>45827</v>
      </c>
      <c r="B2867" t="s">
        <v>15</v>
      </c>
      <c r="C2867" t="s">
        <v>16</v>
      </c>
      <c r="D2867" s="1">
        <v>45855</v>
      </c>
      <c r="E2867" t="s">
        <v>17</v>
      </c>
      <c r="F2867">
        <v>6900</v>
      </c>
      <c r="G2867">
        <v>300</v>
      </c>
      <c r="H2867">
        <v>405</v>
      </c>
      <c r="I2867">
        <v>285</v>
      </c>
      <c r="J2867">
        <v>340.4</v>
      </c>
      <c r="K2867">
        <v>305.5</v>
      </c>
      <c r="L2867">
        <v>8771</v>
      </c>
      <c r="M2867" t="s">
        <v>1337</v>
      </c>
      <c r="N2867">
        <v>63649.95</v>
      </c>
      <c r="O2867">
        <v>1430</v>
      </c>
    </row>
    <row r="2868" spans="1:15" x14ac:dyDescent="0.2">
      <c r="A2868" s="6">
        <v>45827</v>
      </c>
      <c r="B2868" t="s">
        <v>15</v>
      </c>
      <c r="C2868" t="s">
        <v>16</v>
      </c>
      <c r="D2868" s="1">
        <v>45855</v>
      </c>
      <c r="E2868" t="s">
        <v>17</v>
      </c>
      <c r="F2868">
        <v>6650</v>
      </c>
      <c r="G2868">
        <v>369.5</v>
      </c>
      <c r="H2868">
        <v>486.4</v>
      </c>
      <c r="I2868">
        <v>315.89999999999998</v>
      </c>
      <c r="J2868">
        <v>402.8</v>
      </c>
      <c r="K2868">
        <v>365.9</v>
      </c>
      <c r="L2868">
        <v>3617</v>
      </c>
      <c r="M2868" t="s">
        <v>1338</v>
      </c>
      <c r="N2868">
        <v>25634.400000000001</v>
      </c>
      <c r="O2868">
        <v>273</v>
      </c>
    </row>
    <row r="2869" spans="1:15" x14ac:dyDescent="0.2">
      <c r="A2869" s="6">
        <v>45827</v>
      </c>
      <c r="B2869" t="s">
        <v>15</v>
      </c>
      <c r="C2869" t="s">
        <v>16</v>
      </c>
      <c r="D2869" s="1">
        <v>45855</v>
      </c>
      <c r="E2869" t="s">
        <v>17</v>
      </c>
      <c r="F2869">
        <v>6850</v>
      </c>
      <c r="G2869">
        <v>319.2</v>
      </c>
      <c r="H2869">
        <v>421.3</v>
      </c>
      <c r="I2869">
        <v>301.39999999999998</v>
      </c>
      <c r="J2869">
        <v>350.7</v>
      </c>
      <c r="K2869">
        <v>313.7</v>
      </c>
      <c r="L2869">
        <v>1505</v>
      </c>
      <c r="M2869" t="s">
        <v>1339</v>
      </c>
      <c r="N2869">
        <v>10869.96</v>
      </c>
      <c r="O2869">
        <v>168</v>
      </c>
    </row>
    <row r="2870" spans="1:15" x14ac:dyDescent="0.2">
      <c r="A2870" s="6">
        <v>45827</v>
      </c>
      <c r="B2870" t="s">
        <v>15</v>
      </c>
      <c r="C2870" t="s">
        <v>16</v>
      </c>
      <c r="D2870" s="1">
        <v>45855</v>
      </c>
      <c r="E2870" t="s">
        <v>19</v>
      </c>
      <c r="F2870">
        <v>3750</v>
      </c>
      <c r="J2870">
        <v>0.1</v>
      </c>
      <c r="K2870">
        <v>0.1</v>
      </c>
      <c r="L2870">
        <v>0</v>
      </c>
      <c r="M2870" t="s">
        <v>18</v>
      </c>
      <c r="N2870">
        <v>0</v>
      </c>
      <c r="O2870">
        <v>0</v>
      </c>
    </row>
    <row r="2871" spans="1:15" x14ac:dyDescent="0.2">
      <c r="A2871" s="6">
        <v>45827</v>
      </c>
      <c r="B2871" t="s">
        <v>15</v>
      </c>
      <c r="C2871" t="s">
        <v>16</v>
      </c>
      <c r="D2871" s="1">
        <v>45855</v>
      </c>
      <c r="E2871" t="s">
        <v>17</v>
      </c>
      <c r="F2871">
        <v>7350</v>
      </c>
      <c r="G2871">
        <v>217.7</v>
      </c>
      <c r="H2871">
        <v>300</v>
      </c>
      <c r="I2871">
        <v>207</v>
      </c>
      <c r="J2871">
        <v>243.7</v>
      </c>
      <c r="K2871">
        <v>222.9</v>
      </c>
      <c r="L2871">
        <v>1777</v>
      </c>
      <c r="M2871" t="s">
        <v>1340</v>
      </c>
      <c r="N2871">
        <v>13524.81</v>
      </c>
      <c r="O2871">
        <v>318</v>
      </c>
    </row>
    <row r="2872" spans="1:15" x14ac:dyDescent="0.2">
      <c r="A2872" s="6">
        <v>45827</v>
      </c>
      <c r="B2872" t="s">
        <v>15</v>
      </c>
      <c r="C2872" t="s">
        <v>16</v>
      </c>
      <c r="D2872" s="1">
        <v>45855</v>
      </c>
      <c r="E2872" t="s">
        <v>19</v>
      </c>
      <c r="F2872">
        <v>4700</v>
      </c>
      <c r="J2872">
        <v>0.2</v>
      </c>
      <c r="K2872">
        <v>0.6</v>
      </c>
      <c r="L2872">
        <v>0</v>
      </c>
      <c r="M2872" t="s">
        <v>18</v>
      </c>
      <c r="N2872">
        <v>0</v>
      </c>
      <c r="O2872">
        <v>0</v>
      </c>
    </row>
    <row r="2873" spans="1:15" x14ac:dyDescent="0.2">
      <c r="A2873" s="6">
        <v>45827</v>
      </c>
      <c r="B2873" t="s">
        <v>15</v>
      </c>
      <c r="C2873" t="s">
        <v>16</v>
      </c>
      <c r="D2873" s="1">
        <v>45855</v>
      </c>
      <c r="E2873" t="s">
        <v>17</v>
      </c>
      <c r="F2873">
        <v>6050</v>
      </c>
      <c r="G2873">
        <v>590</v>
      </c>
      <c r="H2873">
        <v>745</v>
      </c>
      <c r="I2873">
        <v>577.4</v>
      </c>
      <c r="J2873">
        <v>655.6</v>
      </c>
      <c r="K2873">
        <v>583.20000000000005</v>
      </c>
      <c r="L2873">
        <v>41</v>
      </c>
      <c r="M2873" t="s">
        <v>272</v>
      </c>
      <c r="N2873">
        <v>275.36</v>
      </c>
      <c r="O2873">
        <v>46</v>
      </c>
    </row>
    <row r="2874" spans="1:15" x14ac:dyDescent="0.2">
      <c r="A2874" s="6">
        <v>45827</v>
      </c>
      <c r="B2874" t="s">
        <v>15</v>
      </c>
      <c r="C2874" t="s">
        <v>16</v>
      </c>
      <c r="D2874" s="1">
        <v>45855</v>
      </c>
      <c r="E2874" t="s">
        <v>17</v>
      </c>
      <c r="F2874">
        <v>3750</v>
      </c>
      <c r="J2874">
        <v>2686.7</v>
      </c>
      <c r="K2874">
        <v>2571.8000000000002</v>
      </c>
      <c r="L2874">
        <v>0</v>
      </c>
      <c r="M2874" t="s">
        <v>18</v>
      </c>
      <c r="N2874">
        <v>0</v>
      </c>
      <c r="O2874">
        <v>0</v>
      </c>
    </row>
    <row r="2875" spans="1:15" x14ac:dyDescent="0.2">
      <c r="A2875" s="6">
        <v>45827</v>
      </c>
      <c r="B2875" t="s">
        <v>15</v>
      </c>
      <c r="C2875" t="s">
        <v>16</v>
      </c>
      <c r="D2875" s="1">
        <v>45855</v>
      </c>
      <c r="E2875" t="s">
        <v>17</v>
      </c>
      <c r="F2875">
        <v>7150</v>
      </c>
      <c r="G2875">
        <v>245</v>
      </c>
      <c r="H2875">
        <v>339.5</v>
      </c>
      <c r="I2875">
        <v>203.1</v>
      </c>
      <c r="J2875">
        <v>286.3</v>
      </c>
      <c r="K2875">
        <v>254.4</v>
      </c>
      <c r="L2875">
        <v>363</v>
      </c>
      <c r="M2875" t="s">
        <v>1341</v>
      </c>
      <c r="N2875">
        <v>2707.33</v>
      </c>
      <c r="O2875">
        <v>74</v>
      </c>
    </row>
    <row r="2876" spans="1:15" x14ac:dyDescent="0.2">
      <c r="A2876" s="6">
        <v>45827</v>
      </c>
      <c r="B2876" t="s">
        <v>15</v>
      </c>
      <c r="C2876" t="s">
        <v>16</v>
      </c>
      <c r="D2876" s="1">
        <v>45855</v>
      </c>
      <c r="E2876" t="s">
        <v>19</v>
      </c>
      <c r="F2876">
        <v>6750</v>
      </c>
      <c r="G2876">
        <v>717.5</v>
      </c>
      <c r="H2876">
        <v>717.5</v>
      </c>
      <c r="I2876">
        <v>666</v>
      </c>
      <c r="J2876">
        <v>683.2</v>
      </c>
      <c r="K2876">
        <v>829.7</v>
      </c>
      <c r="L2876">
        <v>3</v>
      </c>
      <c r="M2876" t="s">
        <v>34</v>
      </c>
      <c r="N2876">
        <v>22.3</v>
      </c>
      <c r="O2876">
        <v>4</v>
      </c>
    </row>
    <row r="2877" spans="1:15" x14ac:dyDescent="0.2">
      <c r="A2877" s="6">
        <v>45827</v>
      </c>
      <c r="B2877" t="s">
        <v>15</v>
      </c>
      <c r="C2877" t="s">
        <v>16</v>
      </c>
      <c r="D2877" s="1">
        <v>45855</v>
      </c>
      <c r="E2877" t="s">
        <v>19</v>
      </c>
      <c r="F2877">
        <v>5400</v>
      </c>
      <c r="G2877">
        <v>78.2</v>
      </c>
      <c r="H2877">
        <v>79</v>
      </c>
      <c r="I2877">
        <v>59.1</v>
      </c>
      <c r="J2877">
        <v>65.099999999999994</v>
      </c>
      <c r="K2877">
        <v>82.3</v>
      </c>
      <c r="L2877">
        <v>4834</v>
      </c>
      <c r="M2877" t="s">
        <v>1342</v>
      </c>
      <c r="N2877">
        <v>26442.74</v>
      </c>
      <c r="O2877">
        <v>1654</v>
      </c>
    </row>
    <row r="2878" spans="1:15" x14ac:dyDescent="0.2">
      <c r="A2878" s="6">
        <v>45827</v>
      </c>
      <c r="B2878" t="s">
        <v>15</v>
      </c>
      <c r="C2878" t="s">
        <v>16</v>
      </c>
      <c r="D2878" s="1">
        <v>45855</v>
      </c>
      <c r="E2878" t="s">
        <v>19</v>
      </c>
      <c r="F2878">
        <v>5700</v>
      </c>
      <c r="G2878">
        <v>132.69999999999999</v>
      </c>
      <c r="H2878">
        <v>156.1</v>
      </c>
      <c r="I2878">
        <v>114.3</v>
      </c>
      <c r="J2878">
        <v>128.5</v>
      </c>
      <c r="K2878">
        <v>160</v>
      </c>
      <c r="L2878">
        <v>7791</v>
      </c>
      <c r="M2878" t="s">
        <v>1343</v>
      </c>
      <c r="N2878">
        <v>45462.54</v>
      </c>
      <c r="O2878">
        <v>1195</v>
      </c>
    </row>
    <row r="2879" spans="1:15" x14ac:dyDescent="0.2">
      <c r="A2879" s="6">
        <v>45827</v>
      </c>
      <c r="B2879" t="s">
        <v>15</v>
      </c>
      <c r="C2879" t="s">
        <v>16</v>
      </c>
      <c r="D2879" s="1">
        <v>45855</v>
      </c>
      <c r="E2879" t="s">
        <v>19</v>
      </c>
      <c r="F2879">
        <v>5300</v>
      </c>
      <c r="G2879">
        <v>63.9</v>
      </c>
      <c r="H2879">
        <v>64.400000000000006</v>
      </c>
      <c r="I2879">
        <v>47.7</v>
      </c>
      <c r="J2879">
        <v>51.3</v>
      </c>
      <c r="K2879">
        <v>64</v>
      </c>
      <c r="L2879">
        <v>4740</v>
      </c>
      <c r="M2879" t="s">
        <v>1344</v>
      </c>
      <c r="N2879">
        <v>25388.03</v>
      </c>
      <c r="O2879">
        <v>1571</v>
      </c>
    </row>
    <row r="2880" spans="1:15" x14ac:dyDescent="0.2">
      <c r="A2880" s="6">
        <v>45827</v>
      </c>
      <c r="B2880" t="s">
        <v>15</v>
      </c>
      <c r="C2880" t="s">
        <v>16</v>
      </c>
      <c r="D2880" s="1">
        <v>45855</v>
      </c>
      <c r="E2880" t="s">
        <v>19</v>
      </c>
      <c r="F2880">
        <v>5050</v>
      </c>
      <c r="G2880">
        <v>38.6</v>
      </c>
      <c r="H2880">
        <v>39.6</v>
      </c>
      <c r="I2880">
        <v>30.4</v>
      </c>
      <c r="J2880">
        <v>32.5</v>
      </c>
      <c r="K2880">
        <v>39.6</v>
      </c>
      <c r="L2880">
        <v>117</v>
      </c>
      <c r="M2880" t="s">
        <v>603</v>
      </c>
      <c r="N2880">
        <v>595.09</v>
      </c>
      <c r="O2880">
        <v>32</v>
      </c>
    </row>
    <row r="2881" spans="1:15" x14ac:dyDescent="0.2">
      <c r="A2881" s="6">
        <v>45827</v>
      </c>
      <c r="B2881" t="s">
        <v>15</v>
      </c>
      <c r="C2881" t="s">
        <v>16</v>
      </c>
      <c r="D2881" s="1">
        <v>45855</v>
      </c>
      <c r="E2881" t="s">
        <v>19</v>
      </c>
      <c r="F2881">
        <v>3700</v>
      </c>
      <c r="J2881">
        <v>0.1</v>
      </c>
      <c r="K2881">
        <v>0.1</v>
      </c>
      <c r="L2881">
        <v>0</v>
      </c>
      <c r="M2881" t="s">
        <v>18</v>
      </c>
      <c r="N2881">
        <v>0</v>
      </c>
      <c r="O2881">
        <v>0</v>
      </c>
    </row>
    <row r="2882" spans="1:15" x14ac:dyDescent="0.2">
      <c r="A2882" s="6">
        <v>45827</v>
      </c>
      <c r="B2882" t="s">
        <v>15</v>
      </c>
      <c r="C2882" t="s">
        <v>16</v>
      </c>
      <c r="D2882" s="1">
        <v>45855</v>
      </c>
      <c r="E2882" t="s">
        <v>19</v>
      </c>
      <c r="F2882">
        <v>4450</v>
      </c>
      <c r="J2882">
        <v>0.1</v>
      </c>
      <c r="K2882">
        <v>0.1</v>
      </c>
      <c r="L2882">
        <v>0</v>
      </c>
      <c r="M2882" t="s">
        <v>18</v>
      </c>
      <c r="N2882">
        <v>0</v>
      </c>
      <c r="O2882">
        <v>0</v>
      </c>
    </row>
    <row r="2883" spans="1:15" x14ac:dyDescent="0.2">
      <c r="A2883" s="6">
        <v>45827</v>
      </c>
      <c r="B2883" t="s">
        <v>15</v>
      </c>
      <c r="C2883" t="s">
        <v>16</v>
      </c>
      <c r="D2883" s="1">
        <v>45855</v>
      </c>
      <c r="E2883" t="s">
        <v>19</v>
      </c>
      <c r="F2883">
        <v>4250</v>
      </c>
      <c r="J2883">
        <v>0.1</v>
      </c>
      <c r="K2883">
        <v>0.1</v>
      </c>
      <c r="L2883">
        <v>0</v>
      </c>
      <c r="M2883" t="s">
        <v>18</v>
      </c>
      <c r="N2883">
        <v>0</v>
      </c>
      <c r="O2883">
        <v>0</v>
      </c>
    </row>
    <row r="2884" spans="1:15" x14ac:dyDescent="0.2">
      <c r="A2884" s="6">
        <v>45827</v>
      </c>
      <c r="B2884" t="s">
        <v>15</v>
      </c>
      <c r="C2884" t="s">
        <v>16</v>
      </c>
      <c r="D2884" s="1">
        <v>45855</v>
      </c>
      <c r="E2884" t="s">
        <v>17</v>
      </c>
      <c r="F2884">
        <v>3850</v>
      </c>
      <c r="J2884">
        <v>2587.1</v>
      </c>
      <c r="K2884">
        <v>2472.1999999999998</v>
      </c>
      <c r="L2884">
        <v>0</v>
      </c>
      <c r="M2884" t="s">
        <v>18</v>
      </c>
      <c r="N2884">
        <v>0</v>
      </c>
      <c r="O2884">
        <v>0</v>
      </c>
    </row>
    <row r="2885" spans="1:15" x14ac:dyDescent="0.2">
      <c r="A2885" s="6">
        <v>45827</v>
      </c>
      <c r="B2885" t="s">
        <v>15</v>
      </c>
      <c r="C2885" t="s">
        <v>16</v>
      </c>
      <c r="D2885" s="1">
        <v>45855</v>
      </c>
      <c r="E2885" t="s">
        <v>17</v>
      </c>
      <c r="F2885">
        <v>6550</v>
      </c>
      <c r="G2885">
        <v>401.5</v>
      </c>
      <c r="H2885">
        <v>525</v>
      </c>
      <c r="I2885">
        <v>364.8</v>
      </c>
      <c r="J2885">
        <v>439.9</v>
      </c>
      <c r="K2885">
        <v>395.3</v>
      </c>
      <c r="L2885">
        <v>9901</v>
      </c>
      <c r="M2885" t="s">
        <v>1345</v>
      </c>
      <c r="N2885">
        <v>69519.210000000006</v>
      </c>
      <c r="O2885">
        <v>609</v>
      </c>
    </row>
    <row r="2886" spans="1:15" x14ac:dyDescent="0.2">
      <c r="A2886" s="6">
        <v>45827</v>
      </c>
      <c r="B2886" t="s">
        <v>15</v>
      </c>
      <c r="C2886" t="s">
        <v>16</v>
      </c>
      <c r="D2886" s="1">
        <v>45855</v>
      </c>
      <c r="E2886" t="s">
        <v>19</v>
      </c>
      <c r="F2886">
        <v>4950</v>
      </c>
      <c r="G2886">
        <v>33.4</v>
      </c>
      <c r="H2886">
        <v>35.1</v>
      </c>
      <c r="I2886">
        <v>30</v>
      </c>
      <c r="J2886">
        <v>32.6</v>
      </c>
      <c r="K2886">
        <v>35.6</v>
      </c>
      <c r="L2886">
        <v>14</v>
      </c>
      <c r="M2886" t="s">
        <v>217</v>
      </c>
      <c r="N2886">
        <v>69.760000000000005</v>
      </c>
      <c r="O2886">
        <v>5</v>
      </c>
    </row>
    <row r="2887" spans="1:15" x14ac:dyDescent="0.2">
      <c r="A2887" s="6">
        <v>45827</v>
      </c>
      <c r="B2887" t="s">
        <v>15</v>
      </c>
      <c r="C2887" t="s">
        <v>16</v>
      </c>
      <c r="D2887" s="1">
        <v>45855</v>
      </c>
      <c r="E2887" t="s">
        <v>19</v>
      </c>
      <c r="F2887">
        <v>6800</v>
      </c>
      <c r="G2887">
        <v>736</v>
      </c>
      <c r="H2887">
        <v>751.9</v>
      </c>
      <c r="I2887">
        <v>654.9</v>
      </c>
      <c r="J2887">
        <v>714.6</v>
      </c>
      <c r="K2887">
        <v>795.9</v>
      </c>
      <c r="L2887">
        <v>203</v>
      </c>
      <c r="M2887" t="s">
        <v>1346</v>
      </c>
      <c r="N2887">
        <v>1521.69</v>
      </c>
      <c r="O2887">
        <v>64</v>
      </c>
    </row>
    <row r="2888" spans="1:15" x14ac:dyDescent="0.2">
      <c r="A2888" s="6">
        <v>45827</v>
      </c>
      <c r="B2888" t="s">
        <v>15</v>
      </c>
      <c r="C2888" t="s">
        <v>16</v>
      </c>
      <c r="D2888" s="1">
        <v>45855</v>
      </c>
      <c r="E2888" t="s">
        <v>17</v>
      </c>
      <c r="F2888">
        <v>5600</v>
      </c>
      <c r="G2888">
        <v>881.5</v>
      </c>
      <c r="H2888">
        <v>1040.4000000000001</v>
      </c>
      <c r="I2888">
        <v>881.5</v>
      </c>
      <c r="J2888">
        <v>1003.8</v>
      </c>
      <c r="K2888">
        <v>835.2</v>
      </c>
      <c r="L2888">
        <v>77</v>
      </c>
      <c r="M2888" t="s">
        <v>689</v>
      </c>
      <c r="N2888">
        <v>505.18</v>
      </c>
      <c r="O2888">
        <v>310</v>
      </c>
    </row>
    <row r="2889" spans="1:15" x14ac:dyDescent="0.2">
      <c r="A2889" s="6">
        <v>45827</v>
      </c>
      <c r="B2889" t="s">
        <v>15</v>
      </c>
      <c r="C2889" t="s">
        <v>16</v>
      </c>
      <c r="D2889" s="1">
        <v>45855</v>
      </c>
      <c r="E2889" t="s">
        <v>17</v>
      </c>
      <c r="F2889">
        <v>6750</v>
      </c>
      <c r="G2889">
        <v>330</v>
      </c>
      <c r="H2889">
        <v>452.8</v>
      </c>
      <c r="I2889">
        <v>323.5</v>
      </c>
      <c r="J2889">
        <v>382</v>
      </c>
      <c r="K2889">
        <v>339.1</v>
      </c>
      <c r="L2889">
        <v>1345</v>
      </c>
      <c r="M2889" t="s">
        <v>1347</v>
      </c>
      <c r="N2889">
        <v>9617.82</v>
      </c>
      <c r="O2889">
        <v>106</v>
      </c>
    </row>
    <row r="2890" spans="1:15" x14ac:dyDescent="0.2">
      <c r="A2890" s="6">
        <v>45827</v>
      </c>
      <c r="B2890" t="s">
        <v>15</v>
      </c>
      <c r="C2890" t="s">
        <v>16</v>
      </c>
      <c r="D2890" s="1">
        <v>45855</v>
      </c>
      <c r="E2890" t="s">
        <v>17</v>
      </c>
      <c r="F2890">
        <v>3800</v>
      </c>
      <c r="J2890">
        <v>2636.9</v>
      </c>
      <c r="K2890">
        <v>2522</v>
      </c>
      <c r="L2890">
        <v>0</v>
      </c>
      <c r="M2890" t="s">
        <v>18</v>
      </c>
      <c r="N2890">
        <v>0</v>
      </c>
      <c r="O2890">
        <v>0</v>
      </c>
    </row>
    <row r="2891" spans="1:15" x14ac:dyDescent="0.2">
      <c r="A2891" s="6">
        <v>45827</v>
      </c>
      <c r="B2891" t="s">
        <v>15</v>
      </c>
      <c r="C2891" t="s">
        <v>16</v>
      </c>
      <c r="D2891" s="1">
        <v>45855</v>
      </c>
      <c r="E2891" t="s">
        <v>19</v>
      </c>
      <c r="F2891">
        <v>4600</v>
      </c>
      <c r="J2891">
        <v>0.1</v>
      </c>
      <c r="K2891">
        <v>0.3</v>
      </c>
      <c r="L2891">
        <v>0</v>
      </c>
      <c r="M2891" t="s">
        <v>18</v>
      </c>
      <c r="N2891">
        <v>0</v>
      </c>
      <c r="O2891">
        <v>0</v>
      </c>
    </row>
    <row r="2892" spans="1:15" x14ac:dyDescent="0.2">
      <c r="A2892" s="6">
        <v>45827</v>
      </c>
      <c r="B2892" t="s">
        <v>15</v>
      </c>
      <c r="C2892" t="s">
        <v>16</v>
      </c>
      <c r="D2892" s="1">
        <v>45855</v>
      </c>
      <c r="E2892" t="s">
        <v>17</v>
      </c>
      <c r="F2892">
        <v>5550</v>
      </c>
      <c r="J2892">
        <v>916.8</v>
      </c>
      <c r="K2892">
        <v>815.4</v>
      </c>
      <c r="L2892">
        <v>0</v>
      </c>
      <c r="M2892" t="s">
        <v>18</v>
      </c>
      <c r="N2892">
        <v>0</v>
      </c>
      <c r="O2892">
        <v>1</v>
      </c>
    </row>
    <row r="2893" spans="1:15" x14ac:dyDescent="0.2">
      <c r="A2893" s="6">
        <v>45827</v>
      </c>
      <c r="B2893" t="s">
        <v>15</v>
      </c>
      <c r="C2893" t="s">
        <v>16</v>
      </c>
      <c r="D2893" s="1">
        <v>45855</v>
      </c>
      <c r="E2893" t="s">
        <v>19</v>
      </c>
      <c r="F2893">
        <v>6200</v>
      </c>
      <c r="G2893">
        <v>378.2</v>
      </c>
      <c r="H2893">
        <v>379.8</v>
      </c>
      <c r="I2893">
        <v>296.10000000000002</v>
      </c>
      <c r="J2893">
        <v>329.6</v>
      </c>
      <c r="K2893">
        <v>390</v>
      </c>
      <c r="L2893">
        <v>24252</v>
      </c>
      <c r="M2893" t="s">
        <v>1011</v>
      </c>
      <c r="N2893">
        <v>158383.49</v>
      </c>
      <c r="O2893">
        <v>1327</v>
      </c>
    </row>
    <row r="2894" spans="1:15" x14ac:dyDescent="0.2">
      <c r="A2894" s="6">
        <v>45827</v>
      </c>
      <c r="B2894" t="s">
        <v>15</v>
      </c>
      <c r="C2894" t="s">
        <v>16</v>
      </c>
      <c r="D2894" s="1">
        <v>45855</v>
      </c>
      <c r="E2894" t="s">
        <v>17</v>
      </c>
      <c r="F2894">
        <v>7250</v>
      </c>
      <c r="G2894">
        <v>209</v>
      </c>
      <c r="H2894">
        <v>320</v>
      </c>
      <c r="I2894">
        <v>209</v>
      </c>
      <c r="J2894">
        <v>264.39999999999998</v>
      </c>
      <c r="K2894">
        <v>238.2</v>
      </c>
      <c r="L2894">
        <v>147</v>
      </c>
      <c r="M2894" t="s">
        <v>1348</v>
      </c>
      <c r="N2894">
        <v>1108</v>
      </c>
      <c r="O2894">
        <v>27</v>
      </c>
    </row>
    <row r="2895" spans="1:15" x14ac:dyDescent="0.2">
      <c r="A2895" s="6">
        <v>45827</v>
      </c>
      <c r="B2895" t="s">
        <v>15</v>
      </c>
      <c r="C2895" t="s">
        <v>16</v>
      </c>
      <c r="D2895" s="1">
        <v>45855</v>
      </c>
      <c r="E2895" t="s">
        <v>19</v>
      </c>
      <c r="F2895">
        <v>4800</v>
      </c>
      <c r="G2895">
        <v>28.4</v>
      </c>
      <c r="H2895">
        <v>28.4</v>
      </c>
      <c r="I2895">
        <v>24.3</v>
      </c>
      <c r="J2895">
        <v>25.8</v>
      </c>
      <c r="K2895">
        <v>29.5</v>
      </c>
      <c r="L2895">
        <v>774</v>
      </c>
      <c r="M2895" t="s">
        <v>1349</v>
      </c>
      <c r="N2895">
        <v>3735.94</v>
      </c>
      <c r="O2895">
        <v>348</v>
      </c>
    </row>
    <row r="2896" spans="1:15" x14ac:dyDescent="0.2">
      <c r="A2896" s="6">
        <v>45827</v>
      </c>
      <c r="B2896" t="s">
        <v>15</v>
      </c>
      <c r="C2896" t="s">
        <v>16</v>
      </c>
      <c r="D2896" s="1">
        <v>45855</v>
      </c>
      <c r="E2896" t="s">
        <v>19</v>
      </c>
      <c r="F2896">
        <v>7600</v>
      </c>
      <c r="J2896">
        <v>1164.7</v>
      </c>
      <c r="K2896">
        <v>1274.7</v>
      </c>
      <c r="L2896">
        <v>0</v>
      </c>
      <c r="M2896" t="s">
        <v>18</v>
      </c>
      <c r="N2896">
        <v>0</v>
      </c>
      <c r="O2896">
        <v>0</v>
      </c>
    </row>
    <row r="2897" spans="1:15" x14ac:dyDescent="0.2">
      <c r="A2897" s="6">
        <v>45827</v>
      </c>
      <c r="B2897" t="s">
        <v>15</v>
      </c>
      <c r="C2897" t="s">
        <v>16</v>
      </c>
      <c r="D2897" s="1">
        <v>45855</v>
      </c>
      <c r="E2897" t="s">
        <v>17</v>
      </c>
      <c r="F2897">
        <v>5750</v>
      </c>
      <c r="J2897">
        <v>740.8</v>
      </c>
      <c r="K2897">
        <v>648.4</v>
      </c>
      <c r="L2897">
        <v>0</v>
      </c>
      <c r="M2897" t="s">
        <v>18</v>
      </c>
      <c r="N2897">
        <v>0</v>
      </c>
      <c r="O2897">
        <v>15</v>
      </c>
    </row>
    <row r="2898" spans="1:15" x14ac:dyDescent="0.2">
      <c r="A2898" s="6">
        <v>45827</v>
      </c>
      <c r="B2898" t="s">
        <v>15</v>
      </c>
      <c r="C2898" t="s">
        <v>16</v>
      </c>
      <c r="D2898" s="1">
        <v>45855</v>
      </c>
      <c r="E2898" t="s">
        <v>17</v>
      </c>
      <c r="F2898">
        <v>7100</v>
      </c>
      <c r="G2898">
        <v>264.8</v>
      </c>
      <c r="H2898">
        <v>355.1</v>
      </c>
      <c r="I2898">
        <v>240.1</v>
      </c>
      <c r="J2898">
        <v>295.8</v>
      </c>
      <c r="K2898">
        <v>266.7</v>
      </c>
      <c r="L2898">
        <v>4779</v>
      </c>
      <c r="M2898" t="s">
        <v>1350</v>
      </c>
      <c r="N2898">
        <v>35400.92</v>
      </c>
      <c r="O2898">
        <v>527</v>
      </c>
    </row>
    <row r="2899" spans="1:15" x14ac:dyDescent="0.2">
      <c r="A2899" s="6">
        <v>45827</v>
      </c>
      <c r="B2899" t="s">
        <v>15</v>
      </c>
      <c r="C2899" t="s">
        <v>16</v>
      </c>
      <c r="D2899" s="1">
        <v>45855</v>
      </c>
      <c r="E2899" t="s">
        <v>17</v>
      </c>
      <c r="F2899">
        <v>6500</v>
      </c>
      <c r="G2899">
        <v>416.4</v>
      </c>
      <c r="H2899">
        <v>545</v>
      </c>
      <c r="I2899">
        <v>382.5</v>
      </c>
      <c r="J2899">
        <v>452.1</v>
      </c>
      <c r="K2899">
        <v>410.7</v>
      </c>
      <c r="L2899">
        <v>53828</v>
      </c>
      <c r="M2899" t="s">
        <v>1351</v>
      </c>
      <c r="N2899">
        <v>375865.03</v>
      </c>
      <c r="O2899">
        <v>3756</v>
      </c>
    </row>
    <row r="2900" spans="1:15" x14ac:dyDescent="0.2">
      <c r="A2900" s="6">
        <v>45827</v>
      </c>
      <c r="B2900" t="s">
        <v>15</v>
      </c>
      <c r="C2900" t="s">
        <v>16</v>
      </c>
      <c r="D2900" s="1">
        <v>45855</v>
      </c>
      <c r="E2900" t="s">
        <v>19</v>
      </c>
      <c r="F2900">
        <v>5500</v>
      </c>
      <c r="G2900">
        <v>99</v>
      </c>
      <c r="H2900">
        <v>101</v>
      </c>
      <c r="I2900">
        <v>73</v>
      </c>
      <c r="J2900">
        <v>81.099999999999994</v>
      </c>
      <c r="K2900">
        <v>102.9</v>
      </c>
      <c r="L2900">
        <v>10397</v>
      </c>
      <c r="M2900" t="s">
        <v>664</v>
      </c>
      <c r="N2900">
        <v>58086.64</v>
      </c>
      <c r="O2900">
        <v>2870</v>
      </c>
    </row>
    <row r="2901" spans="1:15" x14ac:dyDescent="0.2">
      <c r="A2901" s="6">
        <v>45827</v>
      </c>
      <c r="B2901" t="s">
        <v>15</v>
      </c>
      <c r="C2901" t="s">
        <v>16</v>
      </c>
      <c r="D2901" s="1">
        <v>45855</v>
      </c>
      <c r="E2901" t="s">
        <v>19</v>
      </c>
      <c r="F2901">
        <v>4500</v>
      </c>
      <c r="G2901">
        <v>21.8</v>
      </c>
      <c r="H2901">
        <v>22.5</v>
      </c>
      <c r="I2901">
        <v>18.3</v>
      </c>
      <c r="J2901">
        <v>19.399999999999999</v>
      </c>
      <c r="K2901">
        <v>20.7</v>
      </c>
      <c r="L2901">
        <v>1349</v>
      </c>
      <c r="M2901" t="s">
        <v>1352</v>
      </c>
      <c r="N2901">
        <v>6096.97</v>
      </c>
      <c r="O2901">
        <v>416</v>
      </c>
    </row>
    <row r="2902" spans="1:15" x14ac:dyDescent="0.2">
      <c r="A2902" s="6">
        <v>45827</v>
      </c>
      <c r="B2902" t="s">
        <v>15</v>
      </c>
      <c r="C2902" t="s">
        <v>16</v>
      </c>
      <c r="D2902" s="1">
        <v>45855</v>
      </c>
      <c r="E2902" t="s">
        <v>19</v>
      </c>
      <c r="F2902">
        <v>4100</v>
      </c>
      <c r="J2902">
        <v>0.1</v>
      </c>
      <c r="K2902">
        <v>0.1</v>
      </c>
      <c r="L2902">
        <v>0</v>
      </c>
      <c r="M2902" t="s">
        <v>18</v>
      </c>
      <c r="N2902">
        <v>0</v>
      </c>
      <c r="O2902">
        <v>0</v>
      </c>
    </row>
    <row r="2903" spans="1:15" x14ac:dyDescent="0.2">
      <c r="A2903" s="6">
        <v>45827</v>
      </c>
      <c r="B2903" t="s">
        <v>15</v>
      </c>
      <c r="C2903" t="s">
        <v>16</v>
      </c>
      <c r="D2903" s="1">
        <v>45855</v>
      </c>
      <c r="E2903" t="s">
        <v>17</v>
      </c>
      <c r="F2903">
        <v>6300</v>
      </c>
      <c r="G2903">
        <v>497.3</v>
      </c>
      <c r="H2903">
        <v>632.5</v>
      </c>
      <c r="I2903">
        <v>411</v>
      </c>
      <c r="J2903">
        <v>529.4</v>
      </c>
      <c r="K2903">
        <v>481.8</v>
      </c>
      <c r="L2903">
        <v>15759</v>
      </c>
      <c r="M2903" t="s">
        <v>1353</v>
      </c>
      <c r="N2903">
        <v>107940.78</v>
      </c>
      <c r="O2903">
        <v>1201</v>
      </c>
    </row>
    <row r="2904" spans="1:15" x14ac:dyDescent="0.2">
      <c r="A2904" s="6">
        <v>45827</v>
      </c>
      <c r="B2904" t="s">
        <v>15</v>
      </c>
      <c r="C2904" t="s">
        <v>16</v>
      </c>
      <c r="D2904" s="1">
        <v>45855</v>
      </c>
      <c r="E2904" t="s">
        <v>19</v>
      </c>
      <c r="F2904">
        <v>5350</v>
      </c>
      <c r="G2904">
        <v>70.3</v>
      </c>
      <c r="H2904">
        <v>70.3</v>
      </c>
      <c r="I2904">
        <v>54.6</v>
      </c>
      <c r="J2904">
        <v>60.8</v>
      </c>
      <c r="K2904">
        <v>73.3</v>
      </c>
      <c r="L2904">
        <v>199</v>
      </c>
      <c r="M2904" t="s">
        <v>1354</v>
      </c>
      <c r="N2904">
        <v>1077.29</v>
      </c>
      <c r="O2904">
        <v>56</v>
      </c>
    </row>
    <row r="2905" spans="1:15" x14ac:dyDescent="0.2">
      <c r="A2905" s="6">
        <v>45827</v>
      </c>
      <c r="B2905" t="s">
        <v>15</v>
      </c>
      <c r="C2905" t="s">
        <v>16</v>
      </c>
      <c r="D2905" s="1">
        <v>45855</v>
      </c>
      <c r="E2905" t="s">
        <v>19</v>
      </c>
      <c r="F2905">
        <v>5750</v>
      </c>
      <c r="G2905">
        <v>169.1</v>
      </c>
      <c r="H2905">
        <v>171.7</v>
      </c>
      <c r="I2905">
        <v>129</v>
      </c>
      <c r="J2905">
        <v>141.6</v>
      </c>
      <c r="K2905">
        <v>176.8</v>
      </c>
      <c r="L2905">
        <v>1273</v>
      </c>
      <c r="M2905" t="s">
        <v>1355</v>
      </c>
      <c r="N2905">
        <v>7508.82</v>
      </c>
      <c r="O2905">
        <v>143</v>
      </c>
    </row>
    <row r="2906" spans="1:15" x14ac:dyDescent="0.2">
      <c r="A2906" s="6">
        <v>45827</v>
      </c>
      <c r="B2906" t="s">
        <v>15</v>
      </c>
      <c r="C2906" t="s">
        <v>16</v>
      </c>
      <c r="D2906" s="1">
        <v>45855</v>
      </c>
      <c r="E2906" t="s">
        <v>17</v>
      </c>
      <c r="F2906">
        <v>7000</v>
      </c>
      <c r="G2906">
        <v>285.10000000000002</v>
      </c>
      <c r="H2906">
        <v>379.4</v>
      </c>
      <c r="I2906">
        <v>263.89999999999998</v>
      </c>
      <c r="J2906">
        <v>313.39999999999998</v>
      </c>
      <c r="K2906">
        <v>285.10000000000002</v>
      </c>
      <c r="L2906">
        <v>33189</v>
      </c>
      <c r="M2906" t="s">
        <v>1356</v>
      </c>
      <c r="N2906">
        <v>243215.63</v>
      </c>
      <c r="O2906">
        <v>5847</v>
      </c>
    </row>
    <row r="2907" spans="1:15" x14ac:dyDescent="0.2">
      <c r="A2907" s="6">
        <v>45827</v>
      </c>
      <c r="B2907" t="s">
        <v>15</v>
      </c>
      <c r="C2907" t="s">
        <v>16</v>
      </c>
      <c r="D2907" s="1">
        <v>45855</v>
      </c>
      <c r="E2907" t="s">
        <v>19</v>
      </c>
      <c r="F2907">
        <v>6850</v>
      </c>
      <c r="J2907">
        <v>522.4</v>
      </c>
      <c r="K2907">
        <v>612.4</v>
      </c>
      <c r="L2907">
        <v>0</v>
      </c>
      <c r="M2907" t="s">
        <v>18</v>
      </c>
      <c r="N2907">
        <v>0</v>
      </c>
      <c r="O2907">
        <v>0</v>
      </c>
    </row>
    <row r="2908" spans="1:15" x14ac:dyDescent="0.2">
      <c r="A2908" s="6">
        <v>45827</v>
      </c>
      <c r="B2908" t="s">
        <v>15</v>
      </c>
      <c r="C2908" t="s">
        <v>16</v>
      </c>
      <c r="D2908" s="1">
        <v>45855</v>
      </c>
      <c r="E2908" t="s">
        <v>19</v>
      </c>
      <c r="F2908">
        <v>7350</v>
      </c>
      <c r="J2908">
        <v>934.3</v>
      </c>
      <c r="K2908">
        <v>1040.5</v>
      </c>
      <c r="L2908">
        <v>0</v>
      </c>
      <c r="M2908" t="s">
        <v>18</v>
      </c>
      <c r="N2908">
        <v>0</v>
      </c>
      <c r="O2908">
        <v>0</v>
      </c>
    </row>
    <row r="2909" spans="1:15" x14ac:dyDescent="0.2">
      <c r="A2909" s="6">
        <v>45827</v>
      </c>
      <c r="B2909" t="s">
        <v>15</v>
      </c>
      <c r="C2909" t="s">
        <v>16</v>
      </c>
      <c r="D2909" s="1">
        <v>45855</v>
      </c>
      <c r="E2909" t="s">
        <v>19</v>
      </c>
      <c r="F2909">
        <v>4400</v>
      </c>
      <c r="J2909">
        <v>0.1</v>
      </c>
      <c r="K2909">
        <v>0.1</v>
      </c>
      <c r="L2909">
        <v>0</v>
      </c>
      <c r="M2909" t="s">
        <v>18</v>
      </c>
      <c r="N2909">
        <v>0</v>
      </c>
      <c r="O2909">
        <v>0</v>
      </c>
    </row>
    <row r="2910" spans="1:15" x14ac:dyDescent="0.2">
      <c r="A2910" s="6">
        <v>45827</v>
      </c>
      <c r="B2910" t="s">
        <v>15</v>
      </c>
      <c r="C2910" t="s">
        <v>16</v>
      </c>
      <c r="D2910" s="1">
        <v>45855</v>
      </c>
      <c r="E2910" t="s">
        <v>17</v>
      </c>
      <c r="F2910">
        <v>4000</v>
      </c>
      <c r="J2910">
        <v>2437.8000000000002</v>
      </c>
      <c r="K2910">
        <v>2323</v>
      </c>
      <c r="L2910">
        <v>0</v>
      </c>
      <c r="M2910" t="s">
        <v>18</v>
      </c>
      <c r="N2910">
        <v>0</v>
      </c>
      <c r="O2910">
        <v>0</v>
      </c>
    </row>
    <row r="2911" spans="1:15" x14ac:dyDescent="0.2">
      <c r="A2911" s="6">
        <v>45827</v>
      </c>
      <c r="B2911" t="s">
        <v>15</v>
      </c>
      <c r="C2911" t="s">
        <v>16</v>
      </c>
      <c r="D2911" s="1">
        <v>45855</v>
      </c>
      <c r="E2911" t="s">
        <v>17</v>
      </c>
      <c r="F2911">
        <v>4050</v>
      </c>
      <c r="J2911">
        <v>2388</v>
      </c>
      <c r="K2911">
        <v>2273.1999999999998</v>
      </c>
      <c r="L2911">
        <v>0</v>
      </c>
      <c r="M2911" t="s">
        <v>18</v>
      </c>
      <c r="N2911">
        <v>0</v>
      </c>
      <c r="O2911">
        <v>0</v>
      </c>
    </row>
    <row r="2912" spans="1:15" x14ac:dyDescent="0.2">
      <c r="A2912" s="6">
        <v>45827</v>
      </c>
      <c r="B2912" t="s">
        <v>15</v>
      </c>
      <c r="C2912" t="s">
        <v>16</v>
      </c>
      <c r="D2912" s="1">
        <v>45855</v>
      </c>
      <c r="E2912" t="s">
        <v>17</v>
      </c>
      <c r="F2912">
        <v>7050</v>
      </c>
      <c r="G2912">
        <v>220</v>
      </c>
      <c r="H2912">
        <v>362.7</v>
      </c>
      <c r="I2912">
        <v>220</v>
      </c>
      <c r="J2912">
        <v>307</v>
      </c>
      <c r="K2912">
        <v>267.5</v>
      </c>
      <c r="L2912">
        <v>661</v>
      </c>
      <c r="M2912" t="s">
        <v>1357</v>
      </c>
      <c r="N2912">
        <v>4876.42</v>
      </c>
      <c r="O2912">
        <v>75</v>
      </c>
    </row>
    <row r="2913" spans="1:15" x14ac:dyDescent="0.2">
      <c r="A2913" s="6">
        <v>45827</v>
      </c>
      <c r="B2913" t="s">
        <v>15</v>
      </c>
      <c r="C2913" t="s">
        <v>16</v>
      </c>
      <c r="D2913" s="1">
        <v>45855</v>
      </c>
      <c r="E2913" t="s">
        <v>19</v>
      </c>
      <c r="F2913">
        <v>4650</v>
      </c>
      <c r="J2913">
        <v>0.2</v>
      </c>
      <c r="K2913">
        <v>0.4</v>
      </c>
      <c r="L2913">
        <v>0</v>
      </c>
      <c r="M2913" t="s">
        <v>18</v>
      </c>
      <c r="N2913">
        <v>0</v>
      </c>
      <c r="O2913">
        <v>0</v>
      </c>
    </row>
    <row r="2914" spans="1:15" x14ac:dyDescent="0.2">
      <c r="A2914" s="6">
        <v>45827</v>
      </c>
      <c r="B2914" t="s">
        <v>15</v>
      </c>
      <c r="C2914" t="s">
        <v>16</v>
      </c>
      <c r="D2914" s="1">
        <v>45855</v>
      </c>
      <c r="E2914" t="s">
        <v>17</v>
      </c>
      <c r="F2914">
        <v>4550</v>
      </c>
      <c r="J2914">
        <v>1890.4</v>
      </c>
      <c r="K2914">
        <v>1775.8</v>
      </c>
      <c r="L2914">
        <v>0</v>
      </c>
      <c r="M2914" t="s">
        <v>18</v>
      </c>
      <c r="N2914">
        <v>0</v>
      </c>
      <c r="O2914">
        <v>0</v>
      </c>
    </row>
    <row r="2915" spans="1:15" x14ac:dyDescent="0.2">
      <c r="A2915" s="6">
        <v>45827</v>
      </c>
      <c r="B2915" t="s">
        <v>15</v>
      </c>
      <c r="C2915" t="s">
        <v>16</v>
      </c>
      <c r="D2915" s="1">
        <v>45855</v>
      </c>
      <c r="E2915" t="s">
        <v>17</v>
      </c>
      <c r="F2915">
        <v>5800</v>
      </c>
      <c r="G2915">
        <v>748.6</v>
      </c>
      <c r="H2915">
        <v>919</v>
      </c>
      <c r="I2915">
        <v>731.6</v>
      </c>
      <c r="J2915">
        <v>813.2</v>
      </c>
      <c r="K2915">
        <v>717.5</v>
      </c>
      <c r="L2915">
        <v>122</v>
      </c>
      <c r="M2915" t="s">
        <v>1358</v>
      </c>
      <c r="N2915">
        <v>808.19</v>
      </c>
      <c r="O2915">
        <v>371</v>
      </c>
    </row>
    <row r="2916" spans="1:15" x14ac:dyDescent="0.2">
      <c r="A2916" s="6">
        <v>45827</v>
      </c>
      <c r="B2916" t="s">
        <v>15</v>
      </c>
      <c r="C2916" t="s">
        <v>16</v>
      </c>
      <c r="D2916" s="1">
        <v>45855</v>
      </c>
      <c r="E2916" t="s">
        <v>17</v>
      </c>
      <c r="F2916">
        <v>5450</v>
      </c>
      <c r="J2916">
        <v>1009.1</v>
      </c>
      <c r="K2916">
        <v>904.3</v>
      </c>
      <c r="L2916">
        <v>0</v>
      </c>
      <c r="M2916" t="s">
        <v>18</v>
      </c>
      <c r="N2916">
        <v>0</v>
      </c>
      <c r="O2916">
        <v>7</v>
      </c>
    </row>
    <row r="2917" spans="1:15" x14ac:dyDescent="0.2">
      <c r="A2917" s="6">
        <v>45827</v>
      </c>
      <c r="B2917" t="s">
        <v>15</v>
      </c>
      <c r="C2917" t="s">
        <v>16</v>
      </c>
      <c r="D2917" s="1">
        <v>45855</v>
      </c>
      <c r="E2917" t="s">
        <v>17</v>
      </c>
      <c r="F2917">
        <v>5150</v>
      </c>
      <c r="J2917">
        <v>1296.7</v>
      </c>
      <c r="K2917">
        <v>1185.3</v>
      </c>
      <c r="L2917">
        <v>0</v>
      </c>
      <c r="M2917" t="s">
        <v>18</v>
      </c>
      <c r="N2917">
        <v>0</v>
      </c>
      <c r="O2917">
        <v>2</v>
      </c>
    </row>
    <row r="2918" spans="1:15" x14ac:dyDescent="0.2">
      <c r="A2918" s="6">
        <v>45827</v>
      </c>
      <c r="B2918" t="s">
        <v>15</v>
      </c>
      <c r="C2918" t="s">
        <v>16</v>
      </c>
      <c r="D2918" s="1">
        <v>45855</v>
      </c>
      <c r="E2918" t="s">
        <v>19</v>
      </c>
      <c r="F2918">
        <v>7250</v>
      </c>
      <c r="J2918">
        <v>845.7</v>
      </c>
      <c r="K2918">
        <v>949.6</v>
      </c>
      <c r="L2918">
        <v>0</v>
      </c>
      <c r="M2918" t="s">
        <v>18</v>
      </c>
      <c r="N2918">
        <v>0</v>
      </c>
      <c r="O2918">
        <v>0</v>
      </c>
    </row>
    <row r="2919" spans="1:15" x14ac:dyDescent="0.2">
      <c r="A2919" s="6">
        <v>45827</v>
      </c>
      <c r="B2919" t="s">
        <v>15</v>
      </c>
      <c r="C2919" t="s">
        <v>16</v>
      </c>
      <c r="D2919" s="1">
        <v>45855</v>
      </c>
      <c r="E2919" t="s">
        <v>17</v>
      </c>
      <c r="F2919">
        <v>6250</v>
      </c>
      <c r="G2919">
        <v>508.6</v>
      </c>
      <c r="H2919">
        <v>655</v>
      </c>
      <c r="I2919">
        <v>450</v>
      </c>
      <c r="J2919">
        <v>551.9</v>
      </c>
      <c r="K2919">
        <v>500</v>
      </c>
      <c r="L2919">
        <v>1539</v>
      </c>
      <c r="M2919" t="s">
        <v>1359</v>
      </c>
      <c r="N2919">
        <v>10482.209999999999</v>
      </c>
      <c r="O2919">
        <v>147</v>
      </c>
    </row>
    <row r="2920" spans="1:15" x14ac:dyDescent="0.2">
      <c r="A2920" s="6">
        <v>45827</v>
      </c>
      <c r="B2920" t="s">
        <v>15</v>
      </c>
      <c r="C2920" t="s">
        <v>16</v>
      </c>
      <c r="D2920" s="1">
        <v>45855</v>
      </c>
      <c r="E2920" t="s">
        <v>17</v>
      </c>
      <c r="F2920">
        <v>6350</v>
      </c>
      <c r="G2920">
        <v>469.9</v>
      </c>
      <c r="H2920">
        <v>607.5</v>
      </c>
      <c r="I2920">
        <v>404.7</v>
      </c>
      <c r="J2920">
        <v>509.8</v>
      </c>
      <c r="K2920">
        <v>461.5</v>
      </c>
      <c r="L2920">
        <v>4677</v>
      </c>
      <c r="M2920" t="s">
        <v>1360</v>
      </c>
      <c r="N2920">
        <v>32128.91</v>
      </c>
      <c r="O2920">
        <v>193</v>
      </c>
    </row>
    <row r="2921" spans="1:15" x14ac:dyDescent="0.2">
      <c r="A2921" s="6">
        <v>45827</v>
      </c>
      <c r="B2921" t="s">
        <v>15</v>
      </c>
      <c r="C2921" t="s">
        <v>16</v>
      </c>
      <c r="D2921" s="1">
        <v>45855</v>
      </c>
      <c r="E2921" t="s">
        <v>19</v>
      </c>
      <c r="F2921">
        <v>6250</v>
      </c>
      <c r="G2921">
        <v>409.7</v>
      </c>
      <c r="H2921">
        <v>409.7</v>
      </c>
      <c r="I2921">
        <v>318.39999999999998</v>
      </c>
      <c r="J2921">
        <v>358.1</v>
      </c>
      <c r="K2921">
        <v>420.4</v>
      </c>
      <c r="L2921">
        <v>3371</v>
      </c>
      <c r="M2921" t="s">
        <v>1361</v>
      </c>
      <c r="N2921">
        <v>22266.62</v>
      </c>
      <c r="O2921">
        <v>189</v>
      </c>
    </row>
    <row r="2922" spans="1:15" x14ac:dyDescent="0.2">
      <c r="A2922" s="6">
        <v>45827</v>
      </c>
      <c r="B2922" t="s">
        <v>15</v>
      </c>
      <c r="C2922" t="s">
        <v>16</v>
      </c>
      <c r="D2922" s="1">
        <v>45855</v>
      </c>
      <c r="E2922" t="s">
        <v>19</v>
      </c>
      <c r="F2922">
        <v>7500</v>
      </c>
      <c r="J2922">
        <v>1071.2</v>
      </c>
      <c r="K2922">
        <v>1180</v>
      </c>
      <c r="L2922">
        <v>0</v>
      </c>
      <c r="M2922" t="s">
        <v>18</v>
      </c>
      <c r="N2922">
        <v>0</v>
      </c>
      <c r="O2922">
        <v>0</v>
      </c>
    </row>
    <row r="2923" spans="1:15" x14ac:dyDescent="0.2">
      <c r="A2923" s="6">
        <v>45827</v>
      </c>
      <c r="B2923" t="s">
        <v>15</v>
      </c>
      <c r="C2923" t="s">
        <v>16</v>
      </c>
      <c r="D2923" s="1">
        <v>45855</v>
      </c>
      <c r="E2923" t="s">
        <v>19</v>
      </c>
      <c r="F2923">
        <v>5150</v>
      </c>
      <c r="G2923">
        <v>46.9</v>
      </c>
      <c r="H2923">
        <v>48.7</v>
      </c>
      <c r="I2923">
        <v>36.5</v>
      </c>
      <c r="J2923">
        <v>40.4</v>
      </c>
      <c r="K2923">
        <v>48</v>
      </c>
      <c r="L2923">
        <v>374</v>
      </c>
      <c r="M2923" t="s">
        <v>1362</v>
      </c>
      <c r="N2923">
        <v>1942.26</v>
      </c>
      <c r="O2923">
        <v>81</v>
      </c>
    </row>
    <row r="2924" spans="1:15" x14ac:dyDescent="0.2">
      <c r="A2924" s="6">
        <v>45827</v>
      </c>
      <c r="B2924" t="s">
        <v>15</v>
      </c>
      <c r="C2924" t="s">
        <v>16</v>
      </c>
      <c r="D2924" s="1">
        <v>45855</v>
      </c>
      <c r="E2924" t="s">
        <v>17</v>
      </c>
      <c r="F2924">
        <v>5200</v>
      </c>
      <c r="G2924">
        <v>1215.5999999999999</v>
      </c>
      <c r="H2924">
        <v>1215.5999999999999</v>
      </c>
      <c r="I2924">
        <v>1215.5999999999999</v>
      </c>
      <c r="J2924">
        <v>1215.5999999999999</v>
      </c>
      <c r="K2924">
        <v>1218</v>
      </c>
      <c r="L2924">
        <v>1</v>
      </c>
      <c r="M2924" t="s">
        <v>155</v>
      </c>
      <c r="N2924">
        <v>6.42</v>
      </c>
      <c r="O2924">
        <v>26</v>
      </c>
    </row>
    <row r="2925" spans="1:15" x14ac:dyDescent="0.2">
      <c r="A2925" s="6">
        <v>45827</v>
      </c>
      <c r="B2925" t="s">
        <v>15</v>
      </c>
      <c r="C2925" t="s">
        <v>16</v>
      </c>
      <c r="D2925" s="1">
        <v>45855</v>
      </c>
      <c r="E2925" t="s">
        <v>17</v>
      </c>
      <c r="F2925">
        <v>5900</v>
      </c>
      <c r="G2925">
        <v>672.2</v>
      </c>
      <c r="H2925">
        <v>848.2</v>
      </c>
      <c r="I2925">
        <v>665.7</v>
      </c>
      <c r="J2925">
        <v>779.2</v>
      </c>
      <c r="K2925">
        <v>666.7</v>
      </c>
      <c r="L2925">
        <v>204</v>
      </c>
      <c r="M2925" t="s">
        <v>1363</v>
      </c>
      <c r="N2925">
        <v>1360.71</v>
      </c>
      <c r="O2925">
        <v>134</v>
      </c>
    </row>
    <row r="2926" spans="1:15" x14ac:dyDescent="0.2">
      <c r="A2926" s="6">
        <v>45827</v>
      </c>
      <c r="B2926" t="s">
        <v>15</v>
      </c>
      <c r="C2926" t="s">
        <v>16</v>
      </c>
      <c r="D2926" s="1">
        <v>45855</v>
      </c>
      <c r="E2926" t="s">
        <v>17</v>
      </c>
      <c r="F2926">
        <v>4150</v>
      </c>
      <c r="J2926">
        <v>2288.5</v>
      </c>
      <c r="K2926">
        <v>2173.6999999999998</v>
      </c>
      <c r="L2926">
        <v>0</v>
      </c>
      <c r="M2926" t="s">
        <v>18</v>
      </c>
      <c r="N2926">
        <v>0</v>
      </c>
      <c r="O2926">
        <v>0</v>
      </c>
    </row>
    <row r="2927" spans="1:15" x14ac:dyDescent="0.2">
      <c r="A2927" s="6">
        <v>45827</v>
      </c>
      <c r="B2927" t="s">
        <v>15</v>
      </c>
      <c r="C2927" t="s">
        <v>16</v>
      </c>
      <c r="D2927" s="1">
        <v>45855</v>
      </c>
      <c r="E2927" t="s">
        <v>17</v>
      </c>
      <c r="F2927">
        <v>4250</v>
      </c>
      <c r="J2927">
        <v>2189</v>
      </c>
      <c r="K2927">
        <v>2074.1999999999998</v>
      </c>
      <c r="L2927">
        <v>0</v>
      </c>
      <c r="M2927" t="s">
        <v>18</v>
      </c>
      <c r="N2927">
        <v>0</v>
      </c>
      <c r="O2927">
        <v>0</v>
      </c>
    </row>
    <row r="2928" spans="1:15" x14ac:dyDescent="0.2">
      <c r="A2928" s="6">
        <v>45827</v>
      </c>
      <c r="B2928" t="s">
        <v>15</v>
      </c>
      <c r="C2928" t="s">
        <v>16</v>
      </c>
      <c r="D2928" s="1">
        <v>45855</v>
      </c>
      <c r="E2928" t="s">
        <v>17</v>
      </c>
      <c r="F2928">
        <v>6950</v>
      </c>
      <c r="G2928">
        <v>277.5</v>
      </c>
      <c r="H2928">
        <v>393.1</v>
      </c>
      <c r="I2928">
        <v>254.8</v>
      </c>
      <c r="J2928">
        <v>324.39999999999998</v>
      </c>
      <c r="K2928">
        <v>284.60000000000002</v>
      </c>
      <c r="L2928">
        <v>1642</v>
      </c>
      <c r="M2928" t="s">
        <v>1364</v>
      </c>
      <c r="N2928">
        <v>11974.7</v>
      </c>
      <c r="O2928">
        <v>137</v>
      </c>
    </row>
    <row r="2929" spans="1:15" x14ac:dyDescent="0.2">
      <c r="A2929" s="6">
        <v>45827</v>
      </c>
      <c r="B2929" t="s">
        <v>15</v>
      </c>
      <c r="C2929" t="s">
        <v>16</v>
      </c>
      <c r="D2929" s="1">
        <v>45855</v>
      </c>
      <c r="E2929" t="s">
        <v>17</v>
      </c>
      <c r="F2929">
        <v>3700</v>
      </c>
      <c r="J2929">
        <v>2736.4</v>
      </c>
      <c r="K2929">
        <v>2621.5</v>
      </c>
      <c r="L2929">
        <v>0</v>
      </c>
      <c r="M2929" t="s">
        <v>18</v>
      </c>
      <c r="N2929">
        <v>0</v>
      </c>
      <c r="O2929">
        <v>0</v>
      </c>
    </row>
    <row r="2930" spans="1:15" x14ac:dyDescent="0.2">
      <c r="A2930" s="6">
        <v>45827</v>
      </c>
      <c r="B2930" t="s">
        <v>15</v>
      </c>
      <c r="C2930" t="s">
        <v>16</v>
      </c>
      <c r="D2930" s="1">
        <v>45855</v>
      </c>
      <c r="E2930" t="s">
        <v>17</v>
      </c>
      <c r="F2930">
        <v>5050</v>
      </c>
      <c r="J2930">
        <v>1394.7</v>
      </c>
      <c r="K2930">
        <v>1282.0999999999999</v>
      </c>
      <c r="L2930">
        <v>0</v>
      </c>
      <c r="M2930" t="s">
        <v>18</v>
      </c>
      <c r="N2930">
        <v>0</v>
      </c>
      <c r="O2930">
        <v>0</v>
      </c>
    </row>
    <row r="2931" spans="1:15" x14ac:dyDescent="0.2">
      <c r="A2931" s="6">
        <v>45827</v>
      </c>
      <c r="B2931" t="s">
        <v>15</v>
      </c>
      <c r="C2931" t="s">
        <v>16</v>
      </c>
      <c r="D2931" s="1">
        <v>45855</v>
      </c>
      <c r="E2931" t="s">
        <v>17</v>
      </c>
      <c r="F2931">
        <v>4500</v>
      </c>
      <c r="J2931">
        <v>1940.1</v>
      </c>
      <c r="K2931">
        <v>1825.5</v>
      </c>
      <c r="L2931">
        <v>0</v>
      </c>
      <c r="M2931" t="s">
        <v>18</v>
      </c>
      <c r="N2931">
        <v>0</v>
      </c>
      <c r="O2931">
        <v>0</v>
      </c>
    </row>
    <row r="2932" spans="1:15" x14ac:dyDescent="0.2">
      <c r="A2932" s="6">
        <v>45827</v>
      </c>
      <c r="B2932" t="s">
        <v>15</v>
      </c>
      <c r="C2932" t="s">
        <v>16</v>
      </c>
      <c r="D2932" s="1">
        <v>45855</v>
      </c>
      <c r="E2932" t="s">
        <v>17</v>
      </c>
      <c r="F2932">
        <v>5500</v>
      </c>
      <c r="G2932">
        <v>950.2</v>
      </c>
      <c r="H2932">
        <v>1149</v>
      </c>
      <c r="I2932">
        <v>900</v>
      </c>
      <c r="J2932">
        <v>1073.5999999999999</v>
      </c>
      <c r="K2932">
        <v>915.5</v>
      </c>
      <c r="L2932">
        <v>65</v>
      </c>
      <c r="M2932" t="s">
        <v>77</v>
      </c>
      <c r="N2932">
        <v>424.8</v>
      </c>
      <c r="O2932">
        <v>438</v>
      </c>
    </row>
    <row r="2933" spans="1:15" x14ac:dyDescent="0.2">
      <c r="A2933" s="6">
        <v>45827</v>
      </c>
      <c r="B2933" t="s">
        <v>15</v>
      </c>
      <c r="C2933" t="s">
        <v>16</v>
      </c>
      <c r="D2933" s="1">
        <v>45855</v>
      </c>
      <c r="E2933" t="s">
        <v>19</v>
      </c>
      <c r="F2933">
        <v>7450</v>
      </c>
      <c r="J2933">
        <v>1025.0999999999999</v>
      </c>
      <c r="K2933">
        <v>1133.0999999999999</v>
      </c>
      <c r="L2933">
        <v>0</v>
      </c>
      <c r="M2933" t="s">
        <v>18</v>
      </c>
      <c r="N2933">
        <v>0</v>
      </c>
      <c r="O2933">
        <v>0</v>
      </c>
    </row>
    <row r="2934" spans="1:15" x14ac:dyDescent="0.2">
      <c r="A2934" s="6">
        <v>45827</v>
      </c>
      <c r="B2934" t="s">
        <v>15</v>
      </c>
      <c r="C2934" t="s">
        <v>16</v>
      </c>
      <c r="D2934" s="1">
        <v>45855</v>
      </c>
      <c r="E2934" t="s">
        <v>17</v>
      </c>
      <c r="F2934">
        <v>7550</v>
      </c>
      <c r="G2934">
        <v>165.8</v>
      </c>
      <c r="H2934">
        <v>266.39999999999998</v>
      </c>
      <c r="I2934">
        <v>165.8</v>
      </c>
      <c r="J2934">
        <v>216.5</v>
      </c>
      <c r="K2934">
        <v>196.8</v>
      </c>
      <c r="L2934">
        <v>1348</v>
      </c>
      <c r="M2934" t="s">
        <v>1365</v>
      </c>
      <c r="N2934">
        <v>10491.08</v>
      </c>
      <c r="O2934">
        <v>231</v>
      </c>
    </row>
    <row r="2935" spans="1:15" x14ac:dyDescent="0.2">
      <c r="A2935" s="6">
        <v>45827</v>
      </c>
      <c r="B2935" t="s">
        <v>15</v>
      </c>
      <c r="C2935" t="s">
        <v>16</v>
      </c>
      <c r="D2935" s="1">
        <v>45855</v>
      </c>
      <c r="E2935" t="s">
        <v>17</v>
      </c>
      <c r="F2935">
        <v>3950</v>
      </c>
      <c r="J2935">
        <v>2487.6</v>
      </c>
      <c r="K2935">
        <v>2372.6999999999998</v>
      </c>
      <c r="L2935">
        <v>0</v>
      </c>
      <c r="M2935" t="s">
        <v>18</v>
      </c>
      <c r="N2935">
        <v>0</v>
      </c>
      <c r="O2935">
        <v>0</v>
      </c>
    </row>
    <row r="2936" spans="1:15" x14ac:dyDescent="0.2">
      <c r="A2936" s="6">
        <v>45827</v>
      </c>
      <c r="B2936" t="s">
        <v>15</v>
      </c>
      <c r="C2936" t="s">
        <v>16</v>
      </c>
      <c r="D2936" s="1">
        <v>45855</v>
      </c>
      <c r="E2936" t="s">
        <v>19</v>
      </c>
      <c r="F2936">
        <v>6350</v>
      </c>
      <c r="G2936">
        <v>471.5</v>
      </c>
      <c r="H2936">
        <v>471.5</v>
      </c>
      <c r="I2936">
        <v>371.6</v>
      </c>
      <c r="J2936">
        <v>416.9</v>
      </c>
      <c r="K2936">
        <v>481.8</v>
      </c>
      <c r="L2936">
        <v>5310</v>
      </c>
      <c r="M2936" t="s">
        <v>1366</v>
      </c>
      <c r="N2936">
        <v>35922.019999999997</v>
      </c>
      <c r="O2936">
        <v>299</v>
      </c>
    </row>
    <row r="2937" spans="1:15" x14ac:dyDescent="0.2">
      <c r="A2937" s="6">
        <v>45827</v>
      </c>
      <c r="B2937" t="s">
        <v>15</v>
      </c>
      <c r="C2937" t="s">
        <v>16</v>
      </c>
      <c r="D2937" s="1">
        <v>45855</v>
      </c>
      <c r="E2937" t="s">
        <v>19</v>
      </c>
      <c r="F2937">
        <v>5650</v>
      </c>
      <c r="G2937">
        <v>140</v>
      </c>
      <c r="H2937">
        <v>140</v>
      </c>
      <c r="I2937">
        <v>103.9</v>
      </c>
      <c r="J2937">
        <v>116.1</v>
      </c>
      <c r="K2937">
        <v>143.9</v>
      </c>
      <c r="L2937">
        <v>1164</v>
      </c>
      <c r="M2937" t="s">
        <v>1367</v>
      </c>
      <c r="N2937">
        <v>6714.6</v>
      </c>
      <c r="O2937">
        <v>177</v>
      </c>
    </row>
    <row r="2938" spans="1:15" x14ac:dyDescent="0.2">
      <c r="A2938" s="6">
        <v>45827</v>
      </c>
      <c r="B2938" t="s">
        <v>15</v>
      </c>
      <c r="C2938" t="s">
        <v>16</v>
      </c>
      <c r="D2938" s="1">
        <v>45855</v>
      </c>
      <c r="E2938" t="s">
        <v>19</v>
      </c>
      <c r="F2938">
        <v>5600</v>
      </c>
      <c r="G2938">
        <v>124.8</v>
      </c>
      <c r="H2938">
        <v>124.9</v>
      </c>
      <c r="I2938">
        <v>92.2</v>
      </c>
      <c r="J2938">
        <v>104.9</v>
      </c>
      <c r="K2938">
        <v>129</v>
      </c>
      <c r="L2938">
        <v>7687</v>
      </c>
      <c r="M2938" t="s">
        <v>1368</v>
      </c>
      <c r="N2938">
        <v>43885.11</v>
      </c>
      <c r="O2938">
        <v>1404</v>
      </c>
    </row>
    <row r="2939" spans="1:15" x14ac:dyDescent="0.2">
      <c r="A2939" s="6">
        <v>45827</v>
      </c>
      <c r="B2939" t="s">
        <v>15</v>
      </c>
      <c r="C2939" t="s">
        <v>16</v>
      </c>
      <c r="D2939" s="1">
        <v>45855</v>
      </c>
      <c r="E2939" t="s">
        <v>19</v>
      </c>
      <c r="F2939">
        <v>4000</v>
      </c>
      <c r="G2939">
        <v>5.2</v>
      </c>
      <c r="H2939">
        <v>25</v>
      </c>
      <c r="I2939">
        <v>5.2</v>
      </c>
      <c r="J2939">
        <v>15.1</v>
      </c>
      <c r="K2939">
        <v>0.1</v>
      </c>
      <c r="L2939">
        <v>2</v>
      </c>
      <c r="M2939" t="s">
        <v>28</v>
      </c>
      <c r="N2939">
        <v>8.0299999999999994</v>
      </c>
      <c r="O2939">
        <v>1</v>
      </c>
    </row>
    <row r="2940" spans="1:15" x14ac:dyDescent="0.2">
      <c r="A2940" s="6">
        <v>45827</v>
      </c>
      <c r="B2940" t="s">
        <v>15</v>
      </c>
      <c r="C2940" t="s">
        <v>16</v>
      </c>
      <c r="D2940" s="1">
        <v>45855</v>
      </c>
      <c r="E2940" t="s">
        <v>19</v>
      </c>
      <c r="F2940">
        <v>4850</v>
      </c>
      <c r="G2940">
        <v>28.9</v>
      </c>
      <c r="H2940">
        <v>31.4</v>
      </c>
      <c r="I2940">
        <v>27</v>
      </c>
      <c r="J2940">
        <v>28.3</v>
      </c>
      <c r="K2940">
        <v>30.4</v>
      </c>
      <c r="L2940">
        <v>70</v>
      </c>
      <c r="M2940" t="s">
        <v>1015</v>
      </c>
      <c r="N2940">
        <v>341.48</v>
      </c>
      <c r="O2940">
        <v>15</v>
      </c>
    </row>
    <row r="2941" spans="1:15" x14ac:dyDescent="0.2">
      <c r="A2941" s="6">
        <v>45827</v>
      </c>
      <c r="B2941" t="s">
        <v>15</v>
      </c>
      <c r="C2941" t="s">
        <v>16</v>
      </c>
      <c r="D2941" s="1">
        <v>45855</v>
      </c>
      <c r="E2941" t="s">
        <v>17</v>
      </c>
      <c r="F2941">
        <v>6100</v>
      </c>
      <c r="G2941">
        <v>565</v>
      </c>
      <c r="H2941">
        <v>734.3</v>
      </c>
      <c r="I2941">
        <v>538.4</v>
      </c>
      <c r="J2941">
        <v>653.1</v>
      </c>
      <c r="K2941">
        <v>564</v>
      </c>
      <c r="L2941">
        <v>1437</v>
      </c>
      <c r="M2941" t="s">
        <v>1369</v>
      </c>
      <c r="N2941">
        <v>9700.98</v>
      </c>
      <c r="O2941">
        <v>613</v>
      </c>
    </row>
    <row r="2942" spans="1:15" x14ac:dyDescent="0.2">
      <c r="A2942" s="6">
        <v>45827</v>
      </c>
      <c r="B2942" t="s">
        <v>15</v>
      </c>
      <c r="C2942" t="s">
        <v>16</v>
      </c>
      <c r="D2942" s="1">
        <v>45855</v>
      </c>
      <c r="E2942" t="s">
        <v>17</v>
      </c>
      <c r="F2942">
        <v>4600</v>
      </c>
      <c r="J2942">
        <v>1840.7</v>
      </c>
      <c r="K2942">
        <v>1726.1</v>
      </c>
      <c r="L2942">
        <v>0</v>
      </c>
      <c r="M2942" t="s">
        <v>18</v>
      </c>
      <c r="N2942">
        <v>0</v>
      </c>
      <c r="O2942">
        <v>0</v>
      </c>
    </row>
    <row r="2943" spans="1:15" x14ac:dyDescent="0.2">
      <c r="A2943" s="6">
        <v>45827</v>
      </c>
      <c r="B2943" t="s">
        <v>15</v>
      </c>
      <c r="C2943" t="s">
        <v>16</v>
      </c>
      <c r="D2943" s="1">
        <v>45855</v>
      </c>
      <c r="E2943" t="s">
        <v>17</v>
      </c>
      <c r="F2943">
        <v>5350</v>
      </c>
      <c r="J2943">
        <v>1103.5</v>
      </c>
      <c r="K2943">
        <v>995.9</v>
      </c>
      <c r="L2943">
        <v>0</v>
      </c>
      <c r="M2943" t="s">
        <v>18</v>
      </c>
      <c r="N2943">
        <v>0</v>
      </c>
      <c r="O2943">
        <v>1</v>
      </c>
    </row>
    <row r="2944" spans="1:15" x14ac:dyDescent="0.2">
      <c r="A2944" s="6">
        <v>45827</v>
      </c>
      <c r="B2944" t="s">
        <v>15</v>
      </c>
      <c r="C2944" t="s">
        <v>16</v>
      </c>
      <c r="D2944" s="1">
        <v>45855</v>
      </c>
      <c r="E2944" t="s">
        <v>17</v>
      </c>
      <c r="F2944">
        <v>7200</v>
      </c>
      <c r="G2944">
        <v>250.2</v>
      </c>
      <c r="H2944">
        <v>332</v>
      </c>
      <c r="I2944">
        <v>230.1</v>
      </c>
      <c r="J2944">
        <v>271.60000000000002</v>
      </c>
      <c r="K2944">
        <v>246.9</v>
      </c>
      <c r="L2944">
        <v>12972</v>
      </c>
      <c r="M2944" t="s">
        <v>1370</v>
      </c>
      <c r="N2944">
        <v>97147.98</v>
      </c>
      <c r="O2944">
        <v>1083</v>
      </c>
    </row>
    <row r="2945" spans="1:15" x14ac:dyDescent="0.2">
      <c r="A2945" s="6">
        <v>45827</v>
      </c>
      <c r="B2945" t="s">
        <v>15</v>
      </c>
      <c r="C2945" t="s">
        <v>16</v>
      </c>
      <c r="D2945" s="1">
        <v>45855</v>
      </c>
      <c r="E2945" t="s">
        <v>19</v>
      </c>
      <c r="F2945">
        <v>7100</v>
      </c>
      <c r="J2945">
        <v>717.9</v>
      </c>
      <c r="K2945">
        <v>817.6</v>
      </c>
      <c r="L2945">
        <v>0</v>
      </c>
      <c r="M2945" t="s">
        <v>18</v>
      </c>
      <c r="N2945">
        <v>0</v>
      </c>
      <c r="O2945">
        <v>0</v>
      </c>
    </row>
    <row r="2946" spans="1:15" x14ac:dyDescent="0.2">
      <c r="A2946" s="6">
        <v>45827</v>
      </c>
      <c r="B2946" t="s">
        <v>15</v>
      </c>
      <c r="C2946" t="s">
        <v>16</v>
      </c>
      <c r="D2946" s="1">
        <v>45855</v>
      </c>
      <c r="E2946" t="s">
        <v>19</v>
      </c>
      <c r="F2946">
        <v>7400</v>
      </c>
      <c r="J2946">
        <v>979.5</v>
      </c>
      <c r="K2946">
        <v>1086.5999999999999</v>
      </c>
      <c r="L2946">
        <v>0</v>
      </c>
      <c r="M2946" t="s">
        <v>18</v>
      </c>
      <c r="N2946">
        <v>0</v>
      </c>
      <c r="O2946">
        <v>0</v>
      </c>
    </row>
    <row r="2947" spans="1:15" x14ac:dyDescent="0.2">
      <c r="A2947" s="6">
        <v>45827</v>
      </c>
      <c r="B2947" t="s">
        <v>15</v>
      </c>
      <c r="C2947" t="s">
        <v>16</v>
      </c>
      <c r="D2947" s="1">
        <v>45855</v>
      </c>
      <c r="E2947" t="s">
        <v>19</v>
      </c>
      <c r="F2947">
        <v>3650</v>
      </c>
      <c r="J2947">
        <v>0.1</v>
      </c>
      <c r="K2947">
        <v>0.1</v>
      </c>
      <c r="L2947">
        <v>0</v>
      </c>
      <c r="M2947" t="s">
        <v>18</v>
      </c>
      <c r="N2947">
        <v>0</v>
      </c>
      <c r="O2947">
        <v>0</v>
      </c>
    </row>
    <row r="2948" spans="1:15" x14ac:dyDescent="0.2">
      <c r="A2948" s="6">
        <v>45827</v>
      </c>
      <c r="B2948" t="s">
        <v>15</v>
      </c>
      <c r="C2948" t="s">
        <v>16</v>
      </c>
      <c r="D2948" s="1">
        <v>45855</v>
      </c>
      <c r="E2948" t="s">
        <v>19</v>
      </c>
      <c r="F2948">
        <v>6900</v>
      </c>
      <c r="G2948">
        <v>766.8</v>
      </c>
      <c r="H2948">
        <v>807.7</v>
      </c>
      <c r="I2948">
        <v>766.4</v>
      </c>
      <c r="J2948">
        <v>789.3</v>
      </c>
      <c r="K2948">
        <v>914.2</v>
      </c>
      <c r="L2948">
        <v>29</v>
      </c>
      <c r="M2948" t="s">
        <v>297</v>
      </c>
      <c r="N2948">
        <v>222.99</v>
      </c>
      <c r="O2948">
        <v>43</v>
      </c>
    </row>
    <row r="2949" spans="1:15" x14ac:dyDescent="0.2">
      <c r="A2949" s="6">
        <v>45827</v>
      </c>
      <c r="B2949" t="s">
        <v>15</v>
      </c>
      <c r="C2949" t="s">
        <v>16</v>
      </c>
      <c r="D2949" s="1">
        <v>45855</v>
      </c>
      <c r="E2949" t="s">
        <v>19</v>
      </c>
      <c r="F2949">
        <v>6700</v>
      </c>
      <c r="G2949">
        <v>689.9</v>
      </c>
      <c r="H2949">
        <v>689.9</v>
      </c>
      <c r="I2949">
        <v>584.4</v>
      </c>
      <c r="J2949">
        <v>635.1</v>
      </c>
      <c r="K2949">
        <v>718.9</v>
      </c>
      <c r="L2949">
        <v>1048</v>
      </c>
      <c r="M2949" t="s">
        <v>505</v>
      </c>
      <c r="N2949">
        <v>7676.55</v>
      </c>
      <c r="O2949">
        <v>298</v>
      </c>
    </row>
    <row r="2950" spans="1:15" x14ac:dyDescent="0.2">
      <c r="A2950" s="6">
        <v>45827</v>
      </c>
      <c r="B2950" t="s">
        <v>15</v>
      </c>
      <c r="C2950" t="s">
        <v>16</v>
      </c>
      <c r="D2950" s="1">
        <v>45855</v>
      </c>
      <c r="E2950" t="s">
        <v>19</v>
      </c>
      <c r="F2950">
        <v>3950</v>
      </c>
      <c r="J2950">
        <v>0.1</v>
      </c>
      <c r="K2950">
        <v>0.1</v>
      </c>
      <c r="L2950">
        <v>0</v>
      </c>
      <c r="M2950" t="s">
        <v>18</v>
      </c>
      <c r="N2950">
        <v>0</v>
      </c>
      <c r="O2950">
        <v>0</v>
      </c>
    </row>
    <row r="2951" spans="1:15" x14ac:dyDescent="0.2">
      <c r="A2951" s="6">
        <v>45827</v>
      </c>
      <c r="B2951" t="s">
        <v>15</v>
      </c>
      <c r="C2951" t="s">
        <v>16</v>
      </c>
      <c r="D2951" s="1">
        <v>45855</v>
      </c>
      <c r="E2951" t="s">
        <v>19</v>
      </c>
      <c r="F2951">
        <v>7050</v>
      </c>
      <c r="J2951">
        <v>676.9</v>
      </c>
      <c r="K2951">
        <v>1023.4</v>
      </c>
      <c r="L2951">
        <v>0</v>
      </c>
      <c r="M2951" t="s">
        <v>18</v>
      </c>
      <c r="N2951">
        <v>0</v>
      </c>
      <c r="O2951">
        <v>0</v>
      </c>
    </row>
    <row r="2952" spans="1:15" x14ac:dyDescent="0.2">
      <c r="A2952" s="6">
        <v>45827</v>
      </c>
      <c r="B2952" t="s">
        <v>15</v>
      </c>
      <c r="C2952" t="s">
        <v>16</v>
      </c>
      <c r="D2952" s="1">
        <v>45855</v>
      </c>
      <c r="E2952" t="s">
        <v>17</v>
      </c>
      <c r="F2952">
        <v>7600</v>
      </c>
      <c r="G2952">
        <v>167</v>
      </c>
      <c r="H2952">
        <v>257.7</v>
      </c>
      <c r="I2952">
        <v>167</v>
      </c>
      <c r="J2952">
        <v>211.4</v>
      </c>
      <c r="K2952">
        <v>14.7</v>
      </c>
      <c r="L2952">
        <v>1976</v>
      </c>
      <c r="M2952" t="s">
        <v>1371</v>
      </c>
      <c r="N2952">
        <v>15472.1</v>
      </c>
      <c r="O2952">
        <v>493</v>
      </c>
    </row>
    <row r="2953" spans="1:15" x14ac:dyDescent="0.2">
      <c r="A2953" s="6">
        <v>45827</v>
      </c>
      <c r="B2953" t="s">
        <v>15</v>
      </c>
      <c r="C2953" t="s">
        <v>16</v>
      </c>
      <c r="D2953" s="1">
        <v>45855</v>
      </c>
      <c r="E2953" t="s">
        <v>19</v>
      </c>
      <c r="F2953">
        <v>7550</v>
      </c>
      <c r="J2953">
        <v>1117.8</v>
      </c>
      <c r="K2953">
        <v>1227.2</v>
      </c>
      <c r="L2953">
        <v>0</v>
      </c>
      <c r="M2953" t="s">
        <v>18</v>
      </c>
      <c r="N2953">
        <v>0</v>
      </c>
      <c r="O2953">
        <v>0</v>
      </c>
    </row>
    <row r="2954" spans="1:15" x14ac:dyDescent="0.2">
      <c r="A2954" s="6">
        <v>45827</v>
      </c>
      <c r="B2954" t="s">
        <v>15</v>
      </c>
      <c r="C2954" t="s">
        <v>16</v>
      </c>
      <c r="D2954" s="1">
        <v>45855</v>
      </c>
      <c r="E2954" t="s">
        <v>19</v>
      </c>
      <c r="F2954">
        <v>5550</v>
      </c>
      <c r="G2954">
        <v>109.2</v>
      </c>
      <c r="H2954">
        <v>109.2</v>
      </c>
      <c r="I2954">
        <v>66.5</v>
      </c>
      <c r="J2954">
        <v>90.2</v>
      </c>
      <c r="K2954">
        <v>116.7</v>
      </c>
      <c r="L2954">
        <v>818</v>
      </c>
      <c r="M2954" t="s">
        <v>1372</v>
      </c>
      <c r="N2954">
        <v>4618.3599999999997</v>
      </c>
      <c r="O2954">
        <v>94</v>
      </c>
    </row>
    <row r="2955" spans="1:15" x14ac:dyDescent="0.2">
      <c r="A2955" s="6">
        <v>45827</v>
      </c>
      <c r="B2955" t="s">
        <v>15</v>
      </c>
      <c r="C2955" t="s">
        <v>16</v>
      </c>
      <c r="D2955" s="1">
        <v>45855</v>
      </c>
      <c r="E2955" t="s">
        <v>19</v>
      </c>
      <c r="F2955">
        <v>3850</v>
      </c>
      <c r="J2955">
        <v>0.1</v>
      </c>
      <c r="K2955">
        <v>0.1</v>
      </c>
      <c r="L2955">
        <v>0</v>
      </c>
      <c r="M2955" t="s">
        <v>18</v>
      </c>
      <c r="N2955">
        <v>0</v>
      </c>
      <c r="O2955">
        <v>0</v>
      </c>
    </row>
    <row r="2956" spans="1:15" x14ac:dyDescent="0.2">
      <c r="A2956" s="6">
        <v>45827</v>
      </c>
      <c r="B2956" t="s">
        <v>15</v>
      </c>
      <c r="C2956" t="s">
        <v>16</v>
      </c>
      <c r="D2956" s="1">
        <v>45855</v>
      </c>
      <c r="E2956" t="s">
        <v>17</v>
      </c>
      <c r="F2956">
        <v>6600</v>
      </c>
      <c r="G2956">
        <v>377.8</v>
      </c>
      <c r="H2956">
        <v>505</v>
      </c>
      <c r="I2956">
        <v>351.1</v>
      </c>
      <c r="J2956">
        <v>421</v>
      </c>
      <c r="K2956">
        <v>381.3</v>
      </c>
      <c r="L2956">
        <v>24616</v>
      </c>
      <c r="M2956" t="s">
        <v>1373</v>
      </c>
      <c r="N2956">
        <v>173522.17</v>
      </c>
      <c r="O2956">
        <v>1821</v>
      </c>
    </row>
    <row r="2957" spans="1:15" x14ac:dyDescent="0.2">
      <c r="A2957" s="6">
        <v>45827</v>
      </c>
      <c r="B2957" t="s">
        <v>15</v>
      </c>
      <c r="C2957" t="s">
        <v>16</v>
      </c>
      <c r="D2957" s="1">
        <v>45855</v>
      </c>
      <c r="E2957" t="s">
        <v>19</v>
      </c>
      <c r="F2957">
        <v>6000</v>
      </c>
      <c r="G2957">
        <v>283.3</v>
      </c>
      <c r="H2957">
        <v>283.3</v>
      </c>
      <c r="I2957">
        <v>208</v>
      </c>
      <c r="J2957">
        <v>235.8</v>
      </c>
      <c r="K2957">
        <v>283.3</v>
      </c>
      <c r="L2957">
        <v>28555</v>
      </c>
      <c r="M2957" t="s">
        <v>1374</v>
      </c>
      <c r="N2957">
        <v>178109.49</v>
      </c>
      <c r="O2957">
        <v>2971</v>
      </c>
    </row>
    <row r="2958" spans="1:15" x14ac:dyDescent="0.2">
      <c r="A2958" s="6">
        <v>45827</v>
      </c>
      <c r="B2958" t="s">
        <v>15</v>
      </c>
      <c r="C2958" t="s">
        <v>16</v>
      </c>
      <c r="D2958" s="1">
        <v>45855</v>
      </c>
      <c r="E2958" t="s">
        <v>19</v>
      </c>
      <c r="F2958">
        <v>5850</v>
      </c>
      <c r="G2958">
        <v>210.4</v>
      </c>
      <c r="H2958">
        <v>210.4</v>
      </c>
      <c r="I2958">
        <v>160</v>
      </c>
      <c r="J2958">
        <v>176.6</v>
      </c>
      <c r="K2958">
        <v>217.1</v>
      </c>
      <c r="L2958">
        <v>1575</v>
      </c>
      <c r="M2958" t="s">
        <v>1375</v>
      </c>
      <c r="N2958">
        <v>9500.17</v>
      </c>
      <c r="O2958">
        <v>146</v>
      </c>
    </row>
    <row r="2959" spans="1:15" x14ac:dyDescent="0.2">
      <c r="A2959" s="6">
        <v>45827</v>
      </c>
      <c r="B2959" t="s">
        <v>15</v>
      </c>
      <c r="C2959" t="s">
        <v>16</v>
      </c>
      <c r="D2959" s="1">
        <v>45855</v>
      </c>
      <c r="E2959" t="s">
        <v>19</v>
      </c>
      <c r="F2959">
        <v>6300</v>
      </c>
      <c r="G2959">
        <v>441.4</v>
      </c>
      <c r="H2959">
        <v>445</v>
      </c>
      <c r="I2959">
        <v>347.6</v>
      </c>
      <c r="J2959">
        <v>386.2</v>
      </c>
      <c r="K2959">
        <v>449.9</v>
      </c>
      <c r="L2959">
        <v>22404</v>
      </c>
      <c r="M2959" t="s">
        <v>1376</v>
      </c>
      <c r="N2959">
        <v>149758.38</v>
      </c>
      <c r="O2959">
        <v>1236</v>
      </c>
    </row>
    <row r="2960" spans="1:15" x14ac:dyDescent="0.2">
      <c r="A2960" s="6">
        <v>45827</v>
      </c>
      <c r="B2960" t="s">
        <v>15</v>
      </c>
      <c r="C2960" t="s">
        <v>16</v>
      </c>
      <c r="D2960" s="1">
        <v>45855</v>
      </c>
      <c r="E2960" t="s">
        <v>19</v>
      </c>
      <c r="F2960">
        <v>5900</v>
      </c>
      <c r="G2960">
        <v>229.9</v>
      </c>
      <c r="H2960">
        <v>230.3</v>
      </c>
      <c r="I2960">
        <v>173</v>
      </c>
      <c r="J2960">
        <v>194.8</v>
      </c>
      <c r="K2960">
        <v>237.7</v>
      </c>
      <c r="L2960">
        <v>8093</v>
      </c>
      <c r="M2960" t="s">
        <v>1377</v>
      </c>
      <c r="N2960">
        <v>49366.03</v>
      </c>
      <c r="O2960">
        <v>944</v>
      </c>
    </row>
    <row r="2961" spans="1:15" x14ac:dyDescent="0.2">
      <c r="A2961" s="6">
        <v>45827</v>
      </c>
      <c r="B2961" t="s">
        <v>15</v>
      </c>
      <c r="C2961" t="s">
        <v>16</v>
      </c>
      <c r="D2961" s="1">
        <v>45855</v>
      </c>
      <c r="E2961" t="s">
        <v>17</v>
      </c>
      <c r="F2961">
        <v>5850</v>
      </c>
      <c r="G2961">
        <v>707.7</v>
      </c>
      <c r="H2961">
        <v>734</v>
      </c>
      <c r="I2961">
        <v>699</v>
      </c>
      <c r="J2961">
        <v>712.1</v>
      </c>
      <c r="K2961">
        <v>571.4</v>
      </c>
      <c r="L2961">
        <v>4</v>
      </c>
      <c r="M2961" t="s">
        <v>78</v>
      </c>
      <c r="N2961">
        <v>26.25</v>
      </c>
      <c r="O2961">
        <v>4</v>
      </c>
    </row>
    <row r="2962" spans="1:15" x14ac:dyDescent="0.2">
      <c r="A2962" s="6">
        <v>45827</v>
      </c>
      <c r="B2962" t="s">
        <v>15</v>
      </c>
      <c r="C2962" t="s">
        <v>16</v>
      </c>
      <c r="D2962" s="1">
        <v>45855</v>
      </c>
      <c r="E2962" t="s">
        <v>19</v>
      </c>
      <c r="F2962">
        <v>6500</v>
      </c>
      <c r="G2962">
        <v>560</v>
      </c>
      <c r="H2962">
        <v>560</v>
      </c>
      <c r="I2962">
        <v>455</v>
      </c>
      <c r="J2962">
        <v>504.6</v>
      </c>
      <c r="K2962">
        <v>579.9</v>
      </c>
      <c r="L2962">
        <v>27058</v>
      </c>
      <c r="M2962" t="s">
        <v>1378</v>
      </c>
      <c r="N2962">
        <v>189230.39</v>
      </c>
      <c r="O2962">
        <v>1668</v>
      </c>
    </row>
    <row r="2963" spans="1:15" x14ac:dyDescent="0.2">
      <c r="A2963" s="6">
        <v>45827</v>
      </c>
      <c r="B2963" t="s">
        <v>15</v>
      </c>
      <c r="C2963" t="s">
        <v>16</v>
      </c>
      <c r="D2963" s="1">
        <v>45855</v>
      </c>
      <c r="E2963" t="s">
        <v>19</v>
      </c>
      <c r="F2963">
        <v>4750</v>
      </c>
      <c r="J2963">
        <v>0.3</v>
      </c>
      <c r="K2963">
        <v>0.8</v>
      </c>
      <c r="L2963">
        <v>0</v>
      </c>
      <c r="M2963" t="s">
        <v>18</v>
      </c>
      <c r="N2963">
        <v>0</v>
      </c>
      <c r="O2963">
        <v>0</v>
      </c>
    </row>
    <row r="2964" spans="1:15" x14ac:dyDescent="0.2">
      <c r="A2964" s="6">
        <v>45827</v>
      </c>
      <c r="B2964" t="s">
        <v>15</v>
      </c>
      <c r="C2964" t="s">
        <v>16</v>
      </c>
      <c r="D2964" s="1">
        <v>45855</v>
      </c>
      <c r="E2964" t="s">
        <v>19</v>
      </c>
      <c r="F2964">
        <v>4350</v>
      </c>
      <c r="J2964">
        <v>0.1</v>
      </c>
      <c r="K2964">
        <v>0.1</v>
      </c>
      <c r="L2964">
        <v>0</v>
      </c>
      <c r="M2964" t="s">
        <v>18</v>
      </c>
      <c r="N2964">
        <v>0</v>
      </c>
      <c r="O2964">
        <v>0</v>
      </c>
    </row>
    <row r="2965" spans="1:15" x14ac:dyDescent="0.2">
      <c r="A2965" s="6">
        <v>45827</v>
      </c>
      <c r="B2965" t="s">
        <v>15</v>
      </c>
      <c r="C2965" t="s">
        <v>16</v>
      </c>
      <c r="D2965" s="1">
        <v>45855</v>
      </c>
      <c r="E2965" t="s">
        <v>17</v>
      </c>
      <c r="F2965">
        <v>7400</v>
      </c>
      <c r="G2965">
        <v>214.8</v>
      </c>
      <c r="H2965">
        <v>291.3</v>
      </c>
      <c r="I2965">
        <v>200</v>
      </c>
      <c r="J2965">
        <v>235.8</v>
      </c>
      <c r="K2965">
        <v>214.9</v>
      </c>
      <c r="L2965">
        <v>23080</v>
      </c>
      <c r="M2965" t="s">
        <v>1379</v>
      </c>
      <c r="N2965">
        <v>176536.16</v>
      </c>
      <c r="O2965">
        <v>3127</v>
      </c>
    </row>
    <row r="2966" spans="1:15" x14ac:dyDescent="0.2">
      <c r="A2966" s="6">
        <v>45827</v>
      </c>
      <c r="B2966" t="s">
        <v>15</v>
      </c>
      <c r="C2966" t="s">
        <v>16</v>
      </c>
      <c r="D2966" s="1">
        <v>45855</v>
      </c>
      <c r="E2966" t="s">
        <v>19</v>
      </c>
      <c r="F2966">
        <v>7000</v>
      </c>
      <c r="G2966">
        <v>841.6</v>
      </c>
      <c r="H2966">
        <v>841.6</v>
      </c>
      <c r="I2966">
        <v>841.6</v>
      </c>
      <c r="J2966">
        <v>841.6</v>
      </c>
      <c r="K2966">
        <v>978.9</v>
      </c>
      <c r="L2966">
        <v>3</v>
      </c>
      <c r="M2966" t="s">
        <v>34</v>
      </c>
      <c r="N2966">
        <v>23.52</v>
      </c>
      <c r="O2966">
        <v>4</v>
      </c>
    </row>
    <row r="2967" spans="1:15" x14ac:dyDescent="0.2">
      <c r="A2967" s="6">
        <v>45827</v>
      </c>
      <c r="B2967" t="s">
        <v>15</v>
      </c>
      <c r="C2967" t="s">
        <v>16</v>
      </c>
      <c r="D2967" s="1">
        <v>45855</v>
      </c>
      <c r="E2967" t="s">
        <v>17</v>
      </c>
      <c r="F2967">
        <v>5400</v>
      </c>
      <c r="G2967">
        <v>1030.4000000000001</v>
      </c>
      <c r="H2967">
        <v>1196.9000000000001</v>
      </c>
      <c r="I2967">
        <v>1030.4000000000001</v>
      </c>
      <c r="J2967">
        <v>1159.5999999999999</v>
      </c>
      <c r="K2967">
        <v>948.5</v>
      </c>
      <c r="L2967">
        <v>47</v>
      </c>
      <c r="M2967" t="s">
        <v>230</v>
      </c>
      <c r="N2967">
        <v>306.08</v>
      </c>
      <c r="O2967">
        <v>588</v>
      </c>
    </row>
    <row r="2968" spans="1:15" x14ac:dyDescent="0.2">
      <c r="A2968" s="6">
        <v>45827</v>
      </c>
      <c r="B2968" t="s">
        <v>15</v>
      </c>
      <c r="C2968" t="s">
        <v>16</v>
      </c>
      <c r="D2968" s="1">
        <v>45855</v>
      </c>
      <c r="E2968" t="s">
        <v>17</v>
      </c>
      <c r="F2968">
        <v>6150</v>
      </c>
      <c r="G2968">
        <v>555.5</v>
      </c>
      <c r="H2968">
        <v>736.4</v>
      </c>
      <c r="I2968">
        <v>530</v>
      </c>
      <c r="J2968">
        <v>574.5</v>
      </c>
      <c r="K2968">
        <v>542.20000000000005</v>
      </c>
      <c r="L2968">
        <v>222</v>
      </c>
      <c r="M2968" t="s">
        <v>108</v>
      </c>
      <c r="N2968">
        <v>1495.91</v>
      </c>
      <c r="O2968">
        <v>85</v>
      </c>
    </row>
    <row r="2969" spans="1:15" x14ac:dyDescent="0.2">
      <c r="A2969" s="6">
        <v>45827</v>
      </c>
      <c r="B2969" t="s">
        <v>15</v>
      </c>
      <c r="C2969" t="s">
        <v>16</v>
      </c>
      <c r="D2969" s="1">
        <v>45855</v>
      </c>
      <c r="E2969" t="s">
        <v>17</v>
      </c>
      <c r="F2969">
        <v>3900</v>
      </c>
      <c r="J2969">
        <v>2537.4</v>
      </c>
      <c r="K2969">
        <v>2422.5</v>
      </c>
      <c r="L2969">
        <v>0</v>
      </c>
      <c r="M2969" t="s">
        <v>18</v>
      </c>
      <c r="N2969">
        <v>0</v>
      </c>
      <c r="O2969">
        <v>0</v>
      </c>
    </row>
    <row r="2970" spans="1:15" x14ac:dyDescent="0.2">
      <c r="A2970" s="6">
        <v>45827</v>
      </c>
      <c r="B2970" t="s">
        <v>15</v>
      </c>
      <c r="C2970" t="s">
        <v>16</v>
      </c>
      <c r="D2970" s="1">
        <v>45855</v>
      </c>
      <c r="E2970" t="s">
        <v>19</v>
      </c>
      <c r="F2970">
        <v>6450</v>
      </c>
      <c r="G2970">
        <v>522.20000000000005</v>
      </c>
      <c r="H2970">
        <v>555.1</v>
      </c>
      <c r="I2970">
        <v>431</v>
      </c>
      <c r="J2970">
        <v>486.4</v>
      </c>
      <c r="K2970">
        <v>546.79999999999995</v>
      </c>
      <c r="L2970">
        <v>7600</v>
      </c>
      <c r="M2970" t="s">
        <v>1380</v>
      </c>
      <c r="N2970">
        <v>52616.5</v>
      </c>
      <c r="O2970">
        <v>965</v>
      </c>
    </row>
    <row r="2971" spans="1:15" x14ac:dyDescent="0.2">
      <c r="A2971" s="6">
        <v>45827</v>
      </c>
      <c r="B2971" t="s">
        <v>15</v>
      </c>
      <c r="C2971" t="s">
        <v>16</v>
      </c>
      <c r="D2971" s="1">
        <v>45855</v>
      </c>
      <c r="E2971" t="s">
        <v>17</v>
      </c>
      <c r="F2971">
        <v>4300</v>
      </c>
      <c r="J2971">
        <v>2139.1999999999998</v>
      </c>
      <c r="K2971">
        <v>2024.4</v>
      </c>
      <c r="L2971">
        <v>0</v>
      </c>
      <c r="M2971" t="s">
        <v>18</v>
      </c>
      <c r="N2971">
        <v>0</v>
      </c>
      <c r="O2971">
        <v>0</v>
      </c>
    </row>
    <row r="2972" spans="1:15" x14ac:dyDescent="0.2">
      <c r="A2972" s="6">
        <v>45827</v>
      </c>
      <c r="B2972" t="s">
        <v>15</v>
      </c>
      <c r="C2972" t="s">
        <v>16</v>
      </c>
      <c r="D2972" s="1">
        <v>45855</v>
      </c>
      <c r="E2972" t="s">
        <v>19</v>
      </c>
      <c r="F2972">
        <v>4300</v>
      </c>
      <c r="J2972">
        <v>0.1</v>
      </c>
      <c r="K2972">
        <v>0.1</v>
      </c>
      <c r="L2972">
        <v>0</v>
      </c>
      <c r="M2972" t="s">
        <v>18</v>
      </c>
      <c r="N2972">
        <v>0</v>
      </c>
      <c r="O2972">
        <v>0</v>
      </c>
    </row>
    <row r="2973" spans="1:15" x14ac:dyDescent="0.2">
      <c r="A2973" s="6">
        <v>45827</v>
      </c>
      <c r="B2973" t="s">
        <v>15</v>
      </c>
      <c r="C2973" t="s">
        <v>16</v>
      </c>
      <c r="D2973" s="1">
        <v>45855</v>
      </c>
      <c r="E2973" t="s">
        <v>17</v>
      </c>
      <c r="F2973">
        <v>5650</v>
      </c>
      <c r="J2973">
        <v>827.2</v>
      </c>
      <c r="K2973">
        <v>730</v>
      </c>
      <c r="L2973">
        <v>0</v>
      </c>
      <c r="M2973" t="s">
        <v>18</v>
      </c>
      <c r="N2973">
        <v>0</v>
      </c>
      <c r="O2973">
        <v>3</v>
      </c>
    </row>
    <row r="2974" spans="1:15" x14ac:dyDescent="0.2">
      <c r="A2974" s="6">
        <v>45827</v>
      </c>
      <c r="B2974" t="s">
        <v>15</v>
      </c>
      <c r="C2974" t="s">
        <v>16</v>
      </c>
      <c r="D2974" s="1">
        <v>45855</v>
      </c>
      <c r="E2974" t="s">
        <v>19</v>
      </c>
      <c r="F2974">
        <v>5000</v>
      </c>
      <c r="G2974">
        <v>37.9</v>
      </c>
      <c r="H2974">
        <v>37.9</v>
      </c>
      <c r="I2974">
        <v>29</v>
      </c>
      <c r="J2974">
        <v>31</v>
      </c>
      <c r="K2974">
        <v>37.9</v>
      </c>
      <c r="L2974">
        <v>5499</v>
      </c>
      <c r="M2974" t="s">
        <v>1381</v>
      </c>
      <c r="N2974">
        <v>27683.81</v>
      </c>
      <c r="O2974">
        <v>2260</v>
      </c>
    </row>
    <row r="2975" spans="1:15" x14ac:dyDescent="0.2">
      <c r="A2975" s="6">
        <v>45827</v>
      </c>
      <c r="B2975" t="s">
        <v>15</v>
      </c>
      <c r="C2975" t="s">
        <v>16</v>
      </c>
      <c r="D2975" s="1">
        <v>45855</v>
      </c>
      <c r="E2975" t="s">
        <v>19</v>
      </c>
      <c r="F2975">
        <v>4150</v>
      </c>
      <c r="J2975">
        <v>0.1</v>
      </c>
      <c r="K2975">
        <v>0.1</v>
      </c>
      <c r="L2975">
        <v>0</v>
      </c>
      <c r="M2975" t="s">
        <v>18</v>
      </c>
      <c r="N2975">
        <v>0</v>
      </c>
      <c r="O2975">
        <v>0</v>
      </c>
    </row>
    <row r="2976" spans="1:15" x14ac:dyDescent="0.2">
      <c r="A2976" s="6">
        <v>45827</v>
      </c>
      <c r="B2976" t="s">
        <v>15</v>
      </c>
      <c r="C2976" t="s">
        <v>16</v>
      </c>
      <c r="D2976" s="1">
        <v>45855</v>
      </c>
      <c r="E2976" t="s">
        <v>19</v>
      </c>
      <c r="F2976">
        <v>7300</v>
      </c>
      <c r="J2976">
        <v>889.7</v>
      </c>
      <c r="K2976">
        <v>994.8</v>
      </c>
      <c r="L2976">
        <v>0</v>
      </c>
      <c r="M2976" t="s">
        <v>18</v>
      </c>
      <c r="N2976">
        <v>0</v>
      </c>
      <c r="O2976">
        <v>0</v>
      </c>
    </row>
    <row r="2977" spans="1:15" x14ac:dyDescent="0.2">
      <c r="A2977" s="6">
        <v>45827</v>
      </c>
      <c r="B2977" t="s">
        <v>15</v>
      </c>
      <c r="C2977" t="s">
        <v>16</v>
      </c>
      <c r="D2977" s="1">
        <v>45855</v>
      </c>
      <c r="E2977" t="s">
        <v>19</v>
      </c>
      <c r="F2977">
        <v>5950</v>
      </c>
      <c r="G2977">
        <v>245</v>
      </c>
      <c r="H2977">
        <v>245.3</v>
      </c>
      <c r="I2977">
        <v>191</v>
      </c>
      <c r="J2977">
        <v>214.8</v>
      </c>
      <c r="K2977">
        <v>260.39999999999998</v>
      </c>
      <c r="L2977">
        <v>1763</v>
      </c>
      <c r="M2977" t="s">
        <v>1382</v>
      </c>
      <c r="N2977">
        <v>10868.19</v>
      </c>
      <c r="O2977">
        <v>136</v>
      </c>
    </row>
    <row r="2978" spans="1:15" x14ac:dyDescent="0.2">
      <c r="A2978" s="6">
        <v>45827</v>
      </c>
      <c r="B2978" t="s">
        <v>15</v>
      </c>
      <c r="C2978" t="s">
        <v>16</v>
      </c>
      <c r="D2978" s="1">
        <v>45855</v>
      </c>
      <c r="E2978" t="s">
        <v>17</v>
      </c>
      <c r="F2978">
        <v>6450</v>
      </c>
      <c r="G2978">
        <v>425.1</v>
      </c>
      <c r="H2978">
        <v>567.1</v>
      </c>
      <c r="I2978">
        <v>414.9</v>
      </c>
      <c r="J2978">
        <v>469.3</v>
      </c>
      <c r="K2978">
        <v>427.8</v>
      </c>
      <c r="L2978">
        <v>15085</v>
      </c>
      <c r="M2978" t="s">
        <v>1383</v>
      </c>
      <c r="N2978">
        <v>104772.75</v>
      </c>
      <c r="O2978">
        <v>1147</v>
      </c>
    </row>
    <row r="2979" spans="1:15" x14ac:dyDescent="0.2">
      <c r="A2979" s="6">
        <v>45827</v>
      </c>
      <c r="B2979" t="s">
        <v>15</v>
      </c>
      <c r="C2979" t="s">
        <v>16</v>
      </c>
      <c r="D2979" s="1">
        <v>45855</v>
      </c>
      <c r="E2979" t="s">
        <v>19</v>
      </c>
      <c r="F2979">
        <v>6600</v>
      </c>
      <c r="G2979">
        <v>618.20000000000005</v>
      </c>
      <c r="H2979">
        <v>618.20000000000005</v>
      </c>
      <c r="I2979">
        <v>520</v>
      </c>
      <c r="J2979">
        <v>570.4</v>
      </c>
      <c r="K2979">
        <v>649.70000000000005</v>
      </c>
      <c r="L2979">
        <v>6022</v>
      </c>
      <c r="M2979" t="s">
        <v>1384</v>
      </c>
      <c r="N2979">
        <v>43074.97</v>
      </c>
      <c r="O2979">
        <v>225</v>
      </c>
    </row>
    <row r="2980" spans="1:15" x14ac:dyDescent="0.2">
      <c r="A2980" s="6">
        <v>45827</v>
      </c>
      <c r="B2980" t="s">
        <v>15</v>
      </c>
      <c r="C2980" t="s">
        <v>16</v>
      </c>
      <c r="D2980" s="1">
        <v>45855</v>
      </c>
      <c r="E2980" t="s">
        <v>17</v>
      </c>
      <c r="F2980">
        <v>4700</v>
      </c>
      <c r="J2980">
        <v>1741.2</v>
      </c>
      <c r="K2980">
        <v>1626.8</v>
      </c>
      <c r="L2980">
        <v>0</v>
      </c>
      <c r="M2980" t="s">
        <v>18</v>
      </c>
      <c r="N2980">
        <v>0</v>
      </c>
      <c r="O2980">
        <v>0</v>
      </c>
    </row>
    <row r="2981" spans="1:15" x14ac:dyDescent="0.2">
      <c r="A2981" s="6">
        <v>45827</v>
      </c>
      <c r="B2981" t="s">
        <v>15</v>
      </c>
      <c r="C2981" t="s">
        <v>16</v>
      </c>
      <c r="D2981" s="1">
        <v>45855</v>
      </c>
      <c r="E2981" t="s">
        <v>17</v>
      </c>
      <c r="F2981">
        <v>6400</v>
      </c>
      <c r="G2981">
        <v>456.4</v>
      </c>
      <c r="H2981">
        <v>587.5</v>
      </c>
      <c r="I2981">
        <v>407.1</v>
      </c>
      <c r="J2981">
        <v>486.9</v>
      </c>
      <c r="K2981">
        <v>445.2</v>
      </c>
      <c r="L2981">
        <v>35216</v>
      </c>
      <c r="M2981" t="s">
        <v>1385</v>
      </c>
      <c r="N2981">
        <v>243352.41</v>
      </c>
      <c r="O2981">
        <v>3015</v>
      </c>
    </row>
    <row r="2982" spans="1:15" x14ac:dyDescent="0.2">
      <c r="A2982" s="6">
        <v>45827</v>
      </c>
      <c r="B2982" t="s">
        <v>15</v>
      </c>
      <c r="C2982" t="s">
        <v>16</v>
      </c>
      <c r="D2982" s="1">
        <v>45855</v>
      </c>
      <c r="E2982" t="s">
        <v>19</v>
      </c>
      <c r="F2982">
        <v>3800</v>
      </c>
      <c r="J2982">
        <v>0.1</v>
      </c>
      <c r="K2982">
        <v>0.1</v>
      </c>
      <c r="L2982">
        <v>0</v>
      </c>
      <c r="M2982" t="s">
        <v>18</v>
      </c>
      <c r="N2982">
        <v>0</v>
      </c>
      <c r="O2982">
        <v>0</v>
      </c>
    </row>
    <row r="2983" spans="1:15" x14ac:dyDescent="0.2">
      <c r="A2983" s="6">
        <v>45827</v>
      </c>
      <c r="B2983" t="s">
        <v>15</v>
      </c>
      <c r="C2983" t="s">
        <v>16</v>
      </c>
      <c r="D2983" s="1">
        <v>45855</v>
      </c>
      <c r="E2983" t="s">
        <v>17</v>
      </c>
      <c r="F2983">
        <v>6000</v>
      </c>
      <c r="G2983">
        <v>624</v>
      </c>
      <c r="H2983">
        <v>790.6</v>
      </c>
      <c r="I2983">
        <v>600</v>
      </c>
      <c r="J2983">
        <v>692.8</v>
      </c>
      <c r="K2983">
        <v>610.9</v>
      </c>
      <c r="L2983">
        <v>2318</v>
      </c>
      <c r="M2983" t="s">
        <v>1386</v>
      </c>
      <c r="N2983">
        <v>15533.8</v>
      </c>
      <c r="O2983">
        <v>2467</v>
      </c>
    </row>
    <row r="2984" spans="1:15" x14ac:dyDescent="0.2">
      <c r="A2984" s="6">
        <v>45827</v>
      </c>
      <c r="B2984" t="s">
        <v>15</v>
      </c>
      <c r="C2984" t="s">
        <v>16</v>
      </c>
      <c r="D2984" s="1">
        <v>45855</v>
      </c>
      <c r="E2984" t="s">
        <v>19</v>
      </c>
      <c r="F2984">
        <v>6100</v>
      </c>
      <c r="G2984">
        <v>334.6</v>
      </c>
      <c r="H2984">
        <v>334.7</v>
      </c>
      <c r="I2984">
        <v>253.6</v>
      </c>
      <c r="J2984">
        <v>281.10000000000002</v>
      </c>
      <c r="K2984">
        <v>336.2</v>
      </c>
      <c r="L2984">
        <v>12365</v>
      </c>
      <c r="M2984" t="s">
        <v>1387</v>
      </c>
      <c r="N2984">
        <v>78938.87</v>
      </c>
      <c r="O2984">
        <v>1536</v>
      </c>
    </row>
    <row r="2985" spans="1:15" x14ac:dyDescent="0.2">
      <c r="A2985" s="6">
        <v>45827</v>
      </c>
      <c r="B2985" t="s">
        <v>15</v>
      </c>
      <c r="C2985" t="s">
        <v>16</v>
      </c>
      <c r="D2985" s="1">
        <v>45855</v>
      </c>
      <c r="E2985" t="s">
        <v>19</v>
      </c>
      <c r="F2985">
        <v>4050</v>
      </c>
      <c r="J2985">
        <v>0.1</v>
      </c>
      <c r="K2985">
        <v>0.1</v>
      </c>
      <c r="L2985">
        <v>0</v>
      </c>
      <c r="M2985" t="s">
        <v>18</v>
      </c>
      <c r="N2985">
        <v>0</v>
      </c>
      <c r="O2985">
        <v>0</v>
      </c>
    </row>
    <row r="2986" spans="1:15" x14ac:dyDescent="0.2">
      <c r="A2986" s="6">
        <v>45826</v>
      </c>
      <c r="B2986" t="s">
        <v>15</v>
      </c>
      <c r="C2986" t="s">
        <v>16</v>
      </c>
      <c r="D2986" s="1">
        <v>45855</v>
      </c>
      <c r="E2986" t="s">
        <v>19</v>
      </c>
      <c r="F2986">
        <v>5100</v>
      </c>
      <c r="G2986">
        <v>48.6</v>
      </c>
      <c r="H2986">
        <v>51.4</v>
      </c>
      <c r="I2986">
        <v>40.6</v>
      </c>
      <c r="J2986">
        <v>42.2</v>
      </c>
      <c r="K2986">
        <v>47.5</v>
      </c>
      <c r="L2986">
        <v>4859</v>
      </c>
      <c r="M2986" t="s">
        <v>1388</v>
      </c>
      <c r="N2986">
        <v>25005.439999999999</v>
      </c>
      <c r="O2986">
        <v>1016</v>
      </c>
    </row>
    <row r="2987" spans="1:15" x14ac:dyDescent="0.2">
      <c r="A2987" s="6">
        <v>45826</v>
      </c>
      <c r="B2987" t="s">
        <v>15</v>
      </c>
      <c r="C2987" t="s">
        <v>16</v>
      </c>
      <c r="D2987" s="1">
        <v>45855</v>
      </c>
      <c r="E2987" t="s">
        <v>17</v>
      </c>
      <c r="F2987">
        <v>4650</v>
      </c>
      <c r="J2987">
        <v>1676.4</v>
      </c>
      <c r="K2987">
        <v>1641.7</v>
      </c>
      <c r="L2987">
        <v>0</v>
      </c>
      <c r="M2987" t="s">
        <v>18</v>
      </c>
      <c r="N2987">
        <v>0</v>
      </c>
      <c r="O2987">
        <v>0</v>
      </c>
    </row>
    <row r="2988" spans="1:15" x14ac:dyDescent="0.2">
      <c r="A2988" s="6">
        <v>45826</v>
      </c>
      <c r="B2988" t="s">
        <v>15</v>
      </c>
      <c r="C2988" t="s">
        <v>16</v>
      </c>
      <c r="D2988" s="1">
        <v>45855</v>
      </c>
      <c r="E2988" t="s">
        <v>19</v>
      </c>
      <c r="F2988">
        <v>6050</v>
      </c>
      <c r="G2988">
        <v>304.89999999999998</v>
      </c>
      <c r="H2988">
        <v>365.6</v>
      </c>
      <c r="I2988">
        <v>299.10000000000002</v>
      </c>
      <c r="J2988">
        <v>309.60000000000002</v>
      </c>
      <c r="K2988">
        <v>331.8</v>
      </c>
      <c r="L2988">
        <v>3411</v>
      </c>
      <c r="M2988" t="s">
        <v>1389</v>
      </c>
      <c r="N2988">
        <v>21759.7</v>
      </c>
      <c r="O2988">
        <v>94</v>
      </c>
    </row>
    <row r="2989" spans="1:15" x14ac:dyDescent="0.2">
      <c r="A2989" s="6">
        <v>45826</v>
      </c>
      <c r="B2989" t="s">
        <v>15</v>
      </c>
      <c r="C2989" t="s">
        <v>16</v>
      </c>
      <c r="D2989" s="1">
        <v>45855</v>
      </c>
      <c r="E2989" t="s">
        <v>19</v>
      </c>
      <c r="F2989">
        <v>6650</v>
      </c>
      <c r="G2989">
        <v>723.6</v>
      </c>
      <c r="H2989">
        <v>723.6</v>
      </c>
      <c r="I2989">
        <v>682.4</v>
      </c>
      <c r="J2989">
        <v>703.6</v>
      </c>
      <c r="K2989">
        <v>733.9</v>
      </c>
      <c r="L2989">
        <v>41</v>
      </c>
      <c r="M2989" t="s">
        <v>272</v>
      </c>
      <c r="N2989">
        <v>301.93</v>
      </c>
      <c r="O2989">
        <v>25</v>
      </c>
    </row>
    <row r="2990" spans="1:15" x14ac:dyDescent="0.2">
      <c r="A2990" s="6">
        <v>45826</v>
      </c>
      <c r="B2990" t="s">
        <v>15</v>
      </c>
      <c r="C2990" t="s">
        <v>16</v>
      </c>
      <c r="D2990" s="1">
        <v>45855</v>
      </c>
      <c r="E2990" t="s">
        <v>17</v>
      </c>
      <c r="F2990">
        <v>4200</v>
      </c>
      <c r="J2990">
        <v>2123.9</v>
      </c>
      <c r="K2990">
        <v>2088.8000000000002</v>
      </c>
      <c r="L2990">
        <v>0</v>
      </c>
      <c r="M2990" t="s">
        <v>18</v>
      </c>
      <c r="N2990">
        <v>0</v>
      </c>
      <c r="O2990">
        <v>0</v>
      </c>
    </row>
    <row r="2991" spans="1:15" x14ac:dyDescent="0.2">
      <c r="A2991" s="6">
        <v>45826</v>
      </c>
      <c r="B2991" t="s">
        <v>15</v>
      </c>
      <c r="C2991" t="s">
        <v>16</v>
      </c>
      <c r="D2991" s="1">
        <v>45855</v>
      </c>
      <c r="E2991" t="s">
        <v>17</v>
      </c>
      <c r="F2991">
        <v>5250</v>
      </c>
      <c r="J2991">
        <v>1089.7</v>
      </c>
      <c r="K2991">
        <v>1059.2</v>
      </c>
      <c r="L2991">
        <v>0</v>
      </c>
      <c r="M2991" t="s">
        <v>18</v>
      </c>
      <c r="N2991">
        <v>0</v>
      </c>
      <c r="O2991">
        <v>0</v>
      </c>
    </row>
    <row r="2992" spans="1:15" x14ac:dyDescent="0.2">
      <c r="A2992" s="6">
        <v>45826</v>
      </c>
      <c r="B2992" t="s">
        <v>15</v>
      </c>
      <c r="C2992" t="s">
        <v>16</v>
      </c>
      <c r="D2992" s="1">
        <v>45855</v>
      </c>
      <c r="E2992" t="s">
        <v>17</v>
      </c>
      <c r="F2992">
        <v>5100</v>
      </c>
      <c r="J2992">
        <v>1233.5999999999999</v>
      </c>
      <c r="K2992">
        <v>1081.9000000000001</v>
      </c>
      <c r="L2992">
        <v>0</v>
      </c>
      <c r="M2992" t="s">
        <v>18</v>
      </c>
      <c r="N2992">
        <v>0</v>
      </c>
      <c r="O2992">
        <v>5</v>
      </c>
    </row>
    <row r="2993" spans="1:15" x14ac:dyDescent="0.2">
      <c r="A2993" s="6">
        <v>45826</v>
      </c>
      <c r="B2993" t="s">
        <v>15</v>
      </c>
      <c r="C2993" t="s">
        <v>16</v>
      </c>
      <c r="D2993" s="1">
        <v>45855</v>
      </c>
      <c r="E2993" t="s">
        <v>17</v>
      </c>
      <c r="F2993">
        <v>7300</v>
      </c>
      <c r="G2993">
        <v>243</v>
      </c>
      <c r="H2993">
        <v>301</v>
      </c>
      <c r="I2993">
        <v>186</v>
      </c>
      <c r="J2993">
        <v>229.9</v>
      </c>
      <c r="K2993">
        <v>234.7</v>
      </c>
      <c r="L2993">
        <v>11459</v>
      </c>
      <c r="M2993" t="s">
        <v>1390</v>
      </c>
      <c r="N2993">
        <v>86355.42</v>
      </c>
      <c r="O2993">
        <v>828</v>
      </c>
    </row>
    <row r="2994" spans="1:15" x14ac:dyDescent="0.2">
      <c r="A2994" s="6">
        <v>45826</v>
      </c>
      <c r="B2994" t="s">
        <v>15</v>
      </c>
      <c r="C2994" t="s">
        <v>16</v>
      </c>
      <c r="D2994" s="1">
        <v>45855</v>
      </c>
      <c r="E2994" t="s">
        <v>19</v>
      </c>
      <c r="F2994">
        <v>4900</v>
      </c>
      <c r="G2994">
        <v>34.700000000000003</v>
      </c>
      <c r="H2994">
        <v>39.299999999999997</v>
      </c>
      <c r="I2994">
        <v>31.2</v>
      </c>
      <c r="J2994">
        <v>33</v>
      </c>
      <c r="K2994">
        <v>34.700000000000003</v>
      </c>
      <c r="L2994">
        <v>1324</v>
      </c>
      <c r="M2994" t="s">
        <v>743</v>
      </c>
      <c r="N2994">
        <v>6533.93</v>
      </c>
      <c r="O2994">
        <v>129</v>
      </c>
    </row>
    <row r="2995" spans="1:15" x14ac:dyDescent="0.2">
      <c r="A2995" s="6">
        <v>45826</v>
      </c>
      <c r="B2995" t="s">
        <v>15</v>
      </c>
      <c r="C2995" t="s">
        <v>16</v>
      </c>
      <c r="D2995" s="1">
        <v>45855</v>
      </c>
      <c r="E2995" t="s">
        <v>19</v>
      </c>
      <c r="F2995">
        <v>3600</v>
      </c>
      <c r="J2995">
        <v>0.1</v>
      </c>
      <c r="K2995">
        <v>0.1</v>
      </c>
      <c r="L2995">
        <v>0</v>
      </c>
      <c r="M2995" t="s">
        <v>18</v>
      </c>
      <c r="N2995">
        <v>0</v>
      </c>
      <c r="O2995">
        <v>0</v>
      </c>
    </row>
    <row r="2996" spans="1:15" x14ac:dyDescent="0.2">
      <c r="A2996" s="6">
        <v>45826</v>
      </c>
      <c r="B2996" t="s">
        <v>15</v>
      </c>
      <c r="C2996" t="s">
        <v>16</v>
      </c>
      <c r="D2996" s="1">
        <v>45855</v>
      </c>
      <c r="E2996" t="s">
        <v>19</v>
      </c>
      <c r="F2996">
        <v>4200</v>
      </c>
      <c r="J2996">
        <v>0.1</v>
      </c>
      <c r="K2996">
        <v>0.1</v>
      </c>
      <c r="L2996">
        <v>0</v>
      </c>
      <c r="M2996" t="s">
        <v>18</v>
      </c>
      <c r="N2996">
        <v>0</v>
      </c>
      <c r="O2996">
        <v>0</v>
      </c>
    </row>
    <row r="2997" spans="1:15" x14ac:dyDescent="0.2">
      <c r="A2997" s="6">
        <v>45826</v>
      </c>
      <c r="B2997" t="s">
        <v>15</v>
      </c>
      <c r="C2997" t="s">
        <v>16</v>
      </c>
      <c r="D2997" s="1">
        <v>45855</v>
      </c>
      <c r="E2997" t="s">
        <v>17</v>
      </c>
      <c r="F2997">
        <v>4800</v>
      </c>
      <c r="J2997">
        <v>1527.8</v>
      </c>
      <c r="K2997">
        <v>1493.5</v>
      </c>
      <c r="L2997">
        <v>0</v>
      </c>
      <c r="M2997" t="s">
        <v>18</v>
      </c>
      <c r="N2997">
        <v>0</v>
      </c>
      <c r="O2997">
        <v>0</v>
      </c>
    </row>
    <row r="2998" spans="1:15" x14ac:dyDescent="0.2">
      <c r="A2998" s="6">
        <v>45826</v>
      </c>
      <c r="B2998" t="s">
        <v>15</v>
      </c>
      <c r="C2998" t="s">
        <v>16</v>
      </c>
      <c r="D2998" s="1">
        <v>45855</v>
      </c>
      <c r="E2998" t="s">
        <v>17</v>
      </c>
      <c r="F2998">
        <v>5950</v>
      </c>
      <c r="G2998">
        <v>563.6</v>
      </c>
      <c r="H2998">
        <v>701.7</v>
      </c>
      <c r="I2998">
        <v>562.79999999999995</v>
      </c>
      <c r="J2998">
        <v>625.79999999999995</v>
      </c>
      <c r="K2998">
        <v>616.1</v>
      </c>
      <c r="L2998">
        <v>92</v>
      </c>
      <c r="M2998" t="s">
        <v>608</v>
      </c>
      <c r="N2998">
        <v>601.57000000000005</v>
      </c>
      <c r="O2998">
        <v>42</v>
      </c>
    </row>
    <row r="2999" spans="1:15" x14ac:dyDescent="0.2">
      <c r="A2999" s="6">
        <v>45826</v>
      </c>
      <c r="B2999" t="s">
        <v>15</v>
      </c>
      <c r="C2999" t="s">
        <v>16</v>
      </c>
      <c r="D2999" s="1">
        <v>45855</v>
      </c>
      <c r="E2999" t="s">
        <v>19</v>
      </c>
      <c r="F2999">
        <v>3900</v>
      </c>
      <c r="J2999">
        <v>0.1</v>
      </c>
      <c r="K2999">
        <v>0.1</v>
      </c>
      <c r="L2999">
        <v>0</v>
      </c>
      <c r="M2999" t="s">
        <v>18</v>
      </c>
      <c r="N2999">
        <v>0</v>
      </c>
      <c r="O2999">
        <v>0</v>
      </c>
    </row>
    <row r="3000" spans="1:15" x14ac:dyDescent="0.2">
      <c r="A3000" s="6">
        <v>45826</v>
      </c>
      <c r="B3000" t="s">
        <v>15</v>
      </c>
      <c r="C3000" t="s">
        <v>16</v>
      </c>
      <c r="D3000" s="1">
        <v>45855</v>
      </c>
      <c r="E3000" t="s">
        <v>17</v>
      </c>
      <c r="F3000">
        <v>4900</v>
      </c>
      <c r="G3000">
        <v>1340.9</v>
      </c>
      <c r="H3000">
        <v>1340.9</v>
      </c>
      <c r="I3000">
        <v>1340.9</v>
      </c>
      <c r="J3000">
        <v>1340.9</v>
      </c>
      <c r="K3000">
        <v>1395.2</v>
      </c>
      <c r="L3000">
        <v>1</v>
      </c>
      <c r="M3000" t="s">
        <v>155</v>
      </c>
      <c r="N3000">
        <v>6.24</v>
      </c>
      <c r="O3000">
        <v>1</v>
      </c>
    </row>
    <row r="3001" spans="1:15" x14ac:dyDescent="0.2">
      <c r="A3001" s="6">
        <v>45826</v>
      </c>
      <c r="B3001" t="s">
        <v>15</v>
      </c>
      <c r="C3001" t="s">
        <v>16</v>
      </c>
      <c r="D3001" s="1">
        <v>45855</v>
      </c>
      <c r="E3001" t="s">
        <v>19</v>
      </c>
      <c r="F3001">
        <v>6550</v>
      </c>
      <c r="G3001">
        <v>598</v>
      </c>
      <c r="H3001">
        <v>695.5</v>
      </c>
      <c r="I3001">
        <v>596.1</v>
      </c>
      <c r="J3001">
        <v>614.5</v>
      </c>
      <c r="K3001">
        <v>640.29999999999995</v>
      </c>
      <c r="L3001">
        <v>608</v>
      </c>
      <c r="M3001" t="s">
        <v>1391</v>
      </c>
      <c r="N3001">
        <v>4369.4399999999996</v>
      </c>
      <c r="O3001">
        <v>28</v>
      </c>
    </row>
    <row r="3002" spans="1:15" x14ac:dyDescent="0.2">
      <c r="A3002" s="6">
        <v>45826</v>
      </c>
      <c r="B3002" t="s">
        <v>15</v>
      </c>
      <c r="C3002" t="s">
        <v>16</v>
      </c>
      <c r="D3002" s="1">
        <v>45855</v>
      </c>
      <c r="E3002" t="s">
        <v>17</v>
      </c>
      <c r="F3002">
        <v>5700</v>
      </c>
      <c r="G3002">
        <v>813</v>
      </c>
      <c r="H3002">
        <v>831.6</v>
      </c>
      <c r="I3002">
        <v>653.1</v>
      </c>
      <c r="J3002">
        <v>788.4</v>
      </c>
      <c r="K3002">
        <v>772.8</v>
      </c>
      <c r="L3002">
        <v>112</v>
      </c>
      <c r="M3002" t="s">
        <v>158</v>
      </c>
      <c r="N3002">
        <v>725.75</v>
      </c>
      <c r="O3002">
        <v>566</v>
      </c>
    </row>
    <row r="3003" spans="1:15" x14ac:dyDescent="0.2">
      <c r="A3003" s="6">
        <v>45826</v>
      </c>
      <c r="B3003" t="s">
        <v>15</v>
      </c>
      <c r="C3003" t="s">
        <v>16</v>
      </c>
      <c r="D3003" s="1">
        <v>45855</v>
      </c>
      <c r="E3003" t="s">
        <v>17</v>
      </c>
      <c r="F3003">
        <v>6200</v>
      </c>
      <c r="G3003">
        <v>532.9</v>
      </c>
      <c r="H3003">
        <v>617.5</v>
      </c>
      <c r="I3003">
        <v>433.6</v>
      </c>
      <c r="J3003">
        <v>520.1</v>
      </c>
      <c r="K3003">
        <v>514.1</v>
      </c>
      <c r="L3003">
        <v>23286</v>
      </c>
      <c r="M3003" t="s">
        <v>1392</v>
      </c>
      <c r="N3003">
        <v>156107.70000000001</v>
      </c>
      <c r="O3003">
        <v>1703</v>
      </c>
    </row>
    <row r="3004" spans="1:15" x14ac:dyDescent="0.2">
      <c r="A3004" s="6">
        <v>45826</v>
      </c>
      <c r="B3004" t="s">
        <v>15</v>
      </c>
      <c r="C3004" t="s">
        <v>16</v>
      </c>
      <c r="D3004" s="1">
        <v>45855</v>
      </c>
      <c r="E3004" t="s">
        <v>17</v>
      </c>
      <c r="F3004">
        <v>4950</v>
      </c>
      <c r="J3004">
        <v>1379.9</v>
      </c>
      <c r="K3004">
        <v>1346.4</v>
      </c>
      <c r="L3004">
        <v>0</v>
      </c>
      <c r="M3004" t="s">
        <v>18</v>
      </c>
      <c r="N3004">
        <v>0</v>
      </c>
      <c r="O3004">
        <v>0</v>
      </c>
    </row>
    <row r="3005" spans="1:15" x14ac:dyDescent="0.2">
      <c r="A3005" s="6">
        <v>45826</v>
      </c>
      <c r="B3005" t="s">
        <v>15</v>
      </c>
      <c r="C3005" t="s">
        <v>16</v>
      </c>
      <c r="D3005" s="1">
        <v>45855</v>
      </c>
      <c r="E3005" t="s">
        <v>19</v>
      </c>
      <c r="F3005">
        <v>6150</v>
      </c>
      <c r="G3005">
        <v>354.3</v>
      </c>
      <c r="H3005">
        <v>425</v>
      </c>
      <c r="I3005">
        <v>351.2</v>
      </c>
      <c r="J3005">
        <v>362.2</v>
      </c>
      <c r="K3005">
        <v>385.9</v>
      </c>
      <c r="L3005">
        <v>4908</v>
      </c>
      <c r="M3005" t="s">
        <v>1393</v>
      </c>
      <c r="N3005">
        <v>32063.14</v>
      </c>
      <c r="O3005">
        <v>208</v>
      </c>
    </row>
    <row r="3006" spans="1:15" x14ac:dyDescent="0.2">
      <c r="A3006" s="6">
        <v>45826</v>
      </c>
      <c r="B3006" t="s">
        <v>15</v>
      </c>
      <c r="C3006" t="s">
        <v>16</v>
      </c>
      <c r="D3006" s="1">
        <v>45855</v>
      </c>
      <c r="E3006" t="s">
        <v>17</v>
      </c>
      <c r="F3006">
        <v>4450</v>
      </c>
      <c r="J3006">
        <v>1875.2</v>
      </c>
      <c r="K3006">
        <v>1840.1</v>
      </c>
      <c r="L3006">
        <v>0</v>
      </c>
      <c r="M3006" t="s">
        <v>18</v>
      </c>
      <c r="N3006">
        <v>0</v>
      </c>
      <c r="O3006">
        <v>0</v>
      </c>
    </row>
    <row r="3007" spans="1:15" x14ac:dyDescent="0.2">
      <c r="A3007" s="6">
        <v>45826</v>
      </c>
      <c r="B3007" t="s">
        <v>15</v>
      </c>
      <c r="C3007" t="s">
        <v>16</v>
      </c>
      <c r="D3007" s="1">
        <v>45855</v>
      </c>
      <c r="E3007" t="s">
        <v>19</v>
      </c>
      <c r="F3007">
        <v>6950</v>
      </c>
      <c r="J3007">
        <v>691.9</v>
      </c>
      <c r="K3007">
        <v>728.7</v>
      </c>
      <c r="L3007">
        <v>0</v>
      </c>
      <c r="M3007" t="s">
        <v>18</v>
      </c>
      <c r="N3007">
        <v>0</v>
      </c>
      <c r="O3007">
        <v>0</v>
      </c>
    </row>
    <row r="3008" spans="1:15" x14ac:dyDescent="0.2">
      <c r="A3008" s="6">
        <v>45826</v>
      </c>
      <c r="B3008" t="s">
        <v>15</v>
      </c>
      <c r="C3008" t="s">
        <v>16</v>
      </c>
      <c r="D3008" s="1">
        <v>45855</v>
      </c>
      <c r="E3008" t="s">
        <v>19</v>
      </c>
      <c r="F3008">
        <v>7200</v>
      </c>
      <c r="J3008">
        <v>905</v>
      </c>
      <c r="K3008">
        <v>942</v>
      </c>
      <c r="L3008">
        <v>0</v>
      </c>
      <c r="M3008" t="s">
        <v>18</v>
      </c>
      <c r="N3008">
        <v>0</v>
      </c>
      <c r="O3008">
        <v>0</v>
      </c>
    </row>
    <row r="3009" spans="1:15" x14ac:dyDescent="0.2">
      <c r="A3009" s="6">
        <v>45826</v>
      </c>
      <c r="B3009" t="s">
        <v>15</v>
      </c>
      <c r="C3009" t="s">
        <v>16</v>
      </c>
      <c r="D3009" s="1">
        <v>45855</v>
      </c>
      <c r="E3009" t="s">
        <v>17</v>
      </c>
      <c r="F3009">
        <v>5300</v>
      </c>
      <c r="G3009">
        <v>1100</v>
      </c>
      <c r="H3009">
        <v>1120</v>
      </c>
      <c r="I3009">
        <v>970</v>
      </c>
      <c r="J3009">
        <v>1050.2</v>
      </c>
      <c r="K3009">
        <v>890.9</v>
      </c>
      <c r="L3009">
        <v>6</v>
      </c>
      <c r="M3009" t="s">
        <v>132</v>
      </c>
      <c r="N3009">
        <v>38.1</v>
      </c>
      <c r="O3009">
        <v>17</v>
      </c>
    </row>
    <row r="3010" spans="1:15" x14ac:dyDescent="0.2">
      <c r="A3010" s="6">
        <v>45826</v>
      </c>
      <c r="B3010" t="s">
        <v>15</v>
      </c>
      <c r="C3010" t="s">
        <v>16</v>
      </c>
      <c r="D3010" s="1">
        <v>45855</v>
      </c>
      <c r="E3010" t="s">
        <v>17</v>
      </c>
      <c r="F3010">
        <v>4750</v>
      </c>
      <c r="J3010">
        <v>1577.3</v>
      </c>
      <c r="K3010">
        <v>1542.8</v>
      </c>
      <c r="L3010">
        <v>0</v>
      </c>
      <c r="M3010" t="s">
        <v>18</v>
      </c>
      <c r="N3010">
        <v>0</v>
      </c>
      <c r="O3010">
        <v>0</v>
      </c>
    </row>
    <row r="3011" spans="1:15" x14ac:dyDescent="0.2">
      <c r="A3011" s="6">
        <v>45826</v>
      </c>
      <c r="B3011" t="s">
        <v>15</v>
      </c>
      <c r="C3011" t="s">
        <v>16</v>
      </c>
      <c r="D3011" s="1">
        <v>45855</v>
      </c>
      <c r="E3011" t="s">
        <v>17</v>
      </c>
      <c r="F3011">
        <v>4400</v>
      </c>
      <c r="J3011">
        <v>1924.9</v>
      </c>
      <c r="K3011">
        <v>1889.8</v>
      </c>
      <c r="L3011">
        <v>0</v>
      </c>
      <c r="M3011" t="s">
        <v>18</v>
      </c>
      <c r="N3011">
        <v>0</v>
      </c>
      <c r="O3011">
        <v>0</v>
      </c>
    </row>
    <row r="3012" spans="1:15" x14ac:dyDescent="0.2">
      <c r="A3012" s="6">
        <v>45826</v>
      </c>
      <c r="B3012" t="s">
        <v>15</v>
      </c>
      <c r="C3012" t="s">
        <v>16</v>
      </c>
      <c r="D3012" s="1">
        <v>45855</v>
      </c>
      <c r="E3012" t="s">
        <v>17</v>
      </c>
      <c r="F3012">
        <v>4100</v>
      </c>
      <c r="J3012">
        <v>2223.4</v>
      </c>
      <c r="K3012">
        <v>2188.1999999999998</v>
      </c>
      <c r="L3012">
        <v>0</v>
      </c>
      <c r="M3012" t="s">
        <v>18</v>
      </c>
      <c r="N3012">
        <v>0</v>
      </c>
      <c r="O3012">
        <v>0</v>
      </c>
    </row>
    <row r="3013" spans="1:15" x14ac:dyDescent="0.2">
      <c r="A3013" s="6">
        <v>45826</v>
      </c>
      <c r="B3013" t="s">
        <v>15</v>
      </c>
      <c r="C3013" t="s">
        <v>16</v>
      </c>
      <c r="D3013" s="1">
        <v>45855</v>
      </c>
      <c r="E3013" t="s">
        <v>17</v>
      </c>
      <c r="F3013">
        <v>5000</v>
      </c>
      <c r="G3013">
        <v>1246.5999999999999</v>
      </c>
      <c r="H3013">
        <v>1246.5999999999999</v>
      </c>
      <c r="I3013">
        <v>1246.5999999999999</v>
      </c>
      <c r="J3013">
        <v>1246.5999999999999</v>
      </c>
      <c r="K3013">
        <v>1214.4000000000001</v>
      </c>
      <c r="L3013">
        <v>1</v>
      </c>
      <c r="M3013" t="s">
        <v>155</v>
      </c>
      <c r="N3013">
        <v>6.25</v>
      </c>
      <c r="O3013">
        <v>5</v>
      </c>
    </row>
    <row r="3014" spans="1:15" x14ac:dyDescent="0.2">
      <c r="A3014" s="6">
        <v>45826</v>
      </c>
      <c r="B3014" t="s">
        <v>15</v>
      </c>
      <c r="C3014" t="s">
        <v>16</v>
      </c>
      <c r="D3014" s="1">
        <v>45855</v>
      </c>
      <c r="E3014" t="s">
        <v>19</v>
      </c>
      <c r="F3014">
        <v>5250</v>
      </c>
      <c r="G3014">
        <v>90</v>
      </c>
      <c r="H3014">
        <v>150</v>
      </c>
      <c r="I3014">
        <v>55</v>
      </c>
      <c r="J3014">
        <v>57.2</v>
      </c>
      <c r="K3014">
        <v>64.8</v>
      </c>
      <c r="L3014">
        <v>431</v>
      </c>
      <c r="M3014" t="s">
        <v>1394</v>
      </c>
      <c r="N3014">
        <v>2290.9299999999998</v>
      </c>
      <c r="O3014">
        <v>42</v>
      </c>
    </row>
    <row r="3015" spans="1:15" x14ac:dyDescent="0.2">
      <c r="A3015" s="6">
        <v>45826</v>
      </c>
      <c r="B3015" t="s">
        <v>15</v>
      </c>
      <c r="C3015" t="s">
        <v>16</v>
      </c>
      <c r="D3015" s="1">
        <v>45855</v>
      </c>
      <c r="E3015" t="s">
        <v>17</v>
      </c>
      <c r="F3015">
        <v>3700</v>
      </c>
      <c r="J3015">
        <v>2621.5</v>
      </c>
      <c r="K3015">
        <v>2586.3000000000002</v>
      </c>
      <c r="L3015">
        <v>0</v>
      </c>
      <c r="M3015" t="s">
        <v>18</v>
      </c>
      <c r="N3015">
        <v>0</v>
      </c>
      <c r="O3015">
        <v>0</v>
      </c>
    </row>
    <row r="3016" spans="1:15" x14ac:dyDescent="0.2">
      <c r="A3016" s="6">
        <v>45826</v>
      </c>
      <c r="B3016" t="s">
        <v>15</v>
      </c>
      <c r="C3016" t="s">
        <v>16</v>
      </c>
      <c r="D3016" s="1">
        <v>45855</v>
      </c>
      <c r="E3016" t="s">
        <v>17</v>
      </c>
      <c r="F3016">
        <v>4850</v>
      </c>
      <c r="J3016">
        <v>1478.4</v>
      </c>
      <c r="K3016">
        <v>1444.3</v>
      </c>
      <c r="L3016">
        <v>0</v>
      </c>
      <c r="M3016" t="s">
        <v>18</v>
      </c>
      <c r="N3016">
        <v>0</v>
      </c>
      <c r="O3016">
        <v>0</v>
      </c>
    </row>
    <row r="3017" spans="1:15" x14ac:dyDescent="0.2">
      <c r="A3017" s="6">
        <v>45826</v>
      </c>
      <c r="B3017" t="s">
        <v>15</v>
      </c>
      <c r="C3017" t="s">
        <v>16</v>
      </c>
      <c r="D3017" s="1">
        <v>45855</v>
      </c>
      <c r="E3017" t="s">
        <v>19</v>
      </c>
      <c r="F3017">
        <v>5200</v>
      </c>
      <c r="G3017">
        <v>53</v>
      </c>
      <c r="H3017">
        <v>64.3</v>
      </c>
      <c r="I3017">
        <v>50</v>
      </c>
      <c r="J3017">
        <v>51.6</v>
      </c>
      <c r="K3017">
        <v>58.2</v>
      </c>
      <c r="L3017">
        <v>10504</v>
      </c>
      <c r="M3017" t="s">
        <v>1395</v>
      </c>
      <c r="N3017">
        <v>55214.69</v>
      </c>
      <c r="O3017">
        <v>2478</v>
      </c>
    </row>
    <row r="3018" spans="1:15" x14ac:dyDescent="0.2">
      <c r="A3018" s="6">
        <v>45826</v>
      </c>
      <c r="B3018" t="s">
        <v>15</v>
      </c>
      <c r="C3018" t="s">
        <v>16</v>
      </c>
      <c r="D3018" s="1">
        <v>45855</v>
      </c>
      <c r="E3018" t="s">
        <v>17</v>
      </c>
      <c r="F3018">
        <v>7450</v>
      </c>
      <c r="G3018">
        <v>215.1</v>
      </c>
      <c r="H3018">
        <v>249.8</v>
      </c>
      <c r="I3018">
        <v>169.2</v>
      </c>
      <c r="J3018">
        <v>208.6</v>
      </c>
      <c r="K3018">
        <v>24.4</v>
      </c>
      <c r="L3018">
        <v>500</v>
      </c>
      <c r="M3018" t="s">
        <v>1115</v>
      </c>
      <c r="N3018">
        <v>3829.79</v>
      </c>
      <c r="O3018">
        <v>63</v>
      </c>
    </row>
    <row r="3019" spans="1:15" x14ac:dyDescent="0.2">
      <c r="A3019" s="6">
        <v>45826</v>
      </c>
      <c r="B3019" t="s">
        <v>15</v>
      </c>
      <c r="C3019" t="s">
        <v>16</v>
      </c>
      <c r="D3019" s="1">
        <v>45855</v>
      </c>
      <c r="E3019" t="s">
        <v>17</v>
      </c>
      <c r="F3019">
        <v>4350</v>
      </c>
      <c r="J3019">
        <v>1974.7</v>
      </c>
      <c r="K3019">
        <v>1939.6</v>
      </c>
      <c r="L3019">
        <v>0</v>
      </c>
      <c r="M3019" t="s">
        <v>18</v>
      </c>
      <c r="N3019">
        <v>0</v>
      </c>
      <c r="O3019">
        <v>0</v>
      </c>
    </row>
    <row r="3020" spans="1:15" x14ac:dyDescent="0.2">
      <c r="A3020" s="6">
        <v>45826</v>
      </c>
      <c r="B3020" t="s">
        <v>15</v>
      </c>
      <c r="C3020" t="s">
        <v>16</v>
      </c>
      <c r="D3020" s="1">
        <v>45855</v>
      </c>
      <c r="E3020" t="s">
        <v>17</v>
      </c>
      <c r="F3020">
        <v>5750</v>
      </c>
      <c r="J3020">
        <v>648.4</v>
      </c>
      <c r="K3020">
        <v>537.6</v>
      </c>
      <c r="L3020">
        <v>0</v>
      </c>
      <c r="M3020" t="s">
        <v>18</v>
      </c>
      <c r="N3020">
        <v>0</v>
      </c>
      <c r="O3020">
        <v>15</v>
      </c>
    </row>
    <row r="3021" spans="1:15" x14ac:dyDescent="0.2">
      <c r="A3021" s="6">
        <v>45826</v>
      </c>
      <c r="B3021" t="s">
        <v>15</v>
      </c>
      <c r="C3021" t="s">
        <v>16</v>
      </c>
      <c r="D3021" s="1">
        <v>45855</v>
      </c>
      <c r="E3021" t="s">
        <v>19</v>
      </c>
      <c r="F3021">
        <v>6800</v>
      </c>
      <c r="G3021">
        <v>827.8</v>
      </c>
      <c r="H3021">
        <v>907.1</v>
      </c>
      <c r="I3021">
        <v>790</v>
      </c>
      <c r="J3021">
        <v>795.9</v>
      </c>
      <c r="K3021">
        <v>832.4</v>
      </c>
      <c r="L3021">
        <v>122</v>
      </c>
      <c r="M3021" t="s">
        <v>1358</v>
      </c>
      <c r="N3021">
        <v>930.41</v>
      </c>
      <c r="O3021">
        <v>39</v>
      </c>
    </row>
    <row r="3022" spans="1:15" x14ac:dyDescent="0.2">
      <c r="A3022" s="6">
        <v>45826</v>
      </c>
      <c r="B3022" t="s">
        <v>15</v>
      </c>
      <c r="C3022" t="s">
        <v>16</v>
      </c>
      <c r="D3022" s="1">
        <v>45855</v>
      </c>
      <c r="E3022" t="s">
        <v>19</v>
      </c>
      <c r="F3022">
        <v>4800</v>
      </c>
      <c r="G3022">
        <v>30</v>
      </c>
      <c r="H3022">
        <v>35</v>
      </c>
      <c r="I3022">
        <v>27.7</v>
      </c>
      <c r="J3022">
        <v>29.5</v>
      </c>
      <c r="K3022">
        <v>31.4</v>
      </c>
      <c r="L3022">
        <v>2549</v>
      </c>
      <c r="M3022" t="s">
        <v>1396</v>
      </c>
      <c r="N3022">
        <v>12315.68</v>
      </c>
      <c r="O3022">
        <v>380</v>
      </c>
    </row>
    <row r="3023" spans="1:15" x14ac:dyDescent="0.2">
      <c r="A3023" s="6">
        <v>45826</v>
      </c>
      <c r="B3023" t="s">
        <v>15</v>
      </c>
      <c r="C3023" t="s">
        <v>16</v>
      </c>
      <c r="D3023" s="1">
        <v>45855</v>
      </c>
      <c r="E3023" t="s">
        <v>17</v>
      </c>
      <c r="F3023">
        <v>3800</v>
      </c>
      <c r="J3023">
        <v>2522</v>
      </c>
      <c r="K3023">
        <v>2486.8000000000002</v>
      </c>
      <c r="L3023">
        <v>0</v>
      </c>
      <c r="M3023" t="s">
        <v>18</v>
      </c>
      <c r="N3023">
        <v>0</v>
      </c>
      <c r="O3023">
        <v>0</v>
      </c>
    </row>
    <row r="3024" spans="1:15" x14ac:dyDescent="0.2">
      <c r="A3024" s="6">
        <v>45826</v>
      </c>
      <c r="B3024" t="s">
        <v>15</v>
      </c>
      <c r="C3024" t="s">
        <v>16</v>
      </c>
      <c r="D3024" s="1">
        <v>45855</v>
      </c>
      <c r="E3024" t="s">
        <v>17</v>
      </c>
      <c r="F3024">
        <v>7250</v>
      </c>
      <c r="G3024">
        <v>284.3</v>
      </c>
      <c r="H3024">
        <v>310</v>
      </c>
      <c r="I3024">
        <v>194</v>
      </c>
      <c r="J3024">
        <v>238.2</v>
      </c>
      <c r="K3024">
        <v>40.299999999999997</v>
      </c>
      <c r="L3024">
        <v>57</v>
      </c>
      <c r="M3024" t="s">
        <v>663</v>
      </c>
      <c r="N3024">
        <v>427.75</v>
      </c>
      <c r="O3024">
        <v>8</v>
      </c>
    </row>
    <row r="3025" spans="1:15" x14ac:dyDescent="0.2">
      <c r="A3025" s="6">
        <v>45826</v>
      </c>
      <c r="B3025" t="s">
        <v>15</v>
      </c>
      <c r="C3025" t="s">
        <v>16</v>
      </c>
      <c r="D3025" s="1">
        <v>45855</v>
      </c>
      <c r="E3025" t="s">
        <v>19</v>
      </c>
      <c r="F3025">
        <v>5900</v>
      </c>
      <c r="G3025">
        <v>235.6</v>
      </c>
      <c r="H3025">
        <v>286.60000000000002</v>
      </c>
      <c r="I3025">
        <v>230.1</v>
      </c>
      <c r="J3025">
        <v>237.7</v>
      </c>
      <c r="K3025">
        <v>258.89999999999998</v>
      </c>
      <c r="L3025">
        <v>19325</v>
      </c>
      <c r="M3025" t="s">
        <v>1397</v>
      </c>
      <c r="N3025">
        <v>118950.53</v>
      </c>
      <c r="O3025">
        <v>574</v>
      </c>
    </row>
    <row r="3026" spans="1:15" x14ac:dyDescent="0.2">
      <c r="A3026" s="6">
        <v>45826</v>
      </c>
      <c r="B3026" t="s">
        <v>15</v>
      </c>
      <c r="C3026" t="s">
        <v>16</v>
      </c>
      <c r="D3026" s="1">
        <v>45855</v>
      </c>
      <c r="E3026" t="s">
        <v>19</v>
      </c>
      <c r="F3026">
        <v>6200</v>
      </c>
      <c r="G3026">
        <v>389.1</v>
      </c>
      <c r="H3026">
        <v>456.2</v>
      </c>
      <c r="I3026">
        <v>377.8</v>
      </c>
      <c r="J3026">
        <v>390</v>
      </c>
      <c r="K3026">
        <v>415</v>
      </c>
      <c r="L3026">
        <v>41874</v>
      </c>
      <c r="M3026" t="s">
        <v>1398</v>
      </c>
      <c r="N3026">
        <v>276928.78999999998</v>
      </c>
      <c r="O3026">
        <v>1454</v>
      </c>
    </row>
    <row r="3027" spans="1:15" x14ac:dyDescent="0.2">
      <c r="A3027" s="6">
        <v>45826</v>
      </c>
      <c r="B3027" t="s">
        <v>15</v>
      </c>
      <c r="C3027" t="s">
        <v>16</v>
      </c>
      <c r="D3027" s="1">
        <v>45855</v>
      </c>
      <c r="E3027" t="s">
        <v>17</v>
      </c>
      <c r="F3027">
        <v>5550</v>
      </c>
      <c r="J3027">
        <v>815.4</v>
      </c>
      <c r="K3027">
        <v>748.8</v>
      </c>
      <c r="L3027">
        <v>0</v>
      </c>
      <c r="M3027" t="s">
        <v>18</v>
      </c>
      <c r="N3027">
        <v>0</v>
      </c>
      <c r="O3027">
        <v>1</v>
      </c>
    </row>
    <row r="3028" spans="1:15" x14ac:dyDescent="0.2">
      <c r="A3028" s="6">
        <v>45826</v>
      </c>
      <c r="B3028" t="s">
        <v>15</v>
      </c>
      <c r="C3028" t="s">
        <v>16</v>
      </c>
      <c r="D3028" s="1">
        <v>45855</v>
      </c>
      <c r="E3028" t="s">
        <v>19</v>
      </c>
      <c r="F3028">
        <v>4600</v>
      </c>
      <c r="J3028">
        <v>0.3</v>
      </c>
      <c r="K3028">
        <v>0.5</v>
      </c>
      <c r="L3028">
        <v>0</v>
      </c>
      <c r="M3028" t="s">
        <v>18</v>
      </c>
      <c r="N3028">
        <v>0</v>
      </c>
      <c r="O3028">
        <v>0</v>
      </c>
    </row>
    <row r="3029" spans="1:15" x14ac:dyDescent="0.2">
      <c r="A3029" s="6">
        <v>45826</v>
      </c>
      <c r="B3029" t="s">
        <v>15</v>
      </c>
      <c r="C3029" t="s">
        <v>16</v>
      </c>
      <c r="D3029" s="1">
        <v>45855</v>
      </c>
      <c r="E3029" t="s">
        <v>17</v>
      </c>
      <c r="F3029">
        <v>6750</v>
      </c>
      <c r="G3029">
        <v>353.1</v>
      </c>
      <c r="H3029">
        <v>423.3</v>
      </c>
      <c r="I3029">
        <v>280.60000000000002</v>
      </c>
      <c r="J3029">
        <v>339.1</v>
      </c>
      <c r="K3029">
        <v>338</v>
      </c>
      <c r="L3029">
        <v>1497</v>
      </c>
      <c r="M3029" t="s">
        <v>1399</v>
      </c>
      <c r="N3029">
        <v>10622.67</v>
      </c>
      <c r="O3029">
        <v>144</v>
      </c>
    </row>
    <row r="3030" spans="1:15" x14ac:dyDescent="0.2">
      <c r="A3030" s="6">
        <v>45826</v>
      </c>
      <c r="B3030" t="s">
        <v>15</v>
      </c>
      <c r="C3030" t="s">
        <v>16</v>
      </c>
      <c r="D3030" s="1">
        <v>45855</v>
      </c>
      <c r="E3030" t="s">
        <v>17</v>
      </c>
      <c r="F3030">
        <v>5600</v>
      </c>
      <c r="G3030">
        <v>872.3</v>
      </c>
      <c r="H3030">
        <v>950</v>
      </c>
      <c r="I3030">
        <v>765.9</v>
      </c>
      <c r="J3030">
        <v>835.2</v>
      </c>
      <c r="K3030">
        <v>833.9</v>
      </c>
      <c r="L3030">
        <v>39</v>
      </c>
      <c r="M3030" t="s">
        <v>141</v>
      </c>
      <c r="N3030">
        <v>251.92</v>
      </c>
      <c r="O3030">
        <v>351</v>
      </c>
    </row>
    <row r="3031" spans="1:15" x14ac:dyDescent="0.2">
      <c r="A3031" s="6">
        <v>45826</v>
      </c>
      <c r="B3031" t="s">
        <v>15</v>
      </c>
      <c r="C3031" t="s">
        <v>16</v>
      </c>
      <c r="D3031" s="1">
        <v>45855</v>
      </c>
      <c r="E3031" t="s">
        <v>19</v>
      </c>
      <c r="F3031">
        <v>4950</v>
      </c>
      <c r="G3031">
        <v>36.6</v>
      </c>
      <c r="H3031">
        <v>43.3</v>
      </c>
      <c r="I3031">
        <v>33</v>
      </c>
      <c r="J3031">
        <v>35.6</v>
      </c>
      <c r="K3031">
        <v>37.1</v>
      </c>
      <c r="L3031">
        <v>182</v>
      </c>
      <c r="M3031" t="s">
        <v>194</v>
      </c>
      <c r="N3031">
        <v>907.97</v>
      </c>
      <c r="O3031">
        <v>12</v>
      </c>
    </row>
    <row r="3032" spans="1:15" x14ac:dyDescent="0.2">
      <c r="A3032" s="6">
        <v>45826</v>
      </c>
      <c r="B3032" t="s">
        <v>15</v>
      </c>
      <c r="C3032" t="s">
        <v>16</v>
      </c>
      <c r="D3032" s="1">
        <v>45855</v>
      </c>
      <c r="E3032" t="s">
        <v>17</v>
      </c>
      <c r="F3032">
        <v>3850</v>
      </c>
      <c r="J3032">
        <v>2472.1999999999998</v>
      </c>
      <c r="K3032">
        <v>2437</v>
      </c>
      <c r="L3032">
        <v>0</v>
      </c>
      <c r="M3032" t="s">
        <v>18</v>
      </c>
      <c r="N3032">
        <v>0</v>
      </c>
      <c r="O3032">
        <v>0</v>
      </c>
    </row>
    <row r="3033" spans="1:15" x14ac:dyDescent="0.2">
      <c r="A3033" s="6">
        <v>45826</v>
      </c>
      <c r="B3033" t="s">
        <v>15</v>
      </c>
      <c r="C3033" t="s">
        <v>16</v>
      </c>
      <c r="D3033" s="1">
        <v>45855</v>
      </c>
      <c r="E3033" t="s">
        <v>19</v>
      </c>
      <c r="F3033">
        <v>4250</v>
      </c>
      <c r="J3033">
        <v>0.1</v>
      </c>
      <c r="K3033">
        <v>0.1</v>
      </c>
      <c r="L3033">
        <v>0</v>
      </c>
      <c r="M3033" t="s">
        <v>18</v>
      </c>
      <c r="N3033">
        <v>0</v>
      </c>
      <c r="O3033">
        <v>0</v>
      </c>
    </row>
    <row r="3034" spans="1:15" x14ac:dyDescent="0.2">
      <c r="A3034" s="6">
        <v>45826</v>
      </c>
      <c r="B3034" t="s">
        <v>15</v>
      </c>
      <c r="C3034" t="s">
        <v>16</v>
      </c>
      <c r="D3034" s="1">
        <v>45855</v>
      </c>
      <c r="E3034" t="s">
        <v>19</v>
      </c>
      <c r="F3034">
        <v>5050</v>
      </c>
      <c r="G3034">
        <v>46.2</v>
      </c>
      <c r="H3034">
        <v>49.4</v>
      </c>
      <c r="I3034">
        <v>33.6</v>
      </c>
      <c r="J3034">
        <v>39.6</v>
      </c>
      <c r="K3034">
        <v>45.9</v>
      </c>
      <c r="L3034">
        <v>316</v>
      </c>
      <c r="M3034" t="s">
        <v>177</v>
      </c>
      <c r="N3034">
        <v>1609.26</v>
      </c>
      <c r="O3034">
        <v>42</v>
      </c>
    </row>
    <row r="3035" spans="1:15" x14ac:dyDescent="0.2">
      <c r="A3035" s="6">
        <v>45826</v>
      </c>
      <c r="B3035" t="s">
        <v>15</v>
      </c>
      <c r="C3035" t="s">
        <v>16</v>
      </c>
      <c r="D3035" s="1">
        <v>45855</v>
      </c>
      <c r="E3035" t="s">
        <v>19</v>
      </c>
      <c r="F3035">
        <v>4450</v>
      </c>
      <c r="J3035">
        <v>0.1</v>
      </c>
      <c r="K3035">
        <v>0.2</v>
      </c>
      <c r="L3035">
        <v>0</v>
      </c>
      <c r="M3035" t="s">
        <v>18</v>
      </c>
      <c r="N3035">
        <v>0</v>
      </c>
      <c r="O3035">
        <v>0</v>
      </c>
    </row>
    <row r="3036" spans="1:15" x14ac:dyDescent="0.2">
      <c r="A3036" s="6">
        <v>45826</v>
      </c>
      <c r="B3036" t="s">
        <v>15</v>
      </c>
      <c r="C3036" t="s">
        <v>16</v>
      </c>
      <c r="D3036" s="1">
        <v>45855</v>
      </c>
      <c r="E3036" t="s">
        <v>19</v>
      </c>
      <c r="F3036">
        <v>5700</v>
      </c>
      <c r="G3036">
        <v>163.6</v>
      </c>
      <c r="H3036">
        <v>196</v>
      </c>
      <c r="I3036">
        <v>154.30000000000001</v>
      </c>
      <c r="J3036">
        <v>160</v>
      </c>
      <c r="K3036">
        <v>176</v>
      </c>
      <c r="L3036">
        <v>22858</v>
      </c>
      <c r="M3036" t="s">
        <v>1400</v>
      </c>
      <c r="N3036">
        <v>134280.89000000001</v>
      </c>
      <c r="O3036">
        <v>1527</v>
      </c>
    </row>
    <row r="3037" spans="1:15" x14ac:dyDescent="0.2">
      <c r="A3037" s="6">
        <v>45826</v>
      </c>
      <c r="B3037" t="s">
        <v>15</v>
      </c>
      <c r="C3037" t="s">
        <v>16</v>
      </c>
      <c r="D3037" s="1">
        <v>45855</v>
      </c>
      <c r="E3037" t="s">
        <v>17</v>
      </c>
      <c r="F3037">
        <v>6550</v>
      </c>
      <c r="G3037">
        <v>405.2</v>
      </c>
      <c r="H3037">
        <v>486</v>
      </c>
      <c r="I3037">
        <v>326.2</v>
      </c>
      <c r="J3037">
        <v>395.3</v>
      </c>
      <c r="K3037">
        <v>394.4</v>
      </c>
      <c r="L3037">
        <v>4292</v>
      </c>
      <c r="M3037" t="s">
        <v>1401</v>
      </c>
      <c r="N3037">
        <v>29827.39</v>
      </c>
      <c r="O3037">
        <v>232</v>
      </c>
    </row>
    <row r="3038" spans="1:15" x14ac:dyDescent="0.2">
      <c r="A3038" s="6">
        <v>45826</v>
      </c>
      <c r="B3038" t="s">
        <v>15</v>
      </c>
      <c r="C3038" t="s">
        <v>16</v>
      </c>
      <c r="D3038" s="1">
        <v>45855</v>
      </c>
      <c r="E3038" t="s">
        <v>19</v>
      </c>
      <c r="F3038">
        <v>5400</v>
      </c>
      <c r="G3038">
        <v>85</v>
      </c>
      <c r="H3038">
        <v>100.8</v>
      </c>
      <c r="I3038">
        <v>78.900000000000006</v>
      </c>
      <c r="J3038">
        <v>82.3</v>
      </c>
      <c r="K3038">
        <v>91.5</v>
      </c>
      <c r="L3038">
        <v>18813</v>
      </c>
      <c r="M3038" t="s">
        <v>1402</v>
      </c>
      <c r="N3038">
        <v>103269.24</v>
      </c>
      <c r="O3038">
        <v>1939</v>
      </c>
    </row>
    <row r="3039" spans="1:15" x14ac:dyDescent="0.2">
      <c r="A3039" s="6">
        <v>45826</v>
      </c>
      <c r="B3039" t="s">
        <v>15</v>
      </c>
      <c r="C3039" t="s">
        <v>16</v>
      </c>
      <c r="D3039" s="1">
        <v>45855</v>
      </c>
      <c r="E3039" t="s">
        <v>19</v>
      </c>
      <c r="F3039">
        <v>5300</v>
      </c>
      <c r="G3039">
        <v>67.900000000000006</v>
      </c>
      <c r="H3039">
        <v>79.8</v>
      </c>
      <c r="I3039">
        <v>62.2</v>
      </c>
      <c r="J3039">
        <v>64</v>
      </c>
      <c r="K3039">
        <v>73</v>
      </c>
      <c r="L3039">
        <v>9455</v>
      </c>
      <c r="M3039" t="s">
        <v>1403</v>
      </c>
      <c r="N3039">
        <v>50781.919999999998</v>
      </c>
      <c r="O3039">
        <v>1297</v>
      </c>
    </row>
    <row r="3040" spans="1:15" x14ac:dyDescent="0.2">
      <c r="A3040" s="6">
        <v>45826</v>
      </c>
      <c r="B3040" t="s">
        <v>15</v>
      </c>
      <c r="C3040" t="s">
        <v>16</v>
      </c>
      <c r="D3040" s="1">
        <v>45855</v>
      </c>
      <c r="E3040" t="s">
        <v>19</v>
      </c>
      <c r="F3040">
        <v>3700</v>
      </c>
      <c r="J3040">
        <v>0.1</v>
      </c>
      <c r="K3040">
        <v>0.1</v>
      </c>
      <c r="L3040">
        <v>0</v>
      </c>
      <c r="M3040" t="s">
        <v>18</v>
      </c>
      <c r="N3040">
        <v>0</v>
      </c>
      <c r="O3040">
        <v>0</v>
      </c>
    </row>
    <row r="3041" spans="1:15" x14ac:dyDescent="0.2">
      <c r="A3041" s="6">
        <v>45826</v>
      </c>
      <c r="B3041" t="s">
        <v>15</v>
      </c>
      <c r="C3041" t="s">
        <v>16</v>
      </c>
      <c r="D3041" s="1">
        <v>45855</v>
      </c>
      <c r="E3041" t="s">
        <v>19</v>
      </c>
      <c r="F3041">
        <v>6750</v>
      </c>
      <c r="G3041">
        <v>829.7</v>
      </c>
      <c r="H3041">
        <v>829.7</v>
      </c>
      <c r="I3041">
        <v>829.7</v>
      </c>
      <c r="J3041">
        <v>829.7</v>
      </c>
      <c r="K3041">
        <v>572.4</v>
      </c>
      <c r="L3041">
        <v>3</v>
      </c>
      <c r="M3041" t="s">
        <v>34</v>
      </c>
      <c r="N3041">
        <v>22.74</v>
      </c>
      <c r="O3041">
        <v>3</v>
      </c>
    </row>
    <row r="3042" spans="1:15" x14ac:dyDescent="0.2">
      <c r="A3042" s="6">
        <v>45826</v>
      </c>
      <c r="B3042" t="s">
        <v>15</v>
      </c>
      <c r="C3042" t="s">
        <v>16</v>
      </c>
      <c r="D3042" s="1">
        <v>45855</v>
      </c>
      <c r="E3042" t="s">
        <v>17</v>
      </c>
      <c r="F3042">
        <v>7150</v>
      </c>
      <c r="G3042">
        <v>264.60000000000002</v>
      </c>
      <c r="H3042">
        <v>330.7</v>
      </c>
      <c r="I3042">
        <v>204.9</v>
      </c>
      <c r="J3042">
        <v>254.4</v>
      </c>
      <c r="K3042">
        <v>264.60000000000002</v>
      </c>
      <c r="L3042">
        <v>304</v>
      </c>
      <c r="M3042" t="s">
        <v>1404</v>
      </c>
      <c r="N3042">
        <v>2252.64</v>
      </c>
      <c r="O3042">
        <v>35</v>
      </c>
    </row>
    <row r="3043" spans="1:15" x14ac:dyDescent="0.2">
      <c r="A3043" s="6">
        <v>45826</v>
      </c>
      <c r="B3043" t="s">
        <v>15</v>
      </c>
      <c r="C3043" t="s">
        <v>16</v>
      </c>
      <c r="D3043" s="1">
        <v>45855</v>
      </c>
      <c r="E3043" t="s">
        <v>17</v>
      </c>
      <c r="F3043">
        <v>6050</v>
      </c>
      <c r="G3043">
        <v>612.6</v>
      </c>
      <c r="H3043">
        <v>690.8</v>
      </c>
      <c r="I3043">
        <v>497.6</v>
      </c>
      <c r="J3043">
        <v>583.20000000000005</v>
      </c>
      <c r="K3043">
        <v>585.6</v>
      </c>
      <c r="L3043">
        <v>204</v>
      </c>
      <c r="M3043" t="s">
        <v>1363</v>
      </c>
      <c r="N3043">
        <v>1351.18</v>
      </c>
      <c r="O3043">
        <v>45</v>
      </c>
    </row>
    <row r="3044" spans="1:15" x14ac:dyDescent="0.2">
      <c r="A3044" s="6">
        <v>45826</v>
      </c>
      <c r="B3044" t="s">
        <v>15</v>
      </c>
      <c r="C3044" t="s">
        <v>16</v>
      </c>
      <c r="D3044" s="1">
        <v>45855</v>
      </c>
      <c r="E3044" t="s">
        <v>17</v>
      </c>
      <c r="F3044">
        <v>3750</v>
      </c>
      <c r="J3044">
        <v>2571.8000000000002</v>
      </c>
      <c r="K3044">
        <v>2536.5</v>
      </c>
      <c r="L3044">
        <v>0</v>
      </c>
      <c r="M3044" t="s">
        <v>18</v>
      </c>
      <c r="N3044">
        <v>0</v>
      </c>
      <c r="O3044">
        <v>0</v>
      </c>
    </row>
    <row r="3045" spans="1:15" x14ac:dyDescent="0.2">
      <c r="A3045" s="6">
        <v>45826</v>
      </c>
      <c r="B3045" t="s">
        <v>15</v>
      </c>
      <c r="C3045" t="s">
        <v>16</v>
      </c>
      <c r="D3045" s="1">
        <v>45855</v>
      </c>
      <c r="E3045" t="s">
        <v>17</v>
      </c>
      <c r="F3045">
        <v>6650</v>
      </c>
      <c r="G3045">
        <v>383.7</v>
      </c>
      <c r="H3045">
        <v>453.6</v>
      </c>
      <c r="I3045">
        <v>302.60000000000002</v>
      </c>
      <c r="J3045">
        <v>365.9</v>
      </c>
      <c r="K3045">
        <v>369.4</v>
      </c>
      <c r="L3045">
        <v>1877</v>
      </c>
      <c r="M3045" t="s">
        <v>1405</v>
      </c>
      <c r="N3045">
        <v>13170.53</v>
      </c>
      <c r="O3045">
        <v>120</v>
      </c>
    </row>
    <row r="3046" spans="1:15" x14ac:dyDescent="0.2">
      <c r="A3046" s="6">
        <v>45826</v>
      </c>
      <c r="B3046" t="s">
        <v>15</v>
      </c>
      <c r="C3046" t="s">
        <v>16</v>
      </c>
      <c r="D3046" s="1">
        <v>45855</v>
      </c>
      <c r="E3046" t="s">
        <v>19</v>
      </c>
      <c r="F3046">
        <v>4700</v>
      </c>
      <c r="J3046">
        <v>0.6</v>
      </c>
      <c r="K3046">
        <v>1</v>
      </c>
      <c r="L3046">
        <v>0</v>
      </c>
      <c r="M3046" t="s">
        <v>18</v>
      </c>
      <c r="N3046">
        <v>0</v>
      </c>
      <c r="O3046">
        <v>0</v>
      </c>
    </row>
    <row r="3047" spans="1:15" x14ac:dyDescent="0.2">
      <c r="A3047" s="6">
        <v>45826</v>
      </c>
      <c r="B3047" t="s">
        <v>15</v>
      </c>
      <c r="C3047" t="s">
        <v>16</v>
      </c>
      <c r="D3047" s="1">
        <v>45855</v>
      </c>
      <c r="E3047" t="s">
        <v>17</v>
      </c>
      <c r="F3047">
        <v>7350</v>
      </c>
      <c r="G3047">
        <v>241.8</v>
      </c>
      <c r="H3047">
        <v>292.2</v>
      </c>
      <c r="I3047">
        <v>179.7</v>
      </c>
      <c r="J3047">
        <v>222.9</v>
      </c>
      <c r="K3047">
        <v>230.2</v>
      </c>
      <c r="L3047">
        <v>2160</v>
      </c>
      <c r="M3047" t="s">
        <v>1406</v>
      </c>
      <c r="N3047">
        <v>16398.66</v>
      </c>
      <c r="O3047">
        <v>245</v>
      </c>
    </row>
    <row r="3048" spans="1:15" x14ac:dyDescent="0.2">
      <c r="A3048" s="6">
        <v>45826</v>
      </c>
      <c r="B3048" t="s">
        <v>15</v>
      </c>
      <c r="C3048" t="s">
        <v>16</v>
      </c>
      <c r="D3048" s="1">
        <v>45855</v>
      </c>
      <c r="E3048" t="s">
        <v>19</v>
      </c>
      <c r="F3048">
        <v>3750</v>
      </c>
      <c r="J3048">
        <v>0.1</v>
      </c>
      <c r="K3048">
        <v>0.1</v>
      </c>
      <c r="L3048">
        <v>0</v>
      </c>
      <c r="M3048" t="s">
        <v>18</v>
      </c>
      <c r="N3048">
        <v>0</v>
      </c>
      <c r="O3048">
        <v>0</v>
      </c>
    </row>
    <row r="3049" spans="1:15" x14ac:dyDescent="0.2">
      <c r="A3049" s="6">
        <v>45826</v>
      </c>
      <c r="B3049" t="s">
        <v>15</v>
      </c>
      <c r="C3049" t="s">
        <v>16</v>
      </c>
      <c r="D3049" s="1">
        <v>45855</v>
      </c>
      <c r="E3049" t="s">
        <v>17</v>
      </c>
      <c r="F3049">
        <v>6850</v>
      </c>
      <c r="G3049">
        <v>325.3</v>
      </c>
      <c r="H3049">
        <v>394.8</v>
      </c>
      <c r="I3049">
        <v>250.1</v>
      </c>
      <c r="J3049">
        <v>313.7</v>
      </c>
      <c r="K3049">
        <v>316.60000000000002</v>
      </c>
      <c r="L3049">
        <v>1024</v>
      </c>
      <c r="M3049" t="s">
        <v>1407</v>
      </c>
      <c r="N3049">
        <v>7337.08</v>
      </c>
      <c r="O3049">
        <v>205</v>
      </c>
    </row>
    <row r="3050" spans="1:15" x14ac:dyDescent="0.2">
      <c r="A3050" s="6">
        <v>45826</v>
      </c>
      <c r="B3050" t="s">
        <v>15</v>
      </c>
      <c r="C3050" t="s">
        <v>16</v>
      </c>
      <c r="D3050" s="1">
        <v>45855</v>
      </c>
      <c r="E3050" t="s">
        <v>17</v>
      </c>
      <c r="F3050">
        <v>6800</v>
      </c>
      <c r="G3050">
        <v>327.5</v>
      </c>
      <c r="H3050">
        <v>410</v>
      </c>
      <c r="I3050">
        <v>263.7</v>
      </c>
      <c r="J3050">
        <v>330.3</v>
      </c>
      <c r="K3050">
        <v>327.5</v>
      </c>
      <c r="L3050">
        <v>26763</v>
      </c>
      <c r="M3050" t="s">
        <v>1408</v>
      </c>
      <c r="N3050">
        <v>190778.78</v>
      </c>
      <c r="O3050">
        <v>2534</v>
      </c>
    </row>
    <row r="3051" spans="1:15" x14ac:dyDescent="0.2">
      <c r="A3051" s="6">
        <v>45826</v>
      </c>
      <c r="B3051" t="s">
        <v>15</v>
      </c>
      <c r="C3051" t="s">
        <v>16</v>
      </c>
      <c r="D3051" s="1">
        <v>45855</v>
      </c>
      <c r="E3051" t="s">
        <v>19</v>
      </c>
      <c r="F3051">
        <v>6400</v>
      </c>
      <c r="G3051">
        <v>511</v>
      </c>
      <c r="H3051">
        <v>589</v>
      </c>
      <c r="I3051">
        <v>496</v>
      </c>
      <c r="J3051">
        <v>514</v>
      </c>
      <c r="K3051">
        <v>538.9</v>
      </c>
      <c r="L3051">
        <v>28522</v>
      </c>
      <c r="M3051" t="s">
        <v>1409</v>
      </c>
      <c r="N3051">
        <v>197758.95</v>
      </c>
      <c r="O3051">
        <v>781</v>
      </c>
    </row>
    <row r="3052" spans="1:15" x14ac:dyDescent="0.2">
      <c r="A3052" s="6">
        <v>45826</v>
      </c>
      <c r="B3052" t="s">
        <v>15</v>
      </c>
      <c r="C3052" t="s">
        <v>16</v>
      </c>
      <c r="D3052" s="1">
        <v>45855</v>
      </c>
      <c r="E3052" t="s">
        <v>19</v>
      </c>
      <c r="F3052">
        <v>7150</v>
      </c>
      <c r="J3052">
        <v>861</v>
      </c>
      <c r="K3052">
        <v>898</v>
      </c>
      <c r="L3052">
        <v>0</v>
      </c>
      <c r="M3052" t="s">
        <v>18</v>
      </c>
      <c r="N3052">
        <v>0</v>
      </c>
      <c r="O3052">
        <v>0</v>
      </c>
    </row>
    <row r="3053" spans="1:15" x14ac:dyDescent="0.2">
      <c r="A3053" s="6">
        <v>45826</v>
      </c>
      <c r="B3053" t="s">
        <v>15</v>
      </c>
      <c r="C3053" t="s">
        <v>16</v>
      </c>
      <c r="D3053" s="1">
        <v>45855</v>
      </c>
      <c r="E3053" t="s">
        <v>19</v>
      </c>
      <c r="F3053">
        <v>4550</v>
      </c>
      <c r="J3053">
        <v>0.2</v>
      </c>
      <c r="K3053">
        <v>0.4</v>
      </c>
      <c r="L3053">
        <v>0</v>
      </c>
      <c r="M3053" t="s">
        <v>18</v>
      </c>
      <c r="N3053">
        <v>0</v>
      </c>
      <c r="O3053">
        <v>0</v>
      </c>
    </row>
    <row r="3054" spans="1:15" x14ac:dyDescent="0.2">
      <c r="A3054" s="6">
        <v>45826</v>
      </c>
      <c r="B3054" t="s">
        <v>15</v>
      </c>
      <c r="C3054" t="s">
        <v>16</v>
      </c>
      <c r="D3054" s="1">
        <v>45855</v>
      </c>
      <c r="E3054" t="s">
        <v>19</v>
      </c>
      <c r="F3054">
        <v>5450</v>
      </c>
      <c r="G3054">
        <v>93.9</v>
      </c>
      <c r="H3054">
        <v>111.9</v>
      </c>
      <c r="I3054">
        <v>90.1</v>
      </c>
      <c r="J3054">
        <v>92.3</v>
      </c>
      <c r="K3054">
        <v>103.4</v>
      </c>
      <c r="L3054">
        <v>837</v>
      </c>
      <c r="M3054" t="s">
        <v>1410</v>
      </c>
      <c r="N3054">
        <v>4645.2700000000004</v>
      </c>
      <c r="O3054">
        <v>63</v>
      </c>
    </row>
    <row r="3055" spans="1:15" x14ac:dyDescent="0.2">
      <c r="A3055" s="6">
        <v>45826</v>
      </c>
      <c r="B3055" t="s">
        <v>15</v>
      </c>
      <c r="C3055" t="s">
        <v>16</v>
      </c>
      <c r="D3055" s="1">
        <v>45855</v>
      </c>
      <c r="E3055" t="s">
        <v>17</v>
      </c>
      <c r="F3055">
        <v>6700</v>
      </c>
      <c r="G3055">
        <v>365</v>
      </c>
      <c r="H3055">
        <v>437.8</v>
      </c>
      <c r="I3055">
        <v>287.89999999999998</v>
      </c>
      <c r="J3055">
        <v>352.6</v>
      </c>
      <c r="K3055">
        <v>351</v>
      </c>
      <c r="L3055">
        <v>20499</v>
      </c>
      <c r="M3055" t="s">
        <v>1411</v>
      </c>
      <c r="N3055">
        <v>144650.07999999999</v>
      </c>
      <c r="O3055">
        <v>1128</v>
      </c>
    </row>
    <row r="3056" spans="1:15" x14ac:dyDescent="0.2">
      <c r="A3056" s="6">
        <v>45826</v>
      </c>
      <c r="B3056" t="s">
        <v>15</v>
      </c>
      <c r="C3056" t="s">
        <v>16</v>
      </c>
      <c r="D3056" s="1">
        <v>45855</v>
      </c>
      <c r="E3056" t="s">
        <v>19</v>
      </c>
      <c r="F3056">
        <v>5800</v>
      </c>
      <c r="G3056">
        <v>204</v>
      </c>
      <c r="H3056">
        <v>239</v>
      </c>
      <c r="I3056">
        <v>190.2</v>
      </c>
      <c r="J3056">
        <v>196.2</v>
      </c>
      <c r="K3056">
        <v>215.2</v>
      </c>
      <c r="L3056">
        <v>28881</v>
      </c>
      <c r="M3056" t="s">
        <v>1412</v>
      </c>
      <c r="N3056">
        <v>173628.32</v>
      </c>
      <c r="O3056">
        <v>1366</v>
      </c>
    </row>
    <row r="3057" spans="1:15" x14ac:dyDescent="0.2">
      <c r="A3057" s="6">
        <v>45826</v>
      </c>
      <c r="B3057" t="s">
        <v>15</v>
      </c>
      <c r="C3057" t="s">
        <v>16</v>
      </c>
      <c r="D3057" s="1">
        <v>45855</v>
      </c>
      <c r="E3057" t="s">
        <v>17</v>
      </c>
      <c r="F3057">
        <v>3600</v>
      </c>
      <c r="J3057">
        <v>2721.1</v>
      </c>
      <c r="K3057">
        <v>2685.8</v>
      </c>
      <c r="L3057">
        <v>0</v>
      </c>
      <c r="M3057" t="s">
        <v>18</v>
      </c>
      <c r="N3057">
        <v>0</v>
      </c>
      <c r="O3057">
        <v>0</v>
      </c>
    </row>
    <row r="3058" spans="1:15" x14ac:dyDescent="0.2">
      <c r="A3058" s="6">
        <v>45826</v>
      </c>
      <c r="B3058" t="s">
        <v>15</v>
      </c>
      <c r="C3058" t="s">
        <v>16</v>
      </c>
      <c r="D3058" s="1">
        <v>45855</v>
      </c>
      <c r="E3058" t="s">
        <v>17</v>
      </c>
      <c r="F3058">
        <v>6900</v>
      </c>
      <c r="G3058">
        <v>319</v>
      </c>
      <c r="H3058">
        <v>384.6</v>
      </c>
      <c r="I3058">
        <v>248</v>
      </c>
      <c r="J3058">
        <v>305.5</v>
      </c>
      <c r="K3058">
        <v>307.60000000000002</v>
      </c>
      <c r="L3058">
        <v>13420</v>
      </c>
      <c r="M3058" t="s">
        <v>1413</v>
      </c>
      <c r="N3058">
        <v>96713.71</v>
      </c>
      <c r="O3058">
        <v>1690</v>
      </c>
    </row>
    <row r="3059" spans="1:15" x14ac:dyDescent="0.2">
      <c r="A3059" s="6">
        <v>45826</v>
      </c>
      <c r="B3059" t="s">
        <v>15</v>
      </c>
      <c r="C3059" t="s">
        <v>16</v>
      </c>
      <c r="D3059" s="1">
        <v>45855</v>
      </c>
      <c r="E3059" t="s">
        <v>17</v>
      </c>
      <c r="F3059">
        <v>7500</v>
      </c>
      <c r="G3059">
        <v>221</v>
      </c>
      <c r="H3059">
        <v>230.4</v>
      </c>
      <c r="I3059">
        <v>162.6</v>
      </c>
      <c r="J3059">
        <v>203.9</v>
      </c>
      <c r="K3059">
        <v>21.4</v>
      </c>
      <c r="L3059">
        <v>9242</v>
      </c>
      <c r="M3059" t="s">
        <v>1414</v>
      </c>
      <c r="N3059">
        <v>71132.3</v>
      </c>
      <c r="O3059">
        <v>1260</v>
      </c>
    </row>
    <row r="3060" spans="1:15" x14ac:dyDescent="0.2">
      <c r="A3060" s="6">
        <v>45826</v>
      </c>
      <c r="B3060" t="s">
        <v>15</v>
      </c>
      <c r="C3060" t="s">
        <v>16</v>
      </c>
      <c r="D3060" s="1">
        <v>45855</v>
      </c>
      <c r="E3060" t="s">
        <v>17</v>
      </c>
      <c r="F3060">
        <v>5500</v>
      </c>
      <c r="G3060">
        <v>893.1</v>
      </c>
      <c r="H3060">
        <v>985.3</v>
      </c>
      <c r="I3060">
        <v>785.4</v>
      </c>
      <c r="J3060">
        <v>915.5</v>
      </c>
      <c r="K3060">
        <v>915.9</v>
      </c>
      <c r="L3060">
        <v>140</v>
      </c>
      <c r="M3060" t="s">
        <v>312</v>
      </c>
      <c r="N3060">
        <v>895.91</v>
      </c>
      <c r="O3060">
        <v>441</v>
      </c>
    </row>
    <row r="3061" spans="1:15" x14ac:dyDescent="0.2">
      <c r="A3061" s="6">
        <v>45826</v>
      </c>
      <c r="B3061" t="s">
        <v>15</v>
      </c>
      <c r="C3061" t="s">
        <v>16</v>
      </c>
      <c r="D3061" s="1">
        <v>45855</v>
      </c>
      <c r="E3061" t="s">
        <v>17</v>
      </c>
      <c r="F3061">
        <v>4500</v>
      </c>
      <c r="J3061">
        <v>1825.5</v>
      </c>
      <c r="K3061">
        <v>1790.5</v>
      </c>
      <c r="L3061">
        <v>0</v>
      </c>
      <c r="M3061" t="s">
        <v>18</v>
      </c>
      <c r="N3061">
        <v>0</v>
      </c>
      <c r="O3061">
        <v>0</v>
      </c>
    </row>
    <row r="3062" spans="1:15" x14ac:dyDescent="0.2">
      <c r="A3062" s="6">
        <v>45826</v>
      </c>
      <c r="B3062" t="s">
        <v>15</v>
      </c>
      <c r="C3062" t="s">
        <v>16</v>
      </c>
      <c r="D3062" s="1">
        <v>45855</v>
      </c>
      <c r="E3062" t="s">
        <v>17</v>
      </c>
      <c r="F3062">
        <v>6950</v>
      </c>
      <c r="G3062">
        <v>303.10000000000002</v>
      </c>
      <c r="H3062">
        <v>370.1</v>
      </c>
      <c r="I3062">
        <v>161.1</v>
      </c>
      <c r="J3062">
        <v>284.60000000000002</v>
      </c>
      <c r="K3062">
        <v>296.2</v>
      </c>
      <c r="L3062">
        <v>671</v>
      </c>
      <c r="M3062" t="s">
        <v>1415</v>
      </c>
      <c r="N3062">
        <v>4859.33</v>
      </c>
      <c r="O3062">
        <v>101</v>
      </c>
    </row>
    <row r="3063" spans="1:15" x14ac:dyDescent="0.2">
      <c r="A3063" s="6">
        <v>45826</v>
      </c>
      <c r="B3063" t="s">
        <v>15</v>
      </c>
      <c r="C3063" t="s">
        <v>16</v>
      </c>
      <c r="D3063" s="1">
        <v>45855</v>
      </c>
      <c r="E3063" t="s">
        <v>17</v>
      </c>
      <c r="F3063">
        <v>4250</v>
      </c>
      <c r="J3063">
        <v>2074.1999999999998</v>
      </c>
      <c r="K3063">
        <v>2039</v>
      </c>
      <c r="L3063">
        <v>0</v>
      </c>
      <c r="M3063" t="s">
        <v>18</v>
      </c>
      <c r="N3063">
        <v>0</v>
      </c>
      <c r="O3063">
        <v>0</v>
      </c>
    </row>
    <row r="3064" spans="1:15" x14ac:dyDescent="0.2">
      <c r="A3064" s="6">
        <v>45826</v>
      </c>
      <c r="B3064" t="s">
        <v>15</v>
      </c>
      <c r="C3064" t="s">
        <v>16</v>
      </c>
      <c r="D3064" s="1">
        <v>45855</v>
      </c>
      <c r="E3064" t="s">
        <v>17</v>
      </c>
      <c r="F3064">
        <v>4150</v>
      </c>
      <c r="J3064">
        <v>2173.6999999999998</v>
      </c>
      <c r="K3064">
        <v>2138.5</v>
      </c>
      <c r="L3064">
        <v>0</v>
      </c>
      <c r="M3064" t="s">
        <v>18</v>
      </c>
      <c r="N3064">
        <v>0</v>
      </c>
      <c r="O3064">
        <v>0</v>
      </c>
    </row>
    <row r="3065" spans="1:15" x14ac:dyDescent="0.2">
      <c r="A3065" s="6">
        <v>45826</v>
      </c>
      <c r="B3065" t="s">
        <v>15</v>
      </c>
      <c r="C3065" t="s">
        <v>16</v>
      </c>
      <c r="D3065" s="1">
        <v>45855</v>
      </c>
      <c r="E3065" t="s">
        <v>17</v>
      </c>
      <c r="F3065">
        <v>5900</v>
      </c>
      <c r="G3065">
        <v>698</v>
      </c>
      <c r="H3065">
        <v>750</v>
      </c>
      <c r="I3065">
        <v>564.1</v>
      </c>
      <c r="J3065">
        <v>666.7</v>
      </c>
      <c r="K3065">
        <v>657.3</v>
      </c>
      <c r="L3065">
        <v>1241</v>
      </c>
      <c r="M3065" t="s">
        <v>1018</v>
      </c>
      <c r="N3065">
        <v>8103.61</v>
      </c>
      <c r="O3065">
        <v>156</v>
      </c>
    </row>
    <row r="3066" spans="1:15" x14ac:dyDescent="0.2">
      <c r="A3066" s="6">
        <v>45826</v>
      </c>
      <c r="B3066" t="s">
        <v>15</v>
      </c>
      <c r="C3066" t="s">
        <v>16</v>
      </c>
      <c r="D3066" s="1">
        <v>45855</v>
      </c>
      <c r="E3066" t="s">
        <v>17</v>
      </c>
      <c r="F3066">
        <v>5200</v>
      </c>
      <c r="G3066">
        <v>1218</v>
      </c>
      <c r="H3066">
        <v>1218</v>
      </c>
      <c r="I3066">
        <v>1218</v>
      </c>
      <c r="J3066">
        <v>1218</v>
      </c>
      <c r="K3066">
        <v>984</v>
      </c>
      <c r="L3066">
        <v>1</v>
      </c>
      <c r="M3066" t="s">
        <v>155</v>
      </c>
      <c r="N3066">
        <v>6.42</v>
      </c>
      <c r="O3066">
        <v>26</v>
      </c>
    </row>
    <row r="3067" spans="1:15" x14ac:dyDescent="0.2">
      <c r="A3067" s="6">
        <v>45826</v>
      </c>
      <c r="B3067" t="s">
        <v>15</v>
      </c>
      <c r="C3067" t="s">
        <v>16</v>
      </c>
      <c r="D3067" s="1">
        <v>45855</v>
      </c>
      <c r="E3067" t="s">
        <v>19</v>
      </c>
      <c r="F3067">
        <v>5150</v>
      </c>
      <c r="G3067">
        <v>47</v>
      </c>
      <c r="H3067">
        <v>62.9</v>
      </c>
      <c r="I3067">
        <v>41.6</v>
      </c>
      <c r="J3067">
        <v>48</v>
      </c>
      <c r="K3067">
        <v>53.6</v>
      </c>
      <c r="L3067">
        <v>492</v>
      </c>
      <c r="M3067" t="s">
        <v>797</v>
      </c>
      <c r="N3067">
        <v>2559.27</v>
      </c>
      <c r="O3067">
        <v>69</v>
      </c>
    </row>
    <row r="3068" spans="1:15" x14ac:dyDescent="0.2">
      <c r="A3068" s="6">
        <v>45826</v>
      </c>
      <c r="B3068" t="s">
        <v>15</v>
      </c>
      <c r="C3068" t="s">
        <v>16</v>
      </c>
      <c r="D3068" s="1">
        <v>45855</v>
      </c>
      <c r="E3068" t="s">
        <v>19</v>
      </c>
      <c r="F3068">
        <v>7500</v>
      </c>
      <c r="J3068">
        <v>1180</v>
      </c>
      <c r="K3068">
        <v>1216.5</v>
      </c>
      <c r="L3068">
        <v>0</v>
      </c>
      <c r="M3068" t="s">
        <v>18</v>
      </c>
      <c r="N3068">
        <v>0</v>
      </c>
      <c r="O3068">
        <v>0</v>
      </c>
    </row>
    <row r="3069" spans="1:15" x14ac:dyDescent="0.2">
      <c r="A3069" s="6">
        <v>45826</v>
      </c>
      <c r="B3069" t="s">
        <v>15</v>
      </c>
      <c r="C3069" t="s">
        <v>16</v>
      </c>
      <c r="D3069" s="1">
        <v>45855</v>
      </c>
      <c r="E3069" t="s">
        <v>19</v>
      </c>
      <c r="F3069">
        <v>6250</v>
      </c>
      <c r="G3069">
        <v>415</v>
      </c>
      <c r="H3069">
        <v>488</v>
      </c>
      <c r="I3069">
        <v>406.8</v>
      </c>
      <c r="J3069">
        <v>420.4</v>
      </c>
      <c r="K3069">
        <v>444.1</v>
      </c>
      <c r="L3069">
        <v>4954</v>
      </c>
      <c r="M3069" t="s">
        <v>1416</v>
      </c>
      <c r="N3069">
        <v>33157.480000000003</v>
      </c>
      <c r="O3069">
        <v>194</v>
      </c>
    </row>
    <row r="3070" spans="1:15" x14ac:dyDescent="0.2">
      <c r="A3070" s="6">
        <v>45826</v>
      </c>
      <c r="B3070" t="s">
        <v>15</v>
      </c>
      <c r="C3070" t="s">
        <v>16</v>
      </c>
      <c r="D3070" s="1">
        <v>45855</v>
      </c>
      <c r="E3070" t="s">
        <v>17</v>
      </c>
      <c r="F3070">
        <v>5050</v>
      </c>
      <c r="J3070">
        <v>1282.0999999999999</v>
      </c>
      <c r="K3070">
        <v>1249.3</v>
      </c>
      <c r="L3070">
        <v>0</v>
      </c>
      <c r="M3070" t="s">
        <v>18</v>
      </c>
      <c r="N3070">
        <v>0</v>
      </c>
      <c r="O3070">
        <v>0</v>
      </c>
    </row>
    <row r="3071" spans="1:15" x14ac:dyDescent="0.2">
      <c r="A3071" s="6">
        <v>45826</v>
      </c>
      <c r="B3071" t="s">
        <v>15</v>
      </c>
      <c r="C3071" t="s">
        <v>16</v>
      </c>
      <c r="D3071" s="1">
        <v>45855</v>
      </c>
      <c r="E3071" t="s">
        <v>17</v>
      </c>
      <c r="F3071">
        <v>6250</v>
      </c>
      <c r="G3071">
        <v>513.6</v>
      </c>
      <c r="H3071">
        <v>597</v>
      </c>
      <c r="I3071">
        <v>417</v>
      </c>
      <c r="J3071">
        <v>500</v>
      </c>
      <c r="K3071">
        <v>496.1</v>
      </c>
      <c r="L3071">
        <v>6084</v>
      </c>
      <c r="M3071" t="s">
        <v>1417</v>
      </c>
      <c r="N3071">
        <v>41013.06</v>
      </c>
      <c r="O3071">
        <v>207</v>
      </c>
    </row>
    <row r="3072" spans="1:15" x14ac:dyDescent="0.2">
      <c r="A3072" s="6">
        <v>45826</v>
      </c>
      <c r="B3072" t="s">
        <v>15</v>
      </c>
      <c r="C3072" t="s">
        <v>16</v>
      </c>
      <c r="D3072" s="1">
        <v>45855</v>
      </c>
      <c r="E3072" t="s">
        <v>17</v>
      </c>
      <c r="F3072">
        <v>5150</v>
      </c>
      <c r="J3072">
        <v>1185.3</v>
      </c>
      <c r="K3072">
        <v>1153.5</v>
      </c>
      <c r="L3072">
        <v>0</v>
      </c>
      <c r="M3072" t="s">
        <v>18</v>
      </c>
      <c r="N3072">
        <v>0</v>
      </c>
      <c r="O3072">
        <v>2</v>
      </c>
    </row>
    <row r="3073" spans="1:15" x14ac:dyDescent="0.2">
      <c r="A3073" s="6">
        <v>45826</v>
      </c>
      <c r="B3073" t="s">
        <v>15</v>
      </c>
      <c r="C3073" t="s">
        <v>16</v>
      </c>
      <c r="D3073" s="1">
        <v>45855</v>
      </c>
      <c r="E3073" t="s">
        <v>19</v>
      </c>
      <c r="F3073">
        <v>7250</v>
      </c>
      <c r="J3073">
        <v>949.6</v>
      </c>
      <c r="K3073">
        <v>986.6</v>
      </c>
      <c r="L3073">
        <v>0</v>
      </c>
      <c r="M3073" t="s">
        <v>18</v>
      </c>
      <c r="N3073">
        <v>0</v>
      </c>
      <c r="O3073">
        <v>0</v>
      </c>
    </row>
    <row r="3074" spans="1:15" x14ac:dyDescent="0.2">
      <c r="A3074" s="6">
        <v>45826</v>
      </c>
      <c r="B3074" t="s">
        <v>15</v>
      </c>
      <c r="C3074" t="s">
        <v>16</v>
      </c>
      <c r="D3074" s="1">
        <v>45855</v>
      </c>
      <c r="E3074" t="s">
        <v>17</v>
      </c>
      <c r="F3074">
        <v>5450</v>
      </c>
      <c r="J3074">
        <v>904.3</v>
      </c>
      <c r="K3074">
        <v>752</v>
      </c>
      <c r="L3074">
        <v>0</v>
      </c>
      <c r="M3074" t="s">
        <v>18</v>
      </c>
      <c r="N3074">
        <v>0</v>
      </c>
      <c r="O3074">
        <v>7</v>
      </c>
    </row>
    <row r="3075" spans="1:15" x14ac:dyDescent="0.2">
      <c r="A3075" s="6">
        <v>45826</v>
      </c>
      <c r="B3075" t="s">
        <v>15</v>
      </c>
      <c r="C3075" t="s">
        <v>16</v>
      </c>
      <c r="D3075" s="1">
        <v>45855</v>
      </c>
      <c r="E3075" t="s">
        <v>17</v>
      </c>
      <c r="F3075">
        <v>5800</v>
      </c>
      <c r="G3075">
        <v>741.3</v>
      </c>
      <c r="H3075">
        <v>820.1</v>
      </c>
      <c r="I3075">
        <v>613.6</v>
      </c>
      <c r="J3075">
        <v>717.5</v>
      </c>
      <c r="K3075">
        <v>708.4</v>
      </c>
      <c r="L3075">
        <v>379</v>
      </c>
      <c r="M3075" t="s">
        <v>1418</v>
      </c>
      <c r="N3075">
        <v>2466.56</v>
      </c>
      <c r="O3075">
        <v>363</v>
      </c>
    </row>
    <row r="3076" spans="1:15" x14ac:dyDescent="0.2">
      <c r="A3076" s="6">
        <v>45826</v>
      </c>
      <c r="B3076" t="s">
        <v>15</v>
      </c>
      <c r="C3076" t="s">
        <v>16</v>
      </c>
      <c r="D3076" s="1">
        <v>45855</v>
      </c>
      <c r="E3076" t="s">
        <v>17</v>
      </c>
      <c r="F3076">
        <v>4550</v>
      </c>
      <c r="J3076">
        <v>1775.8</v>
      </c>
      <c r="K3076">
        <v>1740.8</v>
      </c>
      <c r="L3076">
        <v>0</v>
      </c>
      <c r="M3076" t="s">
        <v>18</v>
      </c>
      <c r="N3076">
        <v>0</v>
      </c>
      <c r="O3076">
        <v>0</v>
      </c>
    </row>
    <row r="3077" spans="1:15" x14ac:dyDescent="0.2">
      <c r="A3077" s="6">
        <v>45826</v>
      </c>
      <c r="B3077" t="s">
        <v>15</v>
      </c>
      <c r="C3077" t="s">
        <v>16</v>
      </c>
      <c r="D3077" s="1">
        <v>45855</v>
      </c>
      <c r="E3077" t="s">
        <v>19</v>
      </c>
      <c r="F3077">
        <v>4650</v>
      </c>
      <c r="J3077">
        <v>0.4</v>
      </c>
      <c r="K3077">
        <v>0.7</v>
      </c>
      <c r="L3077">
        <v>0</v>
      </c>
      <c r="M3077" t="s">
        <v>18</v>
      </c>
      <c r="N3077">
        <v>0</v>
      </c>
      <c r="O3077">
        <v>0</v>
      </c>
    </row>
    <row r="3078" spans="1:15" x14ac:dyDescent="0.2">
      <c r="A3078" s="6">
        <v>45826</v>
      </c>
      <c r="B3078" t="s">
        <v>15</v>
      </c>
      <c r="C3078" t="s">
        <v>16</v>
      </c>
      <c r="D3078" s="1">
        <v>45855</v>
      </c>
      <c r="E3078" t="s">
        <v>17</v>
      </c>
      <c r="F3078">
        <v>4050</v>
      </c>
      <c r="J3078">
        <v>2273.1999999999998</v>
      </c>
      <c r="K3078">
        <v>2238</v>
      </c>
      <c r="L3078">
        <v>0</v>
      </c>
      <c r="M3078" t="s">
        <v>18</v>
      </c>
      <c r="N3078">
        <v>0</v>
      </c>
      <c r="O3078">
        <v>0</v>
      </c>
    </row>
    <row r="3079" spans="1:15" x14ac:dyDescent="0.2">
      <c r="A3079" s="6">
        <v>45826</v>
      </c>
      <c r="B3079" t="s">
        <v>15</v>
      </c>
      <c r="C3079" t="s">
        <v>16</v>
      </c>
      <c r="D3079" s="1">
        <v>45855</v>
      </c>
      <c r="E3079" t="s">
        <v>17</v>
      </c>
      <c r="F3079">
        <v>4000</v>
      </c>
      <c r="J3079">
        <v>2323</v>
      </c>
      <c r="K3079">
        <v>2287.8000000000002</v>
      </c>
      <c r="L3079">
        <v>0</v>
      </c>
      <c r="M3079" t="s">
        <v>18</v>
      </c>
      <c r="N3079">
        <v>0</v>
      </c>
      <c r="O3079">
        <v>0</v>
      </c>
    </row>
    <row r="3080" spans="1:15" x14ac:dyDescent="0.2">
      <c r="A3080" s="6">
        <v>45826</v>
      </c>
      <c r="B3080" t="s">
        <v>15</v>
      </c>
      <c r="C3080" t="s">
        <v>16</v>
      </c>
      <c r="D3080" s="1">
        <v>45855</v>
      </c>
      <c r="E3080" t="s">
        <v>19</v>
      </c>
      <c r="F3080">
        <v>4400</v>
      </c>
      <c r="J3080">
        <v>0.1</v>
      </c>
      <c r="K3080">
        <v>0.1</v>
      </c>
      <c r="L3080">
        <v>0</v>
      </c>
      <c r="M3080" t="s">
        <v>18</v>
      </c>
      <c r="N3080">
        <v>0</v>
      </c>
      <c r="O3080">
        <v>0</v>
      </c>
    </row>
    <row r="3081" spans="1:15" x14ac:dyDescent="0.2">
      <c r="A3081" s="6">
        <v>45826</v>
      </c>
      <c r="B3081" t="s">
        <v>15</v>
      </c>
      <c r="C3081" t="s">
        <v>16</v>
      </c>
      <c r="D3081" s="1">
        <v>45855</v>
      </c>
      <c r="E3081" t="s">
        <v>17</v>
      </c>
      <c r="F3081">
        <v>6350</v>
      </c>
      <c r="G3081">
        <v>471.6</v>
      </c>
      <c r="H3081">
        <v>556</v>
      </c>
      <c r="I3081">
        <v>380.3</v>
      </c>
      <c r="J3081">
        <v>461.5</v>
      </c>
      <c r="K3081">
        <v>455.4</v>
      </c>
      <c r="L3081">
        <v>11048</v>
      </c>
      <c r="M3081" t="s">
        <v>1419</v>
      </c>
      <c r="N3081">
        <v>75264.27</v>
      </c>
      <c r="O3081">
        <v>491</v>
      </c>
    </row>
    <row r="3082" spans="1:15" x14ac:dyDescent="0.2">
      <c r="A3082" s="6">
        <v>45826</v>
      </c>
      <c r="B3082" t="s">
        <v>15</v>
      </c>
      <c r="C3082" t="s">
        <v>16</v>
      </c>
      <c r="D3082" s="1">
        <v>45855</v>
      </c>
      <c r="E3082" t="s">
        <v>19</v>
      </c>
      <c r="F3082">
        <v>7350</v>
      </c>
      <c r="J3082">
        <v>1040.5</v>
      </c>
      <c r="K3082">
        <v>1077.3</v>
      </c>
      <c r="L3082">
        <v>0</v>
      </c>
      <c r="M3082" t="s">
        <v>18</v>
      </c>
      <c r="N3082">
        <v>0</v>
      </c>
      <c r="O3082">
        <v>0</v>
      </c>
    </row>
    <row r="3083" spans="1:15" x14ac:dyDescent="0.2">
      <c r="A3083" s="6">
        <v>45826</v>
      </c>
      <c r="B3083" t="s">
        <v>15</v>
      </c>
      <c r="C3083" t="s">
        <v>16</v>
      </c>
      <c r="D3083" s="1">
        <v>45855</v>
      </c>
      <c r="E3083" t="s">
        <v>17</v>
      </c>
      <c r="F3083">
        <v>7050</v>
      </c>
      <c r="G3083">
        <v>281.3</v>
      </c>
      <c r="H3083">
        <v>350</v>
      </c>
      <c r="I3083">
        <v>223</v>
      </c>
      <c r="J3083">
        <v>267.5</v>
      </c>
      <c r="K3083">
        <v>282.8</v>
      </c>
      <c r="L3083">
        <v>585</v>
      </c>
      <c r="M3083" t="s">
        <v>1420</v>
      </c>
      <c r="N3083">
        <v>4289.72</v>
      </c>
      <c r="O3083">
        <v>51</v>
      </c>
    </row>
    <row r="3084" spans="1:15" x14ac:dyDescent="0.2">
      <c r="A3084" s="6">
        <v>45826</v>
      </c>
      <c r="B3084" t="s">
        <v>15</v>
      </c>
      <c r="C3084" t="s">
        <v>16</v>
      </c>
      <c r="D3084" s="1">
        <v>45855</v>
      </c>
      <c r="E3084" t="s">
        <v>19</v>
      </c>
      <c r="F3084">
        <v>6850</v>
      </c>
      <c r="J3084">
        <v>612.4</v>
      </c>
      <c r="K3084">
        <v>648.70000000000005</v>
      </c>
      <c r="L3084">
        <v>0</v>
      </c>
      <c r="M3084" t="s">
        <v>18</v>
      </c>
      <c r="N3084">
        <v>0</v>
      </c>
      <c r="O3084">
        <v>0</v>
      </c>
    </row>
    <row r="3085" spans="1:15" x14ac:dyDescent="0.2">
      <c r="A3085" s="6">
        <v>45826</v>
      </c>
      <c r="B3085" t="s">
        <v>15</v>
      </c>
      <c r="C3085" t="s">
        <v>16</v>
      </c>
      <c r="D3085" s="1">
        <v>45855</v>
      </c>
      <c r="E3085" t="s">
        <v>17</v>
      </c>
      <c r="F3085">
        <v>7000</v>
      </c>
      <c r="G3085">
        <v>234.2</v>
      </c>
      <c r="H3085">
        <v>361.9</v>
      </c>
      <c r="I3085">
        <v>228</v>
      </c>
      <c r="J3085">
        <v>285.10000000000002</v>
      </c>
      <c r="K3085">
        <v>286.89999999999998</v>
      </c>
      <c r="L3085">
        <v>56618</v>
      </c>
      <c r="M3085" t="s">
        <v>1421</v>
      </c>
      <c r="N3085">
        <v>412557.36</v>
      </c>
      <c r="O3085">
        <v>5525</v>
      </c>
    </row>
    <row r="3086" spans="1:15" x14ac:dyDescent="0.2">
      <c r="A3086" s="6">
        <v>45826</v>
      </c>
      <c r="B3086" t="s">
        <v>15</v>
      </c>
      <c r="C3086" t="s">
        <v>16</v>
      </c>
      <c r="D3086" s="1">
        <v>45855</v>
      </c>
      <c r="E3086" t="s">
        <v>19</v>
      </c>
      <c r="F3086">
        <v>5350</v>
      </c>
      <c r="G3086">
        <v>81</v>
      </c>
      <c r="H3086">
        <v>97.1</v>
      </c>
      <c r="I3086">
        <v>65</v>
      </c>
      <c r="J3086">
        <v>73.3</v>
      </c>
      <c r="K3086">
        <v>82</v>
      </c>
      <c r="L3086">
        <v>718</v>
      </c>
      <c r="M3086" t="s">
        <v>481</v>
      </c>
      <c r="N3086">
        <v>3898</v>
      </c>
      <c r="O3086">
        <v>42</v>
      </c>
    </row>
    <row r="3087" spans="1:15" x14ac:dyDescent="0.2">
      <c r="A3087" s="6">
        <v>45826</v>
      </c>
      <c r="B3087" t="s">
        <v>15</v>
      </c>
      <c r="C3087" t="s">
        <v>16</v>
      </c>
      <c r="D3087" s="1">
        <v>45855</v>
      </c>
      <c r="E3087" t="s">
        <v>19</v>
      </c>
      <c r="F3087">
        <v>4500</v>
      </c>
      <c r="G3087">
        <v>20.6</v>
      </c>
      <c r="H3087">
        <v>22.6</v>
      </c>
      <c r="I3087">
        <v>19.100000000000001</v>
      </c>
      <c r="J3087">
        <v>20.7</v>
      </c>
      <c r="K3087">
        <v>19.600000000000001</v>
      </c>
      <c r="L3087">
        <v>1214</v>
      </c>
      <c r="M3087" t="s">
        <v>1422</v>
      </c>
      <c r="N3087">
        <v>5488.31</v>
      </c>
      <c r="O3087">
        <v>304</v>
      </c>
    </row>
    <row r="3088" spans="1:15" x14ac:dyDescent="0.2">
      <c r="A3088" s="6">
        <v>45826</v>
      </c>
      <c r="B3088" t="s">
        <v>15</v>
      </c>
      <c r="C3088" t="s">
        <v>16</v>
      </c>
      <c r="D3088" s="1">
        <v>45855</v>
      </c>
      <c r="E3088" t="s">
        <v>19</v>
      </c>
      <c r="F3088">
        <v>4100</v>
      </c>
      <c r="J3088">
        <v>0.1</v>
      </c>
      <c r="K3088">
        <v>0.1</v>
      </c>
      <c r="L3088">
        <v>0</v>
      </c>
      <c r="M3088" t="s">
        <v>18</v>
      </c>
      <c r="N3088">
        <v>0</v>
      </c>
      <c r="O3088">
        <v>0</v>
      </c>
    </row>
    <row r="3089" spans="1:15" x14ac:dyDescent="0.2">
      <c r="A3089" s="6">
        <v>45826</v>
      </c>
      <c r="B3089" t="s">
        <v>15</v>
      </c>
      <c r="C3089" t="s">
        <v>16</v>
      </c>
      <c r="D3089" s="1">
        <v>45855</v>
      </c>
      <c r="E3089" t="s">
        <v>17</v>
      </c>
      <c r="F3089">
        <v>6300</v>
      </c>
      <c r="G3089">
        <v>494.6</v>
      </c>
      <c r="H3089">
        <v>575.20000000000005</v>
      </c>
      <c r="I3089">
        <v>397.1</v>
      </c>
      <c r="J3089">
        <v>481.8</v>
      </c>
      <c r="K3089">
        <v>474.5</v>
      </c>
      <c r="L3089">
        <v>44613</v>
      </c>
      <c r="M3089" t="s">
        <v>1423</v>
      </c>
      <c r="N3089">
        <v>302056.05</v>
      </c>
      <c r="O3089">
        <v>1935</v>
      </c>
    </row>
    <row r="3090" spans="1:15" x14ac:dyDescent="0.2">
      <c r="A3090" s="6">
        <v>45826</v>
      </c>
      <c r="B3090" t="s">
        <v>15</v>
      </c>
      <c r="C3090" t="s">
        <v>16</v>
      </c>
      <c r="D3090" s="1">
        <v>45855</v>
      </c>
      <c r="E3090" t="s">
        <v>17</v>
      </c>
      <c r="F3090">
        <v>6500</v>
      </c>
      <c r="G3090">
        <v>426.9</v>
      </c>
      <c r="H3090">
        <v>503.2</v>
      </c>
      <c r="I3090">
        <v>336.2</v>
      </c>
      <c r="J3090">
        <v>410.7</v>
      </c>
      <c r="K3090">
        <v>406.5</v>
      </c>
      <c r="L3090">
        <v>57250</v>
      </c>
      <c r="M3090" t="s">
        <v>1424</v>
      </c>
      <c r="N3090">
        <v>395906.08</v>
      </c>
      <c r="O3090">
        <v>2911</v>
      </c>
    </row>
    <row r="3091" spans="1:15" x14ac:dyDescent="0.2">
      <c r="A3091" s="6">
        <v>45826</v>
      </c>
      <c r="B3091" t="s">
        <v>15</v>
      </c>
      <c r="C3091" t="s">
        <v>16</v>
      </c>
      <c r="D3091" s="1">
        <v>45855</v>
      </c>
      <c r="E3091" t="s">
        <v>19</v>
      </c>
      <c r="F3091">
        <v>6900</v>
      </c>
      <c r="G3091">
        <v>892.8</v>
      </c>
      <c r="H3091">
        <v>975.7</v>
      </c>
      <c r="I3091">
        <v>886.4</v>
      </c>
      <c r="J3091">
        <v>914.2</v>
      </c>
      <c r="K3091">
        <v>688.2</v>
      </c>
      <c r="L3091">
        <v>21</v>
      </c>
      <c r="M3091" t="s">
        <v>186</v>
      </c>
      <c r="N3091">
        <v>164.01</v>
      </c>
      <c r="O3091">
        <v>14</v>
      </c>
    </row>
    <row r="3092" spans="1:15" x14ac:dyDescent="0.2">
      <c r="A3092" s="6">
        <v>45826</v>
      </c>
      <c r="B3092" t="s">
        <v>15</v>
      </c>
      <c r="C3092" t="s">
        <v>16</v>
      </c>
      <c r="D3092" s="1">
        <v>45855</v>
      </c>
      <c r="E3092" t="s">
        <v>19</v>
      </c>
      <c r="F3092">
        <v>6700</v>
      </c>
      <c r="G3092">
        <v>702.6</v>
      </c>
      <c r="H3092">
        <v>810.4</v>
      </c>
      <c r="I3092">
        <v>699.4</v>
      </c>
      <c r="J3092">
        <v>718.9</v>
      </c>
      <c r="K3092">
        <v>747</v>
      </c>
      <c r="L3092">
        <v>2384</v>
      </c>
      <c r="M3092" t="s">
        <v>1425</v>
      </c>
      <c r="N3092">
        <v>17754.419999999998</v>
      </c>
      <c r="O3092">
        <v>59</v>
      </c>
    </row>
    <row r="3093" spans="1:15" x14ac:dyDescent="0.2">
      <c r="A3093" s="6">
        <v>45826</v>
      </c>
      <c r="B3093" t="s">
        <v>15</v>
      </c>
      <c r="C3093" t="s">
        <v>16</v>
      </c>
      <c r="D3093" s="1">
        <v>45855</v>
      </c>
      <c r="E3093" t="s">
        <v>17</v>
      </c>
      <c r="F3093">
        <v>3650</v>
      </c>
      <c r="J3093">
        <v>2671.3</v>
      </c>
      <c r="K3093">
        <v>2636</v>
      </c>
      <c r="L3093">
        <v>0</v>
      </c>
      <c r="M3093" t="s">
        <v>18</v>
      </c>
      <c r="N3093">
        <v>0</v>
      </c>
      <c r="O3093">
        <v>0</v>
      </c>
    </row>
    <row r="3094" spans="1:15" x14ac:dyDescent="0.2">
      <c r="A3094" s="6">
        <v>45826</v>
      </c>
      <c r="B3094" t="s">
        <v>15</v>
      </c>
      <c r="C3094" t="s">
        <v>16</v>
      </c>
      <c r="D3094" s="1">
        <v>45855</v>
      </c>
      <c r="E3094" t="s">
        <v>19</v>
      </c>
      <c r="F3094">
        <v>3650</v>
      </c>
      <c r="J3094">
        <v>0.1</v>
      </c>
      <c r="K3094">
        <v>0.1</v>
      </c>
      <c r="L3094">
        <v>0</v>
      </c>
      <c r="M3094" t="s">
        <v>18</v>
      </c>
      <c r="N3094">
        <v>0</v>
      </c>
      <c r="O3094">
        <v>0</v>
      </c>
    </row>
    <row r="3095" spans="1:15" x14ac:dyDescent="0.2">
      <c r="A3095" s="6">
        <v>45826</v>
      </c>
      <c r="B3095" t="s">
        <v>15</v>
      </c>
      <c r="C3095" t="s">
        <v>16</v>
      </c>
      <c r="D3095" s="1">
        <v>45855</v>
      </c>
      <c r="E3095" t="s">
        <v>19</v>
      </c>
      <c r="F3095">
        <v>7400</v>
      </c>
      <c r="J3095">
        <v>1086.5999999999999</v>
      </c>
      <c r="K3095">
        <v>1123.3</v>
      </c>
      <c r="L3095">
        <v>0</v>
      </c>
      <c r="M3095" t="s">
        <v>18</v>
      </c>
      <c r="N3095">
        <v>0</v>
      </c>
      <c r="O3095">
        <v>0</v>
      </c>
    </row>
    <row r="3096" spans="1:15" x14ac:dyDescent="0.2">
      <c r="A3096" s="6">
        <v>45826</v>
      </c>
      <c r="B3096" t="s">
        <v>15</v>
      </c>
      <c r="C3096" t="s">
        <v>16</v>
      </c>
      <c r="D3096" s="1">
        <v>45855</v>
      </c>
      <c r="E3096" t="s">
        <v>19</v>
      </c>
      <c r="F3096">
        <v>7100</v>
      </c>
      <c r="J3096">
        <v>817.6</v>
      </c>
      <c r="K3096">
        <v>854.6</v>
      </c>
      <c r="L3096">
        <v>0</v>
      </c>
      <c r="M3096" t="s">
        <v>18</v>
      </c>
      <c r="N3096">
        <v>0</v>
      </c>
      <c r="O3096">
        <v>0</v>
      </c>
    </row>
    <row r="3097" spans="1:15" x14ac:dyDescent="0.2">
      <c r="A3097" s="6">
        <v>45826</v>
      </c>
      <c r="B3097" t="s">
        <v>15</v>
      </c>
      <c r="C3097" t="s">
        <v>16</v>
      </c>
      <c r="D3097" s="1">
        <v>45855</v>
      </c>
      <c r="E3097" t="s">
        <v>17</v>
      </c>
      <c r="F3097">
        <v>4600</v>
      </c>
      <c r="J3097">
        <v>1726.1</v>
      </c>
      <c r="K3097">
        <v>1691.2</v>
      </c>
      <c r="L3097">
        <v>0</v>
      </c>
      <c r="M3097" t="s">
        <v>18</v>
      </c>
      <c r="N3097">
        <v>0</v>
      </c>
      <c r="O3097">
        <v>0</v>
      </c>
    </row>
    <row r="3098" spans="1:15" x14ac:dyDescent="0.2">
      <c r="A3098" s="6">
        <v>45826</v>
      </c>
      <c r="B3098" t="s">
        <v>15</v>
      </c>
      <c r="C3098" t="s">
        <v>16</v>
      </c>
      <c r="D3098" s="1">
        <v>45855</v>
      </c>
      <c r="E3098" t="s">
        <v>17</v>
      </c>
      <c r="F3098">
        <v>7200</v>
      </c>
      <c r="G3098">
        <v>248</v>
      </c>
      <c r="H3098">
        <v>320</v>
      </c>
      <c r="I3098">
        <v>200.1</v>
      </c>
      <c r="J3098">
        <v>246.9</v>
      </c>
      <c r="K3098">
        <v>251.9</v>
      </c>
      <c r="L3098">
        <v>17463</v>
      </c>
      <c r="M3098" t="s">
        <v>1426</v>
      </c>
      <c r="N3098">
        <v>130193.85</v>
      </c>
      <c r="O3098">
        <v>749</v>
      </c>
    </row>
    <row r="3099" spans="1:15" x14ac:dyDescent="0.2">
      <c r="A3099" s="6">
        <v>45826</v>
      </c>
      <c r="B3099" t="s">
        <v>15</v>
      </c>
      <c r="C3099" t="s">
        <v>16</v>
      </c>
      <c r="D3099" s="1">
        <v>45855</v>
      </c>
      <c r="E3099" t="s">
        <v>17</v>
      </c>
      <c r="F3099">
        <v>5350</v>
      </c>
      <c r="J3099">
        <v>995.9</v>
      </c>
      <c r="K3099">
        <v>966.9</v>
      </c>
      <c r="L3099">
        <v>0</v>
      </c>
      <c r="M3099" t="s">
        <v>18</v>
      </c>
      <c r="N3099">
        <v>0</v>
      </c>
      <c r="O3099">
        <v>1</v>
      </c>
    </row>
    <row r="3100" spans="1:15" x14ac:dyDescent="0.2">
      <c r="A3100" s="6">
        <v>45826</v>
      </c>
      <c r="B3100" t="s">
        <v>15</v>
      </c>
      <c r="C3100" t="s">
        <v>16</v>
      </c>
      <c r="D3100" s="1">
        <v>45855</v>
      </c>
      <c r="E3100" t="s">
        <v>19</v>
      </c>
      <c r="F3100">
        <v>4850</v>
      </c>
      <c r="G3100">
        <v>35.200000000000003</v>
      </c>
      <c r="H3100">
        <v>37.799999999999997</v>
      </c>
      <c r="I3100">
        <v>27.9</v>
      </c>
      <c r="J3100">
        <v>30.4</v>
      </c>
      <c r="K3100">
        <v>33.5</v>
      </c>
      <c r="L3100">
        <v>341</v>
      </c>
      <c r="M3100" t="s">
        <v>1427</v>
      </c>
      <c r="N3100">
        <v>1664.98</v>
      </c>
      <c r="O3100">
        <v>22</v>
      </c>
    </row>
    <row r="3101" spans="1:15" x14ac:dyDescent="0.2">
      <c r="A3101" s="6">
        <v>45826</v>
      </c>
      <c r="B3101" t="s">
        <v>15</v>
      </c>
      <c r="C3101" t="s">
        <v>16</v>
      </c>
      <c r="D3101" s="1">
        <v>45855</v>
      </c>
      <c r="E3101" t="s">
        <v>17</v>
      </c>
      <c r="F3101">
        <v>6100</v>
      </c>
      <c r="G3101">
        <v>581.5</v>
      </c>
      <c r="H3101">
        <v>662.1</v>
      </c>
      <c r="I3101">
        <v>472.1</v>
      </c>
      <c r="J3101">
        <v>564</v>
      </c>
      <c r="K3101">
        <v>557.5</v>
      </c>
      <c r="L3101">
        <v>4796</v>
      </c>
      <c r="M3101" t="s">
        <v>1428</v>
      </c>
      <c r="N3101">
        <v>31890.33</v>
      </c>
      <c r="O3101">
        <v>561</v>
      </c>
    </row>
    <row r="3102" spans="1:15" x14ac:dyDescent="0.2">
      <c r="A3102" s="6">
        <v>45826</v>
      </c>
      <c r="B3102" t="s">
        <v>15</v>
      </c>
      <c r="C3102" t="s">
        <v>16</v>
      </c>
      <c r="D3102" s="1">
        <v>45855</v>
      </c>
      <c r="E3102" t="s">
        <v>19</v>
      </c>
      <c r="F3102">
        <v>4000</v>
      </c>
      <c r="J3102">
        <v>0.1</v>
      </c>
      <c r="K3102">
        <v>0.1</v>
      </c>
      <c r="L3102">
        <v>0</v>
      </c>
      <c r="M3102" t="s">
        <v>18</v>
      </c>
      <c r="N3102">
        <v>0</v>
      </c>
      <c r="O3102">
        <v>0</v>
      </c>
    </row>
    <row r="3103" spans="1:15" x14ac:dyDescent="0.2">
      <c r="A3103" s="6">
        <v>45826</v>
      </c>
      <c r="B3103" t="s">
        <v>15</v>
      </c>
      <c r="C3103" t="s">
        <v>16</v>
      </c>
      <c r="D3103" s="1">
        <v>45855</v>
      </c>
      <c r="E3103" t="s">
        <v>19</v>
      </c>
      <c r="F3103">
        <v>5600</v>
      </c>
      <c r="G3103">
        <v>132.1</v>
      </c>
      <c r="H3103">
        <v>159.19999999999999</v>
      </c>
      <c r="I3103">
        <v>125.8</v>
      </c>
      <c r="J3103">
        <v>129</v>
      </c>
      <c r="K3103">
        <v>143.5</v>
      </c>
      <c r="L3103">
        <v>10528</v>
      </c>
      <c r="M3103" t="s">
        <v>1429</v>
      </c>
      <c r="N3103">
        <v>60439.4</v>
      </c>
      <c r="O3103">
        <v>1034</v>
      </c>
    </row>
    <row r="3104" spans="1:15" x14ac:dyDescent="0.2">
      <c r="A3104" s="6">
        <v>45826</v>
      </c>
      <c r="B3104" t="s">
        <v>15</v>
      </c>
      <c r="C3104" t="s">
        <v>16</v>
      </c>
      <c r="D3104" s="1">
        <v>45855</v>
      </c>
      <c r="E3104" t="s">
        <v>19</v>
      </c>
      <c r="F3104">
        <v>5650</v>
      </c>
      <c r="G3104">
        <v>151</v>
      </c>
      <c r="H3104">
        <v>176.6</v>
      </c>
      <c r="I3104">
        <v>140.1</v>
      </c>
      <c r="J3104">
        <v>143.9</v>
      </c>
      <c r="K3104">
        <v>159</v>
      </c>
      <c r="L3104">
        <v>712</v>
      </c>
      <c r="M3104" t="s">
        <v>617</v>
      </c>
      <c r="N3104">
        <v>4134.46</v>
      </c>
      <c r="O3104">
        <v>63</v>
      </c>
    </row>
    <row r="3105" spans="1:15" x14ac:dyDescent="0.2">
      <c r="A3105" s="6">
        <v>45826</v>
      </c>
      <c r="B3105" t="s">
        <v>15</v>
      </c>
      <c r="C3105" t="s">
        <v>16</v>
      </c>
      <c r="D3105" s="1">
        <v>45855</v>
      </c>
      <c r="E3105" t="s">
        <v>19</v>
      </c>
      <c r="F3105">
        <v>6350</v>
      </c>
      <c r="G3105">
        <v>479.1</v>
      </c>
      <c r="H3105">
        <v>553.6</v>
      </c>
      <c r="I3105">
        <v>464.7</v>
      </c>
      <c r="J3105">
        <v>481.8</v>
      </c>
      <c r="K3105">
        <v>506.6</v>
      </c>
      <c r="L3105">
        <v>4995</v>
      </c>
      <c r="M3105" t="s">
        <v>1430</v>
      </c>
      <c r="N3105">
        <v>34226.160000000003</v>
      </c>
      <c r="O3105">
        <v>166</v>
      </c>
    </row>
    <row r="3106" spans="1:15" x14ac:dyDescent="0.2">
      <c r="A3106" s="6">
        <v>45826</v>
      </c>
      <c r="B3106" t="s">
        <v>15</v>
      </c>
      <c r="C3106" t="s">
        <v>16</v>
      </c>
      <c r="D3106" s="1">
        <v>45855</v>
      </c>
      <c r="E3106" t="s">
        <v>17</v>
      </c>
      <c r="F3106">
        <v>3950</v>
      </c>
      <c r="J3106">
        <v>2372.6999999999998</v>
      </c>
      <c r="K3106">
        <v>2337.5</v>
      </c>
      <c r="L3106">
        <v>0</v>
      </c>
      <c r="M3106" t="s">
        <v>18</v>
      </c>
      <c r="N3106">
        <v>0</v>
      </c>
      <c r="O3106">
        <v>0</v>
      </c>
    </row>
    <row r="3107" spans="1:15" x14ac:dyDescent="0.2">
      <c r="A3107" s="6">
        <v>45826</v>
      </c>
      <c r="B3107" t="s">
        <v>15</v>
      </c>
      <c r="C3107" t="s">
        <v>16</v>
      </c>
      <c r="D3107" s="1">
        <v>45855</v>
      </c>
      <c r="E3107" t="s">
        <v>17</v>
      </c>
      <c r="F3107">
        <v>7550</v>
      </c>
      <c r="G3107">
        <v>204.6</v>
      </c>
      <c r="H3107">
        <v>212.2</v>
      </c>
      <c r="I3107">
        <v>157.19999999999999</v>
      </c>
      <c r="J3107">
        <v>196.8</v>
      </c>
      <c r="K3107">
        <v>18.7</v>
      </c>
      <c r="L3107">
        <v>2903</v>
      </c>
      <c r="M3107" t="s">
        <v>1431</v>
      </c>
      <c r="N3107">
        <v>22453.58</v>
      </c>
      <c r="O3107">
        <v>365</v>
      </c>
    </row>
    <row r="3108" spans="1:15" x14ac:dyDescent="0.2">
      <c r="A3108" s="6">
        <v>45826</v>
      </c>
      <c r="B3108" t="s">
        <v>15</v>
      </c>
      <c r="C3108" t="s">
        <v>16</v>
      </c>
      <c r="D3108" s="1">
        <v>45855</v>
      </c>
      <c r="E3108" t="s">
        <v>19</v>
      </c>
      <c r="F3108">
        <v>7450</v>
      </c>
      <c r="J3108">
        <v>1133.0999999999999</v>
      </c>
      <c r="K3108">
        <v>1169.7</v>
      </c>
      <c r="L3108">
        <v>0</v>
      </c>
      <c r="M3108" t="s">
        <v>18</v>
      </c>
      <c r="N3108">
        <v>0</v>
      </c>
      <c r="O3108">
        <v>0</v>
      </c>
    </row>
    <row r="3109" spans="1:15" x14ac:dyDescent="0.2">
      <c r="A3109" s="6">
        <v>45826</v>
      </c>
      <c r="B3109" t="s">
        <v>15</v>
      </c>
      <c r="C3109" t="s">
        <v>16</v>
      </c>
      <c r="D3109" s="1">
        <v>45855</v>
      </c>
      <c r="E3109" t="s">
        <v>19</v>
      </c>
      <c r="F3109">
        <v>4050</v>
      </c>
      <c r="J3109">
        <v>0.1</v>
      </c>
      <c r="K3109">
        <v>0.1</v>
      </c>
      <c r="L3109">
        <v>0</v>
      </c>
      <c r="M3109" t="s">
        <v>18</v>
      </c>
      <c r="N3109">
        <v>0</v>
      </c>
      <c r="O3109">
        <v>0</v>
      </c>
    </row>
    <row r="3110" spans="1:15" x14ac:dyDescent="0.2">
      <c r="A3110" s="6">
        <v>45826</v>
      </c>
      <c r="B3110" t="s">
        <v>15</v>
      </c>
      <c r="C3110" t="s">
        <v>16</v>
      </c>
      <c r="D3110" s="1">
        <v>45855</v>
      </c>
      <c r="E3110" t="s">
        <v>19</v>
      </c>
      <c r="F3110">
        <v>6100</v>
      </c>
      <c r="G3110">
        <v>330</v>
      </c>
      <c r="H3110">
        <v>395.9</v>
      </c>
      <c r="I3110">
        <v>324.10000000000002</v>
      </c>
      <c r="J3110">
        <v>336.2</v>
      </c>
      <c r="K3110">
        <v>358.4</v>
      </c>
      <c r="L3110">
        <v>20802</v>
      </c>
      <c r="M3110" t="s">
        <v>1432</v>
      </c>
      <c r="N3110">
        <v>134299.21</v>
      </c>
      <c r="O3110">
        <v>1376</v>
      </c>
    </row>
    <row r="3111" spans="1:15" x14ac:dyDescent="0.2">
      <c r="A3111" s="6">
        <v>45826</v>
      </c>
      <c r="B3111" t="s">
        <v>15</v>
      </c>
      <c r="C3111" t="s">
        <v>16</v>
      </c>
      <c r="D3111" s="1">
        <v>45855</v>
      </c>
      <c r="E3111" t="s">
        <v>19</v>
      </c>
      <c r="F3111">
        <v>5500</v>
      </c>
      <c r="G3111">
        <v>104.9</v>
      </c>
      <c r="H3111">
        <v>126.5</v>
      </c>
      <c r="I3111">
        <v>99.2</v>
      </c>
      <c r="J3111">
        <v>102.9</v>
      </c>
      <c r="K3111">
        <v>115.1</v>
      </c>
      <c r="L3111">
        <v>21549</v>
      </c>
      <c r="M3111" t="s">
        <v>1433</v>
      </c>
      <c r="N3111">
        <v>120929.49</v>
      </c>
      <c r="O3111">
        <v>2397</v>
      </c>
    </row>
    <row r="3112" spans="1:15" x14ac:dyDescent="0.2">
      <c r="A3112" s="6">
        <v>45826</v>
      </c>
      <c r="B3112" t="s">
        <v>15</v>
      </c>
      <c r="C3112" t="s">
        <v>16</v>
      </c>
      <c r="D3112" s="1">
        <v>45855</v>
      </c>
      <c r="E3112" t="s">
        <v>19</v>
      </c>
      <c r="F3112">
        <v>5750</v>
      </c>
      <c r="G3112">
        <v>185</v>
      </c>
      <c r="H3112">
        <v>217.8</v>
      </c>
      <c r="I3112">
        <v>172.8</v>
      </c>
      <c r="J3112">
        <v>176.8</v>
      </c>
      <c r="K3112">
        <v>195.6</v>
      </c>
      <c r="L3112">
        <v>1796</v>
      </c>
      <c r="M3112" t="s">
        <v>1434</v>
      </c>
      <c r="N3112">
        <v>10673.15</v>
      </c>
      <c r="O3112">
        <v>115</v>
      </c>
    </row>
    <row r="3113" spans="1:15" x14ac:dyDescent="0.2">
      <c r="A3113" s="6">
        <v>45826</v>
      </c>
      <c r="B3113" t="s">
        <v>15</v>
      </c>
      <c r="C3113" t="s">
        <v>16</v>
      </c>
      <c r="D3113" s="1">
        <v>45855</v>
      </c>
      <c r="E3113" t="s">
        <v>17</v>
      </c>
      <c r="F3113">
        <v>6000</v>
      </c>
      <c r="G3113">
        <v>624.79999999999995</v>
      </c>
      <c r="H3113">
        <v>710</v>
      </c>
      <c r="I3113">
        <v>512</v>
      </c>
      <c r="J3113">
        <v>610.9</v>
      </c>
      <c r="K3113">
        <v>603.29999999999995</v>
      </c>
      <c r="L3113">
        <v>9217</v>
      </c>
      <c r="M3113" t="s">
        <v>1435</v>
      </c>
      <c r="N3113">
        <v>60813.25</v>
      </c>
      <c r="O3113">
        <v>2497</v>
      </c>
    </row>
    <row r="3114" spans="1:15" x14ac:dyDescent="0.2">
      <c r="A3114" s="6">
        <v>45826</v>
      </c>
      <c r="B3114" t="s">
        <v>15</v>
      </c>
      <c r="C3114" t="s">
        <v>16</v>
      </c>
      <c r="D3114" s="1">
        <v>45855</v>
      </c>
      <c r="E3114" t="s">
        <v>19</v>
      </c>
      <c r="F3114">
        <v>3800</v>
      </c>
      <c r="J3114">
        <v>0.1</v>
      </c>
      <c r="K3114">
        <v>0.1</v>
      </c>
      <c r="L3114">
        <v>0</v>
      </c>
      <c r="M3114" t="s">
        <v>18</v>
      </c>
      <c r="N3114">
        <v>0</v>
      </c>
      <c r="O3114">
        <v>0</v>
      </c>
    </row>
    <row r="3115" spans="1:15" x14ac:dyDescent="0.2">
      <c r="A3115" s="6">
        <v>45826</v>
      </c>
      <c r="B3115" t="s">
        <v>15</v>
      </c>
      <c r="C3115" t="s">
        <v>16</v>
      </c>
      <c r="D3115" s="1">
        <v>45855</v>
      </c>
      <c r="E3115" t="s">
        <v>17</v>
      </c>
      <c r="F3115">
        <v>4700</v>
      </c>
      <c r="J3115">
        <v>1626.8</v>
      </c>
      <c r="K3115">
        <v>1592.2</v>
      </c>
      <c r="L3115">
        <v>0</v>
      </c>
      <c r="M3115" t="s">
        <v>18</v>
      </c>
      <c r="N3115">
        <v>0</v>
      </c>
      <c r="O3115">
        <v>0</v>
      </c>
    </row>
    <row r="3116" spans="1:15" x14ac:dyDescent="0.2">
      <c r="A3116" s="6">
        <v>45826</v>
      </c>
      <c r="B3116" t="s">
        <v>15</v>
      </c>
      <c r="C3116" t="s">
        <v>16</v>
      </c>
      <c r="D3116" s="1">
        <v>45855</v>
      </c>
      <c r="E3116" t="s">
        <v>17</v>
      </c>
      <c r="F3116">
        <v>6450</v>
      </c>
      <c r="G3116">
        <v>448</v>
      </c>
      <c r="H3116">
        <v>520</v>
      </c>
      <c r="I3116">
        <v>350.5</v>
      </c>
      <c r="J3116">
        <v>427.8</v>
      </c>
      <c r="K3116">
        <v>426.6</v>
      </c>
      <c r="L3116">
        <v>18497</v>
      </c>
      <c r="M3116" t="s">
        <v>1436</v>
      </c>
      <c r="N3116">
        <v>127291.84</v>
      </c>
      <c r="O3116">
        <v>1229</v>
      </c>
    </row>
    <row r="3117" spans="1:15" x14ac:dyDescent="0.2">
      <c r="A3117" s="6">
        <v>45826</v>
      </c>
      <c r="B3117" t="s">
        <v>15</v>
      </c>
      <c r="C3117" t="s">
        <v>16</v>
      </c>
      <c r="D3117" s="1">
        <v>45855</v>
      </c>
      <c r="E3117" t="s">
        <v>19</v>
      </c>
      <c r="F3117">
        <v>7300</v>
      </c>
      <c r="J3117">
        <v>994.8</v>
      </c>
      <c r="K3117">
        <v>1031.7</v>
      </c>
      <c r="L3117">
        <v>0</v>
      </c>
      <c r="M3117" t="s">
        <v>18</v>
      </c>
      <c r="N3117">
        <v>0</v>
      </c>
      <c r="O3117">
        <v>0</v>
      </c>
    </row>
    <row r="3118" spans="1:15" x14ac:dyDescent="0.2">
      <c r="A3118" s="6">
        <v>45826</v>
      </c>
      <c r="B3118" t="s">
        <v>15</v>
      </c>
      <c r="C3118" t="s">
        <v>16</v>
      </c>
      <c r="D3118" s="1">
        <v>45855</v>
      </c>
      <c r="E3118" t="s">
        <v>19</v>
      </c>
      <c r="F3118">
        <v>5950</v>
      </c>
      <c r="G3118">
        <v>260</v>
      </c>
      <c r="H3118">
        <v>311</v>
      </c>
      <c r="I3118">
        <v>253</v>
      </c>
      <c r="J3118">
        <v>260.39999999999998</v>
      </c>
      <c r="K3118">
        <v>281.7</v>
      </c>
      <c r="L3118">
        <v>2065</v>
      </c>
      <c r="M3118" t="s">
        <v>1437</v>
      </c>
      <c r="N3118">
        <v>12869.1</v>
      </c>
      <c r="O3118">
        <v>150</v>
      </c>
    </row>
    <row r="3119" spans="1:15" x14ac:dyDescent="0.2">
      <c r="A3119" s="6">
        <v>45826</v>
      </c>
      <c r="B3119" t="s">
        <v>15</v>
      </c>
      <c r="C3119" t="s">
        <v>16</v>
      </c>
      <c r="D3119" s="1">
        <v>45855</v>
      </c>
      <c r="E3119" t="s">
        <v>19</v>
      </c>
      <c r="F3119">
        <v>4150</v>
      </c>
      <c r="J3119">
        <v>0.1</v>
      </c>
      <c r="K3119">
        <v>0.1</v>
      </c>
      <c r="L3119">
        <v>0</v>
      </c>
      <c r="M3119" t="s">
        <v>18</v>
      </c>
      <c r="N3119">
        <v>0</v>
      </c>
      <c r="O3119">
        <v>0</v>
      </c>
    </row>
    <row r="3120" spans="1:15" x14ac:dyDescent="0.2">
      <c r="A3120" s="6">
        <v>45826</v>
      </c>
      <c r="B3120" t="s">
        <v>15</v>
      </c>
      <c r="C3120" t="s">
        <v>16</v>
      </c>
      <c r="D3120" s="1">
        <v>45855</v>
      </c>
      <c r="E3120" t="s">
        <v>17</v>
      </c>
      <c r="F3120">
        <v>7100</v>
      </c>
      <c r="G3120">
        <v>269.60000000000002</v>
      </c>
      <c r="H3120">
        <v>340</v>
      </c>
      <c r="I3120">
        <v>214.2</v>
      </c>
      <c r="J3120">
        <v>266.7</v>
      </c>
      <c r="K3120">
        <v>269.7</v>
      </c>
      <c r="L3120">
        <v>6736</v>
      </c>
      <c r="M3120" t="s">
        <v>1438</v>
      </c>
      <c r="N3120">
        <v>49627.83</v>
      </c>
      <c r="O3120">
        <v>403</v>
      </c>
    </row>
    <row r="3121" spans="1:15" x14ac:dyDescent="0.2">
      <c r="A3121" s="6">
        <v>45826</v>
      </c>
      <c r="B3121" t="s">
        <v>15</v>
      </c>
      <c r="C3121" t="s">
        <v>16</v>
      </c>
      <c r="D3121" s="1">
        <v>45855</v>
      </c>
      <c r="E3121" t="s">
        <v>19</v>
      </c>
      <c r="F3121">
        <v>5000</v>
      </c>
      <c r="G3121">
        <v>39</v>
      </c>
      <c r="H3121">
        <v>46.5</v>
      </c>
      <c r="I3121">
        <v>31.3</v>
      </c>
      <c r="J3121">
        <v>37.9</v>
      </c>
      <c r="K3121">
        <v>41.5</v>
      </c>
      <c r="L3121">
        <v>10963</v>
      </c>
      <c r="M3121" t="s">
        <v>1439</v>
      </c>
      <c r="N3121">
        <v>55261.51</v>
      </c>
      <c r="O3121">
        <v>1875</v>
      </c>
    </row>
    <row r="3122" spans="1:15" x14ac:dyDescent="0.2">
      <c r="A3122" s="6">
        <v>45826</v>
      </c>
      <c r="B3122" t="s">
        <v>15</v>
      </c>
      <c r="C3122" t="s">
        <v>16</v>
      </c>
      <c r="D3122" s="1">
        <v>45855</v>
      </c>
      <c r="E3122" t="s">
        <v>17</v>
      </c>
      <c r="F3122">
        <v>5650</v>
      </c>
      <c r="J3122">
        <v>730</v>
      </c>
      <c r="K3122">
        <v>707.5</v>
      </c>
      <c r="L3122">
        <v>0</v>
      </c>
      <c r="M3122" t="s">
        <v>18</v>
      </c>
      <c r="N3122">
        <v>0</v>
      </c>
      <c r="O3122">
        <v>3</v>
      </c>
    </row>
    <row r="3123" spans="1:15" x14ac:dyDescent="0.2">
      <c r="A3123" s="6">
        <v>45826</v>
      </c>
      <c r="B3123" t="s">
        <v>15</v>
      </c>
      <c r="C3123" t="s">
        <v>16</v>
      </c>
      <c r="D3123" s="1">
        <v>45855</v>
      </c>
      <c r="E3123" t="s">
        <v>19</v>
      </c>
      <c r="F3123">
        <v>7000</v>
      </c>
      <c r="G3123">
        <v>970</v>
      </c>
      <c r="H3123">
        <v>995</v>
      </c>
      <c r="I3123">
        <v>955</v>
      </c>
      <c r="J3123">
        <v>978.9</v>
      </c>
      <c r="K3123">
        <v>769.9</v>
      </c>
      <c r="L3123">
        <v>23</v>
      </c>
      <c r="M3123" t="s">
        <v>221</v>
      </c>
      <c r="N3123">
        <v>183.52</v>
      </c>
      <c r="O3123">
        <v>4</v>
      </c>
    </row>
    <row r="3124" spans="1:15" x14ac:dyDescent="0.2">
      <c r="A3124" s="6">
        <v>45826</v>
      </c>
      <c r="B3124" t="s">
        <v>15</v>
      </c>
      <c r="C3124" t="s">
        <v>16</v>
      </c>
      <c r="D3124" s="1">
        <v>45855</v>
      </c>
      <c r="E3124" t="s">
        <v>19</v>
      </c>
      <c r="F3124">
        <v>6450</v>
      </c>
      <c r="G3124">
        <v>535.5</v>
      </c>
      <c r="H3124">
        <v>625.20000000000005</v>
      </c>
      <c r="I3124">
        <v>528.4</v>
      </c>
      <c r="J3124">
        <v>546.79999999999995</v>
      </c>
      <c r="K3124">
        <v>571.1</v>
      </c>
      <c r="L3124">
        <v>3161</v>
      </c>
      <c r="M3124" t="s">
        <v>1440</v>
      </c>
      <c r="N3124">
        <v>22178.97</v>
      </c>
      <c r="O3124">
        <v>72</v>
      </c>
    </row>
    <row r="3125" spans="1:15" x14ac:dyDescent="0.2">
      <c r="A3125" s="6">
        <v>45826</v>
      </c>
      <c r="B3125" t="s">
        <v>15</v>
      </c>
      <c r="C3125" t="s">
        <v>16</v>
      </c>
      <c r="D3125" s="1">
        <v>45855</v>
      </c>
      <c r="E3125" t="s">
        <v>19</v>
      </c>
      <c r="F3125">
        <v>4300</v>
      </c>
      <c r="J3125">
        <v>0.1</v>
      </c>
      <c r="K3125">
        <v>0.1</v>
      </c>
      <c r="L3125">
        <v>0</v>
      </c>
      <c r="M3125" t="s">
        <v>18</v>
      </c>
      <c r="N3125">
        <v>0</v>
      </c>
      <c r="O3125">
        <v>0</v>
      </c>
    </row>
    <row r="3126" spans="1:15" x14ac:dyDescent="0.2">
      <c r="A3126" s="6">
        <v>45826</v>
      </c>
      <c r="B3126" t="s">
        <v>15</v>
      </c>
      <c r="C3126" t="s">
        <v>16</v>
      </c>
      <c r="D3126" s="1">
        <v>45855</v>
      </c>
      <c r="E3126" t="s">
        <v>17</v>
      </c>
      <c r="F3126">
        <v>4300</v>
      </c>
      <c r="J3126">
        <v>2024.4</v>
      </c>
      <c r="K3126">
        <v>1989.3</v>
      </c>
      <c r="L3126">
        <v>0</v>
      </c>
      <c r="M3126" t="s">
        <v>18</v>
      </c>
      <c r="N3126">
        <v>0</v>
      </c>
      <c r="O3126">
        <v>0</v>
      </c>
    </row>
    <row r="3127" spans="1:15" x14ac:dyDescent="0.2">
      <c r="A3127" s="6">
        <v>45826</v>
      </c>
      <c r="B3127" t="s">
        <v>15</v>
      </c>
      <c r="C3127" t="s">
        <v>16</v>
      </c>
      <c r="D3127" s="1">
        <v>45855</v>
      </c>
      <c r="E3127" t="s">
        <v>17</v>
      </c>
      <c r="F3127">
        <v>5400</v>
      </c>
      <c r="G3127">
        <v>1025.2</v>
      </c>
      <c r="H3127">
        <v>1066.7</v>
      </c>
      <c r="I3127">
        <v>859.9</v>
      </c>
      <c r="J3127">
        <v>948.5</v>
      </c>
      <c r="K3127">
        <v>955</v>
      </c>
      <c r="L3127">
        <v>108</v>
      </c>
      <c r="M3127" t="s">
        <v>1182</v>
      </c>
      <c r="N3127">
        <v>689.5</v>
      </c>
      <c r="O3127">
        <v>594</v>
      </c>
    </row>
    <row r="3128" spans="1:15" x14ac:dyDescent="0.2">
      <c r="A3128" s="6">
        <v>45826</v>
      </c>
      <c r="B3128" t="s">
        <v>15</v>
      </c>
      <c r="C3128" t="s">
        <v>16</v>
      </c>
      <c r="D3128" s="1">
        <v>45855</v>
      </c>
      <c r="E3128" t="s">
        <v>17</v>
      </c>
      <c r="F3128">
        <v>7400</v>
      </c>
      <c r="G3128">
        <v>214.3</v>
      </c>
      <c r="H3128">
        <v>272.5</v>
      </c>
      <c r="I3128">
        <v>172.1</v>
      </c>
      <c r="J3128">
        <v>214.9</v>
      </c>
      <c r="K3128">
        <v>218.8</v>
      </c>
      <c r="L3128">
        <v>33563</v>
      </c>
      <c r="M3128" t="s">
        <v>1441</v>
      </c>
      <c r="N3128">
        <v>255813.23</v>
      </c>
      <c r="O3128">
        <v>2682</v>
      </c>
    </row>
    <row r="3129" spans="1:15" x14ac:dyDescent="0.2">
      <c r="A3129" s="6">
        <v>45826</v>
      </c>
      <c r="B3129" t="s">
        <v>15</v>
      </c>
      <c r="C3129" t="s">
        <v>16</v>
      </c>
      <c r="D3129" s="1">
        <v>45855</v>
      </c>
      <c r="E3129" t="s">
        <v>19</v>
      </c>
      <c r="F3129">
        <v>6600</v>
      </c>
      <c r="G3129">
        <v>678.5</v>
      </c>
      <c r="H3129">
        <v>732.4</v>
      </c>
      <c r="I3129">
        <v>624.29999999999995</v>
      </c>
      <c r="J3129">
        <v>649.70000000000005</v>
      </c>
      <c r="K3129">
        <v>678.5</v>
      </c>
      <c r="L3129">
        <v>796</v>
      </c>
      <c r="M3129" t="s">
        <v>1442</v>
      </c>
      <c r="N3129">
        <v>5790.47</v>
      </c>
      <c r="O3129">
        <v>80</v>
      </c>
    </row>
    <row r="3130" spans="1:15" x14ac:dyDescent="0.2">
      <c r="A3130" s="6">
        <v>45826</v>
      </c>
      <c r="B3130" t="s">
        <v>15</v>
      </c>
      <c r="C3130" t="s">
        <v>16</v>
      </c>
      <c r="D3130" s="1">
        <v>45855</v>
      </c>
      <c r="E3130" t="s">
        <v>19</v>
      </c>
      <c r="F3130">
        <v>4350</v>
      </c>
      <c r="J3130">
        <v>0.1</v>
      </c>
      <c r="K3130">
        <v>0.1</v>
      </c>
      <c r="L3130">
        <v>0</v>
      </c>
      <c r="M3130" t="s">
        <v>18</v>
      </c>
      <c r="N3130">
        <v>0</v>
      </c>
      <c r="O3130">
        <v>0</v>
      </c>
    </row>
    <row r="3131" spans="1:15" x14ac:dyDescent="0.2">
      <c r="A3131" s="6">
        <v>45826</v>
      </c>
      <c r="B3131" t="s">
        <v>15</v>
      </c>
      <c r="C3131" t="s">
        <v>16</v>
      </c>
      <c r="D3131" s="1">
        <v>45855</v>
      </c>
      <c r="E3131" t="s">
        <v>19</v>
      </c>
      <c r="F3131">
        <v>4750</v>
      </c>
      <c r="J3131">
        <v>0.8</v>
      </c>
      <c r="K3131">
        <v>1.4</v>
      </c>
      <c r="L3131">
        <v>0</v>
      </c>
      <c r="M3131" t="s">
        <v>18</v>
      </c>
      <c r="N3131">
        <v>0</v>
      </c>
      <c r="O3131">
        <v>0</v>
      </c>
    </row>
    <row r="3132" spans="1:15" x14ac:dyDescent="0.2">
      <c r="A3132" s="6">
        <v>45826</v>
      </c>
      <c r="B3132" t="s">
        <v>15</v>
      </c>
      <c r="C3132" t="s">
        <v>16</v>
      </c>
      <c r="D3132" s="1">
        <v>45855</v>
      </c>
      <c r="E3132" t="s">
        <v>17</v>
      </c>
      <c r="F3132">
        <v>6150</v>
      </c>
      <c r="G3132">
        <v>532.20000000000005</v>
      </c>
      <c r="H3132">
        <v>638.29999999999995</v>
      </c>
      <c r="I3132">
        <v>450.9</v>
      </c>
      <c r="J3132">
        <v>542.20000000000005</v>
      </c>
      <c r="K3132">
        <v>532.20000000000005</v>
      </c>
      <c r="L3132">
        <v>1844</v>
      </c>
      <c r="M3132" t="s">
        <v>1443</v>
      </c>
      <c r="N3132">
        <v>12331.78</v>
      </c>
      <c r="O3132">
        <v>86</v>
      </c>
    </row>
    <row r="3133" spans="1:15" x14ac:dyDescent="0.2">
      <c r="A3133" s="6">
        <v>45826</v>
      </c>
      <c r="B3133" t="s">
        <v>15</v>
      </c>
      <c r="C3133" t="s">
        <v>16</v>
      </c>
      <c r="D3133" s="1">
        <v>45855</v>
      </c>
      <c r="E3133" t="s">
        <v>19</v>
      </c>
      <c r="F3133">
        <v>5850</v>
      </c>
      <c r="G3133">
        <v>236</v>
      </c>
      <c r="H3133">
        <v>262.3</v>
      </c>
      <c r="I3133">
        <v>210.9</v>
      </c>
      <c r="J3133">
        <v>217.1</v>
      </c>
      <c r="K3133">
        <v>236</v>
      </c>
      <c r="L3133">
        <v>2955</v>
      </c>
      <c r="M3133" t="s">
        <v>1444</v>
      </c>
      <c r="N3133">
        <v>17979.59</v>
      </c>
      <c r="O3133">
        <v>184</v>
      </c>
    </row>
    <row r="3134" spans="1:15" x14ac:dyDescent="0.2">
      <c r="A3134" s="6">
        <v>45826</v>
      </c>
      <c r="B3134" t="s">
        <v>15</v>
      </c>
      <c r="C3134" t="s">
        <v>16</v>
      </c>
      <c r="D3134" s="1">
        <v>45855</v>
      </c>
      <c r="E3134" t="s">
        <v>19</v>
      </c>
      <c r="F3134">
        <v>6500</v>
      </c>
      <c r="G3134">
        <v>567.29999999999995</v>
      </c>
      <c r="H3134">
        <v>659</v>
      </c>
      <c r="I3134">
        <v>560.79999999999995</v>
      </c>
      <c r="J3134">
        <v>579.9</v>
      </c>
      <c r="K3134">
        <v>606.5</v>
      </c>
      <c r="L3134">
        <v>8273</v>
      </c>
      <c r="M3134" t="s">
        <v>1445</v>
      </c>
      <c r="N3134">
        <v>58742.3</v>
      </c>
      <c r="O3134">
        <v>247</v>
      </c>
    </row>
    <row r="3135" spans="1:15" x14ac:dyDescent="0.2">
      <c r="A3135" s="6">
        <v>45826</v>
      </c>
      <c r="B3135" t="s">
        <v>15</v>
      </c>
      <c r="C3135" t="s">
        <v>16</v>
      </c>
      <c r="D3135" s="1">
        <v>45855</v>
      </c>
      <c r="E3135" t="s">
        <v>17</v>
      </c>
      <c r="F3135">
        <v>5850</v>
      </c>
      <c r="J3135">
        <v>571.4</v>
      </c>
      <c r="K3135">
        <v>554.20000000000005</v>
      </c>
      <c r="L3135">
        <v>0</v>
      </c>
      <c r="M3135" t="s">
        <v>18</v>
      </c>
      <c r="N3135">
        <v>0</v>
      </c>
      <c r="O3135">
        <v>3</v>
      </c>
    </row>
    <row r="3136" spans="1:15" x14ac:dyDescent="0.2">
      <c r="A3136" s="6">
        <v>45826</v>
      </c>
      <c r="B3136" t="s">
        <v>15</v>
      </c>
      <c r="C3136" t="s">
        <v>16</v>
      </c>
      <c r="D3136" s="1">
        <v>45855</v>
      </c>
      <c r="E3136" t="s">
        <v>17</v>
      </c>
      <c r="F3136">
        <v>3900</v>
      </c>
      <c r="J3136">
        <v>2422.5</v>
      </c>
      <c r="K3136">
        <v>2387.3000000000002</v>
      </c>
      <c r="L3136">
        <v>0</v>
      </c>
      <c r="M3136" t="s">
        <v>18</v>
      </c>
      <c r="N3136">
        <v>0</v>
      </c>
      <c r="O3136">
        <v>0</v>
      </c>
    </row>
    <row r="3137" spans="1:15" x14ac:dyDescent="0.2">
      <c r="A3137" s="6">
        <v>45826</v>
      </c>
      <c r="B3137" t="s">
        <v>15</v>
      </c>
      <c r="C3137" t="s">
        <v>16</v>
      </c>
      <c r="D3137" s="1">
        <v>45855</v>
      </c>
      <c r="E3137" t="s">
        <v>19</v>
      </c>
      <c r="F3137">
        <v>6300</v>
      </c>
      <c r="G3137">
        <v>450</v>
      </c>
      <c r="H3137">
        <v>521.5</v>
      </c>
      <c r="I3137">
        <v>434.8</v>
      </c>
      <c r="J3137">
        <v>449.9</v>
      </c>
      <c r="K3137">
        <v>474.9</v>
      </c>
      <c r="L3137">
        <v>35745</v>
      </c>
      <c r="M3137" t="s">
        <v>1446</v>
      </c>
      <c r="N3137">
        <v>242069.88</v>
      </c>
      <c r="O3137">
        <v>969</v>
      </c>
    </row>
    <row r="3138" spans="1:15" x14ac:dyDescent="0.2">
      <c r="A3138" s="6">
        <v>45826</v>
      </c>
      <c r="B3138" t="s">
        <v>15</v>
      </c>
      <c r="C3138" t="s">
        <v>16</v>
      </c>
      <c r="D3138" s="1">
        <v>45855</v>
      </c>
      <c r="E3138" t="s">
        <v>17</v>
      </c>
      <c r="F3138">
        <v>6600</v>
      </c>
      <c r="G3138">
        <v>384.4</v>
      </c>
      <c r="H3138">
        <v>468.3</v>
      </c>
      <c r="I3138">
        <v>311</v>
      </c>
      <c r="J3138">
        <v>381.3</v>
      </c>
      <c r="K3138">
        <v>378.6</v>
      </c>
      <c r="L3138">
        <v>29346</v>
      </c>
      <c r="M3138" t="s">
        <v>1447</v>
      </c>
      <c r="N3138">
        <v>204914.63</v>
      </c>
      <c r="O3138">
        <v>1245</v>
      </c>
    </row>
    <row r="3139" spans="1:15" x14ac:dyDescent="0.2">
      <c r="A3139" s="6">
        <v>45826</v>
      </c>
      <c r="B3139" t="s">
        <v>15</v>
      </c>
      <c r="C3139" t="s">
        <v>16</v>
      </c>
      <c r="D3139" s="1">
        <v>45855</v>
      </c>
      <c r="E3139" t="s">
        <v>19</v>
      </c>
      <c r="F3139">
        <v>3850</v>
      </c>
      <c r="J3139">
        <v>0.1</v>
      </c>
      <c r="K3139">
        <v>0.1</v>
      </c>
      <c r="L3139">
        <v>0</v>
      </c>
      <c r="M3139" t="s">
        <v>18</v>
      </c>
      <c r="N3139">
        <v>0</v>
      </c>
      <c r="O3139">
        <v>0</v>
      </c>
    </row>
    <row r="3140" spans="1:15" x14ac:dyDescent="0.2">
      <c r="A3140" s="6">
        <v>45826</v>
      </c>
      <c r="B3140" t="s">
        <v>15</v>
      </c>
      <c r="C3140" t="s">
        <v>16</v>
      </c>
      <c r="D3140" s="1">
        <v>45855</v>
      </c>
      <c r="E3140" t="s">
        <v>19</v>
      </c>
      <c r="F3140">
        <v>5550</v>
      </c>
      <c r="G3140">
        <v>165</v>
      </c>
      <c r="H3140">
        <v>165</v>
      </c>
      <c r="I3140">
        <v>112</v>
      </c>
      <c r="J3140">
        <v>116.7</v>
      </c>
      <c r="K3140">
        <v>129.80000000000001</v>
      </c>
      <c r="L3140">
        <v>1079</v>
      </c>
      <c r="M3140" t="s">
        <v>423</v>
      </c>
      <c r="N3140">
        <v>6126.03</v>
      </c>
      <c r="O3140">
        <v>67</v>
      </c>
    </row>
    <row r="3141" spans="1:15" x14ac:dyDescent="0.2">
      <c r="A3141" s="6">
        <v>45826</v>
      </c>
      <c r="B3141" t="s">
        <v>15</v>
      </c>
      <c r="C3141" t="s">
        <v>16</v>
      </c>
      <c r="D3141" s="1">
        <v>45855</v>
      </c>
      <c r="E3141" t="s">
        <v>19</v>
      </c>
      <c r="F3141">
        <v>7550</v>
      </c>
      <c r="J3141">
        <v>1227.2</v>
      </c>
      <c r="K3141">
        <v>1263.5999999999999</v>
      </c>
      <c r="L3141">
        <v>0</v>
      </c>
      <c r="M3141" t="s">
        <v>18</v>
      </c>
      <c r="N3141">
        <v>0</v>
      </c>
      <c r="O3141">
        <v>0</v>
      </c>
    </row>
    <row r="3142" spans="1:15" x14ac:dyDescent="0.2">
      <c r="A3142" s="6">
        <v>45826</v>
      </c>
      <c r="B3142" t="s">
        <v>15</v>
      </c>
      <c r="C3142" t="s">
        <v>16</v>
      </c>
      <c r="D3142" s="1">
        <v>45855</v>
      </c>
      <c r="E3142" t="s">
        <v>19</v>
      </c>
      <c r="F3142">
        <v>6000</v>
      </c>
      <c r="G3142">
        <v>270.3</v>
      </c>
      <c r="H3142">
        <v>339</v>
      </c>
      <c r="I3142">
        <v>270.2</v>
      </c>
      <c r="J3142">
        <v>283.3</v>
      </c>
      <c r="K3142">
        <v>306.39999999999998</v>
      </c>
      <c r="L3142">
        <v>43063</v>
      </c>
      <c r="M3142" t="s">
        <v>1448</v>
      </c>
      <c r="N3142">
        <v>271465.48</v>
      </c>
      <c r="O3142">
        <v>1998</v>
      </c>
    </row>
    <row r="3143" spans="1:15" x14ac:dyDescent="0.2">
      <c r="A3143" s="6">
        <v>45826</v>
      </c>
      <c r="B3143" t="s">
        <v>15</v>
      </c>
      <c r="C3143" t="s">
        <v>16</v>
      </c>
      <c r="D3143" s="1">
        <v>45855</v>
      </c>
      <c r="E3143" t="s">
        <v>19</v>
      </c>
      <c r="F3143">
        <v>7050</v>
      </c>
      <c r="G3143">
        <v>1023.4</v>
      </c>
      <c r="H3143">
        <v>1023.4</v>
      </c>
      <c r="I3143">
        <v>1023.4</v>
      </c>
      <c r="J3143">
        <v>1023.4</v>
      </c>
      <c r="K3143">
        <v>811.9</v>
      </c>
      <c r="L3143">
        <v>2</v>
      </c>
      <c r="M3143" t="s">
        <v>28</v>
      </c>
      <c r="N3143">
        <v>16.149999999999999</v>
      </c>
      <c r="O3143">
        <v>0</v>
      </c>
    </row>
    <row r="3144" spans="1:15" x14ac:dyDescent="0.2">
      <c r="A3144" s="6">
        <v>45826</v>
      </c>
      <c r="B3144" t="s">
        <v>15</v>
      </c>
      <c r="C3144" t="s">
        <v>16</v>
      </c>
      <c r="D3144" s="1">
        <v>45855</v>
      </c>
      <c r="E3144" t="s">
        <v>19</v>
      </c>
      <c r="F3144">
        <v>3950</v>
      </c>
      <c r="J3144">
        <v>0.1</v>
      </c>
      <c r="K3144">
        <v>0.1</v>
      </c>
      <c r="L3144">
        <v>0</v>
      </c>
      <c r="M3144" t="s">
        <v>18</v>
      </c>
      <c r="N3144">
        <v>0</v>
      </c>
      <c r="O3144">
        <v>0</v>
      </c>
    </row>
    <row r="3145" spans="1:15" x14ac:dyDescent="0.2">
      <c r="A3145" s="6">
        <v>45826</v>
      </c>
      <c r="B3145" t="s">
        <v>15</v>
      </c>
      <c r="C3145" t="s">
        <v>16</v>
      </c>
      <c r="D3145" s="1">
        <v>45855</v>
      </c>
      <c r="E3145" t="s">
        <v>17</v>
      </c>
      <c r="F3145">
        <v>6400</v>
      </c>
      <c r="G3145">
        <v>459.9</v>
      </c>
      <c r="H3145">
        <v>537</v>
      </c>
      <c r="I3145">
        <v>365.1</v>
      </c>
      <c r="J3145">
        <v>445.2</v>
      </c>
      <c r="K3145">
        <v>438.3</v>
      </c>
      <c r="L3145">
        <v>64046</v>
      </c>
      <c r="M3145" t="s">
        <v>1449</v>
      </c>
      <c r="N3145">
        <v>438474.95</v>
      </c>
      <c r="O3145">
        <v>3115</v>
      </c>
    </row>
    <row r="3146" spans="1:15" x14ac:dyDescent="0.2">
      <c r="A3146" s="6">
        <v>45825</v>
      </c>
      <c r="B3146" t="s">
        <v>15</v>
      </c>
      <c r="C3146" t="s">
        <v>16</v>
      </c>
      <c r="D3146" s="1">
        <v>45855</v>
      </c>
      <c r="E3146" t="s">
        <v>17</v>
      </c>
      <c r="F3146">
        <v>4500</v>
      </c>
      <c r="J3146">
        <v>1790.5</v>
      </c>
      <c r="K3146">
        <v>1540.8</v>
      </c>
      <c r="L3146">
        <v>0</v>
      </c>
      <c r="M3146" t="s">
        <v>18</v>
      </c>
      <c r="N3146">
        <v>0</v>
      </c>
      <c r="O3146">
        <v>0</v>
      </c>
    </row>
    <row r="3147" spans="1:15" x14ac:dyDescent="0.2">
      <c r="A3147" s="6">
        <v>45825</v>
      </c>
      <c r="B3147" t="s">
        <v>15</v>
      </c>
      <c r="C3147" t="s">
        <v>16</v>
      </c>
      <c r="D3147" s="1">
        <v>45855</v>
      </c>
      <c r="E3147" t="s">
        <v>19</v>
      </c>
      <c r="F3147">
        <v>6950</v>
      </c>
      <c r="J3147">
        <v>728.7</v>
      </c>
      <c r="K3147">
        <v>932.2</v>
      </c>
      <c r="L3147">
        <v>0</v>
      </c>
      <c r="M3147" t="s">
        <v>18</v>
      </c>
      <c r="N3147">
        <v>0</v>
      </c>
      <c r="O3147">
        <v>0</v>
      </c>
    </row>
    <row r="3148" spans="1:15" x14ac:dyDescent="0.2">
      <c r="A3148" s="6">
        <v>45825</v>
      </c>
      <c r="B3148" t="s">
        <v>15</v>
      </c>
      <c r="C3148" t="s">
        <v>16</v>
      </c>
      <c r="D3148" s="1">
        <v>45855</v>
      </c>
      <c r="E3148" t="s">
        <v>19</v>
      </c>
      <c r="F3148">
        <v>5200</v>
      </c>
      <c r="G3148">
        <v>52.1</v>
      </c>
      <c r="H3148">
        <v>72.8</v>
      </c>
      <c r="I3148">
        <v>52.1</v>
      </c>
      <c r="J3148">
        <v>58.2</v>
      </c>
      <c r="K3148">
        <v>59.1</v>
      </c>
      <c r="L3148">
        <v>10957</v>
      </c>
      <c r="M3148" t="s">
        <v>1450</v>
      </c>
      <c r="N3148">
        <v>57637.55</v>
      </c>
      <c r="O3148">
        <v>1614</v>
      </c>
    </row>
    <row r="3149" spans="1:15" x14ac:dyDescent="0.2">
      <c r="A3149" s="6">
        <v>45825</v>
      </c>
      <c r="B3149" t="s">
        <v>15</v>
      </c>
      <c r="C3149" t="s">
        <v>16</v>
      </c>
      <c r="D3149" s="1">
        <v>45855</v>
      </c>
      <c r="E3149" t="s">
        <v>17</v>
      </c>
      <c r="F3149">
        <v>3700</v>
      </c>
      <c r="J3149">
        <v>2586.3000000000002</v>
      </c>
      <c r="K3149">
        <v>2336.1</v>
      </c>
      <c r="L3149">
        <v>0</v>
      </c>
      <c r="M3149" t="s">
        <v>18</v>
      </c>
      <c r="N3149">
        <v>0</v>
      </c>
      <c r="O3149">
        <v>0</v>
      </c>
    </row>
    <row r="3150" spans="1:15" x14ac:dyDescent="0.2">
      <c r="A3150" s="6">
        <v>45825</v>
      </c>
      <c r="B3150" t="s">
        <v>15</v>
      </c>
      <c r="C3150" t="s">
        <v>16</v>
      </c>
      <c r="D3150" s="1">
        <v>45855</v>
      </c>
      <c r="E3150" t="s">
        <v>19</v>
      </c>
      <c r="F3150">
        <v>5250</v>
      </c>
      <c r="G3150">
        <v>63.2</v>
      </c>
      <c r="H3150">
        <v>73</v>
      </c>
      <c r="I3150">
        <v>48.1</v>
      </c>
      <c r="J3150">
        <v>64.8</v>
      </c>
      <c r="K3150">
        <v>79.099999999999994</v>
      </c>
      <c r="L3150">
        <v>59</v>
      </c>
      <c r="M3150" t="s">
        <v>1451</v>
      </c>
      <c r="N3150">
        <v>313.67</v>
      </c>
      <c r="O3150">
        <v>11</v>
      </c>
    </row>
    <row r="3151" spans="1:15" x14ac:dyDescent="0.2">
      <c r="A3151" s="6">
        <v>45825</v>
      </c>
      <c r="B3151" t="s">
        <v>15</v>
      </c>
      <c r="C3151" t="s">
        <v>16</v>
      </c>
      <c r="D3151" s="1">
        <v>45855</v>
      </c>
      <c r="E3151" t="s">
        <v>17</v>
      </c>
      <c r="F3151">
        <v>5150</v>
      </c>
      <c r="J3151">
        <v>1153.5</v>
      </c>
      <c r="K3151">
        <v>912.9</v>
      </c>
      <c r="L3151">
        <v>0</v>
      </c>
      <c r="M3151" t="s">
        <v>18</v>
      </c>
      <c r="N3151">
        <v>0</v>
      </c>
      <c r="O3151">
        <v>2</v>
      </c>
    </row>
    <row r="3152" spans="1:15" x14ac:dyDescent="0.2">
      <c r="A3152" s="6">
        <v>45825</v>
      </c>
      <c r="B3152" t="s">
        <v>15</v>
      </c>
      <c r="C3152" t="s">
        <v>16</v>
      </c>
      <c r="D3152" s="1">
        <v>45855</v>
      </c>
      <c r="E3152" t="s">
        <v>17</v>
      </c>
      <c r="F3152">
        <v>4350</v>
      </c>
      <c r="J3152">
        <v>1939.6</v>
      </c>
      <c r="K3152">
        <v>1689.6</v>
      </c>
      <c r="L3152">
        <v>0</v>
      </c>
      <c r="M3152" t="s">
        <v>18</v>
      </c>
      <c r="N3152">
        <v>0</v>
      </c>
      <c r="O3152">
        <v>0</v>
      </c>
    </row>
    <row r="3153" spans="1:15" x14ac:dyDescent="0.2">
      <c r="A3153" s="6">
        <v>45825</v>
      </c>
      <c r="B3153" t="s">
        <v>15</v>
      </c>
      <c r="C3153" t="s">
        <v>16</v>
      </c>
      <c r="D3153" s="1">
        <v>45855</v>
      </c>
      <c r="E3153" t="s">
        <v>17</v>
      </c>
      <c r="F3153">
        <v>5000</v>
      </c>
      <c r="G3153">
        <v>1174.8</v>
      </c>
      <c r="H3153">
        <v>1229.7</v>
      </c>
      <c r="I3153">
        <v>1172.0999999999999</v>
      </c>
      <c r="J3153">
        <v>1214.4000000000001</v>
      </c>
      <c r="K3153">
        <v>1052.9000000000001</v>
      </c>
      <c r="L3153">
        <v>8</v>
      </c>
      <c r="M3153" t="s">
        <v>71</v>
      </c>
      <c r="N3153">
        <v>49.72</v>
      </c>
      <c r="O3153">
        <v>5</v>
      </c>
    </row>
    <row r="3154" spans="1:15" x14ac:dyDescent="0.2">
      <c r="A3154" s="6">
        <v>45825</v>
      </c>
      <c r="B3154" t="s">
        <v>15</v>
      </c>
      <c r="C3154" t="s">
        <v>16</v>
      </c>
      <c r="D3154" s="1">
        <v>45855</v>
      </c>
      <c r="E3154" t="s">
        <v>17</v>
      </c>
      <c r="F3154">
        <v>5300</v>
      </c>
      <c r="G3154">
        <v>858.3</v>
      </c>
      <c r="H3154">
        <v>938.9</v>
      </c>
      <c r="I3154">
        <v>856.3</v>
      </c>
      <c r="J3154">
        <v>890.9</v>
      </c>
      <c r="K3154">
        <v>868.4</v>
      </c>
      <c r="L3154">
        <v>10</v>
      </c>
      <c r="M3154" t="s">
        <v>69</v>
      </c>
      <c r="N3154">
        <v>61.91</v>
      </c>
      <c r="O3154">
        <v>18</v>
      </c>
    </row>
    <row r="3155" spans="1:15" x14ac:dyDescent="0.2">
      <c r="A3155" s="6">
        <v>45825</v>
      </c>
      <c r="B3155" t="s">
        <v>15</v>
      </c>
      <c r="C3155" t="s">
        <v>16</v>
      </c>
      <c r="D3155" s="1">
        <v>45855</v>
      </c>
      <c r="E3155" t="s">
        <v>19</v>
      </c>
      <c r="F3155">
        <v>7200</v>
      </c>
      <c r="J3155">
        <v>942</v>
      </c>
      <c r="K3155">
        <v>1163.5</v>
      </c>
      <c r="L3155">
        <v>0</v>
      </c>
      <c r="M3155" t="s">
        <v>18</v>
      </c>
      <c r="N3155">
        <v>0</v>
      </c>
      <c r="O3155">
        <v>0</v>
      </c>
    </row>
    <row r="3156" spans="1:15" x14ac:dyDescent="0.2">
      <c r="A3156" s="6">
        <v>45825</v>
      </c>
      <c r="B3156" t="s">
        <v>15</v>
      </c>
      <c r="C3156" t="s">
        <v>16</v>
      </c>
      <c r="D3156" s="1">
        <v>45855</v>
      </c>
      <c r="E3156" t="s">
        <v>17</v>
      </c>
      <c r="F3156">
        <v>4400</v>
      </c>
      <c r="J3156">
        <v>1889.8</v>
      </c>
      <c r="K3156">
        <v>1640</v>
      </c>
      <c r="L3156">
        <v>0</v>
      </c>
      <c r="M3156" t="s">
        <v>18</v>
      </c>
      <c r="N3156">
        <v>0</v>
      </c>
      <c r="O3156">
        <v>0</v>
      </c>
    </row>
    <row r="3157" spans="1:15" x14ac:dyDescent="0.2">
      <c r="A3157" s="6">
        <v>45825</v>
      </c>
      <c r="B3157" t="s">
        <v>15</v>
      </c>
      <c r="C3157" t="s">
        <v>16</v>
      </c>
      <c r="D3157" s="1">
        <v>45855</v>
      </c>
      <c r="E3157" t="s">
        <v>17</v>
      </c>
      <c r="F3157">
        <v>4100</v>
      </c>
      <c r="J3157">
        <v>2188.1999999999998</v>
      </c>
      <c r="K3157">
        <v>1938.2</v>
      </c>
      <c r="L3157">
        <v>0</v>
      </c>
      <c r="M3157" t="s">
        <v>18</v>
      </c>
      <c r="N3157">
        <v>0</v>
      </c>
      <c r="O3157">
        <v>0</v>
      </c>
    </row>
    <row r="3158" spans="1:15" x14ac:dyDescent="0.2">
      <c r="A3158" s="6">
        <v>45825</v>
      </c>
      <c r="B3158" t="s">
        <v>15</v>
      </c>
      <c r="C3158" t="s">
        <v>16</v>
      </c>
      <c r="D3158" s="1">
        <v>45855</v>
      </c>
      <c r="E3158" t="s">
        <v>19</v>
      </c>
      <c r="F3158">
        <v>6150</v>
      </c>
      <c r="G3158">
        <v>431.9</v>
      </c>
      <c r="H3158">
        <v>454.7</v>
      </c>
      <c r="I3158">
        <v>365.4</v>
      </c>
      <c r="J3158">
        <v>385.9</v>
      </c>
      <c r="K3158">
        <v>442.5</v>
      </c>
      <c r="L3158">
        <v>6941</v>
      </c>
      <c r="M3158" t="s">
        <v>1452</v>
      </c>
      <c r="N3158">
        <v>45429.23</v>
      </c>
      <c r="O3158">
        <v>259</v>
      </c>
    </row>
    <row r="3159" spans="1:15" x14ac:dyDescent="0.2">
      <c r="A3159" s="6">
        <v>45825</v>
      </c>
      <c r="B3159" t="s">
        <v>15</v>
      </c>
      <c r="C3159" t="s">
        <v>16</v>
      </c>
      <c r="D3159" s="1">
        <v>45855</v>
      </c>
      <c r="E3159" t="s">
        <v>17</v>
      </c>
      <c r="F3159">
        <v>6200</v>
      </c>
      <c r="G3159">
        <v>335.1</v>
      </c>
      <c r="H3159">
        <v>530</v>
      </c>
      <c r="I3159">
        <v>302.60000000000002</v>
      </c>
      <c r="J3159">
        <v>514.1</v>
      </c>
      <c r="K3159">
        <v>316.60000000000002</v>
      </c>
      <c r="L3159">
        <v>65413</v>
      </c>
      <c r="M3159" t="s">
        <v>1453</v>
      </c>
      <c r="N3159">
        <v>432295.91</v>
      </c>
      <c r="O3159">
        <v>1950</v>
      </c>
    </row>
    <row r="3160" spans="1:15" x14ac:dyDescent="0.2">
      <c r="A3160" s="6">
        <v>45825</v>
      </c>
      <c r="B3160" t="s">
        <v>15</v>
      </c>
      <c r="C3160" t="s">
        <v>16</v>
      </c>
      <c r="D3160" s="1">
        <v>45855</v>
      </c>
      <c r="E3160" t="s">
        <v>17</v>
      </c>
      <c r="F3160">
        <v>5700</v>
      </c>
      <c r="G3160">
        <v>552.29999999999995</v>
      </c>
      <c r="H3160">
        <v>790.2</v>
      </c>
      <c r="I3160">
        <v>522.6</v>
      </c>
      <c r="J3160">
        <v>772.8</v>
      </c>
      <c r="K3160">
        <v>537.6</v>
      </c>
      <c r="L3160">
        <v>1097</v>
      </c>
      <c r="M3160" t="s">
        <v>1454</v>
      </c>
      <c r="N3160">
        <v>6941.78</v>
      </c>
      <c r="O3160">
        <v>603</v>
      </c>
    </row>
    <row r="3161" spans="1:15" x14ac:dyDescent="0.2">
      <c r="A3161" s="6">
        <v>45825</v>
      </c>
      <c r="B3161" t="s">
        <v>15</v>
      </c>
      <c r="C3161" t="s">
        <v>16</v>
      </c>
      <c r="D3161" s="1">
        <v>45855</v>
      </c>
      <c r="E3161" t="s">
        <v>19</v>
      </c>
      <c r="F3161">
        <v>6550</v>
      </c>
      <c r="G3161">
        <v>721.5</v>
      </c>
      <c r="H3161">
        <v>721.5</v>
      </c>
      <c r="I3161">
        <v>632.4</v>
      </c>
      <c r="J3161">
        <v>640.29999999999995</v>
      </c>
      <c r="K3161">
        <v>593.6</v>
      </c>
      <c r="L3161">
        <v>129</v>
      </c>
      <c r="M3161" t="s">
        <v>1455</v>
      </c>
      <c r="N3161">
        <v>930.61</v>
      </c>
      <c r="O3161">
        <v>23</v>
      </c>
    </row>
    <row r="3162" spans="1:15" x14ac:dyDescent="0.2">
      <c r="A3162" s="6">
        <v>45825</v>
      </c>
      <c r="B3162" t="s">
        <v>15</v>
      </c>
      <c r="C3162" t="s">
        <v>16</v>
      </c>
      <c r="D3162" s="1">
        <v>45855</v>
      </c>
      <c r="E3162" t="s">
        <v>19</v>
      </c>
      <c r="F3162">
        <v>3900</v>
      </c>
      <c r="J3162">
        <v>0.1</v>
      </c>
      <c r="K3162">
        <v>0.1</v>
      </c>
      <c r="L3162">
        <v>0</v>
      </c>
      <c r="M3162" t="s">
        <v>18</v>
      </c>
      <c r="N3162">
        <v>0</v>
      </c>
      <c r="O3162">
        <v>0</v>
      </c>
    </row>
    <row r="3163" spans="1:15" x14ac:dyDescent="0.2">
      <c r="A3163" s="6">
        <v>45825</v>
      </c>
      <c r="B3163" t="s">
        <v>15</v>
      </c>
      <c r="C3163" t="s">
        <v>16</v>
      </c>
      <c r="D3163" s="1">
        <v>45855</v>
      </c>
      <c r="E3163" t="s">
        <v>17</v>
      </c>
      <c r="F3163">
        <v>5950</v>
      </c>
      <c r="G3163">
        <v>436.9</v>
      </c>
      <c r="H3163">
        <v>636.5</v>
      </c>
      <c r="I3163">
        <v>301.3</v>
      </c>
      <c r="J3163">
        <v>616.1</v>
      </c>
      <c r="K3163">
        <v>414.5</v>
      </c>
      <c r="L3163">
        <v>313</v>
      </c>
      <c r="M3163" t="s">
        <v>476</v>
      </c>
      <c r="N3163">
        <v>2022.54</v>
      </c>
      <c r="O3163">
        <v>26</v>
      </c>
    </row>
    <row r="3164" spans="1:15" x14ac:dyDescent="0.2">
      <c r="A3164" s="6">
        <v>45825</v>
      </c>
      <c r="B3164" t="s">
        <v>15</v>
      </c>
      <c r="C3164" t="s">
        <v>16</v>
      </c>
      <c r="D3164" s="1">
        <v>45855</v>
      </c>
      <c r="E3164" t="s">
        <v>17</v>
      </c>
      <c r="F3164">
        <v>4750</v>
      </c>
      <c r="J3164">
        <v>1542.8</v>
      </c>
      <c r="K3164">
        <v>1294.3</v>
      </c>
      <c r="L3164">
        <v>0</v>
      </c>
      <c r="M3164" t="s">
        <v>18</v>
      </c>
      <c r="N3164">
        <v>0</v>
      </c>
      <c r="O3164">
        <v>0</v>
      </c>
    </row>
    <row r="3165" spans="1:15" x14ac:dyDescent="0.2">
      <c r="A3165" s="6">
        <v>45825</v>
      </c>
      <c r="B3165" t="s">
        <v>15</v>
      </c>
      <c r="C3165" t="s">
        <v>16</v>
      </c>
      <c r="D3165" s="1">
        <v>45855</v>
      </c>
      <c r="E3165" t="s">
        <v>17</v>
      </c>
      <c r="F3165">
        <v>4450</v>
      </c>
      <c r="J3165">
        <v>1840.1</v>
      </c>
      <c r="K3165">
        <v>1590.4</v>
      </c>
      <c r="L3165">
        <v>0</v>
      </c>
      <c r="M3165" t="s">
        <v>18</v>
      </c>
      <c r="N3165">
        <v>0</v>
      </c>
      <c r="O3165">
        <v>0</v>
      </c>
    </row>
    <row r="3166" spans="1:15" x14ac:dyDescent="0.2">
      <c r="A3166" s="6">
        <v>45825</v>
      </c>
      <c r="B3166" t="s">
        <v>15</v>
      </c>
      <c r="C3166" t="s">
        <v>16</v>
      </c>
      <c r="D3166" s="1">
        <v>45855</v>
      </c>
      <c r="E3166" t="s">
        <v>19</v>
      </c>
      <c r="F3166">
        <v>3600</v>
      </c>
      <c r="J3166">
        <v>0.1</v>
      </c>
      <c r="K3166">
        <v>0.1</v>
      </c>
      <c r="L3166">
        <v>0</v>
      </c>
      <c r="M3166" t="s">
        <v>18</v>
      </c>
      <c r="N3166">
        <v>0</v>
      </c>
      <c r="O3166">
        <v>0</v>
      </c>
    </row>
    <row r="3167" spans="1:15" x14ac:dyDescent="0.2">
      <c r="A3167" s="6">
        <v>45825</v>
      </c>
      <c r="B3167" t="s">
        <v>15</v>
      </c>
      <c r="C3167" t="s">
        <v>16</v>
      </c>
      <c r="D3167" s="1">
        <v>45855</v>
      </c>
      <c r="E3167" t="s">
        <v>19</v>
      </c>
      <c r="F3167">
        <v>4900</v>
      </c>
      <c r="G3167">
        <v>32.299999999999997</v>
      </c>
      <c r="H3167">
        <v>39</v>
      </c>
      <c r="I3167">
        <v>32.299999999999997</v>
      </c>
      <c r="J3167">
        <v>34.700000000000003</v>
      </c>
      <c r="K3167">
        <v>6.3</v>
      </c>
      <c r="L3167">
        <v>167</v>
      </c>
      <c r="M3167" t="s">
        <v>1456</v>
      </c>
      <c r="N3167">
        <v>824.02</v>
      </c>
      <c r="O3167">
        <v>11</v>
      </c>
    </row>
    <row r="3168" spans="1:15" x14ac:dyDescent="0.2">
      <c r="A3168" s="6">
        <v>45825</v>
      </c>
      <c r="B3168" t="s">
        <v>15</v>
      </c>
      <c r="C3168" t="s">
        <v>16</v>
      </c>
      <c r="D3168" s="1">
        <v>45855</v>
      </c>
      <c r="E3168" t="s">
        <v>17</v>
      </c>
      <c r="F3168">
        <v>7300</v>
      </c>
      <c r="G3168">
        <v>115.1</v>
      </c>
      <c r="H3168">
        <v>246.8</v>
      </c>
      <c r="I3168">
        <v>111.9</v>
      </c>
      <c r="J3168">
        <v>234.7</v>
      </c>
      <c r="K3168">
        <v>12.9</v>
      </c>
      <c r="L3168">
        <v>8730</v>
      </c>
      <c r="M3168" t="s">
        <v>1457</v>
      </c>
      <c r="N3168">
        <v>65418.97</v>
      </c>
      <c r="O3168">
        <v>653</v>
      </c>
    </row>
    <row r="3169" spans="1:15" x14ac:dyDescent="0.2">
      <c r="A3169" s="6">
        <v>45825</v>
      </c>
      <c r="B3169" t="s">
        <v>15</v>
      </c>
      <c r="C3169" t="s">
        <v>16</v>
      </c>
      <c r="D3169" s="1">
        <v>45855</v>
      </c>
      <c r="E3169" t="s">
        <v>17</v>
      </c>
      <c r="F3169">
        <v>4950</v>
      </c>
      <c r="J3169">
        <v>1346.4</v>
      </c>
      <c r="K3169">
        <v>1100.5</v>
      </c>
      <c r="L3169">
        <v>0</v>
      </c>
      <c r="M3169" t="s">
        <v>18</v>
      </c>
      <c r="N3169">
        <v>0</v>
      </c>
      <c r="O3169">
        <v>0</v>
      </c>
    </row>
    <row r="3170" spans="1:15" x14ac:dyDescent="0.2">
      <c r="A3170" s="6">
        <v>45825</v>
      </c>
      <c r="B3170" t="s">
        <v>15</v>
      </c>
      <c r="C3170" t="s">
        <v>16</v>
      </c>
      <c r="D3170" s="1">
        <v>45855</v>
      </c>
      <c r="E3170" t="s">
        <v>19</v>
      </c>
      <c r="F3170">
        <v>5100</v>
      </c>
      <c r="G3170">
        <v>43</v>
      </c>
      <c r="H3170">
        <v>59.7</v>
      </c>
      <c r="I3170">
        <v>43</v>
      </c>
      <c r="J3170">
        <v>47.5</v>
      </c>
      <c r="K3170">
        <v>47.2</v>
      </c>
      <c r="L3170">
        <v>6001</v>
      </c>
      <c r="M3170" t="s">
        <v>1458</v>
      </c>
      <c r="N3170">
        <v>30898.51</v>
      </c>
      <c r="O3170">
        <v>1029</v>
      </c>
    </row>
    <row r="3171" spans="1:15" x14ac:dyDescent="0.2">
      <c r="A3171" s="6">
        <v>45825</v>
      </c>
      <c r="B3171" t="s">
        <v>15</v>
      </c>
      <c r="C3171" t="s">
        <v>16</v>
      </c>
      <c r="D3171" s="1">
        <v>45855</v>
      </c>
      <c r="E3171" t="s">
        <v>17</v>
      </c>
      <c r="F3171">
        <v>4900</v>
      </c>
      <c r="J3171">
        <v>1395.2</v>
      </c>
      <c r="K3171">
        <v>1148.5</v>
      </c>
      <c r="L3171">
        <v>0</v>
      </c>
      <c r="M3171" t="s">
        <v>18</v>
      </c>
      <c r="N3171">
        <v>0</v>
      </c>
      <c r="O3171">
        <v>0</v>
      </c>
    </row>
    <row r="3172" spans="1:15" x14ac:dyDescent="0.2">
      <c r="A3172" s="6">
        <v>45825</v>
      </c>
      <c r="B3172" t="s">
        <v>15</v>
      </c>
      <c r="C3172" t="s">
        <v>16</v>
      </c>
      <c r="D3172" s="1">
        <v>45855</v>
      </c>
      <c r="E3172" t="s">
        <v>17</v>
      </c>
      <c r="F3172">
        <v>4800</v>
      </c>
      <c r="J3172">
        <v>1493.5</v>
      </c>
      <c r="K3172">
        <v>1245.5</v>
      </c>
      <c r="L3172">
        <v>0</v>
      </c>
      <c r="M3172" t="s">
        <v>18</v>
      </c>
      <c r="N3172">
        <v>0</v>
      </c>
      <c r="O3172">
        <v>0</v>
      </c>
    </row>
    <row r="3173" spans="1:15" x14ac:dyDescent="0.2">
      <c r="A3173" s="6">
        <v>45825</v>
      </c>
      <c r="B3173" t="s">
        <v>15</v>
      </c>
      <c r="C3173" t="s">
        <v>16</v>
      </c>
      <c r="D3173" s="1">
        <v>45855</v>
      </c>
      <c r="E3173" t="s">
        <v>19</v>
      </c>
      <c r="F3173">
        <v>4200</v>
      </c>
      <c r="J3173">
        <v>0.1</v>
      </c>
      <c r="K3173">
        <v>0.1</v>
      </c>
      <c r="L3173">
        <v>0</v>
      </c>
      <c r="M3173" t="s">
        <v>18</v>
      </c>
      <c r="N3173">
        <v>0</v>
      </c>
      <c r="O3173">
        <v>0</v>
      </c>
    </row>
    <row r="3174" spans="1:15" x14ac:dyDescent="0.2">
      <c r="A3174" s="6">
        <v>45825</v>
      </c>
      <c r="B3174" t="s">
        <v>15</v>
      </c>
      <c r="C3174" t="s">
        <v>16</v>
      </c>
      <c r="D3174" s="1">
        <v>45855</v>
      </c>
      <c r="E3174" t="s">
        <v>19</v>
      </c>
      <c r="F3174">
        <v>6650</v>
      </c>
      <c r="G3174">
        <v>724.8</v>
      </c>
      <c r="H3174">
        <v>742.4</v>
      </c>
      <c r="I3174">
        <v>724.5</v>
      </c>
      <c r="J3174">
        <v>733.9</v>
      </c>
      <c r="K3174">
        <v>673.4</v>
      </c>
      <c r="L3174">
        <v>22</v>
      </c>
      <c r="M3174" t="s">
        <v>935</v>
      </c>
      <c r="N3174">
        <v>162.44999999999999</v>
      </c>
      <c r="O3174">
        <v>5</v>
      </c>
    </row>
    <row r="3175" spans="1:15" x14ac:dyDescent="0.2">
      <c r="A3175" s="6">
        <v>45825</v>
      </c>
      <c r="B3175" t="s">
        <v>15</v>
      </c>
      <c r="C3175" t="s">
        <v>16</v>
      </c>
      <c r="D3175" s="1">
        <v>45855</v>
      </c>
      <c r="E3175" t="s">
        <v>19</v>
      </c>
      <c r="F3175">
        <v>6050</v>
      </c>
      <c r="G3175">
        <v>365.1</v>
      </c>
      <c r="H3175">
        <v>388.9</v>
      </c>
      <c r="I3175">
        <v>314.39999999999998</v>
      </c>
      <c r="J3175">
        <v>331.8</v>
      </c>
      <c r="K3175">
        <v>375.9</v>
      </c>
      <c r="L3175">
        <v>3606</v>
      </c>
      <c r="M3175" t="s">
        <v>1459</v>
      </c>
      <c r="N3175">
        <v>23049.19</v>
      </c>
      <c r="O3175">
        <v>108</v>
      </c>
    </row>
    <row r="3176" spans="1:15" x14ac:dyDescent="0.2">
      <c r="A3176" s="6">
        <v>45825</v>
      </c>
      <c r="B3176" t="s">
        <v>15</v>
      </c>
      <c r="C3176" t="s">
        <v>16</v>
      </c>
      <c r="D3176" s="1">
        <v>45855</v>
      </c>
      <c r="E3176" t="s">
        <v>17</v>
      </c>
      <c r="F3176">
        <v>5100</v>
      </c>
      <c r="G3176">
        <v>1081.9000000000001</v>
      </c>
      <c r="H3176">
        <v>1081.9000000000001</v>
      </c>
      <c r="I3176">
        <v>1081.9000000000001</v>
      </c>
      <c r="J3176">
        <v>1081.9000000000001</v>
      </c>
      <c r="K3176">
        <v>1125.7</v>
      </c>
      <c r="L3176">
        <v>1</v>
      </c>
      <c r="M3176" t="s">
        <v>155</v>
      </c>
      <c r="N3176">
        <v>6.18</v>
      </c>
      <c r="O3176">
        <v>5</v>
      </c>
    </row>
    <row r="3177" spans="1:15" x14ac:dyDescent="0.2">
      <c r="A3177" s="6">
        <v>45825</v>
      </c>
      <c r="B3177" t="s">
        <v>15</v>
      </c>
      <c r="C3177" t="s">
        <v>16</v>
      </c>
      <c r="D3177" s="1">
        <v>45855</v>
      </c>
      <c r="E3177" t="s">
        <v>17</v>
      </c>
      <c r="F3177">
        <v>4200</v>
      </c>
      <c r="J3177">
        <v>2088.8000000000002</v>
      </c>
      <c r="K3177">
        <v>1838.7</v>
      </c>
      <c r="L3177">
        <v>0</v>
      </c>
      <c r="M3177" t="s">
        <v>18</v>
      </c>
      <c r="N3177">
        <v>0</v>
      </c>
      <c r="O3177">
        <v>0</v>
      </c>
    </row>
    <row r="3178" spans="1:15" x14ac:dyDescent="0.2">
      <c r="A3178" s="6">
        <v>45825</v>
      </c>
      <c r="B3178" t="s">
        <v>15</v>
      </c>
      <c r="C3178" t="s">
        <v>16</v>
      </c>
      <c r="D3178" s="1">
        <v>45855</v>
      </c>
      <c r="E3178" t="s">
        <v>17</v>
      </c>
      <c r="F3178">
        <v>5250</v>
      </c>
      <c r="J3178">
        <v>1059.2</v>
      </c>
      <c r="K3178">
        <v>822.8</v>
      </c>
      <c r="L3178">
        <v>0</v>
      </c>
      <c r="M3178" t="s">
        <v>18</v>
      </c>
      <c r="N3178">
        <v>0</v>
      </c>
      <c r="O3178">
        <v>0</v>
      </c>
    </row>
    <row r="3179" spans="1:15" x14ac:dyDescent="0.2">
      <c r="A3179" s="6">
        <v>45825</v>
      </c>
      <c r="B3179" t="s">
        <v>15</v>
      </c>
      <c r="C3179" t="s">
        <v>16</v>
      </c>
      <c r="D3179" s="1">
        <v>45855</v>
      </c>
      <c r="E3179" t="s">
        <v>17</v>
      </c>
      <c r="F3179">
        <v>4650</v>
      </c>
      <c r="J3179">
        <v>1641.7</v>
      </c>
      <c r="K3179">
        <v>1392.5</v>
      </c>
      <c r="L3179">
        <v>0</v>
      </c>
      <c r="M3179" t="s">
        <v>18</v>
      </c>
      <c r="N3179">
        <v>0</v>
      </c>
      <c r="O3179">
        <v>0</v>
      </c>
    </row>
    <row r="3180" spans="1:15" x14ac:dyDescent="0.2">
      <c r="A3180" s="6">
        <v>45825</v>
      </c>
      <c r="B3180" t="s">
        <v>15</v>
      </c>
      <c r="C3180" t="s">
        <v>16</v>
      </c>
      <c r="D3180" s="1">
        <v>45855</v>
      </c>
      <c r="E3180" t="s">
        <v>17</v>
      </c>
      <c r="F3180">
        <v>3600</v>
      </c>
      <c r="J3180">
        <v>2685.8</v>
      </c>
      <c r="K3180">
        <v>2435.6</v>
      </c>
      <c r="L3180">
        <v>0</v>
      </c>
      <c r="M3180" t="s">
        <v>18</v>
      </c>
      <c r="N3180">
        <v>0</v>
      </c>
      <c r="O3180">
        <v>0</v>
      </c>
    </row>
    <row r="3181" spans="1:15" x14ac:dyDescent="0.2">
      <c r="A3181" s="6">
        <v>45825</v>
      </c>
      <c r="B3181" t="s">
        <v>15</v>
      </c>
      <c r="C3181" t="s">
        <v>16</v>
      </c>
      <c r="D3181" s="1">
        <v>45855</v>
      </c>
      <c r="E3181" t="s">
        <v>17</v>
      </c>
      <c r="F3181">
        <v>6700</v>
      </c>
      <c r="G3181">
        <v>210</v>
      </c>
      <c r="H3181">
        <v>366.7</v>
      </c>
      <c r="I3181">
        <v>188.5</v>
      </c>
      <c r="J3181">
        <v>351</v>
      </c>
      <c r="K3181">
        <v>197</v>
      </c>
      <c r="L3181">
        <v>20919</v>
      </c>
      <c r="M3181" t="s">
        <v>1460</v>
      </c>
      <c r="N3181">
        <v>145693.98000000001</v>
      </c>
      <c r="O3181">
        <v>846</v>
      </c>
    </row>
    <row r="3182" spans="1:15" x14ac:dyDescent="0.2">
      <c r="A3182" s="6">
        <v>45825</v>
      </c>
      <c r="B3182" t="s">
        <v>15</v>
      </c>
      <c r="C3182" t="s">
        <v>16</v>
      </c>
      <c r="D3182" s="1">
        <v>45855</v>
      </c>
      <c r="E3182" t="s">
        <v>19</v>
      </c>
      <c r="F3182">
        <v>7150</v>
      </c>
      <c r="J3182">
        <v>898</v>
      </c>
      <c r="K3182">
        <v>1116.4000000000001</v>
      </c>
      <c r="L3182">
        <v>0</v>
      </c>
      <c r="M3182" t="s">
        <v>18</v>
      </c>
      <c r="N3182">
        <v>0</v>
      </c>
      <c r="O3182">
        <v>0</v>
      </c>
    </row>
    <row r="3183" spans="1:15" x14ac:dyDescent="0.2">
      <c r="A3183" s="6">
        <v>45825</v>
      </c>
      <c r="B3183" t="s">
        <v>15</v>
      </c>
      <c r="C3183" t="s">
        <v>16</v>
      </c>
      <c r="D3183" s="1">
        <v>45855</v>
      </c>
      <c r="E3183" t="s">
        <v>19</v>
      </c>
      <c r="F3183">
        <v>6400</v>
      </c>
      <c r="G3183">
        <v>601.1</v>
      </c>
      <c r="H3183">
        <v>634.4</v>
      </c>
      <c r="I3183">
        <v>520.5</v>
      </c>
      <c r="J3183">
        <v>538.9</v>
      </c>
      <c r="K3183">
        <v>611</v>
      </c>
      <c r="L3183">
        <v>4825</v>
      </c>
      <c r="M3183" t="s">
        <v>1461</v>
      </c>
      <c r="N3183">
        <v>33527.78</v>
      </c>
      <c r="O3183">
        <v>277</v>
      </c>
    </row>
    <row r="3184" spans="1:15" x14ac:dyDescent="0.2">
      <c r="A3184" s="6">
        <v>45825</v>
      </c>
      <c r="B3184" t="s">
        <v>15</v>
      </c>
      <c r="C3184" t="s">
        <v>16</v>
      </c>
      <c r="D3184" s="1">
        <v>45855</v>
      </c>
      <c r="E3184" t="s">
        <v>17</v>
      </c>
      <c r="F3184">
        <v>6800</v>
      </c>
      <c r="G3184">
        <v>198</v>
      </c>
      <c r="H3184">
        <v>342.3</v>
      </c>
      <c r="I3184">
        <v>172.8</v>
      </c>
      <c r="J3184">
        <v>327.5</v>
      </c>
      <c r="K3184">
        <v>180.2</v>
      </c>
      <c r="L3184">
        <v>18937</v>
      </c>
      <c r="M3184" t="s">
        <v>1462</v>
      </c>
      <c r="N3184">
        <v>133397.04999999999</v>
      </c>
      <c r="O3184">
        <v>1532</v>
      </c>
    </row>
    <row r="3185" spans="1:15" x14ac:dyDescent="0.2">
      <c r="A3185" s="6">
        <v>45825</v>
      </c>
      <c r="B3185" t="s">
        <v>15</v>
      </c>
      <c r="C3185" t="s">
        <v>16</v>
      </c>
      <c r="D3185" s="1">
        <v>45855</v>
      </c>
      <c r="E3185" t="s">
        <v>17</v>
      </c>
      <c r="F3185">
        <v>6900</v>
      </c>
      <c r="G3185">
        <v>181.1</v>
      </c>
      <c r="H3185">
        <v>320</v>
      </c>
      <c r="I3185">
        <v>159</v>
      </c>
      <c r="J3185">
        <v>307.60000000000002</v>
      </c>
      <c r="K3185">
        <v>165</v>
      </c>
      <c r="L3185">
        <v>12657</v>
      </c>
      <c r="M3185" t="s">
        <v>1463</v>
      </c>
      <c r="N3185">
        <v>90232.85</v>
      </c>
      <c r="O3185">
        <v>1750</v>
      </c>
    </row>
    <row r="3186" spans="1:15" x14ac:dyDescent="0.2">
      <c r="A3186" s="6">
        <v>45825</v>
      </c>
      <c r="B3186" t="s">
        <v>15</v>
      </c>
      <c r="C3186" t="s">
        <v>16</v>
      </c>
      <c r="D3186" s="1">
        <v>45855</v>
      </c>
      <c r="E3186" t="s">
        <v>19</v>
      </c>
      <c r="F3186">
        <v>4550</v>
      </c>
      <c r="J3186">
        <v>0.4</v>
      </c>
      <c r="K3186">
        <v>0.9</v>
      </c>
      <c r="L3186">
        <v>0</v>
      </c>
      <c r="M3186" t="s">
        <v>18</v>
      </c>
      <c r="N3186">
        <v>0</v>
      </c>
      <c r="O3186">
        <v>0</v>
      </c>
    </row>
    <row r="3187" spans="1:15" x14ac:dyDescent="0.2">
      <c r="A3187" s="6">
        <v>45825</v>
      </c>
      <c r="B3187" t="s">
        <v>15</v>
      </c>
      <c r="C3187" t="s">
        <v>16</v>
      </c>
      <c r="D3187" s="1">
        <v>45855</v>
      </c>
      <c r="E3187" t="s">
        <v>17</v>
      </c>
      <c r="F3187">
        <v>6850</v>
      </c>
      <c r="G3187">
        <v>215.6</v>
      </c>
      <c r="H3187">
        <v>331.9</v>
      </c>
      <c r="I3187">
        <v>215.6</v>
      </c>
      <c r="J3187">
        <v>316.60000000000002</v>
      </c>
      <c r="K3187">
        <v>45.2</v>
      </c>
      <c r="L3187">
        <v>469</v>
      </c>
      <c r="M3187" t="s">
        <v>1464</v>
      </c>
      <c r="N3187">
        <v>3336.93</v>
      </c>
      <c r="O3187">
        <v>154</v>
      </c>
    </row>
    <row r="3188" spans="1:15" x14ac:dyDescent="0.2">
      <c r="A3188" s="6">
        <v>45825</v>
      </c>
      <c r="B3188" t="s">
        <v>15</v>
      </c>
      <c r="C3188" t="s">
        <v>16</v>
      </c>
      <c r="D3188" s="1">
        <v>45855</v>
      </c>
      <c r="E3188" t="s">
        <v>17</v>
      </c>
      <c r="F3188">
        <v>6650</v>
      </c>
      <c r="G3188">
        <v>222.8</v>
      </c>
      <c r="H3188">
        <v>380.5</v>
      </c>
      <c r="I3188">
        <v>199.7</v>
      </c>
      <c r="J3188">
        <v>369.4</v>
      </c>
      <c r="K3188">
        <v>205.2</v>
      </c>
      <c r="L3188">
        <v>1159</v>
      </c>
      <c r="M3188" t="s">
        <v>1465</v>
      </c>
      <c r="N3188">
        <v>8035.41</v>
      </c>
      <c r="O3188">
        <v>158</v>
      </c>
    </row>
    <row r="3189" spans="1:15" x14ac:dyDescent="0.2">
      <c r="A3189" s="6">
        <v>45825</v>
      </c>
      <c r="B3189" t="s">
        <v>15</v>
      </c>
      <c r="C3189" t="s">
        <v>16</v>
      </c>
      <c r="D3189" s="1">
        <v>45855</v>
      </c>
      <c r="E3189" t="s">
        <v>19</v>
      </c>
      <c r="F3189">
        <v>3750</v>
      </c>
      <c r="J3189">
        <v>0.1</v>
      </c>
      <c r="K3189">
        <v>0.1</v>
      </c>
      <c r="L3189">
        <v>0</v>
      </c>
      <c r="M3189" t="s">
        <v>18</v>
      </c>
      <c r="N3189">
        <v>0</v>
      </c>
      <c r="O3189">
        <v>0</v>
      </c>
    </row>
    <row r="3190" spans="1:15" x14ac:dyDescent="0.2">
      <c r="A3190" s="6">
        <v>45825</v>
      </c>
      <c r="B3190" t="s">
        <v>15</v>
      </c>
      <c r="C3190" t="s">
        <v>16</v>
      </c>
      <c r="D3190" s="1">
        <v>45855</v>
      </c>
      <c r="E3190" t="s">
        <v>17</v>
      </c>
      <c r="F3190">
        <v>7350</v>
      </c>
      <c r="G3190">
        <v>189.3</v>
      </c>
      <c r="H3190">
        <v>238.6</v>
      </c>
      <c r="I3190">
        <v>177</v>
      </c>
      <c r="J3190">
        <v>230.2</v>
      </c>
      <c r="K3190">
        <v>11.1</v>
      </c>
      <c r="L3190">
        <v>152</v>
      </c>
      <c r="M3190" t="s">
        <v>548</v>
      </c>
      <c r="N3190">
        <v>1149.69</v>
      </c>
      <c r="O3190">
        <v>35</v>
      </c>
    </row>
    <row r="3191" spans="1:15" x14ac:dyDescent="0.2">
      <c r="A3191" s="6">
        <v>45825</v>
      </c>
      <c r="B3191" t="s">
        <v>15</v>
      </c>
      <c r="C3191" t="s">
        <v>16</v>
      </c>
      <c r="D3191" s="1">
        <v>45855</v>
      </c>
      <c r="E3191" t="s">
        <v>19</v>
      </c>
      <c r="F3191">
        <v>4700</v>
      </c>
      <c r="J3191">
        <v>1</v>
      </c>
      <c r="K3191">
        <v>2.2000000000000002</v>
      </c>
      <c r="L3191">
        <v>0</v>
      </c>
      <c r="M3191" t="s">
        <v>18</v>
      </c>
      <c r="N3191">
        <v>0</v>
      </c>
      <c r="O3191">
        <v>0</v>
      </c>
    </row>
    <row r="3192" spans="1:15" x14ac:dyDescent="0.2">
      <c r="A3192" s="6">
        <v>45825</v>
      </c>
      <c r="B3192" t="s">
        <v>15</v>
      </c>
      <c r="C3192" t="s">
        <v>16</v>
      </c>
      <c r="D3192" s="1">
        <v>45855</v>
      </c>
      <c r="E3192" t="s">
        <v>17</v>
      </c>
      <c r="F3192">
        <v>3750</v>
      </c>
      <c r="J3192">
        <v>2536.5</v>
      </c>
      <c r="K3192">
        <v>2286.4</v>
      </c>
      <c r="L3192">
        <v>0</v>
      </c>
      <c r="M3192" t="s">
        <v>18</v>
      </c>
      <c r="N3192">
        <v>0</v>
      </c>
      <c r="O3192">
        <v>0</v>
      </c>
    </row>
    <row r="3193" spans="1:15" x14ac:dyDescent="0.2">
      <c r="A3193" s="6">
        <v>45825</v>
      </c>
      <c r="B3193" t="s">
        <v>15</v>
      </c>
      <c r="C3193" t="s">
        <v>16</v>
      </c>
      <c r="D3193" s="1">
        <v>45855</v>
      </c>
      <c r="E3193" t="s">
        <v>17</v>
      </c>
      <c r="F3193">
        <v>6050</v>
      </c>
      <c r="G3193">
        <v>392.8</v>
      </c>
      <c r="H3193">
        <v>599.6</v>
      </c>
      <c r="I3193">
        <v>356</v>
      </c>
      <c r="J3193">
        <v>585.6</v>
      </c>
      <c r="K3193">
        <v>370.4</v>
      </c>
      <c r="L3193">
        <v>2659</v>
      </c>
      <c r="M3193" t="s">
        <v>1466</v>
      </c>
      <c r="N3193">
        <v>17267.46</v>
      </c>
      <c r="O3193">
        <v>63</v>
      </c>
    </row>
    <row r="3194" spans="1:15" x14ac:dyDescent="0.2">
      <c r="A3194" s="6">
        <v>45825</v>
      </c>
      <c r="B3194" t="s">
        <v>15</v>
      </c>
      <c r="C3194" t="s">
        <v>16</v>
      </c>
      <c r="D3194" s="1">
        <v>45855</v>
      </c>
      <c r="E3194" t="s">
        <v>19</v>
      </c>
      <c r="F3194">
        <v>5450</v>
      </c>
      <c r="G3194">
        <v>110.8</v>
      </c>
      <c r="H3194">
        <v>122</v>
      </c>
      <c r="I3194">
        <v>81.5</v>
      </c>
      <c r="J3194">
        <v>103.4</v>
      </c>
      <c r="K3194">
        <v>110.8</v>
      </c>
      <c r="L3194">
        <v>339</v>
      </c>
      <c r="M3194" t="s">
        <v>1467</v>
      </c>
      <c r="N3194">
        <v>1882.38</v>
      </c>
      <c r="O3194">
        <v>45</v>
      </c>
    </row>
    <row r="3195" spans="1:15" x14ac:dyDescent="0.2">
      <c r="A3195" s="6">
        <v>45825</v>
      </c>
      <c r="B3195" t="s">
        <v>15</v>
      </c>
      <c r="C3195" t="s">
        <v>16</v>
      </c>
      <c r="D3195" s="1">
        <v>45855</v>
      </c>
      <c r="E3195" t="s">
        <v>17</v>
      </c>
      <c r="F3195">
        <v>7150</v>
      </c>
      <c r="G3195">
        <v>254</v>
      </c>
      <c r="H3195">
        <v>279.3</v>
      </c>
      <c r="I3195">
        <v>254</v>
      </c>
      <c r="J3195">
        <v>264.60000000000002</v>
      </c>
      <c r="K3195">
        <v>20</v>
      </c>
      <c r="L3195">
        <v>13</v>
      </c>
      <c r="M3195" t="s">
        <v>121</v>
      </c>
      <c r="N3195">
        <v>96.39</v>
      </c>
      <c r="O3195">
        <v>7</v>
      </c>
    </row>
    <row r="3196" spans="1:15" x14ac:dyDescent="0.2">
      <c r="A3196" s="6">
        <v>45825</v>
      </c>
      <c r="B3196" t="s">
        <v>15</v>
      </c>
      <c r="C3196" t="s">
        <v>16</v>
      </c>
      <c r="D3196" s="1">
        <v>45855</v>
      </c>
      <c r="E3196" t="s">
        <v>19</v>
      </c>
      <c r="F3196">
        <v>6750</v>
      </c>
      <c r="J3196">
        <v>572.4</v>
      </c>
      <c r="K3196">
        <v>756.7</v>
      </c>
      <c r="L3196">
        <v>0</v>
      </c>
      <c r="M3196" t="s">
        <v>18</v>
      </c>
      <c r="N3196">
        <v>0</v>
      </c>
      <c r="O3196">
        <v>0</v>
      </c>
    </row>
    <row r="3197" spans="1:15" x14ac:dyDescent="0.2">
      <c r="A3197" s="6">
        <v>45825</v>
      </c>
      <c r="B3197" t="s">
        <v>15</v>
      </c>
      <c r="C3197" t="s">
        <v>16</v>
      </c>
      <c r="D3197" s="1">
        <v>45855</v>
      </c>
      <c r="E3197" t="s">
        <v>19</v>
      </c>
      <c r="F3197">
        <v>5700</v>
      </c>
      <c r="G3197">
        <v>170</v>
      </c>
      <c r="H3197">
        <v>207</v>
      </c>
      <c r="I3197">
        <v>162.80000000000001</v>
      </c>
      <c r="J3197">
        <v>176</v>
      </c>
      <c r="K3197">
        <v>192.3</v>
      </c>
      <c r="L3197">
        <v>22377</v>
      </c>
      <c r="M3197" t="s">
        <v>1468</v>
      </c>
      <c r="N3197">
        <v>131526.34</v>
      </c>
      <c r="O3197">
        <v>1201</v>
      </c>
    </row>
    <row r="3198" spans="1:15" x14ac:dyDescent="0.2">
      <c r="A3198" s="6">
        <v>45825</v>
      </c>
      <c r="B3198" t="s">
        <v>15</v>
      </c>
      <c r="C3198" t="s">
        <v>16</v>
      </c>
      <c r="D3198" s="1">
        <v>45855</v>
      </c>
      <c r="E3198" t="s">
        <v>19</v>
      </c>
      <c r="F3198">
        <v>3700</v>
      </c>
      <c r="J3198">
        <v>0.1</v>
      </c>
      <c r="K3198">
        <v>0.1</v>
      </c>
      <c r="L3198">
        <v>0</v>
      </c>
      <c r="M3198" t="s">
        <v>18</v>
      </c>
      <c r="N3198">
        <v>0</v>
      </c>
      <c r="O3198">
        <v>0</v>
      </c>
    </row>
    <row r="3199" spans="1:15" x14ac:dyDescent="0.2">
      <c r="A3199" s="6">
        <v>45825</v>
      </c>
      <c r="B3199" t="s">
        <v>15</v>
      </c>
      <c r="C3199" t="s">
        <v>16</v>
      </c>
      <c r="D3199" s="1">
        <v>45855</v>
      </c>
      <c r="E3199" t="s">
        <v>19</v>
      </c>
      <c r="F3199">
        <v>5400</v>
      </c>
      <c r="G3199">
        <v>88.7</v>
      </c>
      <c r="H3199">
        <v>108.8</v>
      </c>
      <c r="I3199">
        <v>83.2</v>
      </c>
      <c r="J3199">
        <v>91.5</v>
      </c>
      <c r="K3199">
        <v>93.7</v>
      </c>
      <c r="L3199">
        <v>11818</v>
      </c>
      <c r="M3199" t="s">
        <v>1469</v>
      </c>
      <c r="N3199">
        <v>64909.2</v>
      </c>
      <c r="O3199">
        <v>1300</v>
      </c>
    </row>
    <row r="3200" spans="1:15" x14ac:dyDescent="0.2">
      <c r="A3200" s="6">
        <v>45825</v>
      </c>
      <c r="B3200" t="s">
        <v>15</v>
      </c>
      <c r="C3200" t="s">
        <v>16</v>
      </c>
      <c r="D3200" s="1">
        <v>45855</v>
      </c>
      <c r="E3200" t="s">
        <v>17</v>
      </c>
      <c r="F3200">
        <v>6550</v>
      </c>
      <c r="G3200">
        <v>230.1</v>
      </c>
      <c r="H3200">
        <v>410</v>
      </c>
      <c r="I3200">
        <v>218.7</v>
      </c>
      <c r="J3200">
        <v>394.4</v>
      </c>
      <c r="K3200">
        <v>226.9</v>
      </c>
      <c r="L3200">
        <v>1711</v>
      </c>
      <c r="M3200" t="s">
        <v>1470</v>
      </c>
      <c r="N3200">
        <v>11734.75</v>
      </c>
      <c r="O3200">
        <v>84</v>
      </c>
    </row>
    <row r="3201" spans="1:15" x14ac:dyDescent="0.2">
      <c r="A3201" s="6">
        <v>45825</v>
      </c>
      <c r="B3201" t="s">
        <v>15</v>
      </c>
      <c r="C3201" t="s">
        <v>16</v>
      </c>
      <c r="D3201" s="1">
        <v>45855</v>
      </c>
      <c r="E3201" t="s">
        <v>19</v>
      </c>
      <c r="F3201">
        <v>5300</v>
      </c>
      <c r="G3201">
        <v>71.7</v>
      </c>
      <c r="H3201">
        <v>88.2</v>
      </c>
      <c r="I3201">
        <v>66.5</v>
      </c>
      <c r="J3201">
        <v>73</v>
      </c>
      <c r="K3201">
        <v>73.3</v>
      </c>
      <c r="L3201">
        <v>10769</v>
      </c>
      <c r="M3201" t="s">
        <v>1471</v>
      </c>
      <c r="N3201">
        <v>57876.74</v>
      </c>
      <c r="O3201">
        <v>1062</v>
      </c>
    </row>
    <row r="3202" spans="1:15" x14ac:dyDescent="0.2">
      <c r="A3202" s="6">
        <v>45825</v>
      </c>
      <c r="B3202" t="s">
        <v>15</v>
      </c>
      <c r="C3202" t="s">
        <v>16</v>
      </c>
      <c r="D3202" s="1">
        <v>45855</v>
      </c>
      <c r="E3202" t="s">
        <v>19</v>
      </c>
      <c r="F3202">
        <v>4450</v>
      </c>
      <c r="J3202">
        <v>0.2</v>
      </c>
      <c r="K3202">
        <v>0.4</v>
      </c>
      <c r="L3202">
        <v>0</v>
      </c>
      <c r="M3202" t="s">
        <v>18</v>
      </c>
      <c r="N3202">
        <v>0</v>
      </c>
      <c r="O3202">
        <v>0</v>
      </c>
    </row>
    <row r="3203" spans="1:15" x14ac:dyDescent="0.2">
      <c r="A3203" s="6">
        <v>45825</v>
      </c>
      <c r="B3203" t="s">
        <v>15</v>
      </c>
      <c r="C3203" t="s">
        <v>16</v>
      </c>
      <c r="D3203" s="1">
        <v>45855</v>
      </c>
      <c r="E3203" t="s">
        <v>19</v>
      </c>
      <c r="F3203">
        <v>5050</v>
      </c>
      <c r="G3203">
        <v>43.9</v>
      </c>
      <c r="H3203">
        <v>46.6</v>
      </c>
      <c r="I3203">
        <v>43.9</v>
      </c>
      <c r="J3203">
        <v>45.9</v>
      </c>
      <c r="K3203">
        <v>12.7</v>
      </c>
      <c r="L3203">
        <v>16</v>
      </c>
      <c r="M3203" t="s">
        <v>259</v>
      </c>
      <c r="N3203">
        <v>81.53</v>
      </c>
      <c r="O3203">
        <v>2</v>
      </c>
    </row>
    <row r="3204" spans="1:15" x14ac:dyDescent="0.2">
      <c r="A3204" s="6">
        <v>45825</v>
      </c>
      <c r="B3204" t="s">
        <v>15</v>
      </c>
      <c r="C3204" t="s">
        <v>16</v>
      </c>
      <c r="D3204" s="1">
        <v>45855</v>
      </c>
      <c r="E3204" t="s">
        <v>17</v>
      </c>
      <c r="F3204">
        <v>3850</v>
      </c>
      <c r="J3204">
        <v>2437</v>
      </c>
      <c r="K3204">
        <v>2186.9</v>
      </c>
      <c r="L3204">
        <v>0</v>
      </c>
      <c r="M3204" t="s">
        <v>18</v>
      </c>
      <c r="N3204">
        <v>0</v>
      </c>
      <c r="O3204">
        <v>0</v>
      </c>
    </row>
    <row r="3205" spans="1:15" x14ac:dyDescent="0.2">
      <c r="A3205" s="6">
        <v>45825</v>
      </c>
      <c r="B3205" t="s">
        <v>15</v>
      </c>
      <c r="C3205" t="s">
        <v>16</v>
      </c>
      <c r="D3205" s="1">
        <v>45855</v>
      </c>
      <c r="E3205" t="s">
        <v>19</v>
      </c>
      <c r="F3205">
        <v>4950</v>
      </c>
      <c r="G3205">
        <v>36.200000000000003</v>
      </c>
      <c r="H3205">
        <v>39.299999999999997</v>
      </c>
      <c r="I3205">
        <v>23.1</v>
      </c>
      <c r="J3205">
        <v>37.1</v>
      </c>
      <c r="K3205">
        <v>8.1</v>
      </c>
      <c r="L3205">
        <v>49</v>
      </c>
      <c r="M3205" t="s">
        <v>151</v>
      </c>
      <c r="N3205">
        <v>244.37</v>
      </c>
      <c r="O3205">
        <v>3</v>
      </c>
    </row>
    <row r="3206" spans="1:15" x14ac:dyDescent="0.2">
      <c r="A3206" s="6">
        <v>45825</v>
      </c>
      <c r="B3206" t="s">
        <v>15</v>
      </c>
      <c r="C3206" t="s">
        <v>16</v>
      </c>
      <c r="D3206" s="1">
        <v>45855</v>
      </c>
      <c r="E3206" t="s">
        <v>19</v>
      </c>
      <c r="F3206">
        <v>4600</v>
      </c>
      <c r="J3206">
        <v>0.5</v>
      </c>
      <c r="K3206">
        <v>1.2</v>
      </c>
      <c r="L3206">
        <v>0</v>
      </c>
      <c r="M3206" t="s">
        <v>18</v>
      </c>
      <c r="N3206">
        <v>0</v>
      </c>
      <c r="O3206">
        <v>0</v>
      </c>
    </row>
    <row r="3207" spans="1:15" x14ac:dyDescent="0.2">
      <c r="A3207" s="6">
        <v>45825</v>
      </c>
      <c r="B3207" t="s">
        <v>15</v>
      </c>
      <c r="C3207" t="s">
        <v>16</v>
      </c>
      <c r="D3207" s="1">
        <v>45855</v>
      </c>
      <c r="E3207" t="s">
        <v>19</v>
      </c>
      <c r="F3207">
        <v>4250</v>
      </c>
      <c r="J3207">
        <v>0.1</v>
      </c>
      <c r="K3207">
        <v>0.1</v>
      </c>
      <c r="L3207">
        <v>0</v>
      </c>
      <c r="M3207" t="s">
        <v>18</v>
      </c>
      <c r="N3207">
        <v>0</v>
      </c>
      <c r="O3207">
        <v>0</v>
      </c>
    </row>
    <row r="3208" spans="1:15" x14ac:dyDescent="0.2">
      <c r="A3208" s="6">
        <v>45825</v>
      </c>
      <c r="B3208" t="s">
        <v>15</v>
      </c>
      <c r="C3208" t="s">
        <v>16</v>
      </c>
      <c r="D3208" s="1">
        <v>45855</v>
      </c>
      <c r="E3208" t="s">
        <v>17</v>
      </c>
      <c r="F3208">
        <v>6750</v>
      </c>
      <c r="G3208">
        <v>249.8</v>
      </c>
      <c r="H3208">
        <v>351.8</v>
      </c>
      <c r="I3208">
        <v>216.8</v>
      </c>
      <c r="J3208">
        <v>338</v>
      </c>
      <c r="K3208">
        <v>58.3</v>
      </c>
      <c r="L3208">
        <v>642</v>
      </c>
      <c r="M3208" t="s">
        <v>1472</v>
      </c>
      <c r="N3208">
        <v>4512.68</v>
      </c>
      <c r="O3208">
        <v>142</v>
      </c>
    </row>
    <row r="3209" spans="1:15" x14ac:dyDescent="0.2">
      <c r="A3209" s="6">
        <v>45825</v>
      </c>
      <c r="B3209" t="s">
        <v>15</v>
      </c>
      <c r="C3209" t="s">
        <v>16</v>
      </c>
      <c r="D3209" s="1">
        <v>45855</v>
      </c>
      <c r="E3209" t="s">
        <v>17</v>
      </c>
      <c r="F3209">
        <v>5600</v>
      </c>
      <c r="G3209">
        <v>625</v>
      </c>
      <c r="H3209">
        <v>850</v>
      </c>
      <c r="I3209">
        <v>587.20000000000005</v>
      </c>
      <c r="J3209">
        <v>833.9</v>
      </c>
      <c r="K3209">
        <v>603.79999999999995</v>
      </c>
      <c r="L3209">
        <v>258</v>
      </c>
      <c r="M3209" t="s">
        <v>1473</v>
      </c>
      <c r="N3209">
        <v>1617.36</v>
      </c>
      <c r="O3209">
        <v>351</v>
      </c>
    </row>
    <row r="3210" spans="1:15" x14ac:dyDescent="0.2">
      <c r="A3210" s="6">
        <v>45825</v>
      </c>
      <c r="B3210" t="s">
        <v>15</v>
      </c>
      <c r="C3210" t="s">
        <v>16</v>
      </c>
      <c r="D3210" s="1">
        <v>45855</v>
      </c>
      <c r="E3210" t="s">
        <v>17</v>
      </c>
      <c r="F3210">
        <v>5550</v>
      </c>
      <c r="G3210">
        <v>748.8</v>
      </c>
      <c r="H3210">
        <v>748.8</v>
      </c>
      <c r="I3210">
        <v>748.8</v>
      </c>
      <c r="J3210">
        <v>748.8</v>
      </c>
      <c r="K3210">
        <v>574.1</v>
      </c>
      <c r="L3210">
        <v>1</v>
      </c>
      <c r="M3210" t="s">
        <v>155</v>
      </c>
      <c r="N3210">
        <v>6.3</v>
      </c>
      <c r="O3210">
        <v>1</v>
      </c>
    </row>
    <row r="3211" spans="1:15" x14ac:dyDescent="0.2">
      <c r="A3211" s="6">
        <v>45825</v>
      </c>
      <c r="B3211" t="s">
        <v>15</v>
      </c>
      <c r="C3211" t="s">
        <v>16</v>
      </c>
      <c r="D3211" s="1">
        <v>45855</v>
      </c>
      <c r="E3211" t="s">
        <v>19</v>
      </c>
      <c r="F3211">
        <v>6200</v>
      </c>
      <c r="G3211">
        <v>453.9</v>
      </c>
      <c r="H3211">
        <v>490</v>
      </c>
      <c r="I3211">
        <v>394.3</v>
      </c>
      <c r="J3211">
        <v>415</v>
      </c>
      <c r="K3211">
        <v>471.8</v>
      </c>
      <c r="L3211">
        <v>43467</v>
      </c>
      <c r="M3211" t="s">
        <v>1474</v>
      </c>
      <c r="N3211">
        <v>287909.53000000003</v>
      </c>
      <c r="O3211">
        <v>1406</v>
      </c>
    </row>
    <row r="3212" spans="1:15" x14ac:dyDescent="0.2">
      <c r="A3212" s="6">
        <v>45825</v>
      </c>
      <c r="B3212" t="s">
        <v>15</v>
      </c>
      <c r="C3212" t="s">
        <v>16</v>
      </c>
      <c r="D3212" s="1">
        <v>45855</v>
      </c>
      <c r="E3212" t="s">
        <v>19</v>
      </c>
      <c r="F3212">
        <v>5900</v>
      </c>
      <c r="G3212">
        <v>278.89999999999998</v>
      </c>
      <c r="H3212">
        <v>303.2</v>
      </c>
      <c r="I3212">
        <v>242.8</v>
      </c>
      <c r="J3212">
        <v>258.89999999999998</v>
      </c>
      <c r="K3212">
        <v>290.10000000000002</v>
      </c>
      <c r="L3212">
        <v>20959</v>
      </c>
      <c r="M3212" t="s">
        <v>1475</v>
      </c>
      <c r="N3212">
        <v>129180.52</v>
      </c>
      <c r="O3212">
        <v>914</v>
      </c>
    </row>
    <row r="3213" spans="1:15" x14ac:dyDescent="0.2">
      <c r="A3213" s="6">
        <v>45825</v>
      </c>
      <c r="B3213" t="s">
        <v>15</v>
      </c>
      <c r="C3213" t="s">
        <v>16</v>
      </c>
      <c r="D3213" s="1">
        <v>45855</v>
      </c>
      <c r="E3213" t="s">
        <v>17</v>
      </c>
      <c r="F3213">
        <v>7250</v>
      </c>
      <c r="J3213">
        <v>40.299999999999997</v>
      </c>
      <c r="K3213">
        <v>15</v>
      </c>
      <c r="L3213">
        <v>0</v>
      </c>
      <c r="M3213" t="s">
        <v>18</v>
      </c>
      <c r="N3213">
        <v>0</v>
      </c>
      <c r="O3213">
        <v>0</v>
      </c>
    </row>
    <row r="3214" spans="1:15" x14ac:dyDescent="0.2">
      <c r="A3214" s="6">
        <v>45825</v>
      </c>
      <c r="B3214" t="s">
        <v>15</v>
      </c>
      <c r="C3214" t="s">
        <v>16</v>
      </c>
      <c r="D3214" s="1">
        <v>45855</v>
      </c>
      <c r="E3214" t="s">
        <v>17</v>
      </c>
      <c r="F3214">
        <v>3800</v>
      </c>
      <c r="J3214">
        <v>2486.8000000000002</v>
      </c>
      <c r="K3214">
        <v>2236.6</v>
      </c>
      <c r="L3214">
        <v>0</v>
      </c>
      <c r="M3214" t="s">
        <v>18</v>
      </c>
      <c r="N3214">
        <v>0</v>
      </c>
      <c r="O3214">
        <v>0</v>
      </c>
    </row>
    <row r="3215" spans="1:15" x14ac:dyDescent="0.2">
      <c r="A3215" s="6">
        <v>45825</v>
      </c>
      <c r="B3215" t="s">
        <v>15</v>
      </c>
      <c r="C3215" t="s">
        <v>16</v>
      </c>
      <c r="D3215" s="1">
        <v>45855</v>
      </c>
      <c r="E3215" t="s">
        <v>19</v>
      </c>
      <c r="F3215">
        <v>4800</v>
      </c>
      <c r="G3215">
        <v>20.100000000000001</v>
      </c>
      <c r="H3215">
        <v>38.700000000000003</v>
      </c>
      <c r="I3215">
        <v>20.100000000000001</v>
      </c>
      <c r="J3215">
        <v>31.4</v>
      </c>
      <c r="K3215">
        <v>33.5</v>
      </c>
      <c r="L3215">
        <v>750</v>
      </c>
      <c r="M3215" t="s">
        <v>1476</v>
      </c>
      <c r="N3215">
        <v>3623.9</v>
      </c>
      <c r="O3215">
        <v>172</v>
      </c>
    </row>
    <row r="3216" spans="1:15" x14ac:dyDescent="0.2">
      <c r="A3216" s="6">
        <v>45825</v>
      </c>
      <c r="B3216" t="s">
        <v>15</v>
      </c>
      <c r="C3216" t="s">
        <v>16</v>
      </c>
      <c r="D3216" s="1">
        <v>45855</v>
      </c>
      <c r="E3216" t="s">
        <v>19</v>
      </c>
      <c r="F3216">
        <v>6800</v>
      </c>
      <c r="G3216">
        <v>841.2</v>
      </c>
      <c r="H3216">
        <v>864</v>
      </c>
      <c r="I3216">
        <v>799.7</v>
      </c>
      <c r="J3216">
        <v>832.4</v>
      </c>
      <c r="K3216">
        <v>799.6</v>
      </c>
      <c r="L3216">
        <v>60</v>
      </c>
      <c r="M3216" t="s">
        <v>539</v>
      </c>
      <c r="N3216">
        <v>458.49</v>
      </c>
      <c r="O3216">
        <v>23</v>
      </c>
    </row>
    <row r="3217" spans="1:15" x14ac:dyDescent="0.2">
      <c r="A3217" s="6">
        <v>45825</v>
      </c>
      <c r="B3217" t="s">
        <v>15</v>
      </c>
      <c r="C3217" t="s">
        <v>16</v>
      </c>
      <c r="D3217" s="1">
        <v>45855</v>
      </c>
      <c r="E3217" t="s">
        <v>17</v>
      </c>
      <c r="F3217">
        <v>5750</v>
      </c>
      <c r="G3217">
        <v>539.5</v>
      </c>
      <c r="H3217">
        <v>540.4</v>
      </c>
      <c r="I3217">
        <v>536.79999999999995</v>
      </c>
      <c r="J3217">
        <v>537.6</v>
      </c>
      <c r="K3217">
        <v>432.2</v>
      </c>
      <c r="L3217">
        <v>16</v>
      </c>
      <c r="M3217" t="s">
        <v>259</v>
      </c>
      <c r="N3217">
        <v>100.6</v>
      </c>
      <c r="O3217">
        <v>15</v>
      </c>
    </row>
    <row r="3218" spans="1:15" x14ac:dyDescent="0.2">
      <c r="A3218" s="6">
        <v>45825</v>
      </c>
      <c r="B3218" t="s">
        <v>15</v>
      </c>
      <c r="C3218" t="s">
        <v>16</v>
      </c>
      <c r="D3218" s="1">
        <v>45855</v>
      </c>
      <c r="E3218" t="s">
        <v>17</v>
      </c>
      <c r="F3218">
        <v>6500</v>
      </c>
      <c r="G3218">
        <v>261</v>
      </c>
      <c r="H3218">
        <v>423.5</v>
      </c>
      <c r="I3218">
        <v>227</v>
      </c>
      <c r="J3218">
        <v>406.5</v>
      </c>
      <c r="K3218">
        <v>236.6</v>
      </c>
      <c r="L3218">
        <v>50788</v>
      </c>
      <c r="M3218" t="s">
        <v>1477</v>
      </c>
      <c r="N3218">
        <v>346397.45</v>
      </c>
      <c r="O3218">
        <v>1826</v>
      </c>
    </row>
    <row r="3219" spans="1:15" x14ac:dyDescent="0.2">
      <c r="A3219" s="6">
        <v>45825</v>
      </c>
      <c r="B3219" t="s">
        <v>15</v>
      </c>
      <c r="C3219" t="s">
        <v>16</v>
      </c>
      <c r="D3219" s="1">
        <v>45855</v>
      </c>
      <c r="E3219" t="s">
        <v>17</v>
      </c>
      <c r="F3219">
        <v>7100</v>
      </c>
      <c r="G3219">
        <v>150.19999999999999</v>
      </c>
      <c r="H3219">
        <v>280.8</v>
      </c>
      <c r="I3219">
        <v>135.4</v>
      </c>
      <c r="J3219">
        <v>269.7</v>
      </c>
      <c r="K3219">
        <v>140.6</v>
      </c>
      <c r="L3219">
        <v>5926</v>
      </c>
      <c r="M3219" t="s">
        <v>1478</v>
      </c>
      <c r="N3219">
        <v>43296.69</v>
      </c>
      <c r="O3219">
        <v>390</v>
      </c>
    </row>
    <row r="3220" spans="1:15" x14ac:dyDescent="0.2">
      <c r="A3220" s="6">
        <v>45825</v>
      </c>
      <c r="B3220" t="s">
        <v>15</v>
      </c>
      <c r="C3220" t="s">
        <v>16</v>
      </c>
      <c r="D3220" s="1">
        <v>45855</v>
      </c>
      <c r="E3220" t="s">
        <v>17</v>
      </c>
      <c r="F3220">
        <v>6300</v>
      </c>
      <c r="G3220">
        <v>305.3</v>
      </c>
      <c r="H3220">
        <v>491.2</v>
      </c>
      <c r="I3220">
        <v>273.10000000000002</v>
      </c>
      <c r="J3220">
        <v>474.5</v>
      </c>
      <c r="K3220">
        <v>286.3</v>
      </c>
      <c r="L3220">
        <v>65799</v>
      </c>
      <c r="M3220" t="s">
        <v>1479</v>
      </c>
      <c r="N3220">
        <v>439579.84</v>
      </c>
      <c r="O3220">
        <v>1684</v>
      </c>
    </row>
    <row r="3221" spans="1:15" x14ac:dyDescent="0.2">
      <c r="A3221" s="6">
        <v>45825</v>
      </c>
      <c r="B3221" t="s">
        <v>15</v>
      </c>
      <c r="C3221" t="s">
        <v>16</v>
      </c>
      <c r="D3221" s="1">
        <v>45855</v>
      </c>
      <c r="E3221" t="s">
        <v>19</v>
      </c>
      <c r="F3221">
        <v>5350</v>
      </c>
      <c r="G3221">
        <v>85.2</v>
      </c>
      <c r="H3221">
        <v>87</v>
      </c>
      <c r="I3221">
        <v>74.5</v>
      </c>
      <c r="J3221">
        <v>82</v>
      </c>
      <c r="K3221">
        <v>92.9</v>
      </c>
      <c r="L3221">
        <v>121</v>
      </c>
      <c r="M3221" t="s">
        <v>1480</v>
      </c>
      <c r="N3221">
        <v>657.06</v>
      </c>
      <c r="O3221">
        <v>12</v>
      </c>
    </row>
    <row r="3222" spans="1:15" x14ac:dyDescent="0.2">
      <c r="A3222" s="6">
        <v>45825</v>
      </c>
      <c r="B3222" t="s">
        <v>15</v>
      </c>
      <c r="C3222" t="s">
        <v>16</v>
      </c>
      <c r="D3222" s="1">
        <v>45855</v>
      </c>
      <c r="E3222" t="s">
        <v>19</v>
      </c>
      <c r="F3222">
        <v>4050</v>
      </c>
      <c r="J3222">
        <v>0.1</v>
      </c>
      <c r="K3222">
        <v>0.1</v>
      </c>
      <c r="L3222">
        <v>0</v>
      </c>
      <c r="M3222" t="s">
        <v>18</v>
      </c>
      <c r="N3222">
        <v>0</v>
      </c>
      <c r="O3222">
        <v>0</v>
      </c>
    </row>
    <row r="3223" spans="1:15" x14ac:dyDescent="0.2">
      <c r="A3223" s="6">
        <v>45825</v>
      </c>
      <c r="B3223" t="s">
        <v>15</v>
      </c>
      <c r="C3223" t="s">
        <v>16</v>
      </c>
      <c r="D3223" s="1">
        <v>45855</v>
      </c>
      <c r="E3223" t="s">
        <v>19</v>
      </c>
      <c r="F3223">
        <v>4100</v>
      </c>
      <c r="J3223">
        <v>0.1</v>
      </c>
      <c r="K3223">
        <v>0.1</v>
      </c>
      <c r="L3223">
        <v>0</v>
      </c>
      <c r="M3223" t="s">
        <v>18</v>
      </c>
      <c r="N3223">
        <v>0</v>
      </c>
      <c r="O3223">
        <v>0</v>
      </c>
    </row>
    <row r="3224" spans="1:15" x14ac:dyDescent="0.2">
      <c r="A3224" s="6">
        <v>45825</v>
      </c>
      <c r="B3224" t="s">
        <v>15</v>
      </c>
      <c r="C3224" t="s">
        <v>16</v>
      </c>
      <c r="D3224" s="1">
        <v>45855</v>
      </c>
      <c r="E3224" t="s">
        <v>17</v>
      </c>
      <c r="F3224">
        <v>4550</v>
      </c>
      <c r="J3224">
        <v>1740.8</v>
      </c>
      <c r="K3224">
        <v>1491.3</v>
      </c>
      <c r="L3224">
        <v>0</v>
      </c>
      <c r="M3224" t="s">
        <v>18</v>
      </c>
      <c r="N3224">
        <v>0</v>
      </c>
      <c r="O3224">
        <v>0</v>
      </c>
    </row>
    <row r="3225" spans="1:15" x14ac:dyDescent="0.2">
      <c r="A3225" s="6">
        <v>45825</v>
      </c>
      <c r="B3225" t="s">
        <v>15</v>
      </c>
      <c r="C3225" t="s">
        <v>16</v>
      </c>
      <c r="D3225" s="1">
        <v>45855</v>
      </c>
      <c r="E3225" t="s">
        <v>17</v>
      </c>
      <c r="F3225">
        <v>7000</v>
      </c>
      <c r="G3225">
        <v>155.30000000000001</v>
      </c>
      <c r="H3225">
        <v>300</v>
      </c>
      <c r="I3225">
        <v>147</v>
      </c>
      <c r="J3225">
        <v>286.89999999999998</v>
      </c>
      <c r="K3225">
        <v>154.80000000000001</v>
      </c>
      <c r="L3225">
        <v>43233</v>
      </c>
      <c r="M3225" t="s">
        <v>1481</v>
      </c>
      <c r="N3225">
        <v>312199.43</v>
      </c>
      <c r="O3225">
        <v>3711</v>
      </c>
    </row>
    <row r="3226" spans="1:15" x14ac:dyDescent="0.2">
      <c r="A3226" s="6">
        <v>45825</v>
      </c>
      <c r="B3226" t="s">
        <v>15</v>
      </c>
      <c r="C3226" t="s">
        <v>16</v>
      </c>
      <c r="D3226" s="1">
        <v>45855</v>
      </c>
      <c r="E3226" t="s">
        <v>17</v>
      </c>
      <c r="F3226">
        <v>4250</v>
      </c>
      <c r="J3226">
        <v>2039</v>
      </c>
      <c r="K3226">
        <v>1789</v>
      </c>
      <c r="L3226">
        <v>0</v>
      </c>
      <c r="M3226" t="s">
        <v>18</v>
      </c>
      <c r="N3226">
        <v>0</v>
      </c>
      <c r="O3226">
        <v>0</v>
      </c>
    </row>
    <row r="3227" spans="1:15" x14ac:dyDescent="0.2">
      <c r="A3227" s="6">
        <v>45825</v>
      </c>
      <c r="B3227" t="s">
        <v>15</v>
      </c>
      <c r="C3227" t="s">
        <v>16</v>
      </c>
      <c r="D3227" s="1">
        <v>45855</v>
      </c>
      <c r="E3227" t="s">
        <v>19</v>
      </c>
      <c r="F3227">
        <v>6850</v>
      </c>
      <c r="J3227">
        <v>648.70000000000005</v>
      </c>
      <c r="K3227">
        <v>843.1</v>
      </c>
      <c r="L3227">
        <v>0</v>
      </c>
      <c r="M3227" t="s">
        <v>18</v>
      </c>
      <c r="N3227">
        <v>0</v>
      </c>
      <c r="O3227">
        <v>0</v>
      </c>
    </row>
    <row r="3228" spans="1:15" x14ac:dyDescent="0.2">
      <c r="A3228" s="6">
        <v>45825</v>
      </c>
      <c r="B3228" t="s">
        <v>15</v>
      </c>
      <c r="C3228" t="s">
        <v>16</v>
      </c>
      <c r="D3228" s="1">
        <v>45855</v>
      </c>
      <c r="E3228" t="s">
        <v>17</v>
      </c>
      <c r="F3228">
        <v>7050</v>
      </c>
      <c r="G3228">
        <v>215.1</v>
      </c>
      <c r="H3228">
        <v>288.8</v>
      </c>
      <c r="I3228">
        <v>215.1</v>
      </c>
      <c r="J3228">
        <v>282.8</v>
      </c>
      <c r="K3228">
        <v>26.5</v>
      </c>
      <c r="L3228">
        <v>90</v>
      </c>
      <c r="M3228" t="s">
        <v>1482</v>
      </c>
      <c r="N3228">
        <v>658.59</v>
      </c>
      <c r="O3228">
        <v>46</v>
      </c>
    </row>
    <row r="3229" spans="1:15" x14ac:dyDescent="0.2">
      <c r="A3229" s="6">
        <v>45825</v>
      </c>
      <c r="B3229" t="s">
        <v>15</v>
      </c>
      <c r="C3229" t="s">
        <v>16</v>
      </c>
      <c r="D3229" s="1">
        <v>45855</v>
      </c>
      <c r="E3229" t="s">
        <v>19</v>
      </c>
      <c r="F3229">
        <v>7350</v>
      </c>
      <c r="J3229">
        <v>1077.3</v>
      </c>
      <c r="K3229">
        <v>1306.5</v>
      </c>
      <c r="L3229">
        <v>0</v>
      </c>
      <c r="M3229" t="s">
        <v>18</v>
      </c>
      <c r="N3229">
        <v>0</v>
      </c>
      <c r="O3229">
        <v>0</v>
      </c>
    </row>
    <row r="3230" spans="1:15" x14ac:dyDescent="0.2">
      <c r="A3230" s="6">
        <v>45825</v>
      </c>
      <c r="B3230" t="s">
        <v>15</v>
      </c>
      <c r="C3230" t="s">
        <v>16</v>
      </c>
      <c r="D3230" s="1">
        <v>45855</v>
      </c>
      <c r="E3230" t="s">
        <v>19</v>
      </c>
      <c r="F3230">
        <v>4500</v>
      </c>
      <c r="G3230">
        <v>17.100000000000001</v>
      </c>
      <c r="H3230">
        <v>23.4</v>
      </c>
      <c r="I3230">
        <v>17.100000000000001</v>
      </c>
      <c r="J3230">
        <v>19.600000000000001</v>
      </c>
      <c r="K3230">
        <v>17.100000000000001</v>
      </c>
      <c r="L3230">
        <v>1103</v>
      </c>
      <c r="M3230" t="s">
        <v>456</v>
      </c>
      <c r="N3230">
        <v>4985.0200000000004</v>
      </c>
      <c r="O3230">
        <v>143</v>
      </c>
    </row>
    <row r="3231" spans="1:15" x14ac:dyDescent="0.2">
      <c r="A3231" s="6">
        <v>45825</v>
      </c>
      <c r="B3231" t="s">
        <v>15</v>
      </c>
      <c r="C3231" t="s">
        <v>16</v>
      </c>
      <c r="D3231" s="1">
        <v>45855</v>
      </c>
      <c r="E3231" t="s">
        <v>19</v>
      </c>
      <c r="F3231">
        <v>4400</v>
      </c>
      <c r="J3231">
        <v>0.1</v>
      </c>
      <c r="K3231">
        <v>0.3</v>
      </c>
      <c r="L3231">
        <v>0</v>
      </c>
      <c r="M3231" t="s">
        <v>18</v>
      </c>
      <c r="N3231">
        <v>0</v>
      </c>
      <c r="O3231">
        <v>0</v>
      </c>
    </row>
    <row r="3232" spans="1:15" x14ac:dyDescent="0.2">
      <c r="A3232" s="6">
        <v>45825</v>
      </c>
      <c r="B3232" t="s">
        <v>15</v>
      </c>
      <c r="C3232" t="s">
        <v>16</v>
      </c>
      <c r="D3232" s="1">
        <v>45855</v>
      </c>
      <c r="E3232" t="s">
        <v>17</v>
      </c>
      <c r="F3232">
        <v>4850</v>
      </c>
      <c r="J3232">
        <v>1444.3</v>
      </c>
      <c r="K3232">
        <v>1196.9000000000001</v>
      </c>
      <c r="L3232">
        <v>0</v>
      </c>
      <c r="M3232" t="s">
        <v>18</v>
      </c>
      <c r="N3232">
        <v>0</v>
      </c>
      <c r="O3232">
        <v>0</v>
      </c>
    </row>
    <row r="3233" spans="1:15" x14ac:dyDescent="0.2">
      <c r="A3233" s="6">
        <v>45825</v>
      </c>
      <c r="B3233" t="s">
        <v>15</v>
      </c>
      <c r="C3233" t="s">
        <v>16</v>
      </c>
      <c r="D3233" s="1">
        <v>45855</v>
      </c>
      <c r="E3233" t="s">
        <v>17</v>
      </c>
      <c r="F3233">
        <v>6350</v>
      </c>
      <c r="G3233">
        <v>292</v>
      </c>
      <c r="H3233">
        <v>471.5</v>
      </c>
      <c r="I3233">
        <v>261.3</v>
      </c>
      <c r="J3233">
        <v>455.4</v>
      </c>
      <c r="K3233">
        <v>273.5</v>
      </c>
      <c r="L3233">
        <v>7568</v>
      </c>
      <c r="M3233" t="s">
        <v>1483</v>
      </c>
      <c r="N3233">
        <v>50861.22</v>
      </c>
      <c r="O3233">
        <v>183</v>
      </c>
    </row>
    <row r="3234" spans="1:15" x14ac:dyDescent="0.2">
      <c r="A3234" s="6">
        <v>45825</v>
      </c>
      <c r="B3234" t="s">
        <v>15</v>
      </c>
      <c r="C3234" t="s">
        <v>16</v>
      </c>
      <c r="D3234" s="1">
        <v>45855</v>
      </c>
      <c r="E3234" t="s">
        <v>17</v>
      </c>
      <c r="F3234">
        <v>4000</v>
      </c>
      <c r="J3234">
        <v>2287.8000000000002</v>
      </c>
      <c r="K3234">
        <v>2037.7</v>
      </c>
      <c r="L3234">
        <v>0</v>
      </c>
      <c r="M3234" t="s">
        <v>18</v>
      </c>
      <c r="N3234">
        <v>0</v>
      </c>
      <c r="O3234">
        <v>0</v>
      </c>
    </row>
    <row r="3235" spans="1:15" x14ac:dyDescent="0.2">
      <c r="A3235" s="6">
        <v>45825</v>
      </c>
      <c r="B3235" t="s">
        <v>15</v>
      </c>
      <c r="C3235" t="s">
        <v>16</v>
      </c>
      <c r="D3235" s="1">
        <v>45855</v>
      </c>
      <c r="E3235" t="s">
        <v>17</v>
      </c>
      <c r="F3235">
        <v>5800</v>
      </c>
      <c r="G3235">
        <v>500</v>
      </c>
      <c r="H3235">
        <v>724.7</v>
      </c>
      <c r="I3235">
        <v>465</v>
      </c>
      <c r="J3235">
        <v>708.4</v>
      </c>
      <c r="K3235">
        <v>481.4</v>
      </c>
      <c r="L3235">
        <v>2492</v>
      </c>
      <c r="M3235" t="s">
        <v>1484</v>
      </c>
      <c r="N3235">
        <v>15862.54</v>
      </c>
      <c r="O3235">
        <v>360</v>
      </c>
    </row>
    <row r="3236" spans="1:15" x14ac:dyDescent="0.2">
      <c r="A3236" s="6">
        <v>45825</v>
      </c>
      <c r="B3236" t="s">
        <v>15</v>
      </c>
      <c r="C3236" t="s">
        <v>16</v>
      </c>
      <c r="D3236" s="1">
        <v>45855</v>
      </c>
      <c r="E3236" t="s">
        <v>17</v>
      </c>
      <c r="F3236">
        <v>5450</v>
      </c>
      <c r="G3236">
        <v>752</v>
      </c>
      <c r="H3236">
        <v>752</v>
      </c>
      <c r="I3236">
        <v>752</v>
      </c>
      <c r="J3236">
        <v>752</v>
      </c>
      <c r="K3236">
        <v>745.6</v>
      </c>
      <c r="L3236">
        <v>6</v>
      </c>
      <c r="M3236" t="s">
        <v>132</v>
      </c>
      <c r="N3236">
        <v>37.21</v>
      </c>
      <c r="O3236">
        <v>7</v>
      </c>
    </row>
    <row r="3237" spans="1:15" x14ac:dyDescent="0.2">
      <c r="A3237" s="6">
        <v>45825</v>
      </c>
      <c r="B3237" t="s">
        <v>15</v>
      </c>
      <c r="C3237" t="s">
        <v>16</v>
      </c>
      <c r="D3237" s="1">
        <v>45855</v>
      </c>
      <c r="E3237" t="s">
        <v>17</v>
      </c>
      <c r="F3237">
        <v>4150</v>
      </c>
      <c r="J3237">
        <v>2138.5</v>
      </c>
      <c r="K3237">
        <v>1888.4</v>
      </c>
      <c r="L3237">
        <v>0</v>
      </c>
      <c r="M3237" t="s">
        <v>18</v>
      </c>
      <c r="N3237">
        <v>0</v>
      </c>
      <c r="O3237">
        <v>0</v>
      </c>
    </row>
    <row r="3238" spans="1:15" x14ac:dyDescent="0.2">
      <c r="A3238" s="6">
        <v>45825</v>
      </c>
      <c r="B3238" t="s">
        <v>15</v>
      </c>
      <c r="C3238" t="s">
        <v>16</v>
      </c>
      <c r="D3238" s="1">
        <v>45855</v>
      </c>
      <c r="E3238" t="s">
        <v>19</v>
      </c>
      <c r="F3238">
        <v>4650</v>
      </c>
      <c r="J3238">
        <v>0.7</v>
      </c>
      <c r="K3238">
        <v>1.6</v>
      </c>
      <c r="L3238">
        <v>0</v>
      </c>
      <c r="M3238" t="s">
        <v>18</v>
      </c>
      <c r="N3238">
        <v>0</v>
      </c>
      <c r="O3238">
        <v>0</v>
      </c>
    </row>
    <row r="3239" spans="1:15" x14ac:dyDescent="0.2">
      <c r="A3239" s="6">
        <v>45825</v>
      </c>
      <c r="B3239" t="s">
        <v>15</v>
      </c>
      <c r="C3239" t="s">
        <v>16</v>
      </c>
      <c r="D3239" s="1">
        <v>45855</v>
      </c>
      <c r="E3239" t="s">
        <v>19</v>
      </c>
      <c r="F3239">
        <v>7250</v>
      </c>
      <c r="J3239">
        <v>986.6</v>
      </c>
      <c r="K3239">
        <v>1210.9000000000001</v>
      </c>
      <c r="L3239">
        <v>0</v>
      </c>
      <c r="M3239" t="s">
        <v>18</v>
      </c>
      <c r="N3239">
        <v>0</v>
      </c>
      <c r="O3239">
        <v>0</v>
      </c>
    </row>
    <row r="3240" spans="1:15" x14ac:dyDescent="0.2">
      <c r="A3240" s="6">
        <v>45825</v>
      </c>
      <c r="B3240" t="s">
        <v>15</v>
      </c>
      <c r="C3240" t="s">
        <v>16</v>
      </c>
      <c r="D3240" s="1">
        <v>45855</v>
      </c>
      <c r="E3240" t="s">
        <v>17</v>
      </c>
      <c r="F3240">
        <v>4600</v>
      </c>
      <c r="J3240">
        <v>1691.2</v>
      </c>
      <c r="K3240">
        <v>1441.9</v>
      </c>
      <c r="L3240">
        <v>0</v>
      </c>
      <c r="M3240" t="s">
        <v>18</v>
      </c>
      <c r="N3240">
        <v>0</v>
      </c>
      <c r="O3240">
        <v>0</v>
      </c>
    </row>
    <row r="3241" spans="1:15" x14ac:dyDescent="0.2">
      <c r="A3241" s="6">
        <v>45825</v>
      </c>
      <c r="B3241" t="s">
        <v>15</v>
      </c>
      <c r="C3241" t="s">
        <v>16</v>
      </c>
      <c r="D3241" s="1">
        <v>45855</v>
      </c>
      <c r="E3241" t="s">
        <v>17</v>
      </c>
      <c r="F3241">
        <v>6250</v>
      </c>
      <c r="G3241">
        <v>309</v>
      </c>
      <c r="H3241">
        <v>511.6</v>
      </c>
      <c r="I3241">
        <v>288.89999999999998</v>
      </c>
      <c r="J3241">
        <v>496.1</v>
      </c>
      <c r="K3241">
        <v>301.89999999999998</v>
      </c>
      <c r="L3241">
        <v>12701</v>
      </c>
      <c r="M3241" t="s">
        <v>1485</v>
      </c>
      <c r="N3241">
        <v>84451.38</v>
      </c>
      <c r="O3241">
        <v>195</v>
      </c>
    </row>
    <row r="3242" spans="1:15" x14ac:dyDescent="0.2">
      <c r="A3242" s="6">
        <v>45825</v>
      </c>
      <c r="B3242" t="s">
        <v>15</v>
      </c>
      <c r="C3242" t="s">
        <v>16</v>
      </c>
      <c r="D3242" s="1">
        <v>45855</v>
      </c>
      <c r="E3242" t="s">
        <v>19</v>
      </c>
      <c r="F3242">
        <v>6250</v>
      </c>
      <c r="G3242">
        <v>499.4</v>
      </c>
      <c r="H3242">
        <v>521.9</v>
      </c>
      <c r="I3242">
        <v>410.2</v>
      </c>
      <c r="J3242">
        <v>444.1</v>
      </c>
      <c r="K3242">
        <v>508</v>
      </c>
      <c r="L3242">
        <v>5868</v>
      </c>
      <c r="M3242" t="s">
        <v>1486</v>
      </c>
      <c r="N3242">
        <v>39339.69</v>
      </c>
      <c r="O3242">
        <v>155</v>
      </c>
    </row>
    <row r="3243" spans="1:15" x14ac:dyDescent="0.2">
      <c r="A3243" s="6">
        <v>45825</v>
      </c>
      <c r="B3243" t="s">
        <v>15</v>
      </c>
      <c r="C3243" t="s">
        <v>16</v>
      </c>
      <c r="D3243" s="1">
        <v>45855</v>
      </c>
      <c r="E3243" t="s">
        <v>17</v>
      </c>
      <c r="F3243">
        <v>5050</v>
      </c>
      <c r="J3243">
        <v>1249.3</v>
      </c>
      <c r="K3243">
        <v>1005.7</v>
      </c>
      <c r="L3243">
        <v>0</v>
      </c>
      <c r="M3243" t="s">
        <v>18</v>
      </c>
      <c r="N3243">
        <v>0</v>
      </c>
      <c r="O3243">
        <v>0</v>
      </c>
    </row>
    <row r="3244" spans="1:15" x14ac:dyDescent="0.2">
      <c r="A3244" s="6">
        <v>45825</v>
      </c>
      <c r="B3244" t="s">
        <v>15</v>
      </c>
      <c r="C3244" t="s">
        <v>16</v>
      </c>
      <c r="D3244" s="1">
        <v>45855</v>
      </c>
      <c r="E3244" t="s">
        <v>19</v>
      </c>
      <c r="F3244">
        <v>5150</v>
      </c>
      <c r="G3244">
        <v>54.2</v>
      </c>
      <c r="H3244">
        <v>63.5</v>
      </c>
      <c r="I3244">
        <v>39</v>
      </c>
      <c r="J3244">
        <v>53.6</v>
      </c>
      <c r="K3244">
        <v>53.7</v>
      </c>
      <c r="L3244">
        <v>193</v>
      </c>
      <c r="M3244" t="s">
        <v>892</v>
      </c>
      <c r="N3244">
        <v>1004.27</v>
      </c>
      <c r="O3244">
        <v>39</v>
      </c>
    </row>
    <row r="3245" spans="1:15" x14ac:dyDescent="0.2">
      <c r="A3245" s="6">
        <v>45825</v>
      </c>
      <c r="B3245" t="s">
        <v>15</v>
      </c>
      <c r="C3245" t="s">
        <v>16</v>
      </c>
      <c r="D3245" s="1">
        <v>45855</v>
      </c>
      <c r="E3245" t="s">
        <v>17</v>
      </c>
      <c r="F3245">
        <v>5200</v>
      </c>
      <c r="G3245">
        <v>930.5</v>
      </c>
      <c r="H3245">
        <v>1023</v>
      </c>
      <c r="I3245">
        <v>930.5</v>
      </c>
      <c r="J3245">
        <v>984</v>
      </c>
      <c r="K3245">
        <v>767.9</v>
      </c>
      <c r="L3245">
        <v>9</v>
      </c>
      <c r="M3245" t="s">
        <v>343</v>
      </c>
      <c r="N3245">
        <v>55.66</v>
      </c>
      <c r="O3245">
        <v>27</v>
      </c>
    </row>
    <row r="3246" spans="1:15" x14ac:dyDescent="0.2">
      <c r="A3246" s="6">
        <v>45825</v>
      </c>
      <c r="B3246" t="s">
        <v>15</v>
      </c>
      <c r="C3246" t="s">
        <v>16</v>
      </c>
      <c r="D3246" s="1">
        <v>45855</v>
      </c>
      <c r="E3246" t="s">
        <v>17</v>
      </c>
      <c r="F3246">
        <v>5900</v>
      </c>
      <c r="G3246">
        <v>457.3</v>
      </c>
      <c r="H3246">
        <v>675.2</v>
      </c>
      <c r="I3246">
        <v>419.5</v>
      </c>
      <c r="J3246">
        <v>657.3</v>
      </c>
      <c r="K3246">
        <v>432.9</v>
      </c>
      <c r="L3246">
        <v>2319</v>
      </c>
      <c r="M3246" t="s">
        <v>1487</v>
      </c>
      <c r="N3246">
        <v>14885.59</v>
      </c>
      <c r="O3246">
        <v>182</v>
      </c>
    </row>
    <row r="3247" spans="1:15" x14ac:dyDescent="0.2">
      <c r="A3247" s="6">
        <v>45825</v>
      </c>
      <c r="B3247" t="s">
        <v>15</v>
      </c>
      <c r="C3247" t="s">
        <v>16</v>
      </c>
      <c r="D3247" s="1">
        <v>45855</v>
      </c>
      <c r="E3247" t="s">
        <v>17</v>
      </c>
      <c r="F3247">
        <v>6950</v>
      </c>
      <c r="G3247">
        <v>239</v>
      </c>
      <c r="H3247">
        <v>307.3</v>
      </c>
      <c r="I3247">
        <v>236.2</v>
      </c>
      <c r="J3247">
        <v>296.2</v>
      </c>
      <c r="K3247">
        <v>34.700000000000003</v>
      </c>
      <c r="L3247">
        <v>306</v>
      </c>
      <c r="M3247" t="s">
        <v>1488</v>
      </c>
      <c r="N3247">
        <v>2205.75</v>
      </c>
      <c r="O3247">
        <v>112</v>
      </c>
    </row>
    <row r="3248" spans="1:15" x14ac:dyDescent="0.2">
      <c r="A3248" s="6">
        <v>45825</v>
      </c>
      <c r="B3248" t="s">
        <v>15</v>
      </c>
      <c r="C3248" t="s">
        <v>16</v>
      </c>
      <c r="D3248" s="1">
        <v>45855</v>
      </c>
      <c r="E3248" t="s">
        <v>17</v>
      </c>
      <c r="F3248">
        <v>5500</v>
      </c>
      <c r="G3248">
        <v>686.3</v>
      </c>
      <c r="H3248">
        <v>939.9</v>
      </c>
      <c r="I3248">
        <v>669.1</v>
      </c>
      <c r="J3248">
        <v>915.9</v>
      </c>
      <c r="K3248">
        <v>665.5</v>
      </c>
      <c r="L3248">
        <v>335</v>
      </c>
      <c r="M3248" t="s">
        <v>1489</v>
      </c>
      <c r="N3248">
        <v>2106.19</v>
      </c>
      <c r="O3248">
        <v>448</v>
      </c>
    </row>
    <row r="3249" spans="1:15" x14ac:dyDescent="0.2">
      <c r="A3249" s="6">
        <v>45825</v>
      </c>
      <c r="B3249" t="s">
        <v>15</v>
      </c>
      <c r="C3249" t="s">
        <v>16</v>
      </c>
      <c r="D3249" s="1">
        <v>45855</v>
      </c>
      <c r="E3249" t="s">
        <v>17</v>
      </c>
      <c r="F3249">
        <v>3950</v>
      </c>
      <c r="J3249">
        <v>2337.5</v>
      </c>
      <c r="K3249">
        <v>2087.4</v>
      </c>
      <c r="L3249">
        <v>0</v>
      </c>
      <c r="M3249" t="s">
        <v>18</v>
      </c>
      <c r="N3249">
        <v>0</v>
      </c>
      <c r="O3249">
        <v>0</v>
      </c>
    </row>
    <row r="3250" spans="1:15" x14ac:dyDescent="0.2">
      <c r="A3250" s="6">
        <v>45825</v>
      </c>
      <c r="B3250" t="s">
        <v>15</v>
      </c>
      <c r="C3250" t="s">
        <v>16</v>
      </c>
      <c r="D3250" s="1">
        <v>45855</v>
      </c>
      <c r="E3250" t="s">
        <v>19</v>
      </c>
      <c r="F3250">
        <v>6350</v>
      </c>
      <c r="G3250">
        <v>562.29999999999995</v>
      </c>
      <c r="H3250">
        <v>595.79999999999995</v>
      </c>
      <c r="I3250">
        <v>478.4</v>
      </c>
      <c r="J3250">
        <v>506.6</v>
      </c>
      <c r="K3250">
        <v>528.6</v>
      </c>
      <c r="L3250">
        <v>2316</v>
      </c>
      <c r="M3250" t="s">
        <v>1490</v>
      </c>
      <c r="N3250">
        <v>15918.39</v>
      </c>
      <c r="O3250">
        <v>75</v>
      </c>
    </row>
    <row r="3251" spans="1:15" x14ac:dyDescent="0.2">
      <c r="A3251" s="6">
        <v>45825</v>
      </c>
      <c r="B3251" t="s">
        <v>15</v>
      </c>
      <c r="C3251" t="s">
        <v>16</v>
      </c>
      <c r="D3251" s="1">
        <v>45855</v>
      </c>
      <c r="E3251" t="s">
        <v>19</v>
      </c>
      <c r="F3251">
        <v>5650</v>
      </c>
      <c r="G3251">
        <v>172.8</v>
      </c>
      <c r="H3251">
        <v>185.8</v>
      </c>
      <c r="I3251">
        <v>147.9</v>
      </c>
      <c r="J3251">
        <v>159</v>
      </c>
      <c r="K3251">
        <v>168.9</v>
      </c>
      <c r="L3251">
        <v>1034</v>
      </c>
      <c r="M3251" t="s">
        <v>1491</v>
      </c>
      <c r="N3251">
        <v>6006.45</v>
      </c>
      <c r="O3251">
        <v>72</v>
      </c>
    </row>
    <row r="3252" spans="1:15" x14ac:dyDescent="0.2">
      <c r="A3252" s="6">
        <v>45825</v>
      </c>
      <c r="B3252" t="s">
        <v>15</v>
      </c>
      <c r="C3252" t="s">
        <v>16</v>
      </c>
      <c r="D3252" s="1">
        <v>45855</v>
      </c>
      <c r="E3252" t="s">
        <v>19</v>
      </c>
      <c r="F3252">
        <v>5600</v>
      </c>
      <c r="G3252">
        <v>145.69999999999999</v>
      </c>
      <c r="H3252">
        <v>168</v>
      </c>
      <c r="I3252">
        <v>130.80000000000001</v>
      </c>
      <c r="J3252">
        <v>143.5</v>
      </c>
      <c r="K3252">
        <v>153.4</v>
      </c>
      <c r="L3252">
        <v>17009</v>
      </c>
      <c r="M3252" t="s">
        <v>1492</v>
      </c>
      <c r="N3252">
        <v>97722.9</v>
      </c>
      <c r="O3252">
        <v>958</v>
      </c>
    </row>
    <row r="3253" spans="1:15" x14ac:dyDescent="0.2">
      <c r="A3253" s="6">
        <v>45825</v>
      </c>
      <c r="B3253" t="s">
        <v>15</v>
      </c>
      <c r="C3253" t="s">
        <v>16</v>
      </c>
      <c r="D3253" s="1">
        <v>45855</v>
      </c>
      <c r="E3253" t="s">
        <v>19</v>
      </c>
      <c r="F3253">
        <v>4000</v>
      </c>
      <c r="J3253">
        <v>0.1</v>
      </c>
      <c r="K3253">
        <v>0.1</v>
      </c>
      <c r="L3253">
        <v>0</v>
      </c>
      <c r="M3253" t="s">
        <v>18</v>
      </c>
      <c r="N3253">
        <v>0</v>
      </c>
      <c r="O3253">
        <v>0</v>
      </c>
    </row>
    <row r="3254" spans="1:15" x14ac:dyDescent="0.2">
      <c r="A3254" s="6">
        <v>45825</v>
      </c>
      <c r="B3254" t="s">
        <v>15</v>
      </c>
      <c r="C3254" t="s">
        <v>16</v>
      </c>
      <c r="D3254" s="1">
        <v>45855</v>
      </c>
      <c r="E3254" t="s">
        <v>19</v>
      </c>
      <c r="F3254">
        <v>4850</v>
      </c>
      <c r="G3254">
        <v>28.8</v>
      </c>
      <c r="H3254">
        <v>69.900000000000006</v>
      </c>
      <c r="I3254">
        <v>28.8</v>
      </c>
      <c r="J3254">
        <v>33.5</v>
      </c>
      <c r="K3254">
        <v>4.9000000000000004</v>
      </c>
      <c r="L3254">
        <v>239</v>
      </c>
      <c r="M3254" t="s">
        <v>1493</v>
      </c>
      <c r="N3254">
        <v>1166.5999999999999</v>
      </c>
      <c r="O3254">
        <v>22</v>
      </c>
    </row>
    <row r="3255" spans="1:15" x14ac:dyDescent="0.2">
      <c r="A3255" s="6">
        <v>45825</v>
      </c>
      <c r="B3255" t="s">
        <v>15</v>
      </c>
      <c r="C3255" t="s">
        <v>16</v>
      </c>
      <c r="D3255" s="1">
        <v>45855</v>
      </c>
      <c r="E3255" t="s">
        <v>17</v>
      </c>
      <c r="F3255">
        <v>6100</v>
      </c>
      <c r="G3255">
        <v>374.2</v>
      </c>
      <c r="H3255">
        <v>575.9</v>
      </c>
      <c r="I3255">
        <v>335.8</v>
      </c>
      <c r="J3255">
        <v>557.5</v>
      </c>
      <c r="K3255">
        <v>349.9</v>
      </c>
      <c r="L3255">
        <v>24138</v>
      </c>
      <c r="M3255" t="s">
        <v>1494</v>
      </c>
      <c r="N3255">
        <v>157604</v>
      </c>
      <c r="O3255">
        <v>705</v>
      </c>
    </row>
    <row r="3256" spans="1:15" x14ac:dyDescent="0.2">
      <c r="A3256" s="6">
        <v>45825</v>
      </c>
      <c r="B3256" t="s">
        <v>15</v>
      </c>
      <c r="C3256" t="s">
        <v>16</v>
      </c>
      <c r="D3256" s="1">
        <v>45855</v>
      </c>
      <c r="E3256" t="s">
        <v>17</v>
      </c>
      <c r="F3256">
        <v>5350</v>
      </c>
      <c r="J3256">
        <v>966.9</v>
      </c>
      <c r="K3256">
        <v>735.8</v>
      </c>
      <c r="L3256">
        <v>0</v>
      </c>
      <c r="M3256" t="s">
        <v>18</v>
      </c>
      <c r="N3256">
        <v>0</v>
      </c>
      <c r="O3256">
        <v>1</v>
      </c>
    </row>
    <row r="3257" spans="1:15" x14ac:dyDescent="0.2">
      <c r="A3257" s="6">
        <v>45825</v>
      </c>
      <c r="B3257" t="s">
        <v>15</v>
      </c>
      <c r="C3257" t="s">
        <v>16</v>
      </c>
      <c r="D3257" s="1">
        <v>45855</v>
      </c>
      <c r="E3257" t="s">
        <v>17</v>
      </c>
      <c r="F3257">
        <v>7200</v>
      </c>
      <c r="G3257">
        <v>132.19999999999999</v>
      </c>
      <c r="H3257">
        <v>263.89999999999998</v>
      </c>
      <c r="I3257">
        <v>122.6</v>
      </c>
      <c r="J3257">
        <v>251.9</v>
      </c>
      <c r="K3257">
        <v>127.7</v>
      </c>
      <c r="L3257">
        <v>10082</v>
      </c>
      <c r="M3257" t="s">
        <v>1495</v>
      </c>
      <c r="N3257">
        <v>74504.36</v>
      </c>
      <c r="O3257">
        <v>357</v>
      </c>
    </row>
    <row r="3258" spans="1:15" x14ac:dyDescent="0.2">
      <c r="A3258" s="6">
        <v>45825</v>
      </c>
      <c r="B3258" t="s">
        <v>15</v>
      </c>
      <c r="C3258" t="s">
        <v>16</v>
      </c>
      <c r="D3258" s="1">
        <v>45855</v>
      </c>
      <c r="E3258" t="s">
        <v>19</v>
      </c>
      <c r="F3258">
        <v>7100</v>
      </c>
      <c r="J3258">
        <v>854.6</v>
      </c>
      <c r="K3258">
        <v>1069.7</v>
      </c>
      <c r="L3258">
        <v>0</v>
      </c>
      <c r="M3258" t="s">
        <v>18</v>
      </c>
      <c r="N3258">
        <v>0</v>
      </c>
      <c r="O3258">
        <v>0</v>
      </c>
    </row>
    <row r="3259" spans="1:15" x14ac:dyDescent="0.2">
      <c r="A3259" s="6">
        <v>45825</v>
      </c>
      <c r="B3259" t="s">
        <v>15</v>
      </c>
      <c r="C3259" t="s">
        <v>16</v>
      </c>
      <c r="D3259" s="1">
        <v>45855</v>
      </c>
      <c r="E3259" t="s">
        <v>19</v>
      </c>
      <c r="F3259">
        <v>3650</v>
      </c>
      <c r="J3259">
        <v>0.1</v>
      </c>
      <c r="K3259">
        <v>0.1</v>
      </c>
      <c r="L3259">
        <v>0</v>
      </c>
      <c r="M3259" t="s">
        <v>18</v>
      </c>
      <c r="N3259">
        <v>0</v>
      </c>
      <c r="O3259">
        <v>0</v>
      </c>
    </row>
    <row r="3260" spans="1:15" x14ac:dyDescent="0.2">
      <c r="A3260" s="6">
        <v>45825</v>
      </c>
      <c r="B3260" t="s">
        <v>15</v>
      </c>
      <c r="C3260" t="s">
        <v>16</v>
      </c>
      <c r="D3260" s="1">
        <v>45855</v>
      </c>
      <c r="E3260" t="s">
        <v>17</v>
      </c>
      <c r="F3260">
        <v>3650</v>
      </c>
      <c r="J3260">
        <v>2636</v>
      </c>
      <c r="K3260">
        <v>2385.9</v>
      </c>
      <c r="L3260">
        <v>0</v>
      </c>
      <c r="M3260" t="s">
        <v>18</v>
      </c>
      <c r="N3260">
        <v>0</v>
      </c>
      <c r="O3260">
        <v>0</v>
      </c>
    </row>
    <row r="3261" spans="1:15" x14ac:dyDescent="0.2">
      <c r="A3261" s="6">
        <v>45825</v>
      </c>
      <c r="B3261" t="s">
        <v>15</v>
      </c>
      <c r="C3261" t="s">
        <v>16</v>
      </c>
      <c r="D3261" s="1">
        <v>45855</v>
      </c>
      <c r="E3261" t="s">
        <v>19</v>
      </c>
      <c r="F3261">
        <v>5800</v>
      </c>
      <c r="G3261">
        <v>219</v>
      </c>
      <c r="H3261">
        <v>252.1</v>
      </c>
      <c r="I3261">
        <v>199.7</v>
      </c>
      <c r="J3261">
        <v>215.2</v>
      </c>
      <c r="K3261">
        <v>238.5</v>
      </c>
      <c r="L3261">
        <v>29194</v>
      </c>
      <c r="M3261" t="s">
        <v>1496</v>
      </c>
      <c r="N3261">
        <v>175663.45</v>
      </c>
      <c r="O3261">
        <v>980</v>
      </c>
    </row>
    <row r="3262" spans="1:15" x14ac:dyDescent="0.2">
      <c r="A3262" s="6">
        <v>45825</v>
      </c>
      <c r="B3262" t="s">
        <v>15</v>
      </c>
      <c r="C3262" t="s">
        <v>16</v>
      </c>
      <c r="D3262" s="1">
        <v>45855</v>
      </c>
      <c r="E3262" t="s">
        <v>19</v>
      </c>
      <c r="F3262">
        <v>6700</v>
      </c>
      <c r="G3262">
        <v>764.4</v>
      </c>
      <c r="H3262">
        <v>792.5</v>
      </c>
      <c r="I3262">
        <v>720.3</v>
      </c>
      <c r="J3262">
        <v>747</v>
      </c>
      <c r="K3262">
        <v>714.6</v>
      </c>
      <c r="L3262">
        <v>66</v>
      </c>
      <c r="M3262" t="s">
        <v>178</v>
      </c>
      <c r="N3262">
        <v>492.65</v>
      </c>
      <c r="O3262">
        <v>41</v>
      </c>
    </row>
    <row r="3263" spans="1:15" x14ac:dyDescent="0.2">
      <c r="A3263" s="6">
        <v>45825</v>
      </c>
      <c r="B3263" t="s">
        <v>15</v>
      </c>
      <c r="C3263" t="s">
        <v>16</v>
      </c>
      <c r="D3263" s="1">
        <v>45855</v>
      </c>
      <c r="E3263" t="s">
        <v>19</v>
      </c>
      <c r="F3263">
        <v>7400</v>
      </c>
      <c r="J3263">
        <v>1123.3</v>
      </c>
      <c r="K3263">
        <v>1354.7</v>
      </c>
      <c r="L3263">
        <v>0</v>
      </c>
      <c r="M3263" t="s">
        <v>18</v>
      </c>
      <c r="N3263">
        <v>0</v>
      </c>
      <c r="O3263">
        <v>0</v>
      </c>
    </row>
    <row r="3264" spans="1:15" x14ac:dyDescent="0.2">
      <c r="A3264" s="6">
        <v>45825</v>
      </c>
      <c r="B3264" t="s">
        <v>15</v>
      </c>
      <c r="C3264" t="s">
        <v>16</v>
      </c>
      <c r="D3264" s="1">
        <v>45855</v>
      </c>
      <c r="E3264" t="s">
        <v>19</v>
      </c>
      <c r="F3264">
        <v>6900</v>
      </c>
      <c r="J3264">
        <v>688.2</v>
      </c>
      <c r="K3264">
        <v>887.4</v>
      </c>
      <c r="L3264">
        <v>0</v>
      </c>
      <c r="M3264" t="s">
        <v>18</v>
      </c>
      <c r="N3264">
        <v>0</v>
      </c>
      <c r="O3264">
        <v>0</v>
      </c>
    </row>
    <row r="3265" spans="1:15" x14ac:dyDescent="0.2">
      <c r="A3265" s="6">
        <v>45825</v>
      </c>
      <c r="B3265" t="s">
        <v>15</v>
      </c>
      <c r="C3265" t="s">
        <v>16</v>
      </c>
      <c r="D3265" s="1">
        <v>45855</v>
      </c>
      <c r="E3265" t="s">
        <v>17</v>
      </c>
      <c r="F3265">
        <v>6400</v>
      </c>
      <c r="G3265">
        <v>303.89999999999998</v>
      </c>
      <c r="H3265">
        <v>455</v>
      </c>
      <c r="I3265">
        <v>249.3</v>
      </c>
      <c r="J3265">
        <v>438.3</v>
      </c>
      <c r="K3265">
        <v>260.39999999999998</v>
      </c>
      <c r="L3265">
        <v>41939</v>
      </c>
      <c r="M3265" t="s">
        <v>1497</v>
      </c>
      <c r="N3265">
        <v>283065.33</v>
      </c>
      <c r="O3265">
        <v>2404</v>
      </c>
    </row>
    <row r="3266" spans="1:15" x14ac:dyDescent="0.2">
      <c r="A3266" s="6">
        <v>45825</v>
      </c>
      <c r="B3266" t="s">
        <v>15</v>
      </c>
      <c r="C3266" t="s">
        <v>16</v>
      </c>
      <c r="D3266" s="1">
        <v>45855</v>
      </c>
      <c r="E3266" t="s">
        <v>19</v>
      </c>
      <c r="F3266">
        <v>3950</v>
      </c>
      <c r="J3266">
        <v>0.1</v>
      </c>
      <c r="K3266">
        <v>0.1</v>
      </c>
      <c r="L3266">
        <v>0</v>
      </c>
      <c r="M3266" t="s">
        <v>18</v>
      </c>
      <c r="N3266">
        <v>0</v>
      </c>
      <c r="O3266">
        <v>0</v>
      </c>
    </row>
    <row r="3267" spans="1:15" x14ac:dyDescent="0.2">
      <c r="A3267" s="6">
        <v>45825</v>
      </c>
      <c r="B3267" t="s">
        <v>15</v>
      </c>
      <c r="C3267" t="s">
        <v>16</v>
      </c>
      <c r="D3267" s="1">
        <v>45855</v>
      </c>
      <c r="E3267" t="s">
        <v>19</v>
      </c>
      <c r="F3267">
        <v>7050</v>
      </c>
      <c r="J3267">
        <v>811.9</v>
      </c>
      <c r="K3267">
        <v>1023.4</v>
      </c>
      <c r="L3267">
        <v>0</v>
      </c>
      <c r="M3267" t="s">
        <v>18</v>
      </c>
      <c r="N3267">
        <v>0</v>
      </c>
      <c r="O3267">
        <v>0</v>
      </c>
    </row>
    <row r="3268" spans="1:15" x14ac:dyDescent="0.2">
      <c r="A3268" s="6">
        <v>45825</v>
      </c>
      <c r="B3268" t="s">
        <v>15</v>
      </c>
      <c r="C3268" t="s">
        <v>16</v>
      </c>
      <c r="D3268" s="1">
        <v>45855</v>
      </c>
      <c r="E3268" t="s">
        <v>19</v>
      </c>
      <c r="F3268">
        <v>3850</v>
      </c>
      <c r="J3268">
        <v>0.1</v>
      </c>
      <c r="K3268">
        <v>0.1</v>
      </c>
      <c r="L3268">
        <v>0</v>
      </c>
      <c r="M3268" t="s">
        <v>18</v>
      </c>
      <c r="N3268">
        <v>0</v>
      </c>
      <c r="O3268">
        <v>0</v>
      </c>
    </row>
    <row r="3269" spans="1:15" x14ac:dyDescent="0.2">
      <c r="A3269" s="6">
        <v>45825</v>
      </c>
      <c r="B3269" t="s">
        <v>15</v>
      </c>
      <c r="C3269" t="s">
        <v>16</v>
      </c>
      <c r="D3269" s="1">
        <v>45855</v>
      </c>
      <c r="E3269" t="s">
        <v>19</v>
      </c>
      <c r="F3269">
        <v>4750</v>
      </c>
      <c r="J3269">
        <v>1.4</v>
      </c>
      <c r="K3269">
        <v>2.9</v>
      </c>
      <c r="L3269">
        <v>0</v>
      </c>
      <c r="M3269" t="s">
        <v>18</v>
      </c>
      <c r="N3269">
        <v>0</v>
      </c>
      <c r="O3269">
        <v>0</v>
      </c>
    </row>
    <row r="3270" spans="1:15" x14ac:dyDescent="0.2">
      <c r="A3270" s="6">
        <v>45825</v>
      </c>
      <c r="B3270" t="s">
        <v>15</v>
      </c>
      <c r="C3270" t="s">
        <v>16</v>
      </c>
      <c r="D3270" s="1">
        <v>45855</v>
      </c>
      <c r="E3270" t="s">
        <v>17</v>
      </c>
      <c r="F3270">
        <v>6600</v>
      </c>
      <c r="G3270">
        <v>250</v>
      </c>
      <c r="H3270">
        <v>393.2</v>
      </c>
      <c r="I3270">
        <v>207.5</v>
      </c>
      <c r="J3270">
        <v>378.6</v>
      </c>
      <c r="K3270">
        <v>215.5</v>
      </c>
      <c r="L3270">
        <v>19517</v>
      </c>
      <c r="M3270" t="s">
        <v>1498</v>
      </c>
      <c r="N3270">
        <v>134575.07</v>
      </c>
      <c r="O3270">
        <v>854</v>
      </c>
    </row>
    <row r="3271" spans="1:15" x14ac:dyDescent="0.2">
      <c r="A3271" s="6">
        <v>45825</v>
      </c>
      <c r="B3271" t="s">
        <v>15</v>
      </c>
      <c r="C3271" t="s">
        <v>16</v>
      </c>
      <c r="D3271" s="1">
        <v>45855</v>
      </c>
      <c r="E3271" t="s">
        <v>19</v>
      </c>
      <c r="F3271">
        <v>6300</v>
      </c>
      <c r="G3271">
        <v>540.29999999999995</v>
      </c>
      <c r="H3271">
        <v>559.1</v>
      </c>
      <c r="I3271">
        <v>456.8</v>
      </c>
      <c r="J3271">
        <v>474.9</v>
      </c>
      <c r="K3271">
        <v>540.29999999999995</v>
      </c>
      <c r="L3271">
        <v>20298</v>
      </c>
      <c r="M3271" t="s">
        <v>1499</v>
      </c>
      <c r="N3271">
        <v>137716.57999999999</v>
      </c>
      <c r="O3271">
        <v>623</v>
      </c>
    </row>
    <row r="3272" spans="1:15" x14ac:dyDescent="0.2">
      <c r="A3272" s="6">
        <v>45825</v>
      </c>
      <c r="B3272" t="s">
        <v>15</v>
      </c>
      <c r="C3272" t="s">
        <v>16</v>
      </c>
      <c r="D3272" s="1">
        <v>45855</v>
      </c>
      <c r="E3272" t="s">
        <v>19</v>
      </c>
      <c r="F3272">
        <v>6000</v>
      </c>
      <c r="G3272">
        <v>335</v>
      </c>
      <c r="H3272">
        <v>360</v>
      </c>
      <c r="I3272">
        <v>289</v>
      </c>
      <c r="J3272">
        <v>306.39999999999998</v>
      </c>
      <c r="K3272">
        <v>346.5</v>
      </c>
      <c r="L3272">
        <v>51742</v>
      </c>
      <c r="M3272" t="s">
        <v>1500</v>
      </c>
      <c r="N3272">
        <v>326587.03999999998</v>
      </c>
      <c r="O3272">
        <v>2172</v>
      </c>
    </row>
    <row r="3273" spans="1:15" x14ac:dyDescent="0.2">
      <c r="A3273" s="6">
        <v>45825</v>
      </c>
      <c r="B3273" t="s">
        <v>15</v>
      </c>
      <c r="C3273" t="s">
        <v>16</v>
      </c>
      <c r="D3273" s="1">
        <v>45855</v>
      </c>
      <c r="E3273" t="s">
        <v>19</v>
      </c>
      <c r="F3273">
        <v>4300</v>
      </c>
      <c r="J3273">
        <v>0.1</v>
      </c>
      <c r="K3273">
        <v>0.1</v>
      </c>
      <c r="L3273">
        <v>0</v>
      </c>
      <c r="M3273" t="s">
        <v>18</v>
      </c>
      <c r="N3273">
        <v>0</v>
      </c>
      <c r="O3273">
        <v>0</v>
      </c>
    </row>
    <row r="3274" spans="1:15" x14ac:dyDescent="0.2">
      <c r="A3274" s="6">
        <v>45825</v>
      </c>
      <c r="B3274" t="s">
        <v>15</v>
      </c>
      <c r="C3274" t="s">
        <v>16</v>
      </c>
      <c r="D3274" s="1">
        <v>45855</v>
      </c>
      <c r="E3274" t="s">
        <v>17</v>
      </c>
      <c r="F3274">
        <v>3900</v>
      </c>
      <c r="J3274">
        <v>2387.3000000000002</v>
      </c>
      <c r="K3274">
        <v>2137.1</v>
      </c>
      <c r="L3274">
        <v>0</v>
      </c>
      <c r="M3274" t="s">
        <v>18</v>
      </c>
      <c r="N3274">
        <v>0</v>
      </c>
      <c r="O3274">
        <v>0</v>
      </c>
    </row>
    <row r="3275" spans="1:15" x14ac:dyDescent="0.2">
      <c r="A3275" s="6">
        <v>45825</v>
      </c>
      <c r="B3275" t="s">
        <v>15</v>
      </c>
      <c r="C3275" t="s">
        <v>16</v>
      </c>
      <c r="D3275" s="1">
        <v>45855</v>
      </c>
      <c r="E3275" t="s">
        <v>17</v>
      </c>
      <c r="F3275">
        <v>5850</v>
      </c>
      <c r="J3275">
        <v>554.20000000000005</v>
      </c>
      <c r="K3275">
        <v>450.4</v>
      </c>
      <c r="L3275">
        <v>0</v>
      </c>
      <c r="M3275" t="s">
        <v>18</v>
      </c>
      <c r="N3275">
        <v>0</v>
      </c>
      <c r="O3275">
        <v>3</v>
      </c>
    </row>
    <row r="3276" spans="1:15" x14ac:dyDescent="0.2">
      <c r="A3276" s="6">
        <v>45825</v>
      </c>
      <c r="B3276" t="s">
        <v>15</v>
      </c>
      <c r="C3276" t="s">
        <v>16</v>
      </c>
      <c r="D3276" s="1">
        <v>45855</v>
      </c>
      <c r="E3276" t="s">
        <v>19</v>
      </c>
      <c r="F3276">
        <v>6500</v>
      </c>
      <c r="G3276">
        <v>665</v>
      </c>
      <c r="H3276">
        <v>710</v>
      </c>
      <c r="I3276">
        <v>582.4</v>
      </c>
      <c r="J3276">
        <v>606.5</v>
      </c>
      <c r="K3276">
        <v>699.4</v>
      </c>
      <c r="L3276">
        <v>3509</v>
      </c>
      <c r="M3276" t="s">
        <v>1501</v>
      </c>
      <c r="N3276">
        <v>24993.58</v>
      </c>
      <c r="O3276">
        <v>135</v>
      </c>
    </row>
    <row r="3277" spans="1:15" x14ac:dyDescent="0.2">
      <c r="A3277" s="6">
        <v>45825</v>
      </c>
      <c r="B3277" t="s">
        <v>15</v>
      </c>
      <c r="C3277" t="s">
        <v>16</v>
      </c>
      <c r="D3277" s="1">
        <v>45855</v>
      </c>
      <c r="E3277" t="s">
        <v>19</v>
      </c>
      <c r="F3277">
        <v>5850</v>
      </c>
      <c r="G3277">
        <v>254.8</v>
      </c>
      <c r="H3277">
        <v>275.8</v>
      </c>
      <c r="I3277">
        <v>220.8</v>
      </c>
      <c r="J3277">
        <v>236</v>
      </c>
      <c r="K3277">
        <v>264.5</v>
      </c>
      <c r="L3277">
        <v>2041</v>
      </c>
      <c r="M3277" t="s">
        <v>1502</v>
      </c>
      <c r="N3277">
        <v>12425.59</v>
      </c>
      <c r="O3277">
        <v>126</v>
      </c>
    </row>
    <row r="3278" spans="1:15" x14ac:dyDescent="0.2">
      <c r="A3278" s="6">
        <v>45825</v>
      </c>
      <c r="B3278" t="s">
        <v>15</v>
      </c>
      <c r="C3278" t="s">
        <v>16</v>
      </c>
      <c r="D3278" s="1">
        <v>45855</v>
      </c>
      <c r="E3278" t="s">
        <v>17</v>
      </c>
      <c r="F3278">
        <v>6150</v>
      </c>
      <c r="G3278">
        <v>334.8</v>
      </c>
      <c r="H3278">
        <v>549.9</v>
      </c>
      <c r="I3278">
        <v>320</v>
      </c>
      <c r="J3278">
        <v>532.20000000000005</v>
      </c>
      <c r="K3278">
        <v>334.8</v>
      </c>
      <c r="L3278">
        <v>6280</v>
      </c>
      <c r="M3278" t="s">
        <v>1503</v>
      </c>
      <c r="N3278">
        <v>41216.83</v>
      </c>
      <c r="O3278">
        <v>115</v>
      </c>
    </row>
    <row r="3279" spans="1:15" x14ac:dyDescent="0.2">
      <c r="A3279" s="6">
        <v>45825</v>
      </c>
      <c r="B3279" t="s">
        <v>15</v>
      </c>
      <c r="C3279" t="s">
        <v>16</v>
      </c>
      <c r="D3279" s="1">
        <v>45855</v>
      </c>
      <c r="E3279" t="s">
        <v>17</v>
      </c>
      <c r="F3279">
        <v>4050</v>
      </c>
      <c r="J3279">
        <v>2238</v>
      </c>
      <c r="K3279">
        <v>1987.9</v>
      </c>
      <c r="L3279">
        <v>0</v>
      </c>
      <c r="M3279" t="s">
        <v>18</v>
      </c>
      <c r="N3279">
        <v>0</v>
      </c>
      <c r="O3279">
        <v>0</v>
      </c>
    </row>
    <row r="3280" spans="1:15" x14ac:dyDescent="0.2">
      <c r="A3280" s="6">
        <v>45825</v>
      </c>
      <c r="B3280" t="s">
        <v>15</v>
      </c>
      <c r="C3280" t="s">
        <v>16</v>
      </c>
      <c r="D3280" s="1">
        <v>45855</v>
      </c>
      <c r="E3280" t="s">
        <v>19</v>
      </c>
      <c r="F3280">
        <v>5550</v>
      </c>
      <c r="G3280">
        <v>139</v>
      </c>
      <c r="H3280">
        <v>150</v>
      </c>
      <c r="I3280">
        <v>117.3</v>
      </c>
      <c r="J3280">
        <v>129.80000000000001</v>
      </c>
      <c r="K3280">
        <v>138.9</v>
      </c>
      <c r="L3280">
        <v>1080</v>
      </c>
      <c r="M3280" t="s">
        <v>1504</v>
      </c>
      <c r="N3280">
        <v>6133.32</v>
      </c>
      <c r="O3280">
        <v>40</v>
      </c>
    </row>
    <row r="3281" spans="1:15" x14ac:dyDescent="0.2">
      <c r="A3281" s="6">
        <v>45825</v>
      </c>
      <c r="B3281" t="s">
        <v>15</v>
      </c>
      <c r="C3281" t="s">
        <v>16</v>
      </c>
      <c r="D3281" s="1">
        <v>45855</v>
      </c>
      <c r="E3281" t="s">
        <v>19</v>
      </c>
      <c r="F3281">
        <v>4350</v>
      </c>
      <c r="J3281">
        <v>0.1</v>
      </c>
      <c r="K3281">
        <v>0.2</v>
      </c>
      <c r="L3281">
        <v>0</v>
      </c>
      <c r="M3281" t="s">
        <v>18</v>
      </c>
      <c r="N3281">
        <v>0</v>
      </c>
      <c r="O3281">
        <v>0</v>
      </c>
    </row>
    <row r="3282" spans="1:15" x14ac:dyDescent="0.2">
      <c r="A3282" s="6">
        <v>45825</v>
      </c>
      <c r="B3282" t="s">
        <v>15</v>
      </c>
      <c r="C3282" t="s">
        <v>16</v>
      </c>
      <c r="D3282" s="1">
        <v>45855</v>
      </c>
      <c r="E3282" t="s">
        <v>19</v>
      </c>
      <c r="F3282">
        <v>6600</v>
      </c>
      <c r="G3282">
        <v>763.3</v>
      </c>
      <c r="H3282">
        <v>788.4</v>
      </c>
      <c r="I3282">
        <v>650.5</v>
      </c>
      <c r="J3282">
        <v>678.5</v>
      </c>
      <c r="K3282">
        <v>768.6</v>
      </c>
      <c r="L3282">
        <v>378</v>
      </c>
      <c r="M3282" t="s">
        <v>933</v>
      </c>
      <c r="N3282">
        <v>2765.02</v>
      </c>
      <c r="O3282">
        <v>104</v>
      </c>
    </row>
    <row r="3283" spans="1:15" x14ac:dyDescent="0.2">
      <c r="A3283" s="6">
        <v>45825</v>
      </c>
      <c r="B3283" t="s">
        <v>15</v>
      </c>
      <c r="C3283" t="s">
        <v>16</v>
      </c>
      <c r="D3283" s="1">
        <v>45855</v>
      </c>
      <c r="E3283" t="s">
        <v>19</v>
      </c>
      <c r="F3283">
        <v>7000</v>
      </c>
      <c r="J3283">
        <v>769.9</v>
      </c>
      <c r="K3283">
        <v>977.5</v>
      </c>
      <c r="L3283">
        <v>0</v>
      </c>
      <c r="M3283" t="s">
        <v>18</v>
      </c>
      <c r="N3283">
        <v>0</v>
      </c>
      <c r="O3283">
        <v>0</v>
      </c>
    </row>
    <row r="3284" spans="1:15" x14ac:dyDescent="0.2">
      <c r="A3284" s="6">
        <v>45825</v>
      </c>
      <c r="B3284" t="s">
        <v>15</v>
      </c>
      <c r="C3284" t="s">
        <v>16</v>
      </c>
      <c r="D3284" s="1">
        <v>45855</v>
      </c>
      <c r="E3284" t="s">
        <v>17</v>
      </c>
      <c r="F3284">
        <v>7400</v>
      </c>
      <c r="G3284">
        <v>100</v>
      </c>
      <c r="H3284">
        <v>222.7</v>
      </c>
      <c r="I3284">
        <v>100</v>
      </c>
      <c r="J3284">
        <v>218.8</v>
      </c>
      <c r="K3284">
        <v>106.1</v>
      </c>
      <c r="L3284">
        <v>23855</v>
      </c>
      <c r="M3284" t="s">
        <v>1505</v>
      </c>
      <c r="N3284">
        <v>180293.36</v>
      </c>
      <c r="O3284">
        <v>2623</v>
      </c>
    </row>
    <row r="3285" spans="1:15" x14ac:dyDescent="0.2">
      <c r="A3285" s="6">
        <v>45825</v>
      </c>
      <c r="B3285" t="s">
        <v>15</v>
      </c>
      <c r="C3285" t="s">
        <v>16</v>
      </c>
      <c r="D3285" s="1">
        <v>45855</v>
      </c>
      <c r="E3285" t="s">
        <v>17</v>
      </c>
      <c r="F3285">
        <v>5400</v>
      </c>
      <c r="G3285">
        <v>772.5</v>
      </c>
      <c r="H3285">
        <v>1019.6</v>
      </c>
      <c r="I3285">
        <v>730.5</v>
      </c>
      <c r="J3285">
        <v>955</v>
      </c>
      <c r="K3285">
        <v>736.2</v>
      </c>
      <c r="L3285">
        <v>384</v>
      </c>
      <c r="M3285" t="s">
        <v>1506</v>
      </c>
      <c r="N3285">
        <v>2390.5</v>
      </c>
      <c r="O3285">
        <v>604</v>
      </c>
    </row>
    <row r="3286" spans="1:15" x14ac:dyDescent="0.2">
      <c r="A3286" s="6">
        <v>45825</v>
      </c>
      <c r="B3286" t="s">
        <v>15</v>
      </c>
      <c r="C3286" t="s">
        <v>16</v>
      </c>
      <c r="D3286" s="1">
        <v>45855</v>
      </c>
      <c r="E3286" t="s">
        <v>19</v>
      </c>
      <c r="F3286">
        <v>6450</v>
      </c>
      <c r="G3286">
        <v>645.79999999999995</v>
      </c>
      <c r="H3286">
        <v>648.20000000000005</v>
      </c>
      <c r="I3286">
        <v>559.70000000000005</v>
      </c>
      <c r="J3286">
        <v>571.1</v>
      </c>
      <c r="K3286">
        <v>517.79999999999995</v>
      </c>
      <c r="L3286">
        <v>153</v>
      </c>
      <c r="M3286" t="s">
        <v>1507</v>
      </c>
      <c r="N3286">
        <v>1076.74</v>
      </c>
      <c r="O3286">
        <v>24</v>
      </c>
    </row>
    <row r="3287" spans="1:15" x14ac:dyDescent="0.2">
      <c r="A3287" s="6">
        <v>45825</v>
      </c>
      <c r="B3287" t="s">
        <v>15</v>
      </c>
      <c r="C3287" t="s">
        <v>16</v>
      </c>
      <c r="D3287" s="1">
        <v>45855</v>
      </c>
      <c r="E3287" t="s">
        <v>17</v>
      </c>
      <c r="F3287">
        <v>5650</v>
      </c>
      <c r="J3287">
        <v>707.5</v>
      </c>
      <c r="K3287">
        <v>595.6</v>
      </c>
      <c r="L3287">
        <v>0</v>
      </c>
      <c r="M3287" t="s">
        <v>18</v>
      </c>
      <c r="N3287">
        <v>0</v>
      </c>
      <c r="O3287">
        <v>3</v>
      </c>
    </row>
    <row r="3288" spans="1:15" x14ac:dyDescent="0.2">
      <c r="A3288" s="6">
        <v>45825</v>
      </c>
      <c r="B3288" t="s">
        <v>15</v>
      </c>
      <c r="C3288" t="s">
        <v>16</v>
      </c>
      <c r="D3288" s="1">
        <v>45855</v>
      </c>
      <c r="E3288" t="s">
        <v>19</v>
      </c>
      <c r="F3288">
        <v>5000</v>
      </c>
      <c r="G3288">
        <v>42.1</v>
      </c>
      <c r="H3288">
        <v>51.6</v>
      </c>
      <c r="I3288">
        <v>36.9</v>
      </c>
      <c r="J3288">
        <v>41.5</v>
      </c>
      <c r="K3288">
        <v>42.1</v>
      </c>
      <c r="L3288">
        <v>12184</v>
      </c>
      <c r="M3288" t="s">
        <v>1508</v>
      </c>
      <c r="N3288">
        <v>61440.73</v>
      </c>
      <c r="O3288">
        <v>1725</v>
      </c>
    </row>
    <row r="3289" spans="1:15" x14ac:dyDescent="0.2">
      <c r="A3289" s="6">
        <v>45825</v>
      </c>
      <c r="B3289" t="s">
        <v>15</v>
      </c>
      <c r="C3289" t="s">
        <v>16</v>
      </c>
      <c r="D3289" s="1">
        <v>45855</v>
      </c>
      <c r="E3289" t="s">
        <v>19</v>
      </c>
      <c r="F3289">
        <v>4150</v>
      </c>
      <c r="J3289">
        <v>0.1</v>
      </c>
      <c r="K3289">
        <v>0.1</v>
      </c>
      <c r="L3289">
        <v>0</v>
      </c>
      <c r="M3289" t="s">
        <v>18</v>
      </c>
      <c r="N3289">
        <v>0</v>
      </c>
      <c r="O3289">
        <v>0</v>
      </c>
    </row>
    <row r="3290" spans="1:15" x14ac:dyDescent="0.2">
      <c r="A3290" s="6">
        <v>45825</v>
      </c>
      <c r="B3290" t="s">
        <v>15</v>
      </c>
      <c r="C3290" t="s">
        <v>16</v>
      </c>
      <c r="D3290" s="1">
        <v>45855</v>
      </c>
      <c r="E3290" t="s">
        <v>19</v>
      </c>
      <c r="F3290">
        <v>5950</v>
      </c>
      <c r="G3290">
        <v>300.39999999999998</v>
      </c>
      <c r="H3290">
        <v>330.3</v>
      </c>
      <c r="I3290">
        <v>265.5</v>
      </c>
      <c r="J3290">
        <v>281.7</v>
      </c>
      <c r="K3290">
        <v>316.2</v>
      </c>
      <c r="L3290">
        <v>4855</v>
      </c>
      <c r="M3290" t="s">
        <v>1160</v>
      </c>
      <c r="N3290">
        <v>30284.89</v>
      </c>
      <c r="O3290">
        <v>138</v>
      </c>
    </row>
    <row r="3291" spans="1:15" x14ac:dyDescent="0.2">
      <c r="A3291" s="6">
        <v>45825</v>
      </c>
      <c r="B3291" t="s">
        <v>15</v>
      </c>
      <c r="C3291" t="s">
        <v>16</v>
      </c>
      <c r="D3291" s="1">
        <v>45855</v>
      </c>
      <c r="E3291" t="s">
        <v>19</v>
      </c>
      <c r="F3291">
        <v>7300</v>
      </c>
      <c r="J3291">
        <v>1031.7</v>
      </c>
      <c r="K3291">
        <v>1258.5999999999999</v>
      </c>
      <c r="L3291">
        <v>0</v>
      </c>
      <c r="M3291" t="s">
        <v>18</v>
      </c>
      <c r="N3291">
        <v>0</v>
      </c>
      <c r="O3291">
        <v>0</v>
      </c>
    </row>
    <row r="3292" spans="1:15" x14ac:dyDescent="0.2">
      <c r="A3292" s="6">
        <v>45825</v>
      </c>
      <c r="B3292" t="s">
        <v>15</v>
      </c>
      <c r="C3292" t="s">
        <v>16</v>
      </c>
      <c r="D3292" s="1">
        <v>45855</v>
      </c>
      <c r="E3292" t="s">
        <v>17</v>
      </c>
      <c r="F3292">
        <v>6450</v>
      </c>
      <c r="G3292">
        <v>271.5</v>
      </c>
      <c r="H3292">
        <v>439.9</v>
      </c>
      <c r="I3292">
        <v>237.7</v>
      </c>
      <c r="J3292">
        <v>426.6</v>
      </c>
      <c r="K3292">
        <v>249.5</v>
      </c>
      <c r="L3292">
        <v>4752</v>
      </c>
      <c r="M3292" t="s">
        <v>1509</v>
      </c>
      <c r="N3292">
        <v>32217.95</v>
      </c>
      <c r="O3292">
        <v>256</v>
      </c>
    </row>
    <row r="3293" spans="1:15" x14ac:dyDescent="0.2">
      <c r="A3293" s="6">
        <v>45825</v>
      </c>
      <c r="B3293" t="s">
        <v>15</v>
      </c>
      <c r="C3293" t="s">
        <v>16</v>
      </c>
      <c r="D3293" s="1">
        <v>45855</v>
      </c>
      <c r="E3293" t="s">
        <v>19</v>
      </c>
      <c r="F3293">
        <v>3800</v>
      </c>
      <c r="J3293">
        <v>0.1</v>
      </c>
      <c r="K3293">
        <v>0.1</v>
      </c>
      <c r="L3293">
        <v>0</v>
      </c>
      <c r="M3293" t="s">
        <v>18</v>
      </c>
      <c r="N3293">
        <v>0</v>
      </c>
      <c r="O3293">
        <v>0</v>
      </c>
    </row>
    <row r="3294" spans="1:15" x14ac:dyDescent="0.2">
      <c r="A3294" s="6">
        <v>45825</v>
      </c>
      <c r="B3294" t="s">
        <v>15</v>
      </c>
      <c r="C3294" t="s">
        <v>16</v>
      </c>
      <c r="D3294" s="1">
        <v>45855</v>
      </c>
      <c r="E3294" t="s">
        <v>17</v>
      </c>
      <c r="F3294">
        <v>6000</v>
      </c>
      <c r="G3294">
        <v>400.1</v>
      </c>
      <c r="H3294">
        <v>620.5</v>
      </c>
      <c r="I3294">
        <v>373.2</v>
      </c>
      <c r="J3294">
        <v>603.29999999999995</v>
      </c>
      <c r="K3294">
        <v>388.9</v>
      </c>
      <c r="L3294">
        <v>14307</v>
      </c>
      <c r="M3294" t="s">
        <v>1510</v>
      </c>
      <c r="N3294">
        <v>92563.79</v>
      </c>
      <c r="O3294">
        <v>1162</v>
      </c>
    </row>
    <row r="3295" spans="1:15" x14ac:dyDescent="0.2">
      <c r="A3295" s="6">
        <v>45825</v>
      </c>
      <c r="B3295" t="s">
        <v>15</v>
      </c>
      <c r="C3295" t="s">
        <v>16</v>
      </c>
      <c r="D3295" s="1">
        <v>45855</v>
      </c>
      <c r="E3295" t="s">
        <v>17</v>
      </c>
      <c r="F3295">
        <v>4300</v>
      </c>
      <c r="J3295">
        <v>1989.3</v>
      </c>
      <c r="K3295">
        <v>1739.3</v>
      </c>
      <c r="L3295">
        <v>0</v>
      </c>
      <c r="M3295" t="s">
        <v>18</v>
      </c>
      <c r="N3295">
        <v>0</v>
      </c>
      <c r="O3295">
        <v>0</v>
      </c>
    </row>
    <row r="3296" spans="1:15" x14ac:dyDescent="0.2">
      <c r="A3296" s="6">
        <v>45825</v>
      </c>
      <c r="B3296" t="s">
        <v>15</v>
      </c>
      <c r="C3296" t="s">
        <v>16</v>
      </c>
      <c r="D3296" s="1">
        <v>45855</v>
      </c>
      <c r="E3296" t="s">
        <v>19</v>
      </c>
      <c r="F3296">
        <v>5750</v>
      </c>
      <c r="G3296">
        <v>210.5</v>
      </c>
      <c r="H3296">
        <v>228.5</v>
      </c>
      <c r="I3296">
        <v>180.7</v>
      </c>
      <c r="J3296">
        <v>195.6</v>
      </c>
      <c r="K3296">
        <v>217.3</v>
      </c>
      <c r="L3296">
        <v>3068</v>
      </c>
      <c r="M3296" t="s">
        <v>1511</v>
      </c>
      <c r="N3296">
        <v>18236.43</v>
      </c>
      <c r="O3296">
        <v>62</v>
      </c>
    </row>
    <row r="3297" spans="1:15" x14ac:dyDescent="0.2">
      <c r="A3297" s="6">
        <v>45825</v>
      </c>
      <c r="B3297" t="s">
        <v>15</v>
      </c>
      <c r="C3297" t="s">
        <v>16</v>
      </c>
      <c r="D3297" s="1">
        <v>45855</v>
      </c>
      <c r="E3297" t="s">
        <v>19</v>
      </c>
      <c r="F3297">
        <v>6100</v>
      </c>
      <c r="G3297">
        <v>388.4</v>
      </c>
      <c r="H3297">
        <v>422.3</v>
      </c>
      <c r="I3297">
        <v>340.7</v>
      </c>
      <c r="J3297">
        <v>358.4</v>
      </c>
      <c r="K3297">
        <v>405.7</v>
      </c>
      <c r="L3297">
        <v>30367</v>
      </c>
      <c r="M3297" t="s">
        <v>1512</v>
      </c>
      <c r="N3297">
        <v>196361.3</v>
      </c>
      <c r="O3297">
        <v>972</v>
      </c>
    </row>
    <row r="3298" spans="1:15" x14ac:dyDescent="0.2">
      <c r="A3298" s="6">
        <v>45825</v>
      </c>
      <c r="B3298" t="s">
        <v>15</v>
      </c>
      <c r="C3298" t="s">
        <v>16</v>
      </c>
      <c r="D3298" s="1">
        <v>45855</v>
      </c>
      <c r="E3298" t="s">
        <v>19</v>
      </c>
      <c r="F3298">
        <v>5500</v>
      </c>
      <c r="G3298">
        <v>110.3</v>
      </c>
      <c r="H3298">
        <v>135.19999999999999</v>
      </c>
      <c r="I3298">
        <v>104.1</v>
      </c>
      <c r="J3298">
        <v>115.1</v>
      </c>
      <c r="K3298">
        <v>120.8</v>
      </c>
      <c r="L3298">
        <v>20457</v>
      </c>
      <c r="M3298" t="s">
        <v>1513</v>
      </c>
      <c r="N3298">
        <v>114874.54</v>
      </c>
      <c r="O3298">
        <v>2000</v>
      </c>
    </row>
    <row r="3299" spans="1:15" x14ac:dyDescent="0.2">
      <c r="A3299" s="6">
        <v>45825</v>
      </c>
      <c r="B3299" t="s">
        <v>15</v>
      </c>
      <c r="C3299" t="s">
        <v>16</v>
      </c>
      <c r="D3299" s="1">
        <v>45855</v>
      </c>
      <c r="E3299" t="s">
        <v>17</v>
      </c>
      <c r="F3299">
        <v>4700</v>
      </c>
      <c r="J3299">
        <v>1592.2</v>
      </c>
      <c r="K3299">
        <v>1343.4</v>
      </c>
      <c r="L3299">
        <v>0</v>
      </c>
      <c r="M3299" t="s">
        <v>18</v>
      </c>
      <c r="N3299">
        <v>0</v>
      </c>
      <c r="O3299">
        <v>0</v>
      </c>
    </row>
    <row r="3300" spans="1:15" x14ac:dyDescent="0.2">
      <c r="A3300" s="6">
        <v>45824</v>
      </c>
      <c r="B3300" t="s">
        <v>15</v>
      </c>
      <c r="C3300" t="s">
        <v>16</v>
      </c>
      <c r="D3300" s="1">
        <v>45855</v>
      </c>
      <c r="E3300" t="s">
        <v>17</v>
      </c>
      <c r="F3300">
        <v>4650</v>
      </c>
      <c r="J3300">
        <v>1392.5</v>
      </c>
      <c r="K3300">
        <v>1504.2</v>
      </c>
      <c r="L3300">
        <v>0</v>
      </c>
      <c r="M3300" t="s">
        <v>18</v>
      </c>
      <c r="N3300">
        <v>0</v>
      </c>
      <c r="O3300">
        <v>0</v>
      </c>
    </row>
    <row r="3301" spans="1:15" x14ac:dyDescent="0.2">
      <c r="A3301" s="6">
        <v>45824</v>
      </c>
      <c r="B3301" t="s">
        <v>15</v>
      </c>
      <c r="C3301" t="s">
        <v>16</v>
      </c>
      <c r="D3301" s="1">
        <v>45855</v>
      </c>
      <c r="E3301" t="s">
        <v>19</v>
      </c>
      <c r="F3301">
        <v>5100</v>
      </c>
      <c r="G3301">
        <v>45.5</v>
      </c>
      <c r="H3301">
        <v>68.900000000000006</v>
      </c>
      <c r="I3301">
        <v>36.5</v>
      </c>
      <c r="J3301">
        <v>47.2</v>
      </c>
      <c r="K3301">
        <v>49.5</v>
      </c>
      <c r="L3301">
        <v>930</v>
      </c>
      <c r="M3301" t="s">
        <v>1514</v>
      </c>
      <c r="N3301">
        <v>4792.83</v>
      </c>
      <c r="O3301">
        <v>181</v>
      </c>
    </row>
    <row r="3302" spans="1:15" x14ac:dyDescent="0.2">
      <c r="A3302" s="6">
        <v>45824</v>
      </c>
      <c r="B3302" t="s">
        <v>15</v>
      </c>
      <c r="C3302" t="s">
        <v>16</v>
      </c>
      <c r="D3302" s="1">
        <v>45855</v>
      </c>
      <c r="E3302" t="s">
        <v>17</v>
      </c>
      <c r="F3302">
        <v>5250</v>
      </c>
      <c r="J3302">
        <v>822.8</v>
      </c>
      <c r="K3302">
        <v>931.5</v>
      </c>
      <c r="L3302">
        <v>0</v>
      </c>
      <c r="M3302" t="s">
        <v>18</v>
      </c>
      <c r="N3302">
        <v>0</v>
      </c>
      <c r="O3302">
        <v>0</v>
      </c>
    </row>
    <row r="3303" spans="1:15" x14ac:dyDescent="0.2">
      <c r="A3303" s="6">
        <v>45824</v>
      </c>
      <c r="B3303" t="s">
        <v>15</v>
      </c>
      <c r="C3303" t="s">
        <v>16</v>
      </c>
      <c r="D3303" s="1">
        <v>45855</v>
      </c>
      <c r="E3303" t="s">
        <v>17</v>
      </c>
      <c r="F3303">
        <v>4200</v>
      </c>
      <c r="J3303">
        <v>1838.7</v>
      </c>
      <c r="K3303">
        <v>1950.2</v>
      </c>
      <c r="L3303">
        <v>0</v>
      </c>
      <c r="M3303" t="s">
        <v>18</v>
      </c>
      <c r="N3303">
        <v>0</v>
      </c>
      <c r="O3303">
        <v>0</v>
      </c>
    </row>
    <row r="3304" spans="1:15" x14ac:dyDescent="0.2">
      <c r="A3304" s="6">
        <v>45824</v>
      </c>
      <c r="B3304" t="s">
        <v>15</v>
      </c>
      <c r="C3304" t="s">
        <v>16</v>
      </c>
      <c r="D3304" s="1">
        <v>45855</v>
      </c>
      <c r="E3304" t="s">
        <v>17</v>
      </c>
      <c r="F3304">
        <v>5100</v>
      </c>
      <c r="G3304">
        <v>1125.7</v>
      </c>
      <c r="H3304">
        <v>1125.7</v>
      </c>
      <c r="I3304">
        <v>1125.7</v>
      </c>
      <c r="J3304">
        <v>1125.7</v>
      </c>
      <c r="K3304">
        <v>1113.8</v>
      </c>
      <c r="L3304">
        <v>1</v>
      </c>
      <c r="M3304" t="s">
        <v>155</v>
      </c>
      <c r="N3304">
        <v>6.23</v>
      </c>
      <c r="O3304">
        <v>4</v>
      </c>
    </row>
    <row r="3305" spans="1:15" x14ac:dyDescent="0.2">
      <c r="A3305" s="6">
        <v>45824</v>
      </c>
      <c r="B3305" t="s">
        <v>15</v>
      </c>
      <c r="C3305" t="s">
        <v>16</v>
      </c>
      <c r="D3305" s="1">
        <v>45855</v>
      </c>
      <c r="E3305" t="s">
        <v>19</v>
      </c>
      <c r="F3305">
        <v>6650</v>
      </c>
      <c r="J3305">
        <v>673.4</v>
      </c>
      <c r="K3305">
        <v>600.4</v>
      </c>
      <c r="L3305">
        <v>0</v>
      </c>
      <c r="M3305" t="s">
        <v>18</v>
      </c>
      <c r="N3305">
        <v>0</v>
      </c>
      <c r="O3305">
        <v>0</v>
      </c>
    </row>
    <row r="3306" spans="1:15" x14ac:dyDescent="0.2">
      <c r="A3306" s="6">
        <v>45824</v>
      </c>
      <c r="B3306" t="s">
        <v>15</v>
      </c>
      <c r="C3306" t="s">
        <v>16</v>
      </c>
      <c r="D3306" s="1">
        <v>45855</v>
      </c>
      <c r="E3306" t="s">
        <v>19</v>
      </c>
      <c r="F3306">
        <v>6050</v>
      </c>
      <c r="G3306">
        <v>270</v>
      </c>
      <c r="H3306">
        <v>474.9</v>
      </c>
      <c r="I3306">
        <v>270</v>
      </c>
      <c r="J3306">
        <v>375.9</v>
      </c>
      <c r="K3306">
        <v>230.3</v>
      </c>
      <c r="L3306">
        <v>809</v>
      </c>
      <c r="M3306" t="s">
        <v>1515</v>
      </c>
      <c r="N3306">
        <v>5206.47</v>
      </c>
      <c r="O3306">
        <v>47</v>
      </c>
    </row>
    <row r="3307" spans="1:15" x14ac:dyDescent="0.2">
      <c r="A3307" s="6">
        <v>45824</v>
      </c>
      <c r="B3307" t="s">
        <v>15</v>
      </c>
      <c r="C3307" t="s">
        <v>16</v>
      </c>
      <c r="D3307" s="1">
        <v>45855</v>
      </c>
      <c r="E3307" t="s">
        <v>17</v>
      </c>
      <c r="F3307">
        <v>5700</v>
      </c>
      <c r="G3307">
        <v>630.6</v>
      </c>
      <c r="H3307">
        <v>652.79999999999995</v>
      </c>
      <c r="I3307">
        <v>389</v>
      </c>
      <c r="J3307">
        <v>537.6</v>
      </c>
      <c r="K3307">
        <v>611.5</v>
      </c>
      <c r="L3307">
        <v>964</v>
      </c>
      <c r="M3307" t="s">
        <v>1516</v>
      </c>
      <c r="N3307">
        <v>5979.41</v>
      </c>
      <c r="O3307">
        <v>629</v>
      </c>
    </row>
    <row r="3308" spans="1:15" x14ac:dyDescent="0.2">
      <c r="A3308" s="6">
        <v>45824</v>
      </c>
      <c r="B3308" t="s">
        <v>15</v>
      </c>
      <c r="C3308" t="s">
        <v>16</v>
      </c>
      <c r="D3308" s="1">
        <v>45855</v>
      </c>
      <c r="E3308" t="s">
        <v>17</v>
      </c>
      <c r="F3308">
        <v>4800</v>
      </c>
      <c r="J3308">
        <v>1245.5</v>
      </c>
      <c r="K3308">
        <v>1357.1</v>
      </c>
      <c r="L3308">
        <v>0</v>
      </c>
      <c r="M3308" t="s">
        <v>18</v>
      </c>
      <c r="N3308">
        <v>0</v>
      </c>
      <c r="O3308">
        <v>0</v>
      </c>
    </row>
    <row r="3309" spans="1:15" x14ac:dyDescent="0.2">
      <c r="A3309" s="6">
        <v>45824</v>
      </c>
      <c r="B3309" t="s">
        <v>15</v>
      </c>
      <c r="C3309" t="s">
        <v>16</v>
      </c>
      <c r="D3309" s="1">
        <v>45855</v>
      </c>
      <c r="E3309" t="s">
        <v>19</v>
      </c>
      <c r="F3309">
        <v>4200</v>
      </c>
      <c r="J3309">
        <v>0.1</v>
      </c>
      <c r="K3309">
        <v>0.1</v>
      </c>
      <c r="L3309">
        <v>0</v>
      </c>
      <c r="M3309" t="s">
        <v>18</v>
      </c>
      <c r="N3309">
        <v>0</v>
      </c>
      <c r="O3309">
        <v>0</v>
      </c>
    </row>
    <row r="3310" spans="1:15" x14ac:dyDescent="0.2">
      <c r="A3310" s="6">
        <v>45824</v>
      </c>
      <c r="B3310" t="s">
        <v>15</v>
      </c>
      <c r="C3310" t="s">
        <v>16</v>
      </c>
      <c r="D3310" s="1">
        <v>45855</v>
      </c>
      <c r="E3310" t="s">
        <v>17</v>
      </c>
      <c r="F3310">
        <v>4900</v>
      </c>
      <c r="J3310">
        <v>1148.5</v>
      </c>
      <c r="K3310">
        <v>1259.9000000000001</v>
      </c>
      <c r="L3310">
        <v>0</v>
      </c>
      <c r="M3310" t="s">
        <v>18</v>
      </c>
      <c r="N3310">
        <v>0</v>
      </c>
      <c r="O3310">
        <v>0</v>
      </c>
    </row>
    <row r="3311" spans="1:15" x14ac:dyDescent="0.2">
      <c r="A3311" s="6">
        <v>45824</v>
      </c>
      <c r="B3311" t="s">
        <v>15</v>
      </c>
      <c r="C3311" t="s">
        <v>16</v>
      </c>
      <c r="D3311" s="1">
        <v>45855</v>
      </c>
      <c r="E3311" t="s">
        <v>17</v>
      </c>
      <c r="F3311">
        <v>4950</v>
      </c>
      <c r="J3311">
        <v>1100.5</v>
      </c>
      <c r="K3311">
        <v>1211.8</v>
      </c>
      <c r="L3311">
        <v>0</v>
      </c>
      <c r="M3311" t="s">
        <v>18</v>
      </c>
      <c r="N3311">
        <v>0</v>
      </c>
      <c r="O3311">
        <v>0</v>
      </c>
    </row>
    <row r="3312" spans="1:15" x14ac:dyDescent="0.2">
      <c r="A3312" s="6">
        <v>45824</v>
      </c>
      <c r="B3312" t="s">
        <v>15</v>
      </c>
      <c r="C3312" t="s">
        <v>16</v>
      </c>
      <c r="D3312" s="1">
        <v>45855</v>
      </c>
      <c r="E3312" t="s">
        <v>17</v>
      </c>
      <c r="F3312">
        <v>7300</v>
      </c>
      <c r="J3312">
        <v>12.9</v>
      </c>
      <c r="K3312">
        <v>25.1</v>
      </c>
      <c r="L3312">
        <v>0</v>
      </c>
      <c r="M3312" t="s">
        <v>18</v>
      </c>
      <c r="N3312">
        <v>0</v>
      </c>
      <c r="O3312">
        <v>0</v>
      </c>
    </row>
    <row r="3313" spans="1:15" x14ac:dyDescent="0.2">
      <c r="A3313" s="6">
        <v>45824</v>
      </c>
      <c r="B3313" t="s">
        <v>15</v>
      </c>
      <c r="C3313" t="s">
        <v>16</v>
      </c>
      <c r="D3313" s="1">
        <v>45855</v>
      </c>
      <c r="E3313" t="s">
        <v>17</v>
      </c>
      <c r="F3313">
        <v>5300</v>
      </c>
      <c r="G3313">
        <v>925.5</v>
      </c>
      <c r="H3313">
        <v>925.5</v>
      </c>
      <c r="I3313">
        <v>838.6</v>
      </c>
      <c r="J3313">
        <v>868.4</v>
      </c>
      <c r="K3313">
        <v>883.2</v>
      </c>
      <c r="L3313">
        <v>4</v>
      </c>
      <c r="M3313" t="s">
        <v>78</v>
      </c>
      <c r="N3313">
        <v>24.67</v>
      </c>
      <c r="O3313">
        <v>23</v>
      </c>
    </row>
    <row r="3314" spans="1:15" x14ac:dyDescent="0.2">
      <c r="A3314" s="6">
        <v>45824</v>
      </c>
      <c r="B3314" t="s">
        <v>15</v>
      </c>
      <c r="C3314" t="s">
        <v>16</v>
      </c>
      <c r="D3314" s="1">
        <v>45855</v>
      </c>
      <c r="E3314" t="s">
        <v>19</v>
      </c>
      <c r="F3314">
        <v>7200</v>
      </c>
      <c r="J3314">
        <v>1163.5</v>
      </c>
      <c r="K3314">
        <v>1065.5999999999999</v>
      </c>
      <c r="L3314">
        <v>0</v>
      </c>
      <c r="M3314" t="s">
        <v>18</v>
      </c>
      <c r="N3314">
        <v>0</v>
      </c>
      <c r="O3314">
        <v>0</v>
      </c>
    </row>
    <row r="3315" spans="1:15" x14ac:dyDescent="0.2">
      <c r="A3315" s="6">
        <v>45824</v>
      </c>
      <c r="B3315" t="s">
        <v>15</v>
      </c>
      <c r="C3315" t="s">
        <v>16</v>
      </c>
      <c r="D3315" s="1">
        <v>45855</v>
      </c>
      <c r="E3315" t="s">
        <v>19</v>
      </c>
      <c r="F3315">
        <v>3600</v>
      </c>
      <c r="J3315">
        <v>0.1</v>
      </c>
      <c r="K3315">
        <v>0.1</v>
      </c>
      <c r="L3315">
        <v>0</v>
      </c>
      <c r="M3315" t="s">
        <v>18</v>
      </c>
      <c r="N3315">
        <v>0</v>
      </c>
      <c r="O3315">
        <v>0</v>
      </c>
    </row>
    <row r="3316" spans="1:15" x14ac:dyDescent="0.2">
      <c r="A3316" s="6">
        <v>45824</v>
      </c>
      <c r="B3316" t="s">
        <v>15</v>
      </c>
      <c r="C3316" t="s">
        <v>16</v>
      </c>
      <c r="D3316" s="1">
        <v>45855</v>
      </c>
      <c r="E3316" t="s">
        <v>17</v>
      </c>
      <c r="F3316">
        <v>4450</v>
      </c>
      <c r="J3316">
        <v>1590.4</v>
      </c>
      <c r="K3316">
        <v>1702</v>
      </c>
      <c r="L3316">
        <v>0</v>
      </c>
      <c r="M3316" t="s">
        <v>18</v>
      </c>
      <c r="N3316">
        <v>0</v>
      </c>
      <c r="O3316">
        <v>0</v>
      </c>
    </row>
    <row r="3317" spans="1:15" x14ac:dyDescent="0.2">
      <c r="A3317" s="6">
        <v>45824</v>
      </c>
      <c r="B3317" t="s">
        <v>15</v>
      </c>
      <c r="C3317" t="s">
        <v>16</v>
      </c>
      <c r="D3317" s="1">
        <v>45855</v>
      </c>
      <c r="E3317" t="s">
        <v>19</v>
      </c>
      <c r="F3317">
        <v>5250</v>
      </c>
      <c r="G3317">
        <v>79.099999999999994</v>
      </c>
      <c r="H3317">
        <v>79.099999999999994</v>
      </c>
      <c r="I3317">
        <v>79.099999999999994</v>
      </c>
      <c r="J3317">
        <v>79.099999999999994</v>
      </c>
      <c r="K3317">
        <v>71.5</v>
      </c>
      <c r="L3317">
        <v>1</v>
      </c>
      <c r="M3317" t="s">
        <v>155</v>
      </c>
      <c r="N3317">
        <v>5.33</v>
      </c>
      <c r="O3317">
        <v>8</v>
      </c>
    </row>
    <row r="3318" spans="1:15" x14ac:dyDescent="0.2">
      <c r="A3318" s="6">
        <v>45824</v>
      </c>
      <c r="B3318" t="s">
        <v>15</v>
      </c>
      <c r="C3318" t="s">
        <v>16</v>
      </c>
      <c r="D3318" s="1">
        <v>45855</v>
      </c>
      <c r="E3318" t="s">
        <v>17</v>
      </c>
      <c r="F3318">
        <v>4750</v>
      </c>
      <c r="J3318">
        <v>1294.3</v>
      </c>
      <c r="K3318">
        <v>1406</v>
      </c>
      <c r="L3318">
        <v>0</v>
      </c>
      <c r="M3318" t="s">
        <v>18</v>
      </c>
      <c r="N3318">
        <v>0</v>
      </c>
      <c r="O3318">
        <v>0</v>
      </c>
    </row>
    <row r="3319" spans="1:15" x14ac:dyDescent="0.2">
      <c r="A3319" s="6">
        <v>45824</v>
      </c>
      <c r="B3319" t="s">
        <v>15</v>
      </c>
      <c r="C3319" t="s">
        <v>16</v>
      </c>
      <c r="D3319" s="1">
        <v>45855</v>
      </c>
      <c r="E3319" t="s">
        <v>19</v>
      </c>
      <c r="F3319">
        <v>3900</v>
      </c>
      <c r="J3319">
        <v>0.1</v>
      </c>
      <c r="K3319">
        <v>0.1</v>
      </c>
      <c r="L3319">
        <v>0</v>
      </c>
      <c r="M3319" t="s">
        <v>18</v>
      </c>
      <c r="N3319">
        <v>0</v>
      </c>
      <c r="O3319">
        <v>0</v>
      </c>
    </row>
    <row r="3320" spans="1:15" x14ac:dyDescent="0.2">
      <c r="A3320" s="6">
        <v>45824</v>
      </c>
      <c r="B3320" t="s">
        <v>15</v>
      </c>
      <c r="C3320" t="s">
        <v>16</v>
      </c>
      <c r="D3320" s="1">
        <v>45855</v>
      </c>
      <c r="E3320" t="s">
        <v>17</v>
      </c>
      <c r="F3320">
        <v>5200</v>
      </c>
      <c r="G3320">
        <v>953.9</v>
      </c>
      <c r="H3320">
        <v>953.9</v>
      </c>
      <c r="I3320">
        <v>396</v>
      </c>
      <c r="J3320">
        <v>767.9</v>
      </c>
      <c r="K3320">
        <v>991.2</v>
      </c>
      <c r="L3320">
        <v>3</v>
      </c>
      <c r="M3320" t="s">
        <v>34</v>
      </c>
      <c r="N3320">
        <v>17.899999999999999</v>
      </c>
      <c r="O3320">
        <v>27</v>
      </c>
    </row>
    <row r="3321" spans="1:15" x14ac:dyDescent="0.2">
      <c r="A3321" s="6">
        <v>45824</v>
      </c>
      <c r="B3321" t="s">
        <v>15</v>
      </c>
      <c r="C3321" t="s">
        <v>16</v>
      </c>
      <c r="D3321" s="1">
        <v>45855</v>
      </c>
      <c r="E3321" t="s">
        <v>19</v>
      </c>
      <c r="F3321">
        <v>4900</v>
      </c>
      <c r="J3321">
        <v>6.3</v>
      </c>
      <c r="K3321">
        <v>5.9</v>
      </c>
      <c r="L3321">
        <v>0</v>
      </c>
      <c r="M3321" t="s">
        <v>18</v>
      </c>
      <c r="N3321">
        <v>0</v>
      </c>
      <c r="O3321">
        <v>0</v>
      </c>
    </row>
    <row r="3322" spans="1:15" x14ac:dyDescent="0.2">
      <c r="A3322" s="6">
        <v>45824</v>
      </c>
      <c r="B3322" t="s">
        <v>15</v>
      </c>
      <c r="C3322" t="s">
        <v>16</v>
      </c>
      <c r="D3322" s="1">
        <v>45855</v>
      </c>
      <c r="E3322" t="s">
        <v>19</v>
      </c>
      <c r="F3322">
        <v>6950</v>
      </c>
      <c r="J3322">
        <v>932.2</v>
      </c>
      <c r="K3322">
        <v>843.7</v>
      </c>
      <c r="L3322">
        <v>0</v>
      </c>
      <c r="M3322" t="s">
        <v>18</v>
      </c>
      <c r="N3322">
        <v>0</v>
      </c>
      <c r="O3322">
        <v>0</v>
      </c>
    </row>
    <row r="3323" spans="1:15" x14ac:dyDescent="0.2">
      <c r="A3323" s="6">
        <v>45824</v>
      </c>
      <c r="B3323" t="s">
        <v>15</v>
      </c>
      <c r="C3323" t="s">
        <v>16</v>
      </c>
      <c r="D3323" s="1">
        <v>45855</v>
      </c>
      <c r="E3323" t="s">
        <v>17</v>
      </c>
      <c r="F3323">
        <v>4100</v>
      </c>
      <c r="J3323">
        <v>1938.2</v>
      </c>
      <c r="K3323">
        <v>2049.6</v>
      </c>
      <c r="L3323">
        <v>0</v>
      </c>
      <c r="M3323" t="s">
        <v>18</v>
      </c>
      <c r="N3323">
        <v>0</v>
      </c>
      <c r="O3323">
        <v>0</v>
      </c>
    </row>
    <row r="3324" spans="1:15" x14ac:dyDescent="0.2">
      <c r="A3324" s="6">
        <v>45824</v>
      </c>
      <c r="B3324" t="s">
        <v>15</v>
      </c>
      <c r="C3324" t="s">
        <v>16</v>
      </c>
      <c r="D3324" s="1">
        <v>45855</v>
      </c>
      <c r="E3324" t="s">
        <v>17</v>
      </c>
      <c r="F3324">
        <v>4400</v>
      </c>
      <c r="J3324">
        <v>1640</v>
      </c>
      <c r="K3324">
        <v>1751.6</v>
      </c>
      <c r="L3324">
        <v>0</v>
      </c>
      <c r="M3324" t="s">
        <v>18</v>
      </c>
      <c r="N3324">
        <v>0</v>
      </c>
      <c r="O3324">
        <v>0</v>
      </c>
    </row>
    <row r="3325" spans="1:15" x14ac:dyDescent="0.2">
      <c r="A3325" s="6">
        <v>45824</v>
      </c>
      <c r="B3325" t="s">
        <v>15</v>
      </c>
      <c r="C3325" t="s">
        <v>16</v>
      </c>
      <c r="D3325" s="1">
        <v>45855</v>
      </c>
      <c r="E3325" t="s">
        <v>17</v>
      </c>
      <c r="F3325">
        <v>4350</v>
      </c>
      <c r="J3325">
        <v>1689.6</v>
      </c>
      <c r="K3325">
        <v>1801.2</v>
      </c>
      <c r="L3325">
        <v>0</v>
      </c>
      <c r="M3325" t="s">
        <v>18</v>
      </c>
      <c r="N3325">
        <v>0</v>
      </c>
      <c r="O3325">
        <v>0</v>
      </c>
    </row>
    <row r="3326" spans="1:15" x14ac:dyDescent="0.2">
      <c r="A3326" s="6">
        <v>45824</v>
      </c>
      <c r="B3326" t="s">
        <v>15</v>
      </c>
      <c r="C3326" t="s">
        <v>16</v>
      </c>
      <c r="D3326" s="1">
        <v>45855</v>
      </c>
      <c r="E3326" t="s">
        <v>17</v>
      </c>
      <c r="F3326">
        <v>3700</v>
      </c>
      <c r="J3326">
        <v>2336.1</v>
      </c>
      <c r="K3326">
        <v>2447.4</v>
      </c>
      <c r="L3326">
        <v>0</v>
      </c>
      <c r="M3326" t="s">
        <v>18</v>
      </c>
      <c r="N3326">
        <v>0</v>
      </c>
      <c r="O3326">
        <v>0</v>
      </c>
    </row>
    <row r="3327" spans="1:15" x14ac:dyDescent="0.2">
      <c r="A3327" s="6">
        <v>45824</v>
      </c>
      <c r="B3327" t="s">
        <v>15</v>
      </c>
      <c r="C3327" t="s">
        <v>16</v>
      </c>
      <c r="D3327" s="1">
        <v>45855</v>
      </c>
      <c r="E3327" t="s">
        <v>17</v>
      </c>
      <c r="F3327">
        <v>5150</v>
      </c>
      <c r="J3327">
        <v>912.9</v>
      </c>
      <c r="K3327">
        <v>1022.9</v>
      </c>
      <c r="L3327">
        <v>0</v>
      </c>
      <c r="M3327" t="s">
        <v>18</v>
      </c>
      <c r="N3327">
        <v>0</v>
      </c>
      <c r="O3327">
        <v>2</v>
      </c>
    </row>
    <row r="3328" spans="1:15" x14ac:dyDescent="0.2">
      <c r="A3328" s="6">
        <v>45824</v>
      </c>
      <c r="B3328" t="s">
        <v>15</v>
      </c>
      <c r="C3328" t="s">
        <v>16</v>
      </c>
      <c r="D3328" s="1">
        <v>45855</v>
      </c>
      <c r="E3328" t="s">
        <v>17</v>
      </c>
      <c r="F3328">
        <v>5000</v>
      </c>
      <c r="J3328">
        <v>1052.9000000000001</v>
      </c>
      <c r="K3328">
        <v>1035.5999999999999</v>
      </c>
      <c r="L3328">
        <v>0</v>
      </c>
      <c r="M3328" t="s">
        <v>18</v>
      </c>
      <c r="N3328">
        <v>0</v>
      </c>
      <c r="O3328">
        <v>1</v>
      </c>
    </row>
    <row r="3329" spans="1:15" x14ac:dyDescent="0.2">
      <c r="A3329" s="6">
        <v>45824</v>
      </c>
      <c r="B3329" t="s">
        <v>15</v>
      </c>
      <c r="C3329" t="s">
        <v>16</v>
      </c>
      <c r="D3329" s="1">
        <v>45855</v>
      </c>
      <c r="E3329" t="s">
        <v>17</v>
      </c>
      <c r="F3329">
        <v>5950</v>
      </c>
      <c r="G3329">
        <v>430</v>
      </c>
      <c r="H3329">
        <v>440.2</v>
      </c>
      <c r="I3329">
        <v>295</v>
      </c>
      <c r="J3329">
        <v>414.5</v>
      </c>
      <c r="K3329">
        <v>408.9</v>
      </c>
      <c r="L3329">
        <v>422</v>
      </c>
      <c r="M3329" t="s">
        <v>1517</v>
      </c>
      <c r="N3329">
        <v>2660.23</v>
      </c>
      <c r="O3329">
        <v>5</v>
      </c>
    </row>
    <row r="3330" spans="1:15" x14ac:dyDescent="0.2">
      <c r="A3330" s="6">
        <v>45824</v>
      </c>
      <c r="B3330" t="s">
        <v>15</v>
      </c>
      <c r="C3330" t="s">
        <v>16</v>
      </c>
      <c r="D3330" s="1">
        <v>45855</v>
      </c>
      <c r="E3330" t="s">
        <v>19</v>
      </c>
      <c r="F3330">
        <v>6150</v>
      </c>
      <c r="G3330">
        <v>379</v>
      </c>
      <c r="H3330">
        <v>547</v>
      </c>
      <c r="I3330">
        <v>370.3</v>
      </c>
      <c r="J3330">
        <v>442.5</v>
      </c>
      <c r="K3330">
        <v>418.1</v>
      </c>
      <c r="L3330">
        <v>367</v>
      </c>
      <c r="M3330" t="s">
        <v>1518</v>
      </c>
      <c r="N3330">
        <v>2422.9699999999998</v>
      </c>
      <c r="O3330">
        <v>20</v>
      </c>
    </row>
    <row r="3331" spans="1:15" x14ac:dyDescent="0.2">
      <c r="A3331" s="6">
        <v>45824</v>
      </c>
      <c r="B3331" t="s">
        <v>15</v>
      </c>
      <c r="C3331" t="s">
        <v>16</v>
      </c>
      <c r="D3331" s="1">
        <v>45855</v>
      </c>
      <c r="E3331" t="s">
        <v>17</v>
      </c>
      <c r="F3331">
        <v>4500</v>
      </c>
      <c r="J3331">
        <v>1540.8</v>
      </c>
      <c r="K3331">
        <v>1652.4</v>
      </c>
      <c r="L3331">
        <v>0</v>
      </c>
      <c r="M3331" t="s">
        <v>18</v>
      </c>
      <c r="N3331">
        <v>0</v>
      </c>
      <c r="O3331">
        <v>0</v>
      </c>
    </row>
    <row r="3332" spans="1:15" x14ac:dyDescent="0.2">
      <c r="A3332" s="6">
        <v>45824</v>
      </c>
      <c r="B3332" t="s">
        <v>15</v>
      </c>
      <c r="C3332" t="s">
        <v>16</v>
      </c>
      <c r="D3332" s="1">
        <v>45855</v>
      </c>
      <c r="E3332" t="s">
        <v>17</v>
      </c>
      <c r="F3332">
        <v>6400</v>
      </c>
      <c r="G3332">
        <v>309.89999999999998</v>
      </c>
      <c r="H3332">
        <v>317.2</v>
      </c>
      <c r="I3332">
        <v>172.8</v>
      </c>
      <c r="J3332">
        <v>260.39999999999998</v>
      </c>
      <c r="K3332">
        <v>321.10000000000002</v>
      </c>
      <c r="L3332">
        <v>16554</v>
      </c>
      <c r="M3332" t="s">
        <v>1519</v>
      </c>
      <c r="N3332">
        <v>109962.04</v>
      </c>
      <c r="O3332">
        <v>1504</v>
      </c>
    </row>
    <row r="3333" spans="1:15" x14ac:dyDescent="0.2">
      <c r="A3333" s="6">
        <v>45824</v>
      </c>
      <c r="B3333" t="s">
        <v>15</v>
      </c>
      <c r="C3333" t="s">
        <v>16</v>
      </c>
      <c r="D3333" s="1">
        <v>45855</v>
      </c>
      <c r="E3333" t="s">
        <v>19</v>
      </c>
      <c r="F3333">
        <v>6800</v>
      </c>
      <c r="J3333">
        <v>799.6</v>
      </c>
      <c r="K3333">
        <v>718.3</v>
      </c>
      <c r="L3333">
        <v>0</v>
      </c>
      <c r="M3333" t="s">
        <v>18</v>
      </c>
      <c r="N3333">
        <v>0</v>
      </c>
      <c r="O3333">
        <v>0</v>
      </c>
    </row>
    <row r="3334" spans="1:15" x14ac:dyDescent="0.2">
      <c r="A3334" s="6">
        <v>45824</v>
      </c>
      <c r="B3334" t="s">
        <v>15</v>
      </c>
      <c r="C3334" t="s">
        <v>16</v>
      </c>
      <c r="D3334" s="1">
        <v>45855</v>
      </c>
      <c r="E3334" t="s">
        <v>17</v>
      </c>
      <c r="F3334">
        <v>6600</v>
      </c>
      <c r="G3334">
        <v>281.60000000000002</v>
      </c>
      <c r="H3334">
        <v>281.60000000000002</v>
      </c>
      <c r="I3334">
        <v>140.19999999999999</v>
      </c>
      <c r="J3334">
        <v>215.5</v>
      </c>
      <c r="K3334">
        <v>272.7</v>
      </c>
      <c r="L3334">
        <v>6222</v>
      </c>
      <c r="M3334" t="s">
        <v>1520</v>
      </c>
      <c r="N3334">
        <v>42292.78</v>
      </c>
      <c r="O3334">
        <v>532</v>
      </c>
    </row>
    <row r="3335" spans="1:15" x14ac:dyDescent="0.2">
      <c r="A3335" s="6">
        <v>45824</v>
      </c>
      <c r="B3335" t="s">
        <v>15</v>
      </c>
      <c r="C3335" t="s">
        <v>16</v>
      </c>
      <c r="D3335" s="1">
        <v>45855</v>
      </c>
      <c r="E3335" t="s">
        <v>17</v>
      </c>
      <c r="F3335">
        <v>3800</v>
      </c>
      <c r="J3335">
        <v>2236.6</v>
      </c>
      <c r="K3335">
        <v>2347.9</v>
      </c>
      <c r="L3335">
        <v>0</v>
      </c>
      <c r="M3335" t="s">
        <v>18</v>
      </c>
      <c r="N3335">
        <v>0</v>
      </c>
      <c r="O3335">
        <v>0</v>
      </c>
    </row>
    <row r="3336" spans="1:15" x14ac:dyDescent="0.2">
      <c r="A3336" s="6">
        <v>45824</v>
      </c>
      <c r="B3336" t="s">
        <v>15</v>
      </c>
      <c r="C3336" t="s">
        <v>16</v>
      </c>
      <c r="D3336" s="1">
        <v>45855</v>
      </c>
      <c r="E3336" t="s">
        <v>19</v>
      </c>
      <c r="F3336">
        <v>6200</v>
      </c>
      <c r="G3336">
        <v>376.1</v>
      </c>
      <c r="H3336">
        <v>576.1</v>
      </c>
      <c r="I3336">
        <v>350.1</v>
      </c>
      <c r="J3336">
        <v>471.8</v>
      </c>
      <c r="K3336">
        <v>431</v>
      </c>
      <c r="L3336">
        <v>13086</v>
      </c>
      <c r="M3336" t="s">
        <v>1521</v>
      </c>
      <c r="N3336">
        <v>87049.51</v>
      </c>
      <c r="O3336">
        <v>660</v>
      </c>
    </row>
    <row r="3337" spans="1:15" x14ac:dyDescent="0.2">
      <c r="A3337" s="6">
        <v>45824</v>
      </c>
      <c r="B3337" t="s">
        <v>15</v>
      </c>
      <c r="C3337" t="s">
        <v>16</v>
      </c>
      <c r="D3337" s="1">
        <v>45855</v>
      </c>
      <c r="E3337" t="s">
        <v>17</v>
      </c>
      <c r="F3337">
        <v>7250</v>
      </c>
      <c r="J3337">
        <v>15</v>
      </c>
      <c r="K3337">
        <v>28.6</v>
      </c>
      <c r="L3337">
        <v>0</v>
      </c>
      <c r="M3337" t="s">
        <v>18</v>
      </c>
      <c r="N3337">
        <v>0</v>
      </c>
      <c r="O3337">
        <v>0</v>
      </c>
    </row>
    <row r="3338" spans="1:15" x14ac:dyDescent="0.2">
      <c r="A3338" s="6">
        <v>45824</v>
      </c>
      <c r="B3338" t="s">
        <v>15</v>
      </c>
      <c r="C3338" t="s">
        <v>16</v>
      </c>
      <c r="D3338" s="1">
        <v>45855</v>
      </c>
      <c r="E3338" t="s">
        <v>17</v>
      </c>
      <c r="F3338">
        <v>5750</v>
      </c>
      <c r="J3338">
        <v>432.2</v>
      </c>
      <c r="K3338">
        <v>553.1</v>
      </c>
      <c r="L3338">
        <v>0</v>
      </c>
      <c r="M3338" t="s">
        <v>18</v>
      </c>
      <c r="N3338">
        <v>0</v>
      </c>
      <c r="O3338">
        <v>3</v>
      </c>
    </row>
    <row r="3339" spans="1:15" x14ac:dyDescent="0.2">
      <c r="A3339" s="6">
        <v>45824</v>
      </c>
      <c r="B3339" t="s">
        <v>15</v>
      </c>
      <c r="C3339" t="s">
        <v>16</v>
      </c>
      <c r="D3339" s="1">
        <v>45855</v>
      </c>
      <c r="E3339" t="s">
        <v>19</v>
      </c>
      <c r="F3339">
        <v>4600</v>
      </c>
      <c r="J3339">
        <v>1.2</v>
      </c>
      <c r="K3339">
        <v>1.2</v>
      </c>
      <c r="L3339">
        <v>0</v>
      </c>
      <c r="M3339" t="s">
        <v>18</v>
      </c>
      <c r="N3339">
        <v>0</v>
      </c>
      <c r="O3339">
        <v>0</v>
      </c>
    </row>
    <row r="3340" spans="1:15" x14ac:dyDescent="0.2">
      <c r="A3340" s="6">
        <v>45824</v>
      </c>
      <c r="B3340" t="s">
        <v>15</v>
      </c>
      <c r="C3340" t="s">
        <v>16</v>
      </c>
      <c r="D3340" s="1">
        <v>45855</v>
      </c>
      <c r="E3340" t="s">
        <v>17</v>
      </c>
      <c r="F3340">
        <v>6750</v>
      </c>
      <c r="J3340">
        <v>58.3</v>
      </c>
      <c r="K3340">
        <v>92.4</v>
      </c>
      <c r="L3340">
        <v>0</v>
      </c>
      <c r="M3340" t="s">
        <v>18</v>
      </c>
      <c r="N3340">
        <v>0</v>
      </c>
      <c r="O3340">
        <v>0</v>
      </c>
    </row>
    <row r="3341" spans="1:15" x14ac:dyDescent="0.2">
      <c r="A3341" s="6">
        <v>45824</v>
      </c>
      <c r="B3341" t="s">
        <v>15</v>
      </c>
      <c r="C3341" t="s">
        <v>16</v>
      </c>
      <c r="D3341" s="1">
        <v>45855</v>
      </c>
      <c r="E3341" t="s">
        <v>19</v>
      </c>
      <c r="F3341">
        <v>4950</v>
      </c>
      <c r="J3341">
        <v>8.1</v>
      </c>
      <c r="K3341">
        <v>7.5</v>
      </c>
      <c r="L3341">
        <v>0</v>
      </c>
      <c r="M3341" t="s">
        <v>18</v>
      </c>
      <c r="N3341">
        <v>0</v>
      </c>
      <c r="O3341">
        <v>0</v>
      </c>
    </row>
    <row r="3342" spans="1:15" x14ac:dyDescent="0.2">
      <c r="A3342" s="6">
        <v>45824</v>
      </c>
      <c r="B3342" t="s">
        <v>15</v>
      </c>
      <c r="C3342" t="s">
        <v>16</v>
      </c>
      <c r="D3342" s="1">
        <v>45855</v>
      </c>
      <c r="E3342" t="s">
        <v>19</v>
      </c>
      <c r="F3342">
        <v>4250</v>
      </c>
      <c r="J3342">
        <v>0.1</v>
      </c>
      <c r="K3342">
        <v>0.1</v>
      </c>
      <c r="L3342">
        <v>0</v>
      </c>
      <c r="M3342" t="s">
        <v>18</v>
      </c>
      <c r="N3342">
        <v>0</v>
      </c>
      <c r="O3342">
        <v>0</v>
      </c>
    </row>
    <row r="3343" spans="1:15" x14ac:dyDescent="0.2">
      <c r="A3343" s="6">
        <v>45824</v>
      </c>
      <c r="B3343" t="s">
        <v>15</v>
      </c>
      <c r="C3343" t="s">
        <v>16</v>
      </c>
      <c r="D3343" s="1">
        <v>45855</v>
      </c>
      <c r="E3343" t="s">
        <v>17</v>
      </c>
      <c r="F3343">
        <v>5600</v>
      </c>
      <c r="G3343">
        <v>700.7</v>
      </c>
      <c r="H3343">
        <v>727.5</v>
      </c>
      <c r="I3343">
        <v>452.9</v>
      </c>
      <c r="J3343">
        <v>603.79999999999995</v>
      </c>
      <c r="K3343">
        <v>669.4</v>
      </c>
      <c r="L3343">
        <v>225</v>
      </c>
      <c r="M3343" t="s">
        <v>1522</v>
      </c>
      <c r="N3343">
        <v>1385.58</v>
      </c>
      <c r="O3343">
        <v>323</v>
      </c>
    </row>
    <row r="3344" spans="1:15" x14ac:dyDescent="0.2">
      <c r="A3344" s="6">
        <v>45824</v>
      </c>
      <c r="B3344" t="s">
        <v>15</v>
      </c>
      <c r="C3344" t="s">
        <v>16</v>
      </c>
      <c r="D3344" s="1">
        <v>45855</v>
      </c>
      <c r="E3344" t="s">
        <v>17</v>
      </c>
      <c r="F3344">
        <v>3850</v>
      </c>
      <c r="J3344">
        <v>2186.9</v>
      </c>
      <c r="K3344">
        <v>2298.1999999999998</v>
      </c>
      <c r="L3344">
        <v>0</v>
      </c>
      <c r="M3344" t="s">
        <v>18</v>
      </c>
      <c r="N3344">
        <v>0</v>
      </c>
      <c r="O3344">
        <v>0</v>
      </c>
    </row>
    <row r="3345" spans="1:15" x14ac:dyDescent="0.2">
      <c r="A3345" s="6">
        <v>45824</v>
      </c>
      <c r="B3345" t="s">
        <v>15</v>
      </c>
      <c r="C3345" t="s">
        <v>16</v>
      </c>
      <c r="D3345" s="1">
        <v>45855</v>
      </c>
      <c r="E3345" t="s">
        <v>19</v>
      </c>
      <c r="F3345">
        <v>5050</v>
      </c>
      <c r="J3345">
        <v>12.7</v>
      </c>
      <c r="K3345">
        <v>11.6</v>
      </c>
      <c r="L3345">
        <v>0</v>
      </c>
      <c r="M3345" t="s">
        <v>18</v>
      </c>
      <c r="N3345">
        <v>0</v>
      </c>
      <c r="O3345">
        <v>0</v>
      </c>
    </row>
    <row r="3346" spans="1:15" x14ac:dyDescent="0.2">
      <c r="A3346" s="6">
        <v>45824</v>
      </c>
      <c r="B3346" t="s">
        <v>15</v>
      </c>
      <c r="C3346" t="s">
        <v>16</v>
      </c>
      <c r="D3346" s="1">
        <v>45855</v>
      </c>
      <c r="E3346" t="s">
        <v>19</v>
      </c>
      <c r="F3346">
        <v>5900</v>
      </c>
      <c r="G3346">
        <v>224.8</v>
      </c>
      <c r="H3346">
        <v>366.5</v>
      </c>
      <c r="I3346">
        <v>201</v>
      </c>
      <c r="J3346">
        <v>290.10000000000002</v>
      </c>
      <c r="K3346">
        <v>259.2</v>
      </c>
      <c r="L3346">
        <v>11700</v>
      </c>
      <c r="M3346" t="s">
        <v>1523</v>
      </c>
      <c r="N3346">
        <v>72584.009999999995</v>
      </c>
      <c r="O3346">
        <v>785</v>
      </c>
    </row>
    <row r="3347" spans="1:15" x14ac:dyDescent="0.2">
      <c r="A3347" s="6">
        <v>45824</v>
      </c>
      <c r="B3347" t="s">
        <v>15</v>
      </c>
      <c r="C3347" t="s">
        <v>16</v>
      </c>
      <c r="D3347" s="1">
        <v>45855</v>
      </c>
      <c r="E3347" t="s">
        <v>19</v>
      </c>
      <c r="F3347">
        <v>4450</v>
      </c>
      <c r="J3347">
        <v>0.4</v>
      </c>
      <c r="K3347">
        <v>0.5</v>
      </c>
      <c r="L3347">
        <v>0</v>
      </c>
      <c r="M3347" t="s">
        <v>18</v>
      </c>
      <c r="N3347">
        <v>0</v>
      </c>
      <c r="O3347">
        <v>0</v>
      </c>
    </row>
    <row r="3348" spans="1:15" x14ac:dyDescent="0.2">
      <c r="A3348" s="6">
        <v>45824</v>
      </c>
      <c r="B3348" t="s">
        <v>15</v>
      </c>
      <c r="C3348" t="s">
        <v>16</v>
      </c>
      <c r="D3348" s="1">
        <v>45855</v>
      </c>
      <c r="E3348" t="s">
        <v>19</v>
      </c>
      <c r="F3348">
        <v>5400</v>
      </c>
      <c r="G3348">
        <v>72.5</v>
      </c>
      <c r="H3348">
        <v>132.5</v>
      </c>
      <c r="I3348">
        <v>62.7</v>
      </c>
      <c r="J3348">
        <v>93.7</v>
      </c>
      <c r="K3348">
        <v>80.5</v>
      </c>
      <c r="L3348">
        <v>8525</v>
      </c>
      <c r="M3348" t="s">
        <v>1219</v>
      </c>
      <c r="N3348">
        <v>46875.24</v>
      </c>
      <c r="O3348">
        <v>1078</v>
      </c>
    </row>
    <row r="3349" spans="1:15" x14ac:dyDescent="0.2">
      <c r="A3349" s="6">
        <v>45824</v>
      </c>
      <c r="B3349" t="s">
        <v>15</v>
      </c>
      <c r="C3349" t="s">
        <v>16</v>
      </c>
      <c r="D3349" s="1">
        <v>45855</v>
      </c>
      <c r="E3349" t="s">
        <v>19</v>
      </c>
      <c r="F3349">
        <v>6400</v>
      </c>
      <c r="G3349">
        <v>498.4</v>
      </c>
      <c r="H3349">
        <v>704.6</v>
      </c>
      <c r="I3349">
        <v>473</v>
      </c>
      <c r="J3349">
        <v>611</v>
      </c>
      <c r="K3349">
        <v>571.5</v>
      </c>
      <c r="L3349">
        <v>352</v>
      </c>
      <c r="M3349" t="s">
        <v>1524</v>
      </c>
      <c r="N3349">
        <v>2450.59</v>
      </c>
      <c r="O3349">
        <v>61</v>
      </c>
    </row>
    <row r="3350" spans="1:15" x14ac:dyDescent="0.2">
      <c r="A3350" s="6">
        <v>45824</v>
      </c>
      <c r="B3350" t="s">
        <v>15</v>
      </c>
      <c r="C3350" t="s">
        <v>16</v>
      </c>
      <c r="D3350" s="1">
        <v>45855</v>
      </c>
      <c r="E3350" t="s">
        <v>19</v>
      </c>
      <c r="F3350">
        <v>3700</v>
      </c>
      <c r="J3350">
        <v>0.1</v>
      </c>
      <c r="K3350">
        <v>0.1</v>
      </c>
      <c r="L3350">
        <v>0</v>
      </c>
      <c r="M3350" t="s">
        <v>18</v>
      </c>
      <c r="N3350">
        <v>0</v>
      </c>
      <c r="O3350">
        <v>0</v>
      </c>
    </row>
    <row r="3351" spans="1:15" x14ac:dyDescent="0.2">
      <c r="A3351" s="6">
        <v>45824</v>
      </c>
      <c r="B3351" t="s">
        <v>15</v>
      </c>
      <c r="C3351" t="s">
        <v>16</v>
      </c>
      <c r="D3351" s="1">
        <v>45855</v>
      </c>
      <c r="E3351" t="s">
        <v>19</v>
      </c>
      <c r="F3351">
        <v>5300</v>
      </c>
      <c r="G3351">
        <v>71.3</v>
      </c>
      <c r="H3351">
        <v>108</v>
      </c>
      <c r="I3351">
        <v>52.8</v>
      </c>
      <c r="J3351">
        <v>73.3</v>
      </c>
      <c r="K3351">
        <v>67.900000000000006</v>
      </c>
      <c r="L3351">
        <v>6838</v>
      </c>
      <c r="M3351" t="s">
        <v>1525</v>
      </c>
      <c r="N3351">
        <v>36797.53</v>
      </c>
      <c r="O3351">
        <v>902</v>
      </c>
    </row>
    <row r="3352" spans="1:15" x14ac:dyDescent="0.2">
      <c r="A3352" s="6">
        <v>45824</v>
      </c>
      <c r="B3352" t="s">
        <v>15</v>
      </c>
      <c r="C3352" t="s">
        <v>16</v>
      </c>
      <c r="D3352" s="1">
        <v>45855</v>
      </c>
      <c r="E3352" t="s">
        <v>19</v>
      </c>
      <c r="F3352">
        <v>5700</v>
      </c>
      <c r="G3352">
        <v>173.4</v>
      </c>
      <c r="H3352">
        <v>248.4</v>
      </c>
      <c r="I3352">
        <v>127.5</v>
      </c>
      <c r="J3352">
        <v>192.3</v>
      </c>
      <c r="K3352">
        <v>169.2</v>
      </c>
      <c r="L3352">
        <v>16037</v>
      </c>
      <c r="M3352" t="s">
        <v>1526</v>
      </c>
      <c r="N3352">
        <v>94494.05</v>
      </c>
      <c r="O3352">
        <v>1259</v>
      </c>
    </row>
    <row r="3353" spans="1:15" x14ac:dyDescent="0.2">
      <c r="A3353" s="6">
        <v>45824</v>
      </c>
      <c r="B3353" t="s">
        <v>15</v>
      </c>
      <c r="C3353" t="s">
        <v>16</v>
      </c>
      <c r="D3353" s="1">
        <v>45855</v>
      </c>
      <c r="E3353" t="s">
        <v>19</v>
      </c>
      <c r="F3353">
        <v>6750</v>
      </c>
      <c r="J3353">
        <v>756.7</v>
      </c>
      <c r="K3353">
        <v>678.1</v>
      </c>
      <c r="L3353">
        <v>0</v>
      </c>
      <c r="M3353" t="s">
        <v>18</v>
      </c>
      <c r="N3353">
        <v>0</v>
      </c>
      <c r="O3353">
        <v>0</v>
      </c>
    </row>
    <row r="3354" spans="1:15" x14ac:dyDescent="0.2">
      <c r="A3354" s="6">
        <v>45824</v>
      </c>
      <c r="B3354" t="s">
        <v>15</v>
      </c>
      <c r="C3354" t="s">
        <v>16</v>
      </c>
      <c r="D3354" s="1">
        <v>45855</v>
      </c>
      <c r="E3354" t="s">
        <v>17</v>
      </c>
      <c r="F3354">
        <v>7150</v>
      </c>
      <c r="J3354">
        <v>20</v>
      </c>
      <c r="K3354">
        <v>36.700000000000003</v>
      </c>
      <c r="L3354">
        <v>0</v>
      </c>
      <c r="M3354" t="s">
        <v>18</v>
      </c>
      <c r="N3354">
        <v>0</v>
      </c>
      <c r="O3354">
        <v>0</v>
      </c>
    </row>
    <row r="3355" spans="1:15" x14ac:dyDescent="0.2">
      <c r="A3355" s="6">
        <v>45824</v>
      </c>
      <c r="B3355" t="s">
        <v>15</v>
      </c>
      <c r="C3355" t="s">
        <v>16</v>
      </c>
      <c r="D3355" s="1">
        <v>45855</v>
      </c>
      <c r="E3355" t="s">
        <v>17</v>
      </c>
      <c r="F3355">
        <v>6550</v>
      </c>
      <c r="G3355">
        <v>230</v>
      </c>
      <c r="H3355">
        <v>237</v>
      </c>
      <c r="I3355">
        <v>152.6</v>
      </c>
      <c r="J3355">
        <v>226.9</v>
      </c>
      <c r="K3355">
        <v>234</v>
      </c>
      <c r="L3355">
        <v>150</v>
      </c>
      <c r="M3355" t="s">
        <v>1527</v>
      </c>
      <c r="N3355">
        <v>1012.52</v>
      </c>
      <c r="O3355">
        <v>9</v>
      </c>
    </row>
    <row r="3356" spans="1:15" x14ac:dyDescent="0.2">
      <c r="A3356" s="6">
        <v>45824</v>
      </c>
      <c r="B3356" t="s">
        <v>15</v>
      </c>
      <c r="C3356" t="s">
        <v>16</v>
      </c>
      <c r="D3356" s="1">
        <v>45855</v>
      </c>
      <c r="E3356" t="s">
        <v>17</v>
      </c>
      <c r="F3356">
        <v>6050</v>
      </c>
      <c r="G3356">
        <v>385</v>
      </c>
      <c r="H3356">
        <v>398.9</v>
      </c>
      <c r="I3356">
        <v>261.89999999999998</v>
      </c>
      <c r="J3356">
        <v>370.4</v>
      </c>
      <c r="K3356">
        <v>340.7</v>
      </c>
      <c r="L3356">
        <v>1614</v>
      </c>
      <c r="M3356" t="s">
        <v>1528</v>
      </c>
      <c r="N3356">
        <v>10297.950000000001</v>
      </c>
      <c r="O3356">
        <v>64</v>
      </c>
    </row>
    <row r="3357" spans="1:15" x14ac:dyDescent="0.2">
      <c r="A3357" s="6">
        <v>45824</v>
      </c>
      <c r="B3357" t="s">
        <v>15</v>
      </c>
      <c r="C3357" t="s">
        <v>16</v>
      </c>
      <c r="D3357" s="1">
        <v>45855</v>
      </c>
      <c r="E3357" t="s">
        <v>19</v>
      </c>
      <c r="F3357">
        <v>5450</v>
      </c>
      <c r="G3357">
        <v>104.5</v>
      </c>
      <c r="H3357">
        <v>138</v>
      </c>
      <c r="I3357">
        <v>96</v>
      </c>
      <c r="J3357">
        <v>110.8</v>
      </c>
      <c r="K3357">
        <v>50.5</v>
      </c>
      <c r="L3357">
        <v>26</v>
      </c>
      <c r="M3357" t="s">
        <v>59</v>
      </c>
      <c r="N3357">
        <v>144.61000000000001</v>
      </c>
      <c r="O3357">
        <v>7</v>
      </c>
    </row>
    <row r="3358" spans="1:15" x14ac:dyDescent="0.2">
      <c r="A3358" s="6">
        <v>45824</v>
      </c>
      <c r="B3358" t="s">
        <v>15</v>
      </c>
      <c r="C3358" t="s">
        <v>16</v>
      </c>
      <c r="D3358" s="1">
        <v>45855</v>
      </c>
      <c r="E3358" t="s">
        <v>17</v>
      </c>
      <c r="F3358">
        <v>6650</v>
      </c>
      <c r="G3358">
        <v>240</v>
      </c>
      <c r="H3358">
        <v>250.1</v>
      </c>
      <c r="I3358">
        <v>128.9</v>
      </c>
      <c r="J3358">
        <v>205.2</v>
      </c>
      <c r="K3358">
        <v>114.1</v>
      </c>
      <c r="L3358">
        <v>263</v>
      </c>
      <c r="M3358" t="s">
        <v>534</v>
      </c>
      <c r="N3358">
        <v>1801.38</v>
      </c>
      <c r="O3358">
        <v>18</v>
      </c>
    </row>
    <row r="3359" spans="1:15" x14ac:dyDescent="0.2">
      <c r="A3359" s="6">
        <v>45824</v>
      </c>
      <c r="B3359" t="s">
        <v>15</v>
      </c>
      <c r="C3359" t="s">
        <v>16</v>
      </c>
      <c r="D3359" s="1">
        <v>45855</v>
      </c>
      <c r="E3359" t="s">
        <v>17</v>
      </c>
      <c r="F3359">
        <v>3750</v>
      </c>
      <c r="J3359">
        <v>2286.4</v>
      </c>
      <c r="K3359">
        <v>2397.6</v>
      </c>
      <c r="L3359">
        <v>0</v>
      </c>
      <c r="M3359" t="s">
        <v>18</v>
      </c>
      <c r="N3359">
        <v>0</v>
      </c>
      <c r="O3359">
        <v>0</v>
      </c>
    </row>
    <row r="3360" spans="1:15" x14ac:dyDescent="0.2">
      <c r="A3360" s="6">
        <v>45824</v>
      </c>
      <c r="B3360" t="s">
        <v>15</v>
      </c>
      <c r="C3360" t="s">
        <v>16</v>
      </c>
      <c r="D3360" s="1">
        <v>45855</v>
      </c>
      <c r="E3360" t="s">
        <v>19</v>
      </c>
      <c r="F3360">
        <v>4700</v>
      </c>
      <c r="J3360">
        <v>2.2000000000000002</v>
      </c>
      <c r="K3360">
        <v>2.1</v>
      </c>
      <c r="L3360">
        <v>0</v>
      </c>
      <c r="M3360" t="s">
        <v>18</v>
      </c>
      <c r="N3360">
        <v>0</v>
      </c>
      <c r="O3360">
        <v>0</v>
      </c>
    </row>
    <row r="3361" spans="1:15" x14ac:dyDescent="0.2">
      <c r="A3361" s="6">
        <v>45824</v>
      </c>
      <c r="B3361" t="s">
        <v>15</v>
      </c>
      <c r="C3361" t="s">
        <v>16</v>
      </c>
      <c r="D3361" s="1">
        <v>45855</v>
      </c>
      <c r="E3361" t="s">
        <v>17</v>
      </c>
      <c r="F3361">
        <v>7350</v>
      </c>
      <c r="J3361">
        <v>11.1</v>
      </c>
      <c r="K3361">
        <v>22.1</v>
      </c>
      <c r="L3361">
        <v>0</v>
      </c>
      <c r="M3361" t="s">
        <v>18</v>
      </c>
      <c r="N3361">
        <v>0</v>
      </c>
      <c r="O3361">
        <v>0</v>
      </c>
    </row>
    <row r="3362" spans="1:15" x14ac:dyDescent="0.2">
      <c r="A3362" s="6">
        <v>45824</v>
      </c>
      <c r="B3362" t="s">
        <v>15</v>
      </c>
      <c r="C3362" t="s">
        <v>16</v>
      </c>
      <c r="D3362" s="1">
        <v>45855</v>
      </c>
      <c r="E3362" t="s">
        <v>17</v>
      </c>
      <c r="F3362">
        <v>6850</v>
      </c>
      <c r="J3362">
        <v>45.2</v>
      </c>
      <c r="K3362">
        <v>74.2</v>
      </c>
      <c r="L3362">
        <v>0</v>
      </c>
      <c r="M3362" t="s">
        <v>18</v>
      </c>
      <c r="N3362">
        <v>0</v>
      </c>
      <c r="O3362">
        <v>0</v>
      </c>
    </row>
    <row r="3363" spans="1:15" x14ac:dyDescent="0.2">
      <c r="A3363" s="6">
        <v>45824</v>
      </c>
      <c r="B3363" t="s">
        <v>15</v>
      </c>
      <c r="C3363" t="s">
        <v>16</v>
      </c>
      <c r="D3363" s="1">
        <v>45855</v>
      </c>
      <c r="E3363" t="s">
        <v>19</v>
      </c>
      <c r="F3363">
        <v>3750</v>
      </c>
      <c r="J3363">
        <v>0.1</v>
      </c>
      <c r="K3363">
        <v>0.1</v>
      </c>
      <c r="L3363">
        <v>0</v>
      </c>
      <c r="M3363" t="s">
        <v>18</v>
      </c>
      <c r="N3363">
        <v>0</v>
      </c>
      <c r="O3363">
        <v>0</v>
      </c>
    </row>
    <row r="3364" spans="1:15" x14ac:dyDescent="0.2">
      <c r="A3364" s="6">
        <v>45824</v>
      </c>
      <c r="B3364" t="s">
        <v>15</v>
      </c>
      <c r="C3364" t="s">
        <v>16</v>
      </c>
      <c r="D3364" s="1">
        <v>45855</v>
      </c>
      <c r="E3364" t="s">
        <v>19</v>
      </c>
      <c r="F3364">
        <v>4550</v>
      </c>
      <c r="J3364">
        <v>0.9</v>
      </c>
      <c r="K3364">
        <v>0.9</v>
      </c>
      <c r="L3364">
        <v>0</v>
      </c>
      <c r="M3364" t="s">
        <v>18</v>
      </c>
      <c r="N3364">
        <v>0</v>
      </c>
      <c r="O3364">
        <v>0</v>
      </c>
    </row>
    <row r="3365" spans="1:15" x14ac:dyDescent="0.2">
      <c r="A3365" s="6">
        <v>45824</v>
      </c>
      <c r="B3365" t="s">
        <v>15</v>
      </c>
      <c r="C3365" t="s">
        <v>16</v>
      </c>
      <c r="D3365" s="1">
        <v>45855</v>
      </c>
      <c r="E3365" t="s">
        <v>17</v>
      </c>
      <c r="F3365">
        <v>6800</v>
      </c>
      <c r="G3365">
        <v>227.4</v>
      </c>
      <c r="H3365">
        <v>229.3</v>
      </c>
      <c r="I3365">
        <v>115.1</v>
      </c>
      <c r="J3365">
        <v>180.2</v>
      </c>
      <c r="K3365">
        <v>216</v>
      </c>
      <c r="L3365">
        <v>4259</v>
      </c>
      <c r="M3365" t="s">
        <v>1529</v>
      </c>
      <c r="N3365">
        <v>29658.12</v>
      </c>
      <c r="O3365">
        <v>525</v>
      </c>
    </row>
    <row r="3366" spans="1:15" x14ac:dyDescent="0.2">
      <c r="A3366" s="6">
        <v>45824</v>
      </c>
      <c r="B3366" t="s">
        <v>15</v>
      </c>
      <c r="C3366" t="s">
        <v>16</v>
      </c>
      <c r="D3366" s="1">
        <v>45855</v>
      </c>
      <c r="E3366" t="s">
        <v>17</v>
      </c>
      <c r="F3366">
        <v>6700</v>
      </c>
      <c r="G3366">
        <v>258.2</v>
      </c>
      <c r="H3366">
        <v>258.2</v>
      </c>
      <c r="I3366">
        <v>127.4</v>
      </c>
      <c r="J3366">
        <v>197</v>
      </c>
      <c r="K3366">
        <v>245.9</v>
      </c>
      <c r="L3366">
        <v>4529</v>
      </c>
      <c r="M3366" t="s">
        <v>1530</v>
      </c>
      <c r="N3366">
        <v>31175.59</v>
      </c>
      <c r="O3366">
        <v>510</v>
      </c>
    </row>
    <row r="3367" spans="1:15" x14ac:dyDescent="0.2">
      <c r="A3367" s="6">
        <v>45824</v>
      </c>
      <c r="B3367" t="s">
        <v>15</v>
      </c>
      <c r="C3367" t="s">
        <v>16</v>
      </c>
      <c r="D3367" s="1">
        <v>45855</v>
      </c>
      <c r="E3367" t="s">
        <v>19</v>
      </c>
      <c r="F3367">
        <v>7150</v>
      </c>
      <c r="J3367">
        <v>1116.4000000000001</v>
      </c>
      <c r="K3367">
        <v>1020.2</v>
      </c>
      <c r="L3367">
        <v>0</v>
      </c>
      <c r="M3367" t="s">
        <v>18</v>
      </c>
      <c r="N3367">
        <v>0</v>
      </c>
      <c r="O3367">
        <v>0</v>
      </c>
    </row>
    <row r="3368" spans="1:15" x14ac:dyDescent="0.2">
      <c r="A3368" s="6">
        <v>45824</v>
      </c>
      <c r="B3368" t="s">
        <v>15</v>
      </c>
      <c r="C3368" t="s">
        <v>16</v>
      </c>
      <c r="D3368" s="1">
        <v>45855</v>
      </c>
      <c r="E3368" t="s">
        <v>17</v>
      </c>
      <c r="F3368">
        <v>6900</v>
      </c>
      <c r="G3368">
        <v>215.8</v>
      </c>
      <c r="H3368">
        <v>215.8</v>
      </c>
      <c r="I3368">
        <v>105.9</v>
      </c>
      <c r="J3368">
        <v>165</v>
      </c>
      <c r="K3368">
        <v>188.8</v>
      </c>
      <c r="L3368">
        <v>2118</v>
      </c>
      <c r="M3368" t="s">
        <v>1531</v>
      </c>
      <c r="N3368">
        <v>14931.78</v>
      </c>
      <c r="O3368">
        <v>234</v>
      </c>
    </row>
    <row r="3369" spans="1:15" x14ac:dyDescent="0.2">
      <c r="A3369" s="6">
        <v>45824</v>
      </c>
      <c r="B3369" t="s">
        <v>15</v>
      </c>
      <c r="C3369" t="s">
        <v>16</v>
      </c>
      <c r="D3369" s="1">
        <v>45855</v>
      </c>
      <c r="E3369" t="s">
        <v>19</v>
      </c>
      <c r="F3369">
        <v>6250</v>
      </c>
      <c r="G3369">
        <v>393.4</v>
      </c>
      <c r="H3369">
        <v>596.9</v>
      </c>
      <c r="I3369">
        <v>392.8</v>
      </c>
      <c r="J3369">
        <v>508</v>
      </c>
      <c r="K3369">
        <v>333.1</v>
      </c>
      <c r="L3369">
        <v>350</v>
      </c>
      <c r="M3369" t="s">
        <v>393</v>
      </c>
      <c r="N3369">
        <v>2357.64</v>
      </c>
      <c r="O3369">
        <v>13</v>
      </c>
    </row>
    <row r="3370" spans="1:15" x14ac:dyDescent="0.2">
      <c r="A3370" s="6">
        <v>45824</v>
      </c>
      <c r="B3370" t="s">
        <v>15</v>
      </c>
      <c r="C3370" t="s">
        <v>16</v>
      </c>
      <c r="D3370" s="1">
        <v>45855</v>
      </c>
      <c r="E3370" t="s">
        <v>19</v>
      </c>
      <c r="F3370">
        <v>5200</v>
      </c>
      <c r="G3370">
        <v>52.3</v>
      </c>
      <c r="H3370">
        <v>85.3</v>
      </c>
      <c r="I3370">
        <v>44.9</v>
      </c>
      <c r="J3370">
        <v>59.1</v>
      </c>
      <c r="K3370">
        <v>58.8</v>
      </c>
      <c r="L3370">
        <v>6357</v>
      </c>
      <c r="M3370" t="s">
        <v>1532</v>
      </c>
      <c r="N3370">
        <v>33462.51</v>
      </c>
      <c r="O3370">
        <v>845</v>
      </c>
    </row>
    <row r="3371" spans="1:15" x14ac:dyDescent="0.2">
      <c r="A3371" s="6">
        <v>45824</v>
      </c>
      <c r="B3371" t="s">
        <v>15</v>
      </c>
      <c r="C3371" t="s">
        <v>16</v>
      </c>
      <c r="D3371" s="1">
        <v>45855</v>
      </c>
      <c r="E3371" t="s">
        <v>17</v>
      </c>
      <c r="F3371">
        <v>6950</v>
      </c>
      <c r="J3371">
        <v>34.700000000000003</v>
      </c>
      <c r="K3371">
        <v>59.1</v>
      </c>
      <c r="L3371">
        <v>0</v>
      </c>
      <c r="M3371" t="s">
        <v>18</v>
      </c>
      <c r="N3371">
        <v>0</v>
      </c>
      <c r="O3371">
        <v>0</v>
      </c>
    </row>
    <row r="3372" spans="1:15" x14ac:dyDescent="0.2">
      <c r="A3372" s="6">
        <v>45824</v>
      </c>
      <c r="B3372" t="s">
        <v>15</v>
      </c>
      <c r="C3372" t="s">
        <v>16</v>
      </c>
      <c r="D3372" s="1">
        <v>45855</v>
      </c>
      <c r="E3372" t="s">
        <v>17</v>
      </c>
      <c r="F3372">
        <v>5050</v>
      </c>
      <c r="J3372">
        <v>1005.7</v>
      </c>
      <c r="K3372">
        <v>1116.5</v>
      </c>
      <c r="L3372">
        <v>0</v>
      </c>
      <c r="M3372" t="s">
        <v>18</v>
      </c>
      <c r="N3372">
        <v>0</v>
      </c>
      <c r="O3372">
        <v>0</v>
      </c>
    </row>
    <row r="3373" spans="1:15" x14ac:dyDescent="0.2">
      <c r="A3373" s="6">
        <v>45824</v>
      </c>
      <c r="B3373" t="s">
        <v>15</v>
      </c>
      <c r="C3373" t="s">
        <v>16</v>
      </c>
      <c r="D3373" s="1">
        <v>45855</v>
      </c>
      <c r="E3373" t="s">
        <v>17</v>
      </c>
      <c r="F3373">
        <v>6200</v>
      </c>
      <c r="G3373">
        <v>408.4</v>
      </c>
      <c r="H3373">
        <v>409.4</v>
      </c>
      <c r="I3373">
        <v>218</v>
      </c>
      <c r="J3373">
        <v>316.60000000000002</v>
      </c>
      <c r="K3373">
        <v>388.9</v>
      </c>
      <c r="L3373">
        <v>34195</v>
      </c>
      <c r="M3373" t="s">
        <v>1533</v>
      </c>
      <c r="N3373">
        <v>222098.17</v>
      </c>
      <c r="O3373">
        <v>2407</v>
      </c>
    </row>
    <row r="3374" spans="1:15" x14ac:dyDescent="0.2">
      <c r="A3374" s="6">
        <v>45824</v>
      </c>
      <c r="B3374" t="s">
        <v>15</v>
      </c>
      <c r="C3374" t="s">
        <v>16</v>
      </c>
      <c r="D3374" s="1">
        <v>45855</v>
      </c>
      <c r="E3374" t="s">
        <v>17</v>
      </c>
      <c r="F3374">
        <v>6250</v>
      </c>
      <c r="G3374">
        <v>363.1</v>
      </c>
      <c r="H3374">
        <v>364.1</v>
      </c>
      <c r="I3374">
        <v>205.7</v>
      </c>
      <c r="J3374">
        <v>301.89999999999998</v>
      </c>
      <c r="K3374">
        <v>244.6</v>
      </c>
      <c r="L3374">
        <v>2920</v>
      </c>
      <c r="M3374" t="s">
        <v>1534</v>
      </c>
      <c r="N3374">
        <v>19073.05</v>
      </c>
      <c r="O3374">
        <v>140</v>
      </c>
    </row>
    <row r="3375" spans="1:15" x14ac:dyDescent="0.2">
      <c r="A3375" s="6">
        <v>45824</v>
      </c>
      <c r="B3375" t="s">
        <v>15</v>
      </c>
      <c r="C3375" t="s">
        <v>16</v>
      </c>
      <c r="D3375" s="1">
        <v>45855</v>
      </c>
      <c r="E3375" t="s">
        <v>19</v>
      </c>
      <c r="F3375">
        <v>7250</v>
      </c>
      <c r="J3375">
        <v>1210.9000000000001</v>
      </c>
      <c r="K3375">
        <v>1111.5</v>
      </c>
      <c r="L3375">
        <v>0</v>
      </c>
      <c r="M3375" t="s">
        <v>18</v>
      </c>
      <c r="N3375">
        <v>0</v>
      </c>
      <c r="O3375">
        <v>0</v>
      </c>
    </row>
    <row r="3376" spans="1:15" x14ac:dyDescent="0.2">
      <c r="A3376" s="6">
        <v>45824</v>
      </c>
      <c r="B3376" t="s">
        <v>15</v>
      </c>
      <c r="C3376" t="s">
        <v>16</v>
      </c>
      <c r="D3376" s="1">
        <v>45855</v>
      </c>
      <c r="E3376" t="s">
        <v>17</v>
      </c>
      <c r="F3376">
        <v>5900</v>
      </c>
      <c r="G3376">
        <v>507.1</v>
      </c>
      <c r="H3376">
        <v>527.70000000000005</v>
      </c>
      <c r="I3376">
        <v>306.5</v>
      </c>
      <c r="J3376">
        <v>432.9</v>
      </c>
      <c r="K3376">
        <v>498.4</v>
      </c>
      <c r="L3376">
        <v>4849</v>
      </c>
      <c r="M3376" t="s">
        <v>1535</v>
      </c>
      <c r="N3376">
        <v>30413.07</v>
      </c>
      <c r="O3376">
        <v>291</v>
      </c>
    </row>
    <row r="3377" spans="1:15" x14ac:dyDescent="0.2">
      <c r="A3377" s="6">
        <v>45824</v>
      </c>
      <c r="B3377" t="s">
        <v>15</v>
      </c>
      <c r="C3377" t="s">
        <v>16</v>
      </c>
      <c r="D3377" s="1">
        <v>45855</v>
      </c>
      <c r="E3377" t="s">
        <v>17</v>
      </c>
      <c r="F3377">
        <v>6500</v>
      </c>
      <c r="G3377">
        <v>290</v>
      </c>
      <c r="H3377">
        <v>290</v>
      </c>
      <c r="I3377">
        <v>157.19999999999999</v>
      </c>
      <c r="J3377">
        <v>236.6</v>
      </c>
      <c r="K3377">
        <v>291.60000000000002</v>
      </c>
      <c r="L3377">
        <v>23535</v>
      </c>
      <c r="M3377" t="s">
        <v>1536</v>
      </c>
      <c r="N3377">
        <v>158247.07999999999</v>
      </c>
      <c r="O3377">
        <v>2175</v>
      </c>
    </row>
    <row r="3378" spans="1:15" x14ac:dyDescent="0.2">
      <c r="A3378" s="6">
        <v>45824</v>
      </c>
      <c r="B3378" t="s">
        <v>15</v>
      </c>
      <c r="C3378" t="s">
        <v>16</v>
      </c>
      <c r="D3378" s="1">
        <v>45855</v>
      </c>
      <c r="E3378" t="s">
        <v>17</v>
      </c>
      <c r="F3378">
        <v>4600</v>
      </c>
      <c r="J3378">
        <v>1441.9</v>
      </c>
      <c r="K3378">
        <v>1553.5</v>
      </c>
      <c r="L3378">
        <v>0</v>
      </c>
      <c r="M3378" t="s">
        <v>18</v>
      </c>
      <c r="N3378">
        <v>0</v>
      </c>
      <c r="O3378">
        <v>0</v>
      </c>
    </row>
    <row r="3379" spans="1:15" x14ac:dyDescent="0.2">
      <c r="A3379" s="6">
        <v>45824</v>
      </c>
      <c r="B3379" t="s">
        <v>15</v>
      </c>
      <c r="C3379" t="s">
        <v>16</v>
      </c>
      <c r="D3379" s="1">
        <v>45855</v>
      </c>
      <c r="E3379" t="s">
        <v>19</v>
      </c>
      <c r="F3379">
        <v>5150</v>
      </c>
      <c r="G3379">
        <v>45</v>
      </c>
      <c r="H3379">
        <v>70</v>
      </c>
      <c r="I3379">
        <v>45</v>
      </c>
      <c r="J3379">
        <v>53.7</v>
      </c>
      <c r="K3379">
        <v>45.3</v>
      </c>
      <c r="L3379">
        <v>3</v>
      </c>
      <c r="M3379" t="s">
        <v>34</v>
      </c>
      <c r="N3379">
        <v>15.61</v>
      </c>
      <c r="O3379">
        <v>6</v>
      </c>
    </row>
    <row r="3380" spans="1:15" x14ac:dyDescent="0.2">
      <c r="A3380" s="6">
        <v>45824</v>
      </c>
      <c r="B3380" t="s">
        <v>15</v>
      </c>
      <c r="C3380" t="s">
        <v>16</v>
      </c>
      <c r="D3380" s="1">
        <v>45855</v>
      </c>
      <c r="E3380" t="s">
        <v>19</v>
      </c>
      <c r="F3380">
        <v>4650</v>
      </c>
      <c r="J3380">
        <v>1.6</v>
      </c>
      <c r="K3380">
        <v>1.6</v>
      </c>
      <c r="L3380">
        <v>0</v>
      </c>
      <c r="M3380" t="s">
        <v>18</v>
      </c>
      <c r="N3380">
        <v>0</v>
      </c>
      <c r="O3380">
        <v>0</v>
      </c>
    </row>
    <row r="3381" spans="1:15" x14ac:dyDescent="0.2">
      <c r="A3381" s="6">
        <v>45824</v>
      </c>
      <c r="B3381" t="s">
        <v>15</v>
      </c>
      <c r="C3381" t="s">
        <v>16</v>
      </c>
      <c r="D3381" s="1">
        <v>45855</v>
      </c>
      <c r="E3381" t="s">
        <v>17</v>
      </c>
      <c r="F3381">
        <v>4150</v>
      </c>
      <c r="J3381">
        <v>1888.4</v>
      </c>
      <c r="K3381">
        <v>1999.9</v>
      </c>
      <c r="L3381">
        <v>0</v>
      </c>
      <c r="M3381" t="s">
        <v>18</v>
      </c>
      <c r="N3381">
        <v>0</v>
      </c>
      <c r="O3381">
        <v>0</v>
      </c>
    </row>
    <row r="3382" spans="1:15" x14ac:dyDescent="0.2">
      <c r="A3382" s="6">
        <v>45824</v>
      </c>
      <c r="B3382" t="s">
        <v>15</v>
      </c>
      <c r="C3382" t="s">
        <v>16</v>
      </c>
      <c r="D3382" s="1">
        <v>45855</v>
      </c>
      <c r="E3382" t="s">
        <v>19</v>
      </c>
      <c r="F3382">
        <v>4400</v>
      </c>
      <c r="J3382">
        <v>0.3</v>
      </c>
      <c r="K3382">
        <v>0.3</v>
      </c>
      <c r="L3382">
        <v>0</v>
      </c>
      <c r="M3382" t="s">
        <v>18</v>
      </c>
      <c r="N3382">
        <v>0</v>
      </c>
      <c r="O3382">
        <v>0</v>
      </c>
    </row>
    <row r="3383" spans="1:15" x14ac:dyDescent="0.2">
      <c r="A3383" s="6">
        <v>45824</v>
      </c>
      <c r="B3383" t="s">
        <v>15</v>
      </c>
      <c r="C3383" t="s">
        <v>16</v>
      </c>
      <c r="D3383" s="1">
        <v>45855</v>
      </c>
      <c r="E3383" t="s">
        <v>17</v>
      </c>
      <c r="F3383">
        <v>7000</v>
      </c>
      <c r="G3383">
        <v>250</v>
      </c>
      <c r="H3383">
        <v>301</v>
      </c>
      <c r="I3383">
        <v>97.2</v>
      </c>
      <c r="J3383">
        <v>154.80000000000001</v>
      </c>
      <c r="K3383">
        <v>194.3</v>
      </c>
      <c r="L3383">
        <v>20230</v>
      </c>
      <c r="M3383" t="s">
        <v>1537</v>
      </c>
      <c r="N3383">
        <v>144483</v>
      </c>
      <c r="O3383">
        <v>3832</v>
      </c>
    </row>
    <row r="3384" spans="1:15" x14ac:dyDescent="0.2">
      <c r="A3384" s="6">
        <v>45824</v>
      </c>
      <c r="B3384" t="s">
        <v>15</v>
      </c>
      <c r="C3384" t="s">
        <v>16</v>
      </c>
      <c r="D3384" s="1">
        <v>45855</v>
      </c>
      <c r="E3384" t="s">
        <v>17</v>
      </c>
      <c r="F3384">
        <v>6350</v>
      </c>
      <c r="G3384">
        <v>322.3</v>
      </c>
      <c r="H3384">
        <v>333.1</v>
      </c>
      <c r="I3384">
        <v>184.6</v>
      </c>
      <c r="J3384">
        <v>273.5</v>
      </c>
      <c r="K3384">
        <v>204.7</v>
      </c>
      <c r="L3384">
        <v>1361</v>
      </c>
      <c r="M3384" t="s">
        <v>1538</v>
      </c>
      <c r="N3384">
        <v>8999.31</v>
      </c>
      <c r="O3384">
        <v>68</v>
      </c>
    </row>
    <row r="3385" spans="1:15" x14ac:dyDescent="0.2">
      <c r="A3385" s="6">
        <v>45824</v>
      </c>
      <c r="B3385" t="s">
        <v>15</v>
      </c>
      <c r="C3385" t="s">
        <v>16</v>
      </c>
      <c r="D3385" s="1">
        <v>45855</v>
      </c>
      <c r="E3385" t="s">
        <v>19</v>
      </c>
      <c r="F3385">
        <v>6550</v>
      </c>
      <c r="J3385">
        <v>593.6</v>
      </c>
      <c r="K3385">
        <v>526.6</v>
      </c>
      <c r="L3385">
        <v>0</v>
      </c>
      <c r="M3385" t="s">
        <v>18</v>
      </c>
      <c r="N3385">
        <v>0</v>
      </c>
      <c r="O3385">
        <v>0</v>
      </c>
    </row>
    <row r="3386" spans="1:15" x14ac:dyDescent="0.2">
      <c r="A3386" s="6">
        <v>45824</v>
      </c>
      <c r="B3386" t="s">
        <v>15</v>
      </c>
      <c r="C3386" t="s">
        <v>16</v>
      </c>
      <c r="D3386" s="1">
        <v>45855</v>
      </c>
      <c r="E3386" t="s">
        <v>17</v>
      </c>
      <c r="F3386">
        <v>5800</v>
      </c>
      <c r="G3386">
        <v>580.70000000000005</v>
      </c>
      <c r="H3386">
        <v>598</v>
      </c>
      <c r="I3386">
        <v>345.8</v>
      </c>
      <c r="J3386">
        <v>481.4</v>
      </c>
      <c r="K3386">
        <v>561</v>
      </c>
      <c r="L3386">
        <v>1630</v>
      </c>
      <c r="M3386" t="s">
        <v>1539</v>
      </c>
      <c r="N3386">
        <v>10164.36</v>
      </c>
      <c r="O3386">
        <v>378</v>
      </c>
    </row>
    <row r="3387" spans="1:15" x14ac:dyDescent="0.2">
      <c r="A3387" s="6">
        <v>45824</v>
      </c>
      <c r="B3387" t="s">
        <v>15</v>
      </c>
      <c r="C3387" t="s">
        <v>16</v>
      </c>
      <c r="D3387" s="1">
        <v>45855</v>
      </c>
      <c r="E3387" t="s">
        <v>17</v>
      </c>
      <c r="F3387">
        <v>5450</v>
      </c>
      <c r="G3387">
        <v>727.4</v>
      </c>
      <c r="H3387">
        <v>763.7</v>
      </c>
      <c r="I3387">
        <v>727.4</v>
      </c>
      <c r="J3387">
        <v>745.6</v>
      </c>
      <c r="K3387">
        <v>686</v>
      </c>
      <c r="L3387">
        <v>2</v>
      </c>
      <c r="M3387" t="s">
        <v>28</v>
      </c>
      <c r="N3387">
        <v>12.39</v>
      </c>
      <c r="O3387">
        <v>3</v>
      </c>
    </row>
    <row r="3388" spans="1:15" x14ac:dyDescent="0.2">
      <c r="A3388" s="6">
        <v>45824</v>
      </c>
      <c r="B3388" t="s">
        <v>15</v>
      </c>
      <c r="C3388" t="s">
        <v>16</v>
      </c>
      <c r="D3388" s="1">
        <v>45855</v>
      </c>
      <c r="E3388" t="s">
        <v>17</v>
      </c>
      <c r="F3388">
        <v>4850</v>
      </c>
      <c r="J3388">
        <v>1196.9000000000001</v>
      </c>
      <c r="K3388">
        <v>1308.4000000000001</v>
      </c>
      <c r="L3388">
        <v>0</v>
      </c>
      <c r="M3388" t="s">
        <v>18</v>
      </c>
      <c r="N3388">
        <v>0</v>
      </c>
      <c r="O3388">
        <v>0</v>
      </c>
    </row>
    <row r="3389" spans="1:15" x14ac:dyDescent="0.2">
      <c r="A3389" s="6">
        <v>45824</v>
      </c>
      <c r="B3389" t="s">
        <v>15</v>
      </c>
      <c r="C3389" t="s">
        <v>16</v>
      </c>
      <c r="D3389" s="1">
        <v>45855</v>
      </c>
      <c r="E3389" t="s">
        <v>19</v>
      </c>
      <c r="F3389">
        <v>5350</v>
      </c>
      <c r="G3389">
        <v>81.099999999999994</v>
      </c>
      <c r="H3389">
        <v>116</v>
      </c>
      <c r="I3389">
        <v>61.6</v>
      </c>
      <c r="J3389">
        <v>92.9</v>
      </c>
      <c r="K3389">
        <v>36.4</v>
      </c>
      <c r="L3389">
        <v>24</v>
      </c>
      <c r="M3389" t="s">
        <v>181</v>
      </c>
      <c r="N3389">
        <v>130.66999999999999</v>
      </c>
      <c r="O3389">
        <v>6</v>
      </c>
    </row>
    <row r="3390" spans="1:15" x14ac:dyDescent="0.2">
      <c r="A3390" s="6">
        <v>45824</v>
      </c>
      <c r="B3390" t="s">
        <v>15</v>
      </c>
      <c r="C3390" t="s">
        <v>16</v>
      </c>
      <c r="D3390" s="1">
        <v>45855</v>
      </c>
      <c r="E3390" t="s">
        <v>19</v>
      </c>
      <c r="F3390">
        <v>5000</v>
      </c>
      <c r="G3390">
        <v>39.6</v>
      </c>
      <c r="H3390">
        <v>59.8</v>
      </c>
      <c r="I3390">
        <v>30.6</v>
      </c>
      <c r="J3390">
        <v>42.1</v>
      </c>
      <c r="K3390">
        <v>40.700000000000003</v>
      </c>
      <c r="L3390">
        <v>11146</v>
      </c>
      <c r="M3390" t="s">
        <v>1540</v>
      </c>
      <c r="N3390">
        <v>56217.21</v>
      </c>
      <c r="O3390">
        <v>1345</v>
      </c>
    </row>
    <row r="3391" spans="1:15" x14ac:dyDescent="0.2">
      <c r="A3391" s="6">
        <v>45824</v>
      </c>
      <c r="B3391" t="s">
        <v>15</v>
      </c>
      <c r="C3391" t="s">
        <v>16</v>
      </c>
      <c r="D3391" s="1">
        <v>45855</v>
      </c>
      <c r="E3391" t="s">
        <v>19</v>
      </c>
      <c r="F3391">
        <v>4500</v>
      </c>
      <c r="G3391">
        <v>8.1</v>
      </c>
      <c r="H3391">
        <v>20.6</v>
      </c>
      <c r="I3391">
        <v>8.1</v>
      </c>
      <c r="J3391">
        <v>17.100000000000001</v>
      </c>
      <c r="K3391">
        <v>0.7</v>
      </c>
      <c r="L3391">
        <v>11</v>
      </c>
      <c r="M3391" t="s">
        <v>236</v>
      </c>
      <c r="N3391">
        <v>49.69</v>
      </c>
      <c r="O3391">
        <v>5</v>
      </c>
    </row>
    <row r="3392" spans="1:15" x14ac:dyDescent="0.2">
      <c r="A3392" s="6">
        <v>45824</v>
      </c>
      <c r="B3392" t="s">
        <v>15</v>
      </c>
      <c r="C3392" t="s">
        <v>16</v>
      </c>
      <c r="D3392" s="1">
        <v>45855</v>
      </c>
      <c r="E3392" t="s">
        <v>19</v>
      </c>
      <c r="F3392">
        <v>7350</v>
      </c>
      <c r="J3392">
        <v>1306.5</v>
      </c>
      <c r="K3392">
        <v>1204.5</v>
      </c>
      <c r="L3392">
        <v>0</v>
      </c>
      <c r="M3392" t="s">
        <v>18</v>
      </c>
      <c r="N3392">
        <v>0</v>
      </c>
      <c r="O3392">
        <v>0</v>
      </c>
    </row>
    <row r="3393" spans="1:15" x14ac:dyDescent="0.2">
      <c r="A3393" s="6">
        <v>45824</v>
      </c>
      <c r="B3393" t="s">
        <v>15</v>
      </c>
      <c r="C3393" t="s">
        <v>16</v>
      </c>
      <c r="D3393" s="1">
        <v>45855</v>
      </c>
      <c r="E3393" t="s">
        <v>17</v>
      </c>
      <c r="F3393">
        <v>7050</v>
      </c>
      <c r="J3393">
        <v>26.5</v>
      </c>
      <c r="K3393">
        <v>46.7</v>
      </c>
      <c r="L3393">
        <v>0</v>
      </c>
      <c r="M3393" t="s">
        <v>18</v>
      </c>
      <c r="N3393">
        <v>0</v>
      </c>
      <c r="O3393">
        <v>0</v>
      </c>
    </row>
    <row r="3394" spans="1:15" x14ac:dyDescent="0.2">
      <c r="A3394" s="6">
        <v>45824</v>
      </c>
      <c r="B3394" t="s">
        <v>15</v>
      </c>
      <c r="C3394" t="s">
        <v>16</v>
      </c>
      <c r="D3394" s="1">
        <v>45855</v>
      </c>
      <c r="E3394" t="s">
        <v>19</v>
      </c>
      <c r="F3394">
        <v>6850</v>
      </c>
      <c r="J3394">
        <v>843.1</v>
      </c>
      <c r="K3394">
        <v>759.3</v>
      </c>
      <c r="L3394">
        <v>0</v>
      </c>
      <c r="M3394" t="s">
        <v>18</v>
      </c>
      <c r="N3394">
        <v>0</v>
      </c>
      <c r="O3394">
        <v>0</v>
      </c>
    </row>
    <row r="3395" spans="1:15" x14ac:dyDescent="0.2">
      <c r="A3395" s="6">
        <v>45824</v>
      </c>
      <c r="B3395" t="s">
        <v>15</v>
      </c>
      <c r="C3395" t="s">
        <v>16</v>
      </c>
      <c r="D3395" s="1">
        <v>45855</v>
      </c>
      <c r="E3395" t="s">
        <v>17</v>
      </c>
      <c r="F3395">
        <v>4250</v>
      </c>
      <c r="J3395">
        <v>1789</v>
      </c>
      <c r="K3395">
        <v>1900.5</v>
      </c>
      <c r="L3395">
        <v>0</v>
      </c>
      <c r="M3395" t="s">
        <v>18</v>
      </c>
      <c r="N3395">
        <v>0</v>
      </c>
      <c r="O3395">
        <v>0</v>
      </c>
    </row>
    <row r="3396" spans="1:15" x14ac:dyDescent="0.2">
      <c r="A3396" s="6">
        <v>45824</v>
      </c>
      <c r="B3396" t="s">
        <v>15</v>
      </c>
      <c r="C3396" t="s">
        <v>16</v>
      </c>
      <c r="D3396" s="1">
        <v>45855</v>
      </c>
      <c r="E3396" t="s">
        <v>17</v>
      </c>
      <c r="F3396">
        <v>4000</v>
      </c>
      <c r="J3396">
        <v>2037.7</v>
      </c>
      <c r="K3396">
        <v>2149</v>
      </c>
      <c r="L3396">
        <v>0</v>
      </c>
      <c r="M3396" t="s">
        <v>18</v>
      </c>
      <c r="N3396">
        <v>0</v>
      </c>
      <c r="O3396">
        <v>0</v>
      </c>
    </row>
    <row r="3397" spans="1:15" x14ac:dyDescent="0.2">
      <c r="A3397" s="6">
        <v>45824</v>
      </c>
      <c r="B3397" t="s">
        <v>15</v>
      </c>
      <c r="C3397" t="s">
        <v>16</v>
      </c>
      <c r="D3397" s="1">
        <v>45855</v>
      </c>
      <c r="E3397" t="s">
        <v>17</v>
      </c>
      <c r="F3397">
        <v>4550</v>
      </c>
      <c r="J3397">
        <v>1491.3</v>
      </c>
      <c r="K3397">
        <v>1603</v>
      </c>
      <c r="L3397">
        <v>0</v>
      </c>
      <c r="M3397" t="s">
        <v>18</v>
      </c>
      <c r="N3397">
        <v>0</v>
      </c>
      <c r="O3397">
        <v>0</v>
      </c>
    </row>
    <row r="3398" spans="1:15" x14ac:dyDescent="0.2">
      <c r="A3398" s="6">
        <v>45824</v>
      </c>
      <c r="B3398" t="s">
        <v>15</v>
      </c>
      <c r="C3398" t="s">
        <v>16</v>
      </c>
      <c r="D3398" s="1">
        <v>45855</v>
      </c>
      <c r="E3398" t="s">
        <v>17</v>
      </c>
      <c r="F3398">
        <v>5500</v>
      </c>
      <c r="G3398">
        <v>782.8</v>
      </c>
      <c r="H3398">
        <v>800.3</v>
      </c>
      <c r="I3398">
        <v>505</v>
      </c>
      <c r="J3398">
        <v>665.5</v>
      </c>
      <c r="K3398">
        <v>733.7</v>
      </c>
      <c r="L3398">
        <v>458</v>
      </c>
      <c r="M3398" t="s">
        <v>1541</v>
      </c>
      <c r="N3398">
        <v>2802.58</v>
      </c>
      <c r="O3398">
        <v>433</v>
      </c>
    </row>
    <row r="3399" spans="1:15" x14ac:dyDescent="0.2">
      <c r="A3399" s="6">
        <v>45824</v>
      </c>
      <c r="B3399" t="s">
        <v>15</v>
      </c>
      <c r="C3399" t="s">
        <v>16</v>
      </c>
      <c r="D3399" s="1">
        <v>45855</v>
      </c>
      <c r="E3399" t="s">
        <v>19</v>
      </c>
      <c r="F3399">
        <v>4100</v>
      </c>
      <c r="J3399">
        <v>0.1</v>
      </c>
      <c r="K3399">
        <v>0.1</v>
      </c>
      <c r="L3399">
        <v>0</v>
      </c>
      <c r="M3399" t="s">
        <v>18</v>
      </c>
      <c r="N3399">
        <v>0</v>
      </c>
      <c r="O3399">
        <v>0</v>
      </c>
    </row>
    <row r="3400" spans="1:15" x14ac:dyDescent="0.2">
      <c r="A3400" s="6">
        <v>45824</v>
      </c>
      <c r="B3400" t="s">
        <v>15</v>
      </c>
      <c r="C3400" t="s">
        <v>16</v>
      </c>
      <c r="D3400" s="1">
        <v>45855</v>
      </c>
      <c r="E3400" t="s">
        <v>17</v>
      </c>
      <c r="F3400">
        <v>6000</v>
      </c>
      <c r="G3400">
        <v>499.9</v>
      </c>
      <c r="H3400">
        <v>500</v>
      </c>
      <c r="I3400">
        <v>274</v>
      </c>
      <c r="J3400">
        <v>388.9</v>
      </c>
      <c r="K3400">
        <v>466.6</v>
      </c>
      <c r="L3400">
        <v>23924</v>
      </c>
      <c r="M3400" t="s">
        <v>1542</v>
      </c>
      <c r="N3400">
        <v>151964.4</v>
      </c>
      <c r="O3400">
        <v>1747</v>
      </c>
    </row>
    <row r="3401" spans="1:15" x14ac:dyDescent="0.2">
      <c r="A3401" s="6">
        <v>45824</v>
      </c>
      <c r="B3401" t="s">
        <v>15</v>
      </c>
      <c r="C3401" t="s">
        <v>16</v>
      </c>
      <c r="D3401" s="1">
        <v>45855</v>
      </c>
      <c r="E3401" t="s">
        <v>19</v>
      </c>
      <c r="F3401">
        <v>4050</v>
      </c>
      <c r="J3401">
        <v>0.1</v>
      </c>
      <c r="K3401">
        <v>0.1</v>
      </c>
      <c r="L3401">
        <v>0</v>
      </c>
      <c r="M3401" t="s">
        <v>18</v>
      </c>
      <c r="N3401">
        <v>0</v>
      </c>
      <c r="O3401">
        <v>0</v>
      </c>
    </row>
    <row r="3402" spans="1:15" x14ac:dyDescent="0.2">
      <c r="A3402" s="6">
        <v>45824</v>
      </c>
      <c r="B3402" t="s">
        <v>15</v>
      </c>
      <c r="C3402" t="s">
        <v>16</v>
      </c>
      <c r="D3402" s="1">
        <v>45855</v>
      </c>
      <c r="E3402" t="s">
        <v>17</v>
      </c>
      <c r="F3402">
        <v>6300</v>
      </c>
      <c r="G3402">
        <v>365</v>
      </c>
      <c r="H3402">
        <v>375</v>
      </c>
      <c r="I3402">
        <v>193</v>
      </c>
      <c r="J3402">
        <v>286.3</v>
      </c>
      <c r="K3402">
        <v>354.8</v>
      </c>
      <c r="L3402">
        <v>30464</v>
      </c>
      <c r="M3402" t="s">
        <v>1543</v>
      </c>
      <c r="N3402">
        <v>200035.34</v>
      </c>
      <c r="O3402">
        <v>2034</v>
      </c>
    </row>
    <row r="3403" spans="1:15" x14ac:dyDescent="0.2">
      <c r="A3403" s="6">
        <v>45824</v>
      </c>
      <c r="B3403" t="s">
        <v>15</v>
      </c>
      <c r="C3403" t="s">
        <v>16</v>
      </c>
      <c r="D3403" s="1">
        <v>45855</v>
      </c>
      <c r="E3403" t="s">
        <v>19</v>
      </c>
      <c r="F3403">
        <v>5950</v>
      </c>
      <c r="G3403">
        <v>272.2</v>
      </c>
      <c r="H3403">
        <v>392.8</v>
      </c>
      <c r="I3403">
        <v>249.9</v>
      </c>
      <c r="J3403">
        <v>316.2</v>
      </c>
      <c r="K3403">
        <v>272.89999999999998</v>
      </c>
      <c r="L3403">
        <v>597</v>
      </c>
      <c r="M3403" t="s">
        <v>1544</v>
      </c>
      <c r="N3403">
        <v>3758.26</v>
      </c>
      <c r="O3403">
        <v>69</v>
      </c>
    </row>
    <row r="3404" spans="1:15" x14ac:dyDescent="0.2">
      <c r="A3404" s="6">
        <v>45824</v>
      </c>
      <c r="B3404" t="s">
        <v>15</v>
      </c>
      <c r="C3404" t="s">
        <v>16</v>
      </c>
      <c r="D3404" s="1">
        <v>45855</v>
      </c>
      <c r="E3404" t="s">
        <v>17</v>
      </c>
      <c r="F3404">
        <v>6450</v>
      </c>
      <c r="G3404">
        <v>303.7</v>
      </c>
      <c r="H3404">
        <v>333</v>
      </c>
      <c r="I3404">
        <v>166.7</v>
      </c>
      <c r="J3404">
        <v>249.5</v>
      </c>
      <c r="K3404">
        <v>337.7</v>
      </c>
      <c r="L3404">
        <v>874</v>
      </c>
      <c r="M3404" t="s">
        <v>1545</v>
      </c>
      <c r="N3404">
        <v>5840.26</v>
      </c>
      <c r="O3404">
        <v>92</v>
      </c>
    </row>
    <row r="3405" spans="1:15" x14ac:dyDescent="0.2">
      <c r="A3405" s="6">
        <v>45824</v>
      </c>
      <c r="B3405" t="s">
        <v>15</v>
      </c>
      <c r="C3405" t="s">
        <v>16</v>
      </c>
      <c r="D3405" s="1">
        <v>45855</v>
      </c>
      <c r="E3405" t="s">
        <v>17</v>
      </c>
      <c r="F3405">
        <v>5650</v>
      </c>
      <c r="G3405">
        <v>600</v>
      </c>
      <c r="H3405">
        <v>601</v>
      </c>
      <c r="I3405">
        <v>585.70000000000005</v>
      </c>
      <c r="J3405">
        <v>595.6</v>
      </c>
      <c r="K3405">
        <v>702</v>
      </c>
      <c r="L3405">
        <v>3</v>
      </c>
      <c r="M3405" t="s">
        <v>34</v>
      </c>
      <c r="N3405">
        <v>18.739999999999998</v>
      </c>
      <c r="O3405">
        <v>3</v>
      </c>
    </row>
    <row r="3406" spans="1:15" x14ac:dyDescent="0.2">
      <c r="A3406" s="6">
        <v>45824</v>
      </c>
      <c r="B3406" t="s">
        <v>15</v>
      </c>
      <c r="C3406" t="s">
        <v>16</v>
      </c>
      <c r="D3406" s="1">
        <v>45855</v>
      </c>
      <c r="E3406" t="s">
        <v>19</v>
      </c>
      <c r="F3406">
        <v>7400</v>
      </c>
      <c r="J3406">
        <v>1354.7</v>
      </c>
      <c r="K3406">
        <v>1251.5</v>
      </c>
      <c r="L3406">
        <v>0</v>
      </c>
      <c r="M3406" t="s">
        <v>18</v>
      </c>
      <c r="N3406">
        <v>0</v>
      </c>
      <c r="O3406">
        <v>0</v>
      </c>
    </row>
    <row r="3407" spans="1:15" x14ac:dyDescent="0.2">
      <c r="A3407" s="6">
        <v>45824</v>
      </c>
      <c r="B3407" t="s">
        <v>15</v>
      </c>
      <c r="C3407" t="s">
        <v>16</v>
      </c>
      <c r="D3407" s="1">
        <v>45855</v>
      </c>
      <c r="E3407" t="s">
        <v>19</v>
      </c>
      <c r="F3407">
        <v>6900</v>
      </c>
      <c r="J3407">
        <v>887.4</v>
      </c>
      <c r="K3407">
        <v>801.2</v>
      </c>
      <c r="L3407">
        <v>0</v>
      </c>
      <c r="M3407" t="s">
        <v>18</v>
      </c>
      <c r="N3407">
        <v>0</v>
      </c>
      <c r="O3407">
        <v>0</v>
      </c>
    </row>
    <row r="3408" spans="1:15" x14ac:dyDescent="0.2">
      <c r="A3408" s="6">
        <v>45824</v>
      </c>
      <c r="B3408" t="s">
        <v>15</v>
      </c>
      <c r="C3408" t="s">
        <v>16</v>
      </c>
      <c r="D3408" s="1">
        <v>45855</v>
      </c>
      <c r="E3408" t="s">
        <v>19</v>
      </c>
      <c r="F3408">
        <v>6700</v>
      </c>
      <c r="J3408">
        <v>714.6</v>
      </c>
      <c r="K3408">
        <v>638.79999999999995</v>
      </c>
      <c r="L3408">
        <v>0</v>
      </c>
      <c r="M3408" t="s">
        <v>18</v>
      </c>
      <c r="N3408">
        <v>0</v>
      </c>
      <c r="O3408">
        <v>0</v>
      </c>
    </row>
    <row r="3409" spans="1:15" x14ac:dyDescent="0.2">
      <c r="A3409" s="6">
        <v>45824</v>
      </c>
      <c r="B3409" t="s">
        <v>15</v>
      </c>
      <c r="C3409" t="s">
        <v>16</v>
      </c>
      <c r="D3409" s="1">
        <v>45855</v>
      </c>
      <c r="E3409" t="s">
        <v>19</v>
      </c>
      <c r="F3409">
        <v>5800</v>
      </c>
      <c r="G3409">
        <v>178</v>
      </c>
      <c r="H3409">
        <v>305.60000000000002</v>
      </c>
      <c r="I3409">
        <v>161.19999999999999</v>
      </c>
      <c r="J3409">
        <v>238.5</v>
      </c>
      <c r="K3409">
        <v>212.9</v>
      </c>
      <c r="L3409">
        <v>14874</v>
      </c>
      <c r="M3409" t="s">
        <v>1546</v>
      </c>
      <c r="N3409">
        <v>89868.6</v>
      </c>
      <c r="O3409">
        <v>723</v>
      </c>
    </row>
    <row r="3410" spans="1:15" x14ac:dyDescent="0.2">
      <c r="A3410" s="6">
        <v>45824</v>
      </c>
      <c r="B3410" t="s">
        <v>15</v>
      </c>
      <c r="C3410" t="s">
        <v>16</v>
      </c>
      <c r="D3410" s="1">
        <v>45855</v>
      </c>
      <c r="E3410" t="s">
        <v>17</v>
      </c>
      <c r="F3410">
        <v>3650</v>
      </c>
      <c r="J3410">
        <v>2385.9</v>
      </c>
      <c r="K3410">
        <v>2497.1</v>
      </c>
      <c r="L3410">
        <v>0</v>
      </c>
      <c r="M3410" t="s">
        <v>18</v>
      </c>
      <c r="N3410">
        <v>0</v>
      </c>
      <c r="O3410">
        <v>0</v>
      </c>
    </row>
    <row r="3411" spans="1:15" x14ac:dyDescent="0.2">
      <c r="A3411" s="6">
        <v>45824</v>
      </c>
      <c r="B3411" t="s">
        <v>15</v>
      </c>
      <c r="C3411" t="s">
        <v>16</v>
      </c>
      <c r="D3411" s="1">
        <v>45855</v>
      </c>
      <c r="E3411" t="s">
        <v>17</v>
      </c>
      <c r="F3411">
        <v>3600</v>
      </c>
      <c r="J3411">
        <v>2435.6</v>
      </c>
      <c r="K3411">
        <v>2546.8000000000002</v>
      </c>
      <c r="L3411">
        <v>0</v>
      </c>
      <c r="M3411" t="s">
        <v>18</v>
      </c>
      <c r="N3411">
        <v>0</v>
      </c>
      <c r="O3411">
        <v>0</v>
      </c>
    </row>
    <row r="3412" spans="1:15" x14ac:dyDescent="0.2">
      <c r="A3412" s="6">
        <v>45824</v>
      </c>
      <c r="B3412" t="s">
        <v>15</v>
      </c>
      <c r="C3412" t="s">
        <v>16</v>
      </c>
      <c r="D3412" s="1">
        <v>45855</v>
      </c>
      <c r="E3412" t="s">
        <v>19</v>
      </c>
      <c r="F3412">
        <v>3650</v>
      </c>
      <c r="J3412">
        <v>0.1</v>
      </c>
      <c r="K3412">
        <v>0.1</v>
      </c>
      <c r="L3412">
        <v>0</v>
      </c>
      <c r="M3412" t="s">
        <v>18</v>
      </c>
      <c r="N3412">
        <v>0</v>
      </c>
      <c r="O3412">
        <v>0</v>
      </c>
    </row>
    <row r="3413" spans="1:15" x14ac:dyDescent="0.2">
      <c r="A3413" s="6">
        <v>45824</v>
      </c>
      <c r="B3413" t="s">
        <v>15</v>
      </c>
      <c r="C3413" t="s">
        <v>16</v>
      </c>
      <c r="D3413" s="1">
        <v>45855</v>
      </c>
      <c r="E3413" t="s">
        <v>17</v>
      </c>
      <c r="F3413">
        <v>7200</v>
      </c>
      <c r="G3413">
        <v>73</v>
      </c>
      <c r="H3413">
        <v>146.5</v>
      </c>
      <c r="I3413">
        <v>73</v>
      </c>
      <c r="J3413">
        <v>127.7</v>
      </c>
      <c r="K3413">
        <v>32.4</v>
      </c>
      <c r="L3413">
        <v>392</v>
      </c>
      <c r="M3413" t="s">
        <v>1547</v>
      </c>
      <c r="N3413">
        <v>2873.35</v>
      </c>
      <c r="O3413">
        <v>108</v>
      </c>
    </row>
    <row r="3414" spans="1:15" x14ac:dyDescent="0.2">
      <c r="A3414" s="6">
        <v>45824</v>
      </c>
      <c r="B3414" t="s">
        <v>15</v>
      </c>
      <c r="C3414" t="s">
        <v>16</v>
      </c>
      <c r="D3414" s="1">
        <v>45855</v>
      </c>
      <c r="E3414" t="s">
        <v>19</v>
      </c>
      <c r="F3414">
        <v>7100</v>
      </c>
      <c r="J3414">
        <v>1069.7</v>
      </c>
      <c r="K3414">
        <v>975.2</v>
      </c>
      <c r="L3414">
        <v>0</v>
      </c>
      <c r="M3414" t="s">
        <v>18</v>
      </c>
      <c r="N3414">
        <v>0</v>
      </c>
      <c r="O3414">
        <v>0</v>
      </c>
    </row>
    <row r="3415" spans="1:15" x14ac:dyDescent="0.2">
      <c r="A3415" s="6">
        <v>45824</v>
      </c>
      <c r="B3415" t="s">
        <v>15</v>
      </c>
      <c r="C3415" t="s">
        <v>16</v>
      </c>
      <c r="D3415" s="1">
        <v>45855</v>
      </c>
      <c r="E3415" t="s">
        <v>17</v>
      </c>
      <c r="F3415">
        <v>5350</v>
      </c>
      <c r="J3415">
        <v>735.8</v>
      </c>
      <c r="K3415">
        <v>842.9</v>
      </c>
      <c r="L3415">
        <v>0</v>
      </c>
      <c r="M3415" t="s">
        <v>18</v>
      </c>
      <c r="N3415">
        <v>0</v>
      </c>
      <c r="O3415">
        <v>1</v>
      </c>
    </row>
    <row r="3416" spans="1:15" x14ac:dyDescent="0.2">
      <c r="A3416" s="6">
        <v>45824</v>
      </c>
      <c r="B3416" t="s">
        <v>15</v>
      </c>
      <c r="C3416" t="s">
        <v>16</v>
      </c>
      <c r="D3416" s="1">
        <v>45855</v>
      </c>
      <c r="E3416" t="s">
        <v>17</v>
      </c>
      <c r="F3416">
        <v>6100</v>
      </c>
      <c r="G3416">
        <v>427.2</v>
      </c>
      <c r="H3416">
        <v>435.9</v>
      </c>
      <c r="I3416">
        <v>243.3</v>
      </c>
      <c r="J3416">
        <v>349.9</v>
      </c>
      <c r="K3416">
        <v>423.4</v>
      </c>
      <c r="L3416">
        <v>19611</v>
      </c>
      <c r="M3416" t="s">
        <v>1548</v>
      </c>
      <c r="N3416">
        <v>125997.19</v>
      </c>
      <c r="O3416">
        <v>1335</v>
      </c>
    </row>
    <row r="3417" spans="1:15" x14ac:dyDescent="0.2">
      <c r="A3417" s="6">
        <v>45824</v>
      </c>
      <c r="B3417" t="s">
        <v>15</v>
      </c>
      <c r="C3417" t="s">
        <v>16</v>
      </c>
      <c r="D3417" s="1">
        <v>45855</v>
      </c>
      <c r="E3417" t="s">
        <v>19</v>
      </c>
      <c r="F3417">
        <v>4000</v>
      </c>
      <c r="J3417">
        <v>0.1</v>
      </c>
      <c r="K3417">
        <v>0.1</v>
      </c>
      <c r="L3417">
        <v>0</v>
      </c>
      <c r="M3417" t="s">
        <v>18</v>
      </c>
      <c r="N3417">
        <v>0</v>
      </c>
      <c r="O3417">
        <v>0</v>
      </c>
    </row>
    <row r="3418" spans="1:15" x14ac:dyDescent="0.2">
      <c r="A3418" s="6">
        <v>45824</v>
      </c>
      <c r="B3418" t="s">
        <v>15</v>
      </c>
      <c r="C3418" t="s">
        <v>16</v>
      </c>
      <c r="D3418" s="1">
        <v>45855</v>
      </c>
      <c r="E3418" t="s">
        <v>19</v>
      </c>
      <c r="F3418">
        <v>4850</v>
      </c>
      <c r="J3418">
        <v>4.9000000000000004</v>
      </c>
      <c r="K3418">
        <v>4.5999999999999996</v>
      </c>
      <c r="L3418">
        <v>0</v>
      </c>
      <c r="M3418" t="s">
        <v>18</v>
      </c>
      <c r="N3418">
        <v>0</v>
      </c>
      <c r="O3418">
        <v>0</v>
      </c>
    </row>
    <row r="3419" spans="1:15" x14ac:dyDescent="0.2">
      <c r="A3419" s="6">
        <v>45824</v>
      </c>
      <c r="B3419" t="s">
        <v>15</v>
      </c>
      <c r="C3419" t="s">
        <v>16</v>
      </c>
      <c r="D3419" s="1">
        <v>45855</v>
      </c>
      <c r="E3419" t="s">
        <v>19</v>
      </c>
      <c r="F3419">
        <v>5650</v>
      </c>
      <c r="G3419">
        <v>160</v>
      </c>
      <c r="H3419">
        <v>191.7</v>
      </c>
      <c r="I3419">
        <v>160</v>
      </c>
      <c r="J3419">
        <v>168.9</v>
      </c>
      <c r="K3419">
        <v>191.5</v>
      </c>
      <c r="L3419">
        <v>6</v>
      </c>
      <c r="M3419" t="s">
        <v>132</v>
      </c>
      <c r="N3419">
        <v>34.909999999999997</v>
      </c>
      <c r="O3419">
        <v>2</v>
      </c>
    </row>
    <row r="3420" spans="1:15" x14ac:dyDescent="0.2">
      <c r="A3420" s="6">
        <v>45824</v>
      </c>
      <c r="B3420" t="s">
        <v>15</v>
      </c>
      <c r="C3420" t="s">
        <v>16</v>
      </c>
      <c r="D3420" s="1">
        <v>45855</v>
      </c>
      <c r="E3420" t="s">
        <v>19</v>
      </c>
      <c r="F3420">
        <v>5600</v>
      </c>
      <c r="G3420">
        <v>132.19999999999999</v>
      </c>
      <c r="H3420">
        <v>200.9</v>
      </c>
      <c r="I3420">
        <v>102.2</v>
      </c>
      <c r="J3420">
        <v>153.4</v>
      </c>
      <c r="K3420">
        <v>135.19999999999999</v>
      </c>
      <c r="L3420">
        <v>11202</v>
      </c>
      <c r="M3420" t="s">
        <v>1549</v>
      </c>
      <c r="N3420">
        <v>64458.52</v>
      </c>
      <c r="O3420">
        <v>784</v>
      </c>
    </row>
    <row r="3421" spans="1:15" x14ac:dyDescent="0.2">
      <c r="A3421" s="6">
        <v>45824</v>
      </c>
      <c r="B3421" t="s">
        <v>15</v>
      </c>
      <c r="C3421" t="s">
        <v>16</v>
      </c>
      <c r="D3421" s="1">
        <v>45855</v>
      </c>
      <c r="E3421" t="s">
        <v>19</v>
      </c>
      <c r="F3421">
        <v>6350</v>
      </c>
      <c r="G3421">
        <v>527.9</v>
      </c>
      <c r="H3421">
        <v>646.79999999999995</v>
      </c>
      <c r="I3421">
        <v>400</v>
      </c>
      <c r="J3421">
        <v>528.6</v>
      </c>
      <c r="K3421">
        <v>646.79999999999995</v>
      </c>
      <c r="L3421">
        <v>22</v>
      </c>
      <c r="M3421" t="s">
        <v>935</v>
      </c>
      <c r="N3421">
        <v>150.80000000000001</v>
      </c>
      <c r="O3421">
        <v>5</v>
      </c>
    </row>
    <row r="3422" spans="1:15" x14ac:dyDescent="0.2">
      <c r="A3422" s="6">
        <v>45824</v>
      </c>
      <c r="B3422" t="s">
        <v>15</v>
      </c>
      <c r="C3422" t="s">
        <v>16</v>
      </c>
      <c r="D3422" s="1">
        <v>45855</v>
      </c>
      <c r="E3422" t="s">
        <v>17</v>
      </c>
      <c r="F3422">
        <v>3950</v>
      </c>
      <c r="J3422">
        <v>2087.4</v>
      </c>
      <c r="K3422">
        <v>2198.6999999999998</v>
      </c>
      <c r="L3422">
        <v>0</v>
      </c>
      <c r="M3422" t="s">
        <v>18</v>
      </c>
      <c r="N3422">
        <v>0</v>
      </c>
      <c r="O3422">
        <v>0</v>
      </c>
    </row>
    <row r="3423" spans="1:15" x14ac:dyDescent="0.2">
      <c r="A3423" s="6">
        <v>45824</v>
      </c>
      <c r="B3423" t="s">
        <v>15</v>
      </c>
      <c r="C3423" t="s">
        <v>16</v>
      </c>
      <c r="D3423" s="1">
        <v>45855</v>
      </c>
      <c r="E3423" t="s">
        <v>17</v>
      </c>
      <c r="F3423">
        <v>4700</v>
      </c>
      <c r="J3423">
        <v>1343.4</v>
      </c>
      <c r="K3423">
        <v>1455</v>
      </c>
      <c r="L3423">
        <v>0</v>
      </c>
      <c r="M3423" t="s">
        <v>18</v>
      </c>
      <c r="N3423">
        <v>0</v>
      </c>
      <c r="O3423">
        <v>0</v>
      </c>
    </row>
    <row r="3424" spans="1:15" x14ac:dyDescent="0.2">
      <c r="A3424" s="6">
        <v>45824</v>
      </c>
      <c r="B3424" t="s">
        <v>15</v>
      </c>
      <c r="C3424" t="s">
        <v>16</v>
      </c>
      <c r="D3424" s="1">
        <v>45855</v>
      </c>
      <c r="E3424" t="s">
        <v>19</v>
      </c>
      <c r="F3424">
        <v>5500</v>
      </c>
      <c r="G3424">
        <v>96.9</v>
      </c>
      <c r="H3424">
        <v>164</v>
      </c>
      <c r="I3424">
        <v>77.900000000000006</v>
      </c>
      <c r="J3424">
        <v>120.8</v>
      </c>
      <c r="K3424">
        <v>101.3</v>
      </c>
      <c r="L3424">
        <v>20143</v>
      </c>
      <c r="M3424" t="s">
        <v>1550</v>
      </c>
      <c r="N3424">
        <v>113256.37</v>
      </c>
      <c r="O3424">
        <v>1793</v>
      </c>
    </row>
    <row r="3425" spans="1:15" x14ac:dyDescent="0.2">
      <c r="A3425" s="6">
        <v>45824</v>
      </c>
      <c r="B3425" t="s">
        <v>15</v>
      </c>
      <c r="C3425" t="s">
        <v>16</v>
      </c>
      <c r="D3425" s="1">
        <v>45855</v>
      </c>
      <c r="E3425" t="s">
        <v>17</v>
      </c>
      <c r="F3425">
        <v>4300</v>
      </c>
      <c r="J3425">
        <v>1739.3</v>
      </c>
      <c r="K3425">
        <v>1850.8</v>
      </c>
      <c r="L3425">
        <v>0</v>
      </c>
      <c r="M3425" t="s">
        <v>18</v>
      </c>
      <c r="N3425">
        <v>0</v>
      </c>
      <c r="O3425">
        <v>0</v>
      </c>
    </row>
    <row r="3426" spans="1:15" x14ac:dyDescent="0.2">
      <c r="A3426" s="6">
        <v>45824</v>
      </c>
      <c r="B3426" t="s">
        <v>15</v>
      </c>
      <c r="C3426" t="s">
        <v>16</v>
      </c>
      <c r="D3426" s="1">
        <v>45855</v>
      </c>
      <c r="E3426" t="s">
        <v>19</v>
      </c>
      <c r="F3426">
        <v>5750</v>
      </c>
      <c r="G3426">
        <v>202</v>
      </c>
      <c r="H3426">
        <v>269.2</v>
      </c>
      <c r="I3426">
        <v>90.2</v>
      </c>
      <c r="J3426">
        <v>217.3</v>
      </c>
      <c r="K3426">
        <v>202</v>
      </c>
      <c r="L3426">
        <v>199</v>
      </c>
      <c r="M3426" t="s">
        <v>1354</v>
      </c>
      <c r="N3426">
        <v>1190.56</v>
      </c>
      <c r="O3426">
        <v>28</v>
      </c>
    </row>
    <row r="3427" spans="1:15" x14ac:dyDescent="0.2">
      <c r="A3427" s="6">
        <v>45824</v>
      </c>
      <c r="B3427" t="s">
        <v>15</v>
      </c>
      <c r="C3427" t="s">
        <v>16</v>
      </c>
      <c r="D3427" s="1">
        <v>45855</v>
      </c>
      <c r="E3427" t="s">
        <v>19</v>
      </c>
      <c r="F3427">
        <v>3800</v>
      </c>
      <c r="J3427">
        <v>0.1</v>
      </c>
      <c r="K3427">
        <v>0.1</v>
      </c>
      <c r="L3427">
        <v>0</v>
      </c>
      <c r="M3427" t="s">
        <v>18</v>
      </c>
      <c r="N3427">
        <v>0</v>
      </c>
      <c r="O3427">
        <v>0</v>
      </c>
    </row>
    <row r="3428" spans="1:15" x14ac:dyDescent="0.2">
      <c r="A3428" s="6">
        <v>45824</v>
      </c>
      <c r="B3428" t="s">
        <v>15</v>
      </c>
      <c r="C3428" t="s">
        <v>16</v>
      </c>
      <c r="D3428" s="1">
        <v>45855</v>
      </c>
      <c r="E3428" t="s">
        <v>19</v>
      </c>
      <c r="F3428">
        <v>6450</v>
      </c>
      <c r="J3428">
        <v>517.79999999999995</v>
      </c>
      <c r="K3428">
        <v>457.2</v>
      </c>
      <c r="L3428">
        <v>0</v>
      </c>
      <c r="M3428" t="s">
        <v>18</v>
      </c>
      <c r="N3428">
        <v>0</v>
      </c>
      <c r="O3428">
        <v>0</v>
      </c>
    </row>
    <row r="3429" spans="1:15" x14ac:dyDescent="0.2">
      <c r="A3429" s="6">
        <v>45824</v>
      </c>
      <c r="B3429" t="s">
        <v>15</v>
      </c>
      <c r="C3429" t="s">
        <v>16</v>
      </c>
      <c r="D3429" s="1">
        <v>45855</v>
      </c>
      <c r="E3429" t="s">
        <v>19</v>
      </c>
      <c r="F3429">
        <v>7300</v>
      </c>
      <c r="J3429">
        <v>1258.5999999999999</v>
      </c>
      <c r="K3429">
        <v>1157.8</v>
      </c>
      <c r="L3429">
        <v>0</v>
      </c>
      <c r="M3429" t="s">
        <v>18</v>
      </c>
      <c r="N3429">
        <v>0</v>
      </c>
      <c r="O3429">
        <v>0</v>
      </c>
    </row>
    <row r="3430" spans="1:15" x14ac:dyDescent="0.2">
      <c r="A3430" s="6">
        <v>45824</v>
      </c>
      <c r="B3430" t="s">
        <v>15</v>
      </c>
      <c r="C3430" t="s">
        <v>16</v>
      </c>
      <c r="D3430" s="1">
        <v>45855</v>
      </c>
      <c r="E3430" t="s">
        <v>19</v>
      </c>
      <c r="F3430">
        <v>4150</v>
      </c>
      <c r="J3430">
        <v>0.1</v>
      </c>
      <c r="K3430">
        <v>0.1</v>
      </c>
      <c r="L3430">
        <v>0</v>
      </c>
      <c r="M3430" t="s">
        <v>18</v>
      </c>
      <c r="N3430">
        <v>0</v>
      </c>
      <c r="O3430">
        <v>0</v>
      </c>
    </row>
    <row r="3431" spans="1:15" x14ac:dyDescent="0.2">
      <c r="A3431" s="6">
        <v>45824</v>
      </c>
      <c r="B3431" t="s">
        <v>15</v>
      </c>
      <c r="C3431" t="s">
        <v>16</v>
      </c>
      <c r="D3431" s="1">
        <v>45855</v>
      </c>
      <c r="E3431" t="s">
        <v>17</v>
      </c>
      <c r="F3431">
        <v>7100</v>
      </c>
      <c r="G3431">
        <v>78.099999999999994</v>
      </c>
      <c r="H3431">
        <v>158</v>
      </c>
      <c r="I3431">
        <v>78.099999999999994</v>
      </c>
      <c r="J3431">
        <v>140.6</v>
      </c>
      <c r="K3431">
        <v>41.4</v>
      </c>
      <c r="L3431">
        <v>104</v>
      </c>
      <c r="M3431" t="s">
        <v>1551</v>
      </c>
      <c r="N3431">
        <v>752.43</v>
      </c>
      <c r="O3431">
        <v>37</v>
      </c>
    </row>
    <row r="3432" spans="1:15" x14ac:dyDescent="0.2">
      <c r="A3432" s="6">
        <v>45824</v>
      </c>
      <c r="B3432" t="s">
        <v>15</v>
      </c>
      <c r="C3432" t="s">
        <v>16</v>
      </c>
      <c r="D3432" s="1">
        <v>45855</v>
      </c>
      <c r="E3432" t="s">
        <v>19</v>
      </c>
      <c r="F3432">
        <v>6100</v>
      </c>
      <c r="G3432">
        <v>318.3</v>
      </c>
      <c r="H3432">
        <v>500</v>
      </c>
      <c r="I3432">
        <v>295.3</v>
      </c>
      <c r="J3432">
        <v>405.7</v>
      </c>
      <c r="K3432">
        <v>369.6</v>
      </c>
      <c r="L3432">
        <v>16113</v>
      </c>
      <c r="M3432" t="s">
        <v>1552</v>
      </c>
      <c r="N3432">
        <v>104778.57</v>
      </c>
      <c r="O3432">
        <v>1056</v>
      </c>
    </row>
    <row r="3433" spans="1:15" x14ac:dyDescent="0.2">
      <c r="A3433" s="6">
        <v>45824</v>
      </c>
      <c r="B3433" t="s">
        <v>15</v>
      </c>
      <c r="C3433" t="s">
        <v>16</v>
      </c>
      <c r="D3433" s="1">
        <v>45855</v>
      </c>
      <c r="E3433" t="s">
        <v>19</v>
      </c>
      <c r="F3433">
        <v>7000</v>
      </c>
      <c r="J3433">
        <v>977.5</v>
      </c>
      <c r="K3433">
        <v>886.9</v>
      </c>
      <c r="L3433">
        <v>0</v>
      </c>
      <c r="M3433" t="s">
        <v>18</v>
      </c>
      <c r="N3433">
        <v>0</v>
      </c>
      <c r="O3433">
        <v>0</v>
      </c>
    </row>
    <row r="3434" spans="1:15" x14ac:dyDescent="0.2">
      <c r="A3434" s="6">
        <v>45824</v>
      </c>
      <c r="B3434" t="s">
        <v>15</v>
      </c>
      <c r="C3434" t="s">
        <v>16</v>
      </c>
      <c r="D3434" s="1">
        <v>45855</v>
      </c>
      <c r="E3434" t="s">
        <v>17</v>
      </c>
      <c r="F3434">
        <v>7400</v>
      </c>
      <c r="G3434">
        <v>90</v>
      </c>
      <c r="H3434">
        <v>124.5</v>
      </c>
      <c r="I3434">
        <v>61.2</v>
      </c>
      <c r="J3434">
        <v>106.1</v>
      </c>
      <c r="K3434">
        <v>19.399999999999999</v>
      </c>
      <c r="L3434">
        <v>11006</v>
      </c>
      <c r="M3434" t="s">
        <v>1553</v>
      </c>
      <c r="N3434">
        <v>82492.27</v>
      </c>
      <c r="O3434">
        <v>1312</v>
      </c>
    </row>
    <row r="3435" spans="1:15" x14ac:dyDescent="0.2">
      <c r="A3435" s="6">
        <v>45824</v>
      </c>
      <c r="B3435" t="s">
        <v>15</v>
      </c>
      <c r="C3435" t="s">
        <v>16</v>
      </c>
      <c r="D3435" s="1">
        <v>45855</v>
      </c>
      <c r="E3435" t="s">
        <v>19</v>
      </c>
      <c r="F3435">
        <v>4300</v>
      </c>
      <c r="J3435">
        <v>0.1</v>
      </c>
      <c r="K3435">
        <v>0.2</v>
      </c>
      <c r="L3435">
        <v>0</v>
      </c>
      <c r="M3435" t="s">
        <v>18</v>
      </c>
      <c r="N3435">
        <v>0</v>
      </c>
      <c r="O3435">
        <v>0</v>
      </c>
    </row>
    <row r="3436" spans="1:15" x14ac:dyDescent="0.2">
      <c r="A3436" s="6">
        <v>45824</v>
      </c>
      <c r="B3436" t="s">
        <v>15</v>
      </c>
      <c r="C3436" t="s">
        <v>16</v>
      </c>
      <c r="D3436" s="1">
        <v>45855</v>
      </c>
      <c r="E3436" t="s">
        <v>19</v>
      </c>
      <c r="F3436">
        <v>6600</v>
      </c>
      <c r="G3436">
        <v>698</v>
      </c>
      <c r="H3436">
        <v>875</v>
      </c>
      <c r="I3436">
        <v>690</v>
      </c>
      <c r="J3436">
        <v>768.6</v>
      </c>
      <c r="K3436">
        <v>681.1</v>
      </c>
      <c r="L3436">
        <v>10</v>
      </c>
      <c r="M3436" t="s">
        <v>69</v>
      </c>
      <c r="N3436">
        <v>73.69</v>
      </c>
      <c r="O3436">
        <v>6</v>
      </c>
    </row>
    <row r="3437" spans="1:15" x14ac:dyDescent="0.2">
      <c r="A3437" s="6">
        <v>45824</v>
      </c>
      <c r="B3437" t="s">
        <v>15</v>
      </c>
      <c r="C3437" t="s">
        <v>16</v>
      </c>
      <c r="D3437" s="1">
        <v>45855</v>
      </c>
      <c r="E3437" t="s">
        <v>19</v>
      </c>
      <c r="F3437">
        <v>7050</v>
      </c>
      <c r="J3437">
        <v>1023.4</v>
      </c>
      <c r="K3437">
        <v>930.8</v>
      </c>
      <c r="L3437">
        <v>0</v>
      </c>
      <c r="M3437" t="s">
        <v>18</v>
      </c>
      <c r="N3437">
        <v>0</v>
      </c>
      <c r="O3437">
        <v>0</v>
      </c>
    </row>
    <row r="3438" spans="1:15" x14ac:dyDescent="0.2">
      <c r="A3438" s="6">
        <v>45824</v>
      </c>
      <c r="B3438" t="s">
        <v>15</v>
      </c>
      <c r="C3438" t="s">
        <v>16</v>
      </c>
      <c r="D3438" s="1">
        <v>45855</v>
      </c>
      <c r="E3438" t="s">
        <v>19</v>
      </c>
      <c r="F3438">
        <v>5550</v>
      </c>
      <c r="G3438">
        <v>135</v>
      </c>
      <c r="H3438">
        <v>178</v>
      </c>
      <c r="I3438">
        <v>20</v>
      </c>
      <c r="J3438">
        <v>138.9</v>
      </c>
      <c r="K3438">
        <v>68.400000000000006</v>
      </c>
      <c r="L3438">
        <v>79</v>
      </c>
      <c r="M3438" t="s">
        <v>1554</v>
      </c>
      <c r="N3438">
        <v>450.35</v>
      </c>
      <c r="O3438">
        <v>16</v>
      </c>
    </row>
    <row r="3439" spans="1:15" x14ac:dyDescent="0.2">
      <c r="A3439" s="6">
        <v>45824</v>
      </c>
      <c r="B3439" t="s">
        <v>15</v>
      </c>
      <c r="C3439" t="s">
        <v>16</v>
      </c>
      <c r="D3439" s="1">
        <v>45855</v>
      </c>
      <c r="E3439" t="s">
        <v>17</v>
      </c>
      <c r="F3439">
        <v>6150</v>
      </c>
      <c r="G3439">
        <v>380</v>
      </c>
      <c r="H3439">
        <v>401.5</v>
      </c>
      <c r="I3439">
        <v>230.4</v>
      </c>
      <c r="J3439">
        <v>334.8</v>
      </c>
      <c r="K3439">
        <v>289.89999999999998</v>
      </c>
      <c r="L3439">
        <v>1575</v>
      </c>
      <c r="M3439" t="s">
        <v>1375</v>
      </c>
      <c r="N3439">
        <v>10183.290000000001</v>
      </c>
      <c r="O3439">
        <v>131</v>
      </c>
    </row>
    <row r="3440" spans="1:15" x14ac:dyDescent="0.2">
      <c r="A3440" s="6">
        <v>45824</v>
      </c>
      <c r="B3440" t="s">
        <v>15</v>
      </c>
      <c r="C3440" t="s">
        <v>16</v>
      </c>
      <c r="D3440" s="1">
        <v>45855</v>
      </c>
      <c r="E3440" t="s">
        <v>19</v>
      </c>
      <c r="F3440">
        <v>4350</v>
      </c>
      <c r="J3440">
        <v>0.2</v>
      </c>
      <c r="K3440">
        <v>0.2</v>
      </c>
      <c r="L3440">
        <v>0</v>
      </c>
      <c r="M3440" t="s">
        <v>18</v>
      </c>
      <c r="N3440">
        <v>0</v>
      </c>
      <c r="O3440">
        <v>0</v>
      </c>
    </row>
    <row r="3441" spans="1:15" x14ac:dyDescent="0.2">
      <c r="A3441" s="6">
        <v>45824</v>
      </c>
      <c r="B3441" t="s">
        <v>15</v>
      </c>
      <c r="C3441" t="s">
        <v>16</v>
      </c>
      <c r="D3441" s="1">
        <v>45855</v>
      </c>
      <c r="E3441" t="s">
        <v>17</v>
      </c>
      <c r="F3441">
        <v>4050</v>
      </c>
      <c r="J3441">
        <v>1987.9</v>
      </c>
      <c r="K3441">
        <v>2099.3000000000002</v>
      </c>
      <c r="L3441">
        <v>0</v>
      </c>
      <c r="M3441" t="s">
        <v>18</v>
      </c>
      <c r="N3441">
        <v>0</v>
      </c>
      <c r="O3441">
        <v>0</v>
      </c>
    </row>
    <row r="3442" spans="1:15" x14ac:dyDescent="0.2">
      <c r="A3442" s="6">
        <v>45824</v>
      </c>
      <c r="B3442" t="s">
        <v>15</v>
      </c>
      <c r="C3442" t="s">
        <v>16</v>
      </c>
      <c r="D3442" s="1">
        <v>45855</v>
      </c>
      <c r="E3442" t="s">
        <v>17</v>
      </c>
      <c r="F3442">
        <v>5400</v>
      </c>
      <c r="G3442">
        <v>882.4</v>
      </c>
      <c r="H3442">
        <v>889</v>
      </c>
      <c r="I3442">
        <v>595.29999999999995</v>
      </c>
      <c r="J3442">
        <v>736.2</v>
      </c>
      <c r="K3442">
        <v>761.5</v>
      </c>
      <c r="L3442">
        <v>177</v>
      </c>
      <c r="M3442" t="s">
        <v>1555</v>
      </c>
      <c r="N3442">
        <v>1086.78</v>
      </c>
      <c r="O3442">
        <v>551</v>
      </c>
    </row>
    <row r="3443" spans="1:15" x14ac:dyDescent="0.2">
      <c r="A3443" s="6">
        <v>45824</v>
      </c>
      <c r="B3443" t="s">
        <v>15</v>
      </c>
      <c r="C3443" t="s">
        <v>16</v>
      </c>
      <c r="D3443" s="1">
        <v>45855</v>
      </c>
      <c r="E3443" t="s">
        <v>17</v>
      </c>
      <c r="F3443">
        <v>3900</v>
      </c>
      <c r="J3443">
        <v>2137.1</v>
      </c>
      <c r="K3443">
        <v>2248.5</v>
      </c>
      <c r="L3443">
        <v>0</v>
      </c>
      <c r="M3443" t="s">
        <v>18</v>
      </c>
      <c r="N3443">
        <v>0</v>
      </c>
      <c r="O3443">
        <v>0</v>
      </c>
    </row>
    <row r="3444" spans="1:15" x14ac:dyDescent="0.2">
      <c r="A3444" s="6">
        <v>45824</v>
      </c>
      <c r="B3444" t="s">
        <v>15</v>
      </c>
      <c r="C3444" t="s">
        <v>16</v>
      </c>
      <c r="D3444" s="1">
        <v>45855</v>
      </c>
      <c r="E3444" t="s">
        <v>17</v>
      </c>
      <c r="F3444">
        <v>5850</v>
      </c>
      <c r="G3444">
        <v>494.5</v>
      </c>
      <c r="H3444">
        <v>495.8</v>
      </c>
      <c r="I3444">
        <v>330</v>
      </c>
      <c r="J3444">
        <v>450.4</v>
      </c>
      <c r="K3444">
        <v>503.2</v>
      </c>
      <c r="L3444">
        <v>96</v>
      </c>
      <c r="M3444" t="s">
        <v>707</v>
      </c>
      <c r="N3444">
        <v>599.02</v>
      </c>
      <c r="O3444">
        <v>3</v>
      </c>
    </row>
    <row r="3445" spans="1:15" x14ac:dyDescent="0.2">
      <c r="A3445" s="6">
        <v>45824</v>
      </c>
      <c r="B3445" t="s">
        <v>15</v>
      </c>
      <c r="C3445" t="s">
        <v>16</v>
      </c>
      <c r="D3445" s="1">
        <v>45855</v>
      </c>
      <c r="E3445" t="s">
        <v>19</v>
      </c>
      <c r="F3445">
        <v>6300</v>
      </c>
      <c r="G3445">
        <v>429</v>
      </c>
      <c r="H3445">
        <v>663</v>
      </c>
      <c r="I3445">
        <v>411.3</v>
      </c>
      <c r="J3445">
        <v>540.29999999999995</v>
      </c>
      <c r="K3445">
        <v>495.7</v>
      </c>
      <c r="L3445">
        <v>3611</v>
      </c>
      <c r="M3445" t="s">
        <v>1556</v>
      </c>
      <c r="N3445">
        <v>24639.77</v>
      </c>
      <c r="O3445">
        <v>267</v>
      </c>
    </row>
    <row r="3446" spans="1:15" x14ac:dyDescent="0.2">
      <c r="A3446" s="6">
        <v>45824</v>
      </c>
      <c r="B3446" t="s">
        <v>15</v>
      </c>
      <c r="C3446" t="s">
        <v>16</v>
      </c>
      <c r="D3446" s="1">
        <v>45855</v>
      </c>
      <c r="E3446" t="s">
        <v>19</v>
      </c>
      <c r="F3446">
        <v>5850</v>
      </c>
      <c r="G3446">
        <v>254.9</v>
      </c>
      <c r="H3446">
        <v>331.6</v>
      </c>
      <c r="I3446">
        <v>194.3</v>
      </c>
      <c r="J3446">
        <v>264.5</v>
      </c>
      <c r="K3446">
        <v>149.69999999999999</v>
      </c>
      <c r="L3446">
        <v>582</v>
      </c>
      <c r="M3446" t="s">
        <v>1557</v>
      </c>
      <c r="N3446">
        <v>3573.6</v>
      </c>
      <c r="O3446">
        <v>68</v>
      </c>
    </row>
    <row r="3447" spans="1:15" x14ac:dyDescent="0.2">
      <c r="A3447" s="6">
        <v>45824</v>
      </c>
      <c r="B3447" t="s">
        <v>15</v>
      </c>
      <c r="C3447" t="s">
        <v>16</v>
      </c>
      <c r="D3447" s="1">
        <v>45855</v>
      </c>
      <c r="E3447" t="s">
        <v>19</v>
      </c>
      <c r="F3447">
        <v>6500</v>
      </c>
      <c r="G3447">
        <v>577</v>
      </c>
      <c r="H3447">
        <v>765.8</v>
      </c>
      <c r="I3447">
        <v>541.70000000000005</v>
      </c>
      <c r="J3447">
        <v>699.4</v>
      </c>
      <c r="K3447">
        <v>634.70000000000005</v>
      </c>
      <c r="L3447">
        <v>87</v>
      </c>
      <c r="M3447" t="s">
        <v>1558</v>
      </c>
      <c r="N3447">
        <v>623.27</v>
      </c>
      <c r="O3447">
        <v>27</v>
      </c>
    </row>
    <row r="3448" spans="1:15" x14ac:dyDescent="0.2">
      <c r="A3448" s="6">
        <v>45824</v>
      </c>
      <c r="B3448" t="s">
        <v>15</v>
      </c>
      <c r="C3448" t="s">
        <v>16</v>
      </c>
      <c r="D3448" s="1">
        <v>45855</v>
      </c>
      <c r="E3448" t="s">
        <v>19</v>
      </c>
      <c r="F3448">
        <v>4800</v>
      </c>
      <c r="G3448">
        <v>17.100000000000001</v>
      </c>
      <c r="H3448">
        <v>52</v>
      </c>
      <c r="I3448">
        <v>17.100000000000001</v>
      </c>
      <c r="J3448">
        <v>33.5</v>
      </c>
      <c r="K3448">
        <v>31.4</v>
      </c>
      <c r="L3448">
        <v>819</v>
      </c>
      <c r="M3448" t="s">
        <v>1559</v>
      </c>
      <c r="N3448">
        <v>3961.12</v>
      </c>
      <c r="O3448">
        <v>96</v>
      </c>
    </row>
    <row r="3449" spans="1:15" x14ac:dyDescent="0.2">
      <c r="A3449" s="6">
        <v>45824</v>
      </c>
      <c r="B3449" t="s">
        <v>15</v>
      </c>
      <c r="C3449" t="s">
        <v>16</v>
      </c>
      <c r="D3449" s="1">
        <v>45855</v>
      </c>
      <c r="E3449" t="s">
        <v>19</v>
      </c>
      <c r="F3449">
        <v>4750</v>
      </c>
      <c r="J3449">
        <v>2.9</v>
      </c>
      <c r="K3449">
        <v>2.8</v>
      </c>
      <c r="L3449">
        <v>0</v>
      </c>
      <c r="M3449" t="s">
        <v>18</v>
      </c>
      <c r="N3449">
        <v>0</v>
      </c>
      <c r="O3449">
        <v>0</v>
      </c>
    </row>
    <row r="3450" spans="1:15" x14ac:dyDescent="0.2">
      <c r="A3450" s="6">
        <v>45824</v>
      </c>
      <c r="B3450" t="s">
        <v>15</v>
      </c>
      <c r="C3450" t="s">
        <v>16</v>
      </c>
      <c r="D3450" s="1">
        <v>45855</v>
      </c>
      <c r="E3450" t="s">
        <v>19</v>
      </c>
      <c r="F3450">
        <v>3850</v>
      </c>
      <c r="J3450">
        <v>0.1</v>
      </c>
      <c r="K3450">
        <v>0.1</v>
      </c>
      <c r="L3450">
        <v>0</v>
      </c>
      <c r="M3450" t="s">
        <v>18</v>
      </c>
      <c r="N3450">
        <v>0</v>
      </c>
      <c r="O3450">
        <v>0</v>
      </c>
    </row>
    <row r="3451" spans="1:15" x14ac:dyDescent="0.2">
      <c r="A3451" s="6">
        <v>45824</v>
      </c>
      <c r="B3451" t="s">
        <v>15</v>
      </c>
      <c r="C3451" t="s">
        <v>16</v>
      </c>
      <c r="D3451" s="1">
        <v>45855</v>
      </c>
      <c r="E3451" t="s">
        <v>19</v>
      </c>
      <c r="F3451">
        <v>3950</v>
      </c>
      <c r="J3451">
        <v>0.1</v>
      </c>
      <c r="K3451">
        <v>0.1</v>
      </c>
      <c r="L3451">
        <v>0</v>
      </c>
      <c r="M3451" t="s">
        <v>18</v>
      </c>
      <c r="N3451">
        <v>0</v>
      </c>
      <c r="O3451">
        <v>0</v>
      </c>
    </row>
    <row r="3452" spans="1:15" x14ac:dyDescent="0.2">
      <c r="A3452" s="6">
        <v>45824</v>
      </c>
      <c r="B3452" t="s">
        <v>15</v>
      </c>
      <c r="C3452" t="s">
        <v>16</v>
      </c>
      <c r="D3452" s="1">
        <v>45855</v>
      </c>
      <c r="E3452" t="s">
        <v>19</v>
      </c>
      <c r="F3452">
        <v>6000</v>
      </c>
      <c r="G3452">
        <v>282</v>
      </c>
      <c r="H3452">
        <v>432.6</v>
      </c>
      <c r="I3452">
        <v>243.8</v>
      </c>
      <c r="J3452">
        <v>346.5</v>
      </c>
      <c r="K3452">
        <v>308.89999999999998</v>
      </c>
      <c r="L3452">
        <v>35420</v>
      </c>
      <c r="M3452" t="s">
        <v>1560</v>
      </c>
      <c r="N3452">
        <v>224747.05</v>
      </c>
      <c r="O3452">
        <v>1727</v>
      </c>
    </row>
    <row r="3453" spans="1:15" x14ac:dyDescent="0.2">
      <c r="A3453" s="6">
        <v>45824</v>
      </c>
      <c r="B3453" t="s">
        <v>15</v>
      </c>
      <c r="C3453" t="s">
        <v>16</v>
      </c>
      <c r="D3453" s="1">
        <v>45855</v>
      </c>
      <c r="E3453" t="s">
        <v>17</v>
      </c>
      <c r="F3453">
        <v>5550</v>
      </c>
      <c r="J3453">
        <v>574.1</v>
      </c>
      <c r="K3453">
        <v>676</v>
      </c>
      <c r="L3453">
        <v>0</v>
      </c>
      <c r="M3453" t="s">
        <v>18</v>
      </c>
      <c r="N3453">
        <v>0</v>
      </c>
      <c r="O3453">
        <v>0</v>
      </c>
    </row>
    <row r="3454" spans="1:15" x14ac:dyDescent="0.2">
      <c r="A3454" s="6">
        <v>45821</v>
      </c>
      <c r="B3454" t="s">
        <v>15</v>
      </c>
      <c r="C3454" t="s">
        <v>16</v>
      </c>
      <c r="D3454" s="1">
        <v>45855</v>
      </c>
      <c r="E3454" t="s">
        <v>17</v>
      </c>
      <c r="F3454">
        <v>4350</v>
      </c>
      <c r="J3454">
        <v>1801.2</v>
      </c>
      <c r="K3454">
        <v>1375.2</v>
      </c>
      <c r="L3454">
        <v>0</v>
      </c>
      <c r="M3454" t="s">
        <v>18</v>
      </c>
      <c r="N3454">
        <v>0</v>
      </c>
      <c r="O3454">
        <v>0</v>
      </c>
    </row>
    <row r="3455" spans="1:15" x14ac:dyDescent="0.2">
      <c r="A3455" s="6">
        <v>45821</v>
      </c>
      <c r="B3455" t="s">
        <v>15</v>
      </c>
      <c r="C3455" t="s">
        <v>16</v>
      </c>
      <c r="D3455" s="1">
        <v>45855</v>
      </c>
      <c r="E3455" t="s">
        <v>19</v>
      </c>
      <c r="F3455">
        <v>6150</v>
      </c>
      <c r="G3455">
        <v>464</v>
      </c>
      <c r="H3455">
        <v>464</v>
      </c>
      <c r="I3455">
        <v>399</v>
      </c>
      <c r="J3455">
        <v>418.1</v>
      </c>
      <c r="K3455">
        <v>469.3</v>
      </c>
      <c r="L3455">
        <v>7</v>
      </c>
      <c r="M3455" t="s">
        <v>23</v>
      </c>
      <c r="N3455">
        <v>45.98</v>
      </c>
      <c r="O3455">
        <v>2</v>
      </c>
    </row>
    <row r="3456" spans="1:15" x14ac:dyDescent="0.2">
      <c r="A3456" s="6">
        <v>45821</v>
      </c>
      <c r="B3456" t="s">
        <v>15</v>
      </c>
      <c r="C3456" t="s">
        <v>16</v>
      </c>
      <c r="D3456" s="1">
        <v>45855</v>
      </c>
      <c r="E3456" t="s">
        <v>17</v>
      </c>
      <c r="F3456">
        <v>5950</v>
      </c>
      <c r="G3456">
        <v>351.1</v>
      </c>
      <c r="H3456">
        <v>433.1</v>
      </c>
      <c r="I3456">
        <v>351.1</v>
      </c>
      <c r="J3456">
        <v>408.9</v>
      </c>
      <c r="K3456">
        <v>169.3</v>
      </c>
      <c r="L3456">
        <v>6</v>
      </c>
      <c r="M3456" t="s">
        <v>132</v>
      </c>
      <c r="N3456">
        <v>38.15</v>
      </c>
      <c r="O3456">
        <v>13</v>
      </c>
    </row>
    <row r="3457" spans="1:15" x14ac:dyDescent="0.2">
      <c r="A3457" s="6">
        <v>45821</v>
      </c>
      <c r="B3457" t="s">
        <v>15</v>
      </c>
      <c r="C3457" t="s">
        <v>16</v>
      </c>
      <c r="D3457" s="1">
        <v>45855</v>
      </c>
      <c r="E3457" t="s">
        <v>17</v>
      </c>
      <c r="F3457">
        <v>4850</v>
      </c>
      <c r="J3457">
        <v>1308.4000000000001</v>
      </c>
      <c r="K3457">
        <v>881.6</v>
      </c>
      <c r="L3457">
        <v>0</v>
      </c>
      <c r="M3457" t="s">
        <v>18</v>
      </c>
      <c r="N3457">
        <v>0</v>
      </c>
      <c r="O3457">
        <v>0</v>
      </c>
    </row>
    <row r="3458" spans="1:15" x14ac:dyDescent="0.2">
      <c r="A3458" s="6">
        <v>45821</v>
      </c>
      <c r="B3458" t="s">
        <v>15</v>
      </c>
      <c r="C3458" t="s">
        <v>16</v>
      </c>
      <c r="D3458" s="1">
        <v>45855</v>
      </c>
      <c r="E3458" t="s">
        <v>17</v>
      </c>
      <c r="F3458">
        <v>5000</v>
      </c>
      <c r="G3458">
        <v>1035.5999999999999</v>
      </c>
      <c r="H3458">
        <v>1035.5999999999999</v>
      </c>
      <c r="I3458">
        <v>1035.5999999999999</v>
      </c>
      <c r="J3458">
        <v>1035.5999999999999</v>
      </c>
      <c r="K3458">
        <v>750.9</v>
      </c>
      <c r="L3458">
        <v>1</v>
      </c>
      <c r="M3458" t="s">
        <v>155</v>
      </c>
      <c r="N3458">
        <v>6.04</v>
      </c>
      <c r="O3458">
        <v>1</v>
      </c>
    </row>
    <row r="3459" spans="1:15" x14ac:dyDescent="0.2">
      <c r="A3459" s="6">
        <v>45821</v>
      </c>
      <c r="B3459" t="s">
        <v>15</v>
      </c>
      <c r="C3459" t="s">
        <v>16</v>
      </c>
      <c r="D3459" s="1">
        <v>45855</v>
      </c>
      <c r="E3459" t="s">
        <v>17</v>
      </c>
      <c r="F3459">
        <v>3700</v>
      </c>
      <c r="J3459">
        <v>2447.4</v>
      </c>
      <c r="K3459">
        <v>2021.4</v>
      </c>
      <c r="L3459">
        <v>0</v>
      </c>
      <c r="M3459" t="s">
        <v>18</v>
      </c>
      <c r="N3459">
        <v>0</v>
      </c>
      <c r="O3459">
        <v>0</v>
      </c>
    </row>
    <row r="3460" spans="1:15" x14ac:dyDescent="0.2">
      <c r="A3460" s="6">
        <v>45821</v>
      </c>
      <c r="B3460" t="s">
        <v>15</v>
      </c>
      <c r="C3460" t="s">
        <v>16</v>
      </c>
      <c r="D3460" s="1">
        <v>45855</v>
      </c>
      <c r="E3460" t="s">
        <v>17</v>
      </c>
      <c r="F3460">
        <v>4750</v>
      </c>
      <c r="J3460">
        <v>1406</v>
      </c>
      <c r="K3460">
        <v>979.2</v>
      </c>
      <c r="L3460">
        <v>0</v>
      </c>
      <c r="M3460" t="s">
        <v>18</v>
      </c>
      <c r="N3460">
        <v>0</v>
      </c>
      <c r="O3460">
        <v>0</v>
      </c>
    </row>
    <row r="3461" spans="1:15" x14ac:dyDescent="0.2">
      <c r="A3461" s="6">
        <v>45821</v>
      </c>
      <c r="B3461" t="s">
        <v>15</v>
      </c>
      <c r="C3461" t="s">
        <v>16</v>
      </c>
      <c r="D3461" s="1">
        <v>45855</v>
      </c>
      <c r="E3461" t="s">
        <v>17</v>
      </c>
      <c r="F3461">
        <v>4100</v>
      </c>
      <c r="J3461">
        <v>2049.6</v>
      </c>
      <c r="K3461">
        <v>1623.7</v>
      </c>
      <c r="L3461">
        <v>0</v>
      </c>
      <c r="M3461" t="s">
        <v>18</v>
      </c>
      <c r="N3461">
        <v>0</v>
      </c>
      <c r="O3461">
        <v>0</v>
      </c>
    </row>
    <row r="3462" spans="1:15" x14ac:dyDescent="0.2">
      <c r="A3462" s="6">
        <v>45821</v>
      </c>
      <c r="B3462" t="s">
        <v>15</v>
      </c>
      <c r="C3462" t="s">
        <v>16</v>
      </c>
      <c r="D3462" s="1">
        <v>45855</v>
      </c>
      <c r="E3462" t="s">
        <v>17</v>
      </c>
      <c r="F3462">
        <v>4400</v>
      </c>
      <c r="J3462">
        <v>1751.6</v>
      </c>
      <c r="K3462">
        <v>1325.5</v>
      </c>
      <c r="L3462">
        <v>0</v>
      </c>
      <c r="M3462" t="s">
        <v>18</v>
      </c>
      <c r="N3462">
        <v>0</v>
      </c>
      <c r="O3462">
        <v>0</v>
      </c>
    </row>
    <row r="3463" spans="1:15" x14ac:dyDescent="0.2">
      <c r="A3463" s="6">
        <v>45821</v>
      </c>
      <c r="B3463" t="s">
        <v>15</v>
      </c>
      <c r="C3463" t="s">
        <v>16</v>
      </c>
      <c r="D3463" s="1">
        <v>45855</v>
      </c>
      <c r="E3463" t="s">
        <v>17</v>
      </c>
      <c r="F3463">
        <v>4450</v>
      </c>
      <c r="J3463">
        <v>1702</v>
      </c>
      <c r="K3463">
        <v>1275.8</v>
      </c>
      <c r="L3463">
        <v>0</v>
      </c>
      <c r="M3463" t="s">
        <v>18</v>
      </c>
      <c r="N3463">
        <v>0</v>
      </c>
      <c r="O3463">
        <v>0</v>
      </c>
    </row>
    <row r="3464" spans="1:15" x14ac:dyDescent="0.2">
      <c r="A3464" s="6">
        <v>45821</v>
      </c>
      <c r="B3464" t="s">
        <v>15</v>
      </c>
      <c r="C3464" t="s">
        <v>16</v>
      </c>
      <c r="D3464" s="1">
        <v>45855</v>
      </c>
      <c r="E3464" t="s">
        <v>19</v>
      </c>
      <c r="F3464">
        <v>6950</v>
      </c>
      <c r="J3464">
        <v>843.7</v>
      </c>
      <c r="K3464">
        <v>1211.9000000000001</v>
      </c>
      <c r="L3464">
        <v>0</v>
      </c>
      <c r="M3464" t="s">
        <v>18</v>
      </c>
      <c r="N3464">
        <v>0</v>
      </c>
      <c r="O3464">
        <v>0</v>
      </c>
    </row>
    <row r="3465" spans="1:15" x14ac:dyDescent="0.2">
      <c r="A3465" s="6">
        <v>45821</v>
      </c>
      <c r="B3465" t="s">
        <v>15</v>
      </c>
      <c r="C3465" t="s">
        <v>16</v>
      </c>
      <c r="D3465" s="1">
        <v>45855</v>
      </c>
      <c r="E3465" t="s">
        <v>17</v>
      </c>
      <c r="F3465">
        <v>5200</v>
      </c>
      <c r="G3465">
        <v>1070</v>
      </c>
      <c r="H3465">
        <v>1070</v>
      </c>
      <c r="I3465">
        <v>927.9</v>
      </c>
      <c r="J3465">
        <v>991.2</v>
      </c>
      <c r="K3465">
        <v>589.70000000000005</v>
      </c>
      <c r="L3465">
        <v>26</v>
      </c>
      <c r="M3465" t="s">
        <v>59</v>
      </c>
      <c r="N3465">
        <v>161.86000000000001</v>
      </c>
      <c r="O3465">
        <v>26</v>
      </c>
    </row>
    <row r="3466" spans="1:15" x14ac:dyDescent="0.2">
      <c r="A3466" s="6">
        <v>45821</v>
      </c>
      <c r="B3466" t="s">
        <v>15</v>
      </c>
      <c r="C3466" t="s">
        <v>16</v>
      </c>
      <c r="D3466" s="1">
        <v>45855</v>
      </c>
      <c r="E3466" t="s">
        <v>17</v>
      </c>
      <c r="F3466">
        <v>4950</v>
      </c>
      <c r="J3466">
        <v>1211.8</v>
      </c>
      <c r="K3466">
        <v>785.4</v>
      </c>
      <c r="L3466">
        <v>0</v>
      </c>
      <c r="M3466" t="s">
        <v>18</v>
      </c>
      <c r="N3466">
        <v>0</v>
      </c>
      <c r="O3466">
        <v>0</v>
      </c>
    </row>
    <row r="3467" spans="1:15" x14ac:dyDescent="0.2">
      <c r="A3467" s="6">
        <v>45821</v>
      </c>
      <c r="B3467" t="s">
        <v>15</v>
      </c>
      <c r="C3467" t="s">
        <v>16</v>
      </c>
      <c r="D3467" s="1">
        <v>45855</v>
      </c>
      <c r="E3467" t="s">
        <v>17</v>
      </c>
      <c r="F3467">
        <v>4900</v>
      </c>
      <c r="J3467">
        <v>1259.9000000000001</v>
      </c>
      <c r="K3467">
        <v>833.3</v>
      </c>
      <c r="L3467">
        <v>0</v>
      </c>
      <c r="M3467" t="s">
        <v>18</v>
      </c>
      <c r="N3467">
        <v>0</v>
      </c>
      <c r="O3467">
        <v>0</v>
      </c>
    </row>
    <row r="3468" spans="1:15" x14ac:dyDescent="0.2">
      <c r="A3468" s="6">
        <v>45821</v>
      </c>
      <c r="B3468" t="s">
        <v>15</v>
      </c>
      <c r="C3468" t="s">
        <v>16</v>
      </c>
      <c r="D3468" s="1">
        <v>45855</v>
      </c>
      <c r="E3468" t="s">
        <v>19</v>
      </c>
      <c r="F3468">
        <v>3900</v>
      </c>
      <c r="J3468">
        <v>0.1</v>
      </c>
      <c r="K3468">
        <v>0.1</v>
      </c>
      <c r="L3468">
        <v>0</v>
      </c>
      <c r="M3468" t="s">
        <v>18</v>
      </c>
      <c r="N3468">
        <v>0</v>
      </c>
      <c r="O3468">
        <v>0</v>
      </c>
    </row>
    <row r="3469" spans="1:15" x14ac:dyDescent="0.2">
      <c r="A3469" s="6">
        <v>45821</v>
      </c>
      <c r="B3469" t="s">
        <v>15</v>
      </c>
      <c r="C3469" t="s">
        <v>16</v>
      </c>
      <c r="D3469" s="1">
        <v>45855</v>
      </c>
      <c r="E3469" t="s">
        <v>17</v>
      </c>
      <c r="F3469">
        <v>4800</v>
      </c>
      <c r="J3469">
        <v>1357.1</v>
      </c>
      <c r="K3469">
        <v>930.2</v>
      </c>
      <c r="L3469">
        <v>0</v>
      </c>
      <c r="M3469" t="s">
        <v>18</v>
      </c>
      <c r="N3469">
        <v>0</v>
      </c>
      <c r="O3469">
        <v>0</v>
      </c>
    </row>
    <row r="3470" spans="1:15" x14ac:dyDescent="0.2">
      <c r="A3470" s="6">
        <v>45821</v>
      </c>
      <c r="B3470" t="s">
        <v>15</v>
      </c>
      <c r="C3470" t="s">
        <v>16</v>
      </c>
      <c r="D3470" s="1">
        <v>45855</v>
      </c>
      <c r="E3470" t="s">
        <v>19</v>
      </c>
      <c r="F3470">
        <v>5250</v>
      </c>
      <c r="G3470">
        <v>70.099999999999994</v>
      </c>
      <c r="H3470">
        <v>100</v>
      </c>
      <c r="I3470">
        <v>65.7</v>
      </c>
      <c r="J3470">
        <v>71.5</v>
      </c>
      <c r="K3470">
        <v>33.9</v>
      </c>
      <c r="L3470">
        <v>7</v>
      </c>
      <c r="M3470" t="s">
        <v>23</v>
      </c>
      <c r="N3470">
        <v>37.25</v>
      </c>
      <c r="O3470">
        <v>8</v>
      </c>
    </row>
    <row r="3471" spans="1:15" x14ac:dyDescent="0.2">
      <c r="A3471" s="6">
        <v>45821</v>
      </c>
      <c r="B3471" t="s">
        <v>15</v>
      </c>
      <c r="C3471" t="s">
        <v>16</v>
      </c>
      <c r="D3471" s="1">
        <v>45855</v>
      </c>
      <c r="E3471" t="s">
        <v>19</v>
      </c>
      <c r="F3471">
        <v>4200</v>
      </c>
      <c r="J3471">
        <v>0.1</v>
      </c>
      <c r="K3471">
        <v>0.1</v>
      </c>
      <c r="L3471">
        <v>0</v>
      </c>
      <c r="M3471" t="s">
        <v>18</v>
      </c>
      <c r="N3471">
        <v>0</v>
      </c>
      <c r="O3471">
        <v>0</v>
      </c>
    </row>
    <row r="3472" spans="1:15" x14ac:dyDescent="0.2">
      <c r="A3472" s="6">
        <v>45821</v>
      </c>
      <c r="B3472" t="s">
        <v>15</v>
      </c>
      <c r="C3472" t="s">
        <v>16</v>
      </c>
      <c r="D3472" s="1">
        <v>45855</v>
      </c>
      <c r="E3472" t="s">
        <v>19</v>
      </c>
      <c r="F3472">
        <v>3600</v>
      </c>
      <c r="J3472">
        <v>0.1</v>
      </c>
      <c r="K3472">
        <v>0.1</v>
      </c>
      <c r="L3472">
        <v>0</v>
      </c>
      <c r="M3472" t="s">
        <v>18</v>
      </c>
      <c r="N3472">
        <v>0</v>
      </c>
      <c r="O3472">
        <v>0</v>
      </c>
    </row>
    <row r="3473" spans="1:15" x14ac:dyDescent="0.2">
      <c r="A3473" s="6">
        <v>45821</v>
      </c>
      <c r="B3473" t="s">
        <v>15</v>
      </c>
      <c r="C3473" t="s">
        <v>16</v>
      </c>
      <c r="D3473" s="1">
        <v>45855</v>
      </c>
      <c r="E3473" t="s">
        <v>17</v>
      </c>
      <c r="F3473">
        <v>5300</v>
      </c>
      <c r="G3473">
        <v>837.6</v>
      </c>
      <c r="H3473">
        <v>968.4</v>
      </c>
      <c r="I3473">
        <v>816.5</v>
      </c>
      <c r="J3473">
        <v>883.2</v>
      </c>
      <c r="K3473">
        <v>532.1</v>
      </c>
      <c r="L3473">
        <v>12</v>
      </c>
      <c r="M3473" t="s">
        <v>180</v>
      </c>
      <c r="N3473">
        <v>74.11</v>
      </c>
      <c r="O3473">
        <v>22</v>
      </c>
    </row>
    <row r="3474" spans="1:15" x14ac:dyDescent="0.2">
      <c r="A3474" s="6">
        <v>45821</v>
      </c>
      <c r="B3474" t="s">
        <v>15</v>
      </c>
      <c r="C3474" t="s">
        <v>16</v>
      </c>
      <c r="D3474" s="1">
        <v>45855</v>
      </c>
      <c r="E3474" t="s">
        <v>19</v>
      </c>
      <c r="F3474">
        <v>4900</v>
      </c>
      <c r="J3474">
        <v>5.9</v>
      </c>
      <c r="K3474">
        <v>5</v>
      </c>
      <c r="L3474">
        <v>0</v>
      </c>
      <c r="M3474" t="s">
        <v>18</v>
      </c>
      <c r="N3474">
        <v>0</v>
      </c>
      <c r="O3474">
        <v>0</v>
      </c>
    </row>
    <row r="3475" spans="1:15" x14ac:dyDescent="0.2">
      <c r="A3475" s="6">
        <v>45821</v>
      </c>
      <c r="B3475" t="s">
        <v>15</v>
      </c>
      <c r="C3475" t="s">
        <v>16</v>
      </c>
      <c r="D3475" s="1">
        <v>45855</v>
      </c>
      <c r="E3475" t="s">
        <v>17</v>
      </c>
      <c r="F3475">
        <v>5100</v>
      </c>
      <c r="G3475">
        <v>1118.3</v>
      </c>
      <c r="H3475">
        <v>1118.3</v>
      </c>
      <c r="I3475">
        <v>1109.3</v>
      </c>
      <c r="J3475">
        <v>1113.8</v>
      </c>
      <c r="K3475">
        <v>645.6</v>
      </c>
      <c r="L3475">
        <v>2</v>
      </c>
      <c r="M3475" t="s">
        <v>28</v>
      </c>
      <c r="N3475">
        <v>12.43</v>
      </c>
      <c r="O3475">
        <v>4</v>
      </c>
    </row>
    <row r="3476" spans="1:15" x14ac:dyDescent="0.2">
      <c r="A3476" s="6">
        <v>45821</v>
      </c>
      <c r="B3476" t="s">
        <v>15</v>
      </c>
      <c r="C3476" t="s">
        <v>16</v>
      </c>
      <c r="D3476" s="1">
        <v>45855</v>
      </c>
      <c r="E3476" t="s">
        <v>17</v>
      </c>
      <c r="F3476">
        <v>4200</v>
      </c>
      <c r="J3476">
        <v>1950.2</v>
      </c>
      <c r="K3476">
        <v>1524.3</v>
      </c>
      <c r="L3476">
        <v>0</v>
      </c>
      <c r="M3476" t="s">
        <v>18</v>
      </c>
      <c r="N3476">
        <v>0</v>
      </c>
      <c r="O3476">
        <v>0</v>
      </c>
    </row>
    <row r="3477" spans="1:15" x14ac:dyDescent="0.2">
      <c r="A3477" s="6">
        <v>45821</v>
      </c>
      <c r="B3477" t="s">
        <v>15</v>
      </c>
      <c r="C3477" t="s">
        <v>16</v>
      </c>
      <c r="D3477" s="1">
        <v>45855</v>
      </c>
      <c r="E3477" t="s">
        <v>19</v>
      </c>
      <c r="F3477">
        <v>6050</v>
      </c>
      <c r="J3477">
        <v>230.3</v>
      </c>
      <c r="K3477">
        <v>391.3</v>
      </c>
      <c r="L3477">
        <v>0</v>
      </c>
      <c r="M3477" t="s">
        <v>18</v>
      </c>
      <c r="N3477">
        <v>0</v>
      </c>
      <c r="O3477">
        <v>0</v>
      </c>
    </row>
    <row r="3478" spans="1:15" x14ac:dyDescent="0.2">
      <c r="A3478" s="6">
        <v>45821</v>
      </c>
      <c r="B3478" t="s">
        <v>15</v>
      </c>
      <c r="C3478" t="s">
        <v>16</v>
      </c>
      <c r="D3478" s="1">
        <v>45855</v>
      </c>
      <c r="E3478" t="s">
        <v>17</v>
      </c>
      <c r="F3478">
        <v>5700</v>
      </c>
      <c r="G3478">
        <v>700</v>
      </c>
      <c r="H3478">
        <v>755</v>
      </c>
      <c r="I3478">
        <v>362.7</v>
      </c>
      <c r="J3478">
        <v>611.5</v>
      </c>
      <c r="K3478">
        <v>297.60000000000002</v>
      </c>
      <c r="L3478">
        <v>1035</v>
      </c>
      <c r="M3478" t="s">
        <v>1303</v>
      </c>
      <c r="N3478">
        <v>6547.61</v>
      </c>
      <c r="O3478">
        <v>456</v>
      </c>
    </row>
    <row r="3479" spans="1:15" x14ac:dyDescent="0.2">
      <c r="A3479" s="6">
        <v>45821</v>
      </c>
      <c r="B3479" t="s">
        <v>15</v>
      </c>
      <c r="C3479" t="s">
        <v>16</v>
      </c>
      <c r="D3479" s="1">
        <v>45855</v>
      </c>
      <c r="E3479" t="s">
        <v>19</v>
      </c>
      <c r="F3479">
        <v>6650</v>
      </c>
      <c r="J3479">
        <v>600.4</v>
      </c>
      <c r="K3479">
        <v>919.4</v>
      </c>
      <c r="L3479">
        <v>0</v>
      </c>
      <c r="M3479" t="s">
        <v>18</v>
      </c>
      <c r="N3479">
        <v>0</v>
      </c>
      <c r="O3479">
        <v>0</v>
      </c>
    </row>
    <row r="3480" spans="1:15" x14ac:dyDescent="0.2">
      <c r="A3480" s="6">
        <v>45821</v>
      </c>
      <c r="B3480" t="s">
        <v>15</v>
      </c>
      <c r="C3480" t="s">
        <v>16</v>
      </c>
      <c r="D3480" s="1">
        <v>45855</v>
      </c>
      <c r="E3480" t="s">
        <v>17</v>
      </c>
      <c r="F3480">
        <v>4650</v>
      </c>
      <c r="J3480">
        <v>1504.2</v>
      </c>
      <c r="K3480">
        <v>1077.5999999999999</v>
      </c>
      <c r="L3480">
        <v>0</v>
      </c>
      <c r="M3480" t="s">
        <v>18</v>
      </c>
      <c r="N3480">
        <v>0</v>
      </c>
      <c r="O3480">
        <v>0</v>
      </c>
    </row>
    <row r="3481" spans="1:15" x14ac:dyDescent="0.2">
      <c r="A3481" s="6">
        <v>45821</v>
      </c>
      <c r="B3481" t="s">
        <v>15</v>
      </c>
      <c r="C3481" t="s">
        <v>16</v>
      </c>
      <c r="D3481" s="1">
        <v>45855</v>
      </c>
      <c r="E3481" t="s">
        <v>17</v>
      </c>
      <c r="F3481">
        <v>5250</v>
      </c>
      <c r="J3481">
        <v>931.5</v>
      </c>
      <c r="K3481">
        <v>514.1</v>
      </c>
      <c r="L3481">
        <v>0</v>
      </c>
      <c r="M3481" t="s">
        <v>18</v>
      </c>
      <c r="N3481">
        <v>0</v>
      </c>
      <c r="O3481">
        <v>0</v>
      </c>
    </row>
    <row r="3482" spans="1:15" x14ac:dyDescent="0.2">
      <c r="A3482" s="6">
        <v>45821</v>
      </c>
      <c r="B3482" t="s">
        <v>15</v>
      </c>
      <c r="C3482" t="s">
        <v>16</v>
      </c>
      <c r="D3482" s="1">
        <v>45855</v>
      </c>
      <c r="E3482" t="s">
        <v>19</v>
      </c>
      <c r="F3482">
        <v>5100</v>
      </c>
      <c r="G3482">
        <v>60</v>
      </c>
      <c r="H3482">
        <v>72</v>
      </c>
      <c r="I3482">
        <v>44.8</v>
      </c>
      <c r="J3482">
        <v>49.5</v>
      </c>
      <c r="K3482">
        <v>72.7</v>
      </c>
      <c r="L3482">
        <v>117</v>
      </c>
      <c r="M3482" t="s">
        <v>603</v>
      </c>
      <c r="N3482">
        <v>602.34</v>
      </c>
      <c r="O3482">
        <v>53</v>
      </c>
    </row>
    <row r="3483" spans="1:15" x14ac:dyDescent="0.2">
      <c r="A3483" s="6">
        <v>45821</v>
      </c>
      <c r="B3483" t="s">
        <v>15</v>
      </c>
      <c r="C3483" t="s">
        <v>16</v>
      </c>
      <c r="D3483" s="1">
        <v>45855</v>
      </c>
      <c r="E3483" t="s">
        <v>17</v>
      </c>
      <c r="F3483">
        <v>6900</v>
      </c>
      <c r="G3483">
        <v>249.8</v>
      </c>
      <c r="H3483">
        <v>249.8</v>
      </c>
      <c r="I3483">
        <v>120</v>
      </c>
      <c r="J3483">
        <v>188.8</v>
      </c>
      <c r="K3483">
        <v>2.4</v>
      </c>
      <c r="L3483">
        <v>17</v>
      </c>
      <c r="M3483" t="s">
        <v>140</v>
      </c>
      <c r="N3483">
        <v>120.66</v>
      </c>
      <c r="O3483">
        <v>4</v>
      </c>
    </row>
    <row r="3484" spans="1:15" x14ac:dyDescent="0.2">
      <c r="A3484" s="6">
        <v>45821</v>
      </c>
      <c r="B3484" t="s">
        <v>15</v>
      </c>
      <c r="C3484" t="s">
        <v>16</v>
      </c>
      <c r="D3484" s="1">
        <v>45855</v>
      </c>
      <c r="E3484" t="s">
        <v>19</v>
      </c>
      <c r="F3484">
        <v>5800</v>
      </c>
      <c r="G3484">
        <v>250</v>
      </c>
      <c r="H3484">
        <v>267.10000000000002</v>
      </c>
      <c r="I3484">
        <v>163.1</v>
      </c>
      <c r="J3484">
        <v>212.9</v>
      </c>
      <c r="K3484">
        <v>329.3</v>
      </c>
      <c r="L3484">
        <v>2504</v>
      </c>
      <c r="M3484" t="s">
        <v>1561</v>
      </c>
      <c r="N3484">
        <v>15073.85</v>
      </c>
      <c r="O3484">
        <v>292</v>
      </c>
    </row>
    <row r="3485" spans="1:15" x14ac:dyDescent="0.2">
      <c r="A3485" s="6">
        <v>45821</v>
      </c>
      <c r="B3485" t="s">
        <v>15</v>
      </c>
      <c r="C3485" t="s">
        <v>16</v>
      </c>
      <c r="D3485" s="1">
        <v>45855</v>
      </c>
      <c r="E3485" t="s">
        <v>17</v>
      </c>
      <c r="F3485">
        <v>6700</v>
      </c>
      <c r="G3485">
        <v>386.8</v>
      </c>
      <c r="H3485">
        <v>386.8</v>
      </c>
      <c r="I3485">
        <v>168.4</v>
      </c>
      <c r="J3485">
        <v>245.9</v>
      </c>
      <c r="K3485">
        <v>6.1</v>
      </c>
      <c r="L3485">
        <v>1101</v>
      </c>
      <c r="M3485" t="s">
        <v>1562</v>
      </c>
      <c r="N3485">
        <v>7642.47</v>
      </c>
      <c r="O3485">
        <v>301</v>
      </c>
    </row>
    <row r="3486" spans="1:15" x14ac:dyDescent="0.2">
      <c r="A3486" s="6">
        <v>45821</v>
      </c>
      <c r="B3486" t="s">
        <v>15</v>
      </c>
      <c r="C3486" t="s">
        <v>16</v>
      </c>
      <c r="D3486" s="1">
        <v>45855</v>
      </c>
      <c r="E3486" t="s">
        <v>17</v>
      </c>
      <c r="F3486">
        <v>6800</v>
      </c>
      <c r="G3486">
        <v>349</v>
      </c>
      <c r="H3486">
        <v>349</v>
      </c>
      <c r="I3486">
        <v>170</v>
      </c>
      <c r="J3486">
        <v>216</v>
      </c>
      <c r="K3486">
        <v>3.8</v>
      </c>
      <c r="L3486">
        <v>48</v>
      </c>
      <c r="M3486" t="s">
        <v>38</v>
      </c>
      <c r="N3486">
        <v>336.25</v>
      </c>
      <c r="O3486">
        <v>16</v>
      </c>
    </row>
    <row r="3487" spans="1:15" x14ac:dyDescent="0.2">
      <c r="A3487" s="6">
        <v>45821</v>
      </c>
      <c r="B3487" t="s">
        <v>15</v>
      </c>
      <c r="C3487" t="s">
        <v>16</v>
      </c>
      <c r="D3487" s="1">
        <v>45855</v>
      </c>
      <c r="E3487" t="s">
        <v>19</v>
      </c>
      <c r="F3487">
        <v>4550</v>
      </c>
      <c r="J3487">
        <v>0.9</v>
      </c>
      <c r="K3487">
        <v>0.3</v>
      </c>
      <c r="L3487">
        <v>0</v>
      </c>
      <c r="M3487" t="s">
        <v>18</v>
      </c>
      <c r="N3487">
        <v>0</v>
      </c>
      <c r="O3487">
        <v>0</v>
      </c>
    </row>
    <row r="3488" spans="1:15" x14ac:dyDescent="0.2">
      <c r="A3488" s="6">
        <v>45821</v>
      </c>
      <c r="B3488" t="s">
        <v>15</v>
      </c>
      <c r="C3488" t="s">
        <v>16</v>
      </c>
      <c r="D3488" s="1">
        <v>45855</v>
      </c>
      <c r="E3488" t="s">
        <v>19</v>
      </c>
      <c r="F3488">
        <v>3750</v>
      </c>
      <c r="J3488">
        <v>0.1</v>
      </c>
      <c r="K3488">
        <v>0.1</v>
      </c>
      <c r="L3488">
        <v>0</v>
      </c>
      <c r="M3488" t="s">
        <v>18</v>
      </c>
      <c r="N3488">
        <v>0</v>
      </c>
      <c r="O3488">
        <v>0</v>
      </c>
    </row>
    <row r="3489" spans="1:15" x14ac:dyDescent="0.2">
      <c r="A3489" s="6">
        <v>45821</v>
      </c>
      <c r="B3489" t="s">
        <v>15</v>
      </c>
      <c r="C3489" t="s">
        <v>16</v>
      </c>
      <c r="D3489" s="1">
        <v>45855</v>
      </c>
      <c r="E3489" t="s">
        <v>17</v>
      </c>
      <c r="F3489">
        <v>6850</v>
      </c>
      <c r="J3489">
        <v>74.2</v>
      </c>
      <c r="K3489">
        <v>3</v>
      </c>
      <c r="L3489">
        <v>0</v>
      </c>
      <c r="M3489" t="s">
        <v>18</v>
      </c>
      <c r="N3489">
        <v>0</v>
      </c>
      <c r="O3489">
        <v>0</v>
      </c>
    </row>
    <row r="3490" spans="1:15" x14ac:dyDescent="0.2">
      <c r="A3490" s="6">
        <v>45821</v>
      </c>
      <c r="B3490" t="s">
        <v>15</v>
      </c>
      <c r="C3490" t="s">
        <v>16</v>
      </c>
      <c r="D3490" s="1">
        <v>45855</v>
      </c>
      <c r="E3490" t="s">
        <v>19</v>
      </c>
      <c r="F3490">
        <v>4700</v>
      </c>
      <c r="J3490">
        <v>2.1</v>
      </c>
      <c r="K3490">
        <v>1.2</v>
      </c>
      <c r="L3490">
        <v>0</v>
      </c>
      <c r="M3490" t="s">
        <v>18</v>
      </c>
      <c r="N3490">
        <v>0</v>
      </c>
      <c r="O3490">
        <v>0</v>
      </c>
    </row>
    <row r="3491" spans="1:15" x14ac:dyDescent="0.2">
      <c r="A3491" s="6">
        <v>45821</v>
      </c>
      <c r="B3491" t="s">
        <v>15</v>
      </c>
      <c r="C3491" t="s">
        <v>16</v>
      </c>
      <c r="D3491" s="1">
        <v>45855</v>
      </c>
      <c r="E3491" t="s">
        <v>17</v>
      </c>
      <c r="F3491">
        <v>3750</v>
      </c>
      <c r="J3491">
        <v>2397.6</v>
      </c>
      <c r="K3491">
        <v>1971.7</v>
      </c>
      <c r="L3491">
        <v>0</v>
      </c>
      <c r="M3491" t="s">
        <v>18</v>
      </c>
      <c r="N3491">
        <v>0</v>
      </c>
      <c r="O3491">
        <v>0</v>
      </c>
    </row>
    <row r="3492" spans="1:15" x14ac:dyDescent="0.2">
      <c r="A3492" s="6">
        <v>45821</v>
      </c>
      <c r="B3492" t="s">
        <v>15</v>
      </c>
      <c r="C3492" t="s">
        <v>16</v>
      </c>
      <c r="D3492" s="1">
        <v>45855</v>
      </c>
      <c r="E3492" t="s">
        <v>17</v>
      </c>
      <c r="F3492">
        <v>6650</v>
      </c>
      <c r="J3492">
        <v>114.1</v>
      </c>
      <c r="K3492">
        <v>7.6</v>
      </c>
      <c r="L3492">
        <v>0</v>
      </c>
      <c r="M3492" t="s">
        <v>18</v>
      </c>
      <c r="N3492">
        <v>0</v>
      </c>
      <c r="O3492">
        <v>0</v>
      </c>
    </row>
    <row r="3493" spans="1:15" x14ac:dyDescent="0.2">
      <c r="A3493" s="6">
        <v>45821</v>
      </c>
      <c r="B3493" t="s">
        <v>15</v>
      </c>
      <c r="C3493" t="s">
        <v>16</v>
      </c>
      <c r="D3493" s="1">
        <v>45855</v>
      </c>
      <c r="E3493" t="s">
        <v>19</v>
      </c>
      <c r="F3493">
        <v>5450</v>
      </c>
      <c r="J3493">
        <v>50.5</v>
      </c>
      <c r="K3493">
        <v>116</v>
      </c>
      <c r="L3493">
        <v>0</v>
      </c>
      <c r="M3493" t="s">
        <v>18</v>
      </c>
      <c r="N3493">
        <v>0</v>
      </c>
      <c r="O3493">
        <v>5</v>
      </c>
    </row>
    <row r="3494" spans="1:15" x14ac:dyDescent="0.2">
      <c r="A3494" s="6">
        <v>45821</v>
      </c>
      <c r="B3494" t="s">
        <v>15</v>
      </c>
      <c r="C3494" t="s">
        <v>16</v>
      </c>
      <c r="D3494" s="1">
        <v>45855</v>
      </c>
      <c r="E3494" t="s">
        <v>17</v>
      </c>
      <c r="F3494">
        <v>6050</v>
      </c>
      <c r="J3494">
        <v>340.7</v>
      </c>
      <c r="K3494">
        <v>76.099999999999994</v>
      </c>
      <c r="L3494">
        <v>0</v>
      </c>
      <c r="M3494" t="s">
        <v>18</v>
      </c>
      <c r="N3494">
        <v>0</v>
      </c>
      <c r="O3494">
        <v>1</v>
      </c>
    </row>
    <row r="3495" spans="1:15" x14ac:dyDescent="0.2">
      <c r="A3495" s="6">
        <v>45821</v>
      </c>
      <c r="B3495" t="s">
        <v>15</v>
      </c>
      <c r="C3495" t="s">
        <v>16</v>
      </c>
      <c r="D3495" s="1">
        <v>45855</v>
      </c>
      <c r="E3495" t="s">
        <v>19</v>
      </c>
      <c r="F3495">
        <v>6750</v>
      </c>
      <c r="J3495">
        <v>678.1</v>
      </c>
      <c r="K3495">
        <v>1016</v>
      </c>
      <c r="L3495">
        <v>0</v>
      </c>
      <c r="M3495" t="s">
        <v>18</v>
      </c>
      <c r="N3495">
        <v>0</v>
      </c>
      <c r="O3495">
        <v>0</v>
      </c>
    </row>
    <row r="3496" spans="1:15" x14ac:dyDescent="0.2">
      <c r="A3496" s="6">
        <v>45821</v>
      </c>
      <c r="B3496" t="s">
        <v>15</v>
      </c>
      <c r="C3496" t="s">
        <v>16</v>
      </c>
      <c r="D3496" s="1">
        <v>45855</v>
      </c>
      <c r="E3496" t="s">
        <v>19</v>
      </c>
      <c r="F3496">
        <v>5300</v>
      </c>
      <c r="G3496">
        <v>107</v>
      </c>
      <c r="H3496">
        <v>107</v>
      </c>
      <c r="I3496">
        <v>62.8</v>
      </c>
      <c r="J3496">
        <v>67.900000000000006</v>
      </c>
      <c r="K3496">
        <v>111.1</v>
      </c>
      <c r="L3496">
        <v>1618</v>
      </c>
      <c r="M3496" t="s">
        <v>1563</v>
      </c>
      <c r="N3496">
        <v>8702.2800000000007</v>
      </c>
      <c r="O3496">
        <v>362</v>
      </c>
    </row>
    <row r="3497" spans="1:15" x14ac:dyDescent="0.2">
      <c r="A3497" s="6">
        <v>45821</v>
      </c>
      <c r="B3497" t="s">
        <v>15</v>
      </c>
      <c r="C3497" t="s">
        <v>16</v>
      </c>
      <c r="D3497" s="1">
        <v>45855</v>
      </c>
      <c r="E3497" t="s">
        <v>19</v>
      </c>
      <c r="F3497">
        <v>6400</v>
      </c>
      <c r="G3497">
        <v>598.1</v>
      </c>
      <c r="H3497">
        <v>598.1</v>
      </c>
      <c r="I3497">
        <v>520</v>
      </c>
      <c r="J3497">
        <v>571.5</v>
      </c>
      <c r="K3497">
        <v>684.9</v>
      </c>
      <c r="L3497">
        <v>75</v>
      </c>
      <c r="M3497" t="s">
        <v>1564</v>
      </c>
      <c r="N3497">
        <v>522.36</v>
      </c>
      <c r="O3497">
        <v>11</v>
      </c>
    </row>
    <row r="3498" spans="1:15" x14ac:dyDescent="0.2">
      <c r="A3498" s="6">
        <v>45821</v>
      </c>
      <c r="B3498" t="s">
        <v>15</v>
      </c>
      <c r="C3498" t="s">
        <v>16</v>
      </c>
      <c r="D3498" s="1">
        <v>45855</v>
      </c>
      <c r="E3498" t="s">
        <v>19</v>
      </c>
      <c r="F3498">
        <v>5400</v>
      </c>
      <c r="G3498">
        <v>100</v>
      </c>
      <c r="H3498">
        <v>111.9</v>
      </c>
      <c r="I3498">
        <v>69.5</v>
      </c>
      <c r="J3498">
        <v>80.5</v>
      </c>
      <c r="K3498">
        <v>139.1</v>
      </c>
      <c r="L3498">
        <v>2445</v>
      </c>
      <c r="M3498" t="s">
        <v>1565</v>
      </c>
      <c r="N3498">
        <v>13428.44</v>
      </c>
      <c r="O3498">
        <v>722</v>
      </c>
    </row>
    <row r="3499" spans="1:15" x14ac:dyDescent="0.2">
      <c r="A3499" s="6">
        <v>45821</v>
      </c>
      <c r="B3499" t="s">
        <v>15</v>
      </c>
      <c r="C3499" t="s">
        <v>16</v>
      </c>
      <c r="D3499" s="1">
        <v>45855</v>
      </c>
      <c r="E3499" t="s">
        <v>19</v>
      </c>
      <c r="F3499">
        <v>5700</v>
      </c>
      <c r="G3499">
        <v>149.9</v>
      </c>
      <c r="H3499">
        <v>215</v>
      </c>
      <c r="I3499">
        <v>136.69999999999999</v>
      </c>
      <c r="J3499">
        <v>169.2</v>
      </c>
      <c r="K3499">
        <v>273</v>
      </c>
      <c r="L3499">
        <v>4554</v>
      </c>
      <c r="M3499" t="s">
        <v>1566</v>
      </c>
      <c r="N3499">
        <v>26770.15</v>
      </c>
      <c r="O3499">
        <v>838</v>
      </c>
    </row>
    <row r="3500" spans="1:15" x14ac:dyDescent="0.2">
      <c r="A3500" s="6">
        <v>45821</v>
      </c>
      <c r="B3500" t="s">
        <v>15</v>
      </c>
      <c r="C3500" t="s">
        <v>16</v>
      </c>
      <c r="D3500" s="1">
        <v>45855</v>
      </c>
      <c r="E3500" t="s">
        <v>17</v>
      </c>
      <c r="F3500">
        <v>6550</v>
      </c>
      <c r="G3500">
        <v>191</v>
      </c>
      <c r="H3500">
        <v>261.10000000000002</v>
      </c>
      <c r="I3500">
        <v>191</v>
      </c>
      <c r="J3500">
        <v>234</v>
      </c>
      <c r="K3500">
        <v>11.8</v>
      </c>
      <c r="L3500">
        <v>3</v>
      </c>
      <c r="M3500" t="s">
        <v>34</v>
      </c>
      <c r="N3500">
        <v>20.350000000000001</v>
      </c>
      <c r="O3500">
        <v>0</v>
      </c>
    </row>
    <row r="3501" spans="1:15" x14ac:dyDescent="0.2">
      <c r="A3501" s="6">
        <v>45821</v>
      </c>
      <c r="B3501" t="s">
        <v>15</v>
      </c>
      <c r="C3501" t="s">
        <v>16</v>
      </c>
      <c r="D3501" s="1">
        <v>45855</v>
      </c>
      <c r="E3501" t="s">
        <v>19</v>
      </c>
      <c r="F3501">
        <v>4450</v>
      </c>
      <c r="J3501">
        <v>0.5</v>
      </c>
      <c r="K3501">
        <v>0.1</v>
      </c>
      <c r="L3501">
        <v>0</v>
      </c>
      <c r="M3501" t="s">
        <v>18</v>
      </c>
      <c r="N3501">
        <v>0</v>
      </c>
      <c r="O3501">
        <v>0</v>
      </c>
    </row>
    <row r="3502" spans="1:15" x14ac:dyDescent="0.2">
      <c r="A3502" s="6">
        <v>45821</v>
      </c>
      <c r="B3502" t="s">
        <v>15</v>
      </c>
      <c r="C3502" t="s">
        <v>16</v>
      </c>
      <c r="D3502" s="1">
        <v>45855</v>
      </c>
      <c r="E3502" t="s">
        <v>19</v>
      </c>
      <c r="F3502">
        <v>5050</v>
      </c>
      <c r="J3502">
        <v>11.6</v>
      </c>
      <c r="K3502">
        <v>12.3</v>
      </c>
      <c r="L3502">
        <v>0</v>
      </c>
      <c r="M3502" t="s">
        <v>18</v>
      </c>
      <c r="N3502">
        <v>0</v>
      </c>
      <c r="O3502">
        <v>0</v>
      </c>
    </row>
    <row r="3503" spans="1:15" x14ac:dyDescent="0.2">
      <c r="A3503" s="6">
        <v>45821</v>
      </c>
      <c r="B3503" t="s">
        <v>15</v>
      </c>
      <c r="C3503" t="s">
        <v>16</v>
      </c>
      <c r="D3503" s="1">
        <v>45855</v>
      </c>
      <c r="E3503" t="s">
        <v>19</v>
      </c>
      <c r="F3503">
        <v>3700</v>
      </c>
      <c r="J3503">
        <v>0.1</v>
      </c>
      <c r="K3503">
        <v>0.1</v>
      </c>
      <c r="L3503">
        <v>0</v>
      </c>
      <c r="M3503" t="s">
        <v>18</v>
      </c>
      <c r="N3503">
        <v>0</v>
      </c>
      <c r="O3503">
        <v>0</v>
      </c>
    </row>
    <row r="3504" spans="1:15" x14ac:dyDescent="0.2">
      <c r="A3504" s="6">
        <v>45821</v>
      </c>
      <c r="B3504" t="s">
        <v>15</v>
      </c>
      <c r="C3504" t="s">
        <v>16</v>
      </c>
      <c r="D3504" s="1">
        <v>45855</v>
      </c>
      <c r="E3504" t="s">
        <v>17</v>
      </c>
      <c r="F3504">
        <v>3850</v>
      </c>
      <c r="J3504">
        <v>2298.1999999999998</v>
      </c>
      <c r="K3504">
        <v>1872.3</v>
      </c>
      <c r="L3504">
        <v>0</v>
      </c>
      <c r="M3504" t="s">
        <v>18</v>
      </c>
      <c r="N3504">
        <v>0</v>
      </c>
      <c r="O3504">
        <v>0</v>
      </c>
    </row>
    <row r="3505" spans="1:15" x14ac:dyDescent="0.2">
      <c r="A3505" s="6">
        <v>45821</v>
      </c>
      <c r="B3505" t="s">
        <v>15</v>
      </c>
      <c r="C3505" t="s">
        <v>16</v>
      </c>
      <c r="D3505" s="1">
        <v>45855</v>
      </c>
      <c r="E3505" t="s">
        <v>17</v>
      </c>
      <c r="F3505">
        <v>5600</v>
      </c>
      <c r="G3505">
        <v>801.1</v>
      </c>
      <c r="H3505">
        <v>826.3</v>
      </c>
      <c r="I3505">
        <v>400.1</v>
      </c>
      <c r="J3505">
        <v>669.4</v>
      </c>
      <c r="K3505">
        <v>345.1</v>
      </c>
      <c r="L3505">
        <v>655</v>
      </c>
      <c r="M3505" t="s">
        <v>677</v>
      </c>
      <c r="N3505">
        <v>4119.37</v>
      </c>
      <c r="O3505">
        <v>298</v>
      </c>
    </row>
    <row r="3506" spans="1:15" x14ac:dyDescent="0.2">
      <c r="A3506" s="6">
        <v>45821</v>
      </c>
      <c r="B3506" t="s">
        <v>15</v>
      </c>
      <c r="C3506" t="s">
        <v>16</v>
      </c>
      <c r="D3506" s="1">
        <v>45855</v>
      </c>
      <c r="E3506" t="s">
        <v>19</v>
      </c>
      <c r="F3506">
        <v>4250</v>
      </c>
      <c r="J3506">
        <v>0.1</v>
      </c>
      <c r="K3506">
        <v>0.1</v>
      </c>
      <c r="L3506">
        <v>0</v>
      </c>
      <c r="M3506" t="s">
        <v>18</v>
      </c>
      <c r="N3506">
        <v>0</v>
      </c>
      <c r="O3506">
        <v>0</v>
      </c>
    </row>
    <row r="3507" spans="1:15" x14ac:dyDescent="0.2">
      <c r="A3507" s="6">
        <v>45821</v>
      </c>
      <c r="B3507" t="s">
        <v>15</v>
      </c>
      <c r="C3507" t="s">
        <v>16</v>
      </c>
      <c r="D3507" s="1">
        <v>45855</v>
      </c>
      <c r="E3507" t="s">
        <v>19</v>
      </c>
      <c r="F3507">
        <v>4950</v>
      </c>
      <c r="J3507">
        <v>7.5</v>
      </c>
      <c r="K3507">
        <v>6.9</v>
      </c>
      <c r="L3507">
        <v>0</v>
      </c>
      <c r="M3507" t="s">
        <v>18</v>
      </c>
      <c r="N3507">
        <v>0</v>
      </c>
      <c r="O3507">
        <v>0</v>
      </c>
    </row>
    <row r="3508" spans="1:15" x14ac:dyDescent="0.2">
      <c r="A3508" s="6">
        <v>45821</v>
      </c>
      <c r="B3508" t="s">
        <v>15</v>
      </c>
      <c r="C3508" t="s">
        <v>16</v>
      </c>
      <c r="D3508" s="1">
        <v>45855</v>
      </c>
      <c r="E3508" t="s">
        <v>17</v>
      </c>
      <c r="F3508">
        <v>6750</v>
      </c>
      <c r="J3508">
        <v>92.4</v>
      </c>
      <c r="K3508">
        <v>4.8</v>
      </c>
      <c r="L3508">
        <v>0</v>
      </c>
      <c r="M3508" t="s">
        <v>18</v>
      </c>
      <c r="N3508">
        <v>0</v>
      </c>
      <c r="O3508">
        <v>0</v>
      </c>
    </row>
    <row r="3509" spans="1:15" x14ac:dyDescent="0.2">
      <c r="A3509" s="6">
        <v>45821</v>
      </c>
      <c r="B3509" t="s">
        <v>15</v>
      </c>
      <c r="C3509" t="s">
        <v>16</v>
      </c>
      <c r="D3509" s="1">
        <v>45855</v>
      </c>
      <c r="E3509" t="s">
        <v>19</v>
      </c>
      <c r="F3509">
        <v>4600</v>
      </c>
      <c r="J3509">
        <v>1.2</v>
      </c>
      <c r="K3509">
        <v>0.5</v>
      </c>
      <c r="L3509">
        <v>0</v>
      </c>
      <c r="M3509" t="s">
        <v>18</v>
      </c>
      <c r="N3509">
        <v>0</v>
      </c>
      <c r="O3509">
        <v>0</v>
      </c>
    </row>
    <row r="3510" spans="1:15" x14ac:dyDescent="0.2">
      <c r="A3510" s="6">
        <v>45821</v>
      </c>
      <c r="B3510" t="s">
        <v>15</v>
      </c>
      <c r="C3510" t="s">
        <v>16</v>
      </c>
      <c r="D3510" s="1">
        <v>45855</v>
      </c>
      <c r="E3510" t="s">
        <v>19</v>
      </c>
      <c r="F3510">
        <v>5900</v>
      </c>
      <c r="G3510">
        <v>390</v>
      </c>
      <c r="H3510">
        <v>390</v>
      </c>
      <c r="I3510">
        <v>233.3</v>
      </c>
      <c r="J3510">
        <v>259.2</v>
      </c>
      <c r="K3510">
        <v>390</v>
      </c>
      <c r="L3510">
        <v>447</v>
      </c>
      <c r="M3510" t="s">
        <v>1567</v>
      </c>
      <c r="N3510">
        <v>2755.34</v>
      </c>
      <c r="O3510">
        <v>81</v>
      </c>
    </row>
    <row r="3511" spans="1:15" x14ac:dyDescent="0.2">
      <c r="A3511" s="6">
        <v>45821</v>
      </c>
      <c r="B3511" t="s">
        <v>15</v>
      </c>
      <c r="C3511" t="s">
        <v>16</v>
      </c>
      <c r="D3511" s="1">
        <v>45855</v>
      </c>
      <c r="E3511" t="s">
        <v>19</v>
      </c>
      <c r="F3511">
        <v>6200</v>
      </c>
      <c r="G3511">
        <v>349</v>
      </c>
      <c r="H3511">
        <v>507</v>
      </c>
      <c r="I3511">
        <v>349</v>
      </c>
      <c r="J3511">
        <v>431</v>
      </c>
      <c r="K3511">
        <v>510.3</v>
      </c>
      <c r="L3511">
        <v>1152</v>
      </c>
      <c r="M3511" t="s">
        <v>1568</v>
      </c>
      <c r="N3511">
        <v>7638.29</v>
      </c>
      <c r="O3511">
        <v>114</v>
      </c>
    </row>
    <row r="3512" spans="1:15" x14ac:dyDescent="0.2">
      <c r="A3512" s="6">
        <v>45821</v>
      </c>
      <c r="B3512" t="s">
        <v>15</v>
      </c>
      <c r="C3512" t="s">
        <v>16</v>
      </c>
      <c r="D3512" s="1">
        <v>45855</v>
      </c>
      <c r="E3512" t="s">
        <v>17</v>
      </c>
      <c r="F3512">
        <v>3800</v>
      </c>
      <c r="J3512">
        <v>2347.9</v>
      </c>
      <c r="K3512">
        <v>1922</v>
      </c>
      <c r="L3512">
        <v>0</v>
      </c>
      <c r="M3512" t="s">
        <v>18</v>
      </c>
      <c r="N3512">
        <v>0</v>
      </c>
      <c r="O3512">
        <v>0</v>
      </c>
    </row>
    <row r="3513" spans="1:15" x14ac:dyDescent="0.2">
      <c r="A3513" s="6">
        <v>45821</v>
      </c>
      <c r="B3513" t="s">
        <v>15</v>
      </c>
      <c r="C3513" t="s">
        <v>16</v>
      </c>
      <c r="D3513" s="1">
        <v>45855</v>
      </c>
      <c r="E3513" t="s">
        <v>19</v>
      </c>
      <c r="F3513">
        <v>6800</v>
      </c>
      <c r="J3513">
        <v>718.3</v>
      </c>
      <c r="K3513">
        <v>1064.7</v>
      </c>
      <c r="L3513">
        <v>0</v>
      </c>
      <c r="M3513" t="s">
        <v>18</v>
      </c>
      <c r="N3513">
        <v>0</v>
      </c>
      <c r="O3513">
        <v>0</v>
      </c>
    </row>
    <row r="3514" spans="1:15" x14ac:dyDescent="0.2">
      <c r="A3514" s="6">
        <v>45821</v>
      </c>
      <c r="B3514" t="s">
        <v>15</v>
      </c>
      <c r="C3514" t="s">
        <v>16</v>
      </c>
      <c r="D3514" s="1">
        <v>45855</v>
      </c>
      <c r="E3514" t="s">
        <v>17</v>
      </c>
      <c r="F3514">
        <v>5750</v>
      </c>
      <c r="G3514">
        <v>285</v>
      </c>
      <c r="H3514">
        <v>721.6</v>
      </c>
      <c r="I3514">
        <v>285</v>
      </c>
      <c r="J3514">
        <v>553.1</v>
      </c>
      <c r="K3514">
        <v>282.10000000000002</v>
      </c>
      <c r="L3514">
        <v>11</v>
      </c>
      <c r="M3514" t="s">
        <v>236</v>
      </c>
      <c r="N3514">
        <v>69.33</v>
      </c>
      <c r="O3514">
        <v>3</v>
      </c>
    </row>
    <row r="3515" spans="1:15" x14ac:dyDescent="0.2">
      <c r="A3515" s="6">
        <v>45821</v>
      </c>
      <c r="B3515" t="s">
        <v>15</v>
      </c>
      <c r="C3515" t="s">
        <v>16</v>
      </c>
      <c r="D3515" s="1">
        <v>45855</v>
      </c>
      <c r="E3515" t="s">
        <v>17</v>
      </c>
      <c r="F3515">
        <v>6400</v>
      </c>
      <c r="G3515">
        <v>400</v>
      </c>
      <c r="H3515">
        <v>435</v>
      </c>
      <c r="I3515">
        <v>235</v>
      </c>
      <c r="J3515">
        <v>321.10000000000002</v>
      </c>
      <c r="K3515">
        <v>100</v>
      </c>
      <c r="L3515">
        <v>1713</v>
      </c>
      <c r="M3515" t="s">
        <v>1569</v>
      </c>
      <c r="N3515">
        <v>11492.38</v>
      </c>
      <c r="O3515">
        <v>214</v>
      </c>
    </row>
    <row r="3516" spans="1:15" x14ac:dyDescent="0.2">
      <c r="A3516" s="6">
        <v>45821</v>
      </c>
      <c r="B3516" t="s">
        <v>15</v>
      </c>
      <c r="C3516" t="s">
        <v>16</v>
      </c>
      <c r="D3516" s="1">
        <v>45855</v>
      </c>
      <c r="E3516" t="s">
        <v>17</v>
      </c>
      <c r="F3516">
        <v>5650</v>
      </c>
      <c r="G3516">
        <v>600</v>
      </c>
      <c r="H3516">
        <v>804</v>
      </c>
      <c r="I3516">
        <v>600</v>
      </c>
      <c r="J3516">
        <v>702</v>
      </c>
      <c r="K3516">
        <v>283.8</v>
      </c>
      <c r="L3516">
        <v>2</v>
      </c>
      <c r="M3516" t="s">
        <v>28</v>
      </c>
      <c r="N3516">
        <v>12.7</v>
      </c>
      <c r="O3516">
        <v>5</v>
      </c>
    </row>
    <row r="3517" spans="1:15" x14ac:dyDescent="0.2">
      <c r="A3517" s="6">
        <v>45821</v>
      </c>
      <c r="B3517" t="s">
        <v>15</v>
      </c>
      <c r="C3517" t="s">
        <v>16</v>
      </c>
      <c r="D3517" s="1">
        <v>45855</v>
      </c>
      <c r="E3517" t="s">
        <v>17</v>
      </c>
      <c r="F3517">
        <v>6450</v>
      </c>
      <c r="G3517">
        <v>377.5</v>
      </c>
      <c r="H3517">
        <v>377.5</v>
      </c>
      <c r="I3517">
        <v>259.39999999999998</v>
      </c>
      <c r="J3517">
        <v>337.7</v>
      </c>
      <c r="K3517">
        <v>17.8</v>
      </c>
      <c r="L3517">
        <v>3</v>
      </c>
      <c r="M3517" t="s">
        <v>34</v>
      </c>
      <c r="N3517">
        <v>20.36</v>
      </c>
      <c r="O3517">
        <v>2</v>
      </c>
    </row>
    <row r="3518" spans="1:15" x14ac:dyDescent="0.2">
      <c r="A3518" s="6">
        <v>45821</v>
      </c>
      <c r="B3518" t="s">
        <v>15</v>
      </c>
      <c r="C3518" t="s">
        <v>16</v>
      </c>
      <c r="D3518" s="1">
        <v>45855</v>
      </c>
      <c r="E3518" t="s">
        <v>19</v>
      </c>
      <c r="F3518">
        <v>4100</v>
      </c>
      <c r="J3518">
        <v>0.1</v>
      </c>
      <c r="K3518">
        <v>0.1</v>
      </c>
      <c r="L3518">
        <v>0</v>
      </c>
      <c r="M3518" t="s">
        <v>18</v>
      </c>
      <c r="N3518">
        <v>0</v>
      </c>
      <c r="O3518">
        <v>0</v>
      </c>
    </row>
    <row r="3519" spans="1:15" x14ac:dyDescent="0.2">
      <c r="A3519" s="6">
        <v>45821</v>
      </c>
      <c r="B3519" t="s">
        <v>15</v>
      </c>
      <c r="C3519" t="s">
        <v>16</v>
      </c>
      <c r="D3519" s="1">
        <v>45855</v>
      </c>
      <c r="E3519" t="s">
        <v>19</v>
      </c>
      <c r="F3519">
        <v>5950</v>
      </c>
      <c r="G3519">
        <v>272.89999999999998</v>
      </c>
      <c r="H3519">
        <v>272.89999999999998</v>
      </c>
      <c r="I3519">
        <v>272.89999999999998</v>
      </c>
      <c r="J3519">
        <v>272.89999999999998</v>
      </c>
      <c r="K3519">
        <v>319.60000000000002</v>
      </c>
      <c r="L3519">
        <v>1</v>
      </c>
      <c r="M3519" t="s">
        <v>155</v>
      </c>
      <c r="N3519">
        <v>6.22</v>
      </c>
      <c r="O3519">
        <v>1</v>
      </c>
    </row>
    <row r="3520" spans="1:15" x14ac:dyDescent="0.2">
      <c r="A3520" s="6">
        <v>45821</v>
      </c>
      <c r="B3520" t="s">
        <v>15</v>
      </c>
      <c r="C3520" t="s">
        <v>16</v>
      </c>
      <c r="D3520" s="1">
        <v>45855</v>
      </c>
      <c r="E3520" t="s">
        <v>17</v>
      </c>
      <c r="F3520">
        <v>6300</v>
      </c>
      <c r="G3520">
        <v>266</v>
      </c>
      <c r="H3520">
        <v>599.9</v>
      </c>
      <c r="I3520">
        <v>260.60000000000002</v>
      </c>
      <c r="J3520">
        <v>354.8</v>
      </c>
      <c r="K3520">
        <v>31.9</v>
      </c>
      <c r="L3520">
        <v>3598</v>
      </c>
      <c r="M3520" t="s">
        <v>1570</v>
      </c>
      <c r="N3520">
        <v>23876.6</v>
      </c>
      <c r="O3520">
        <v>672</v>
      </c>
    </row>
    <row r="3521" spans="1:15" x14ac:dyDescent="0.2">
      <c r="A3521" s="6">
        <v>45821</v>
      </c>
      <c r="B3521" t="s">
        <v>15</v>
      </c>
      <c r="C3521" t="s">
        <v>16</v>
      </c>
      <c r="D3521" s="1">
        <v>45855</v>
      </c>
      <c r="E3521" t="s">
        <v>17</v>
      </c>
      <c r="F3521">
        <v>6000</v>
      </c>
      <c r="G3521">
        <v>402</v>
      </c>
      <c r="H3521">
        <v>620.79999999999995</v>
      </c>
      <c r="I3521">
        <v>367.7</v>
      </c>
      <c r="J3521">
        <v>466.6</v>
      </c>
      <c r="K3521">
        <v>195.9</v>
      </c>
      <c r="L3521">
        <v>6285</v>
      </c>
      <c r="M3521" t="s">
        <v>1571</v>
      </c>
      <c r="N3521">
        <v>40665.19</v>
      </c>
      <c r="O3521">
        <v>626</v>
      </c>
    </row>
    <row r="3522" spans="1:15" x14ac:dyDescent="0.2">
      <c r="A3522" s="6">
        <v>45821</v>
      </c>
      <c r="B3522" t="s">
        <v>15</v>
      </c>
      <c r="C3522" t="s">
        <v>16</v>
      </c>
      <c r="D3522" s="1">
        <v>45855</v>
      </c>
      <c r="E3522" t="s">
        <v>17</v>
      </c>
      <c r="F3522">
        <v>5500</v>
      </c>
      <c r="G3522">
        <v>702</v>
      </c>
      <c r="H3522">
        <v>889</v>
      </c>
      <c r="I3522">
        <v>624.4</v>
      </c>
      <c r="J3522">
        <v>733.7</v>
      </c>
      <c r="K3522">
        <v>400.5</v>
      </c>
      <c r="L3522">
        <v>237</v>
      </c>
      <c r="M3522" t="s">
        <v>347</v>
      </c>
      <c r="N3522">
        <v>1483.92</v>
      </c>
      <c r="O3522">
        <v>348</v>
      </c>
    </row>
    <row r="3523" spans="1:15" x14ac:dyDescent="0.2">
      <c r="A3523" s="6">
        <v>45821</v>
      </c>
      <c r="B3523" t="s">
        <v>15</v>
      </c>
      <c r="C3523" t="s">
        <v>16</v>
      </c>
      <c r="D3523" s="1">
        <v>45855</v>
      </c>
      <c r="E3523" t="s">
        <v>17</v>
      </c>
      <c r="F3523">
        <v>7000</v>
      </c>
      <c r="G3523">
        <v>219</v>
      </c>
      <c r="H3523">
        <v>310.2</v>
      </c>
      <c r="I3523">
        <v>127</v>
      </c>
      <c r="J3523">
        <v>194.3</v>
      </c>
      <c r="K3523">
        <v>1.4</v>
      </c>
      <c r="L3523">
        <v>11049</v>
      </c>
      <c r="M3523" t="s">
        <v>1572</v>
      </c>
      <c r="N3523">
        <v>79391.38</v>
      </c>
      <c r="O3523">
        <v>1929</v>
      </c>
    </row>
    <row r="3524" spans="1:15" x14ac:dyDescent="0.2">
      <c r="A3524" s="6">
        <v>45821</v>
      </c>
      <c r="B3524" t="s">
        <v>15</v>
      </c>
      <c r="C3524" t="s">
        <v>16</v>
      </c>
      <c r="D3524" s="1">
        <v>45855</v>
      </c>
      <c r="E3524" t="s">
        <v>19</v>
      </c>
      <c r="F3524">
        <v>6850</v>
      </c>
      <c r="J3524">
        <v>759.3</v>
      </c>
      <c r="K3524">
        <v>1113.5999999999999</v>
      </c>
      <c r="L3524">
        <v>0</v>
      </c>
      <c r="M3524" t="s">
        <v>18</v>
      </c>
      <c r="N3524">
        <v>0</v>
      </c>
      <c r="O3524">
        <v>0</v>
      </c>
    </row>
    <row r="3525" spans="1:15" x14ac:dyDescent="0.2">
      <c r="A3525" s="6">
        <v>45821</v>
      </c>
      <c r="B3525" t="s">
        <v>15</v>
      </c>
      <c r="C3525" t="s">
        <v>16</v>
      </c>
      <c r="D3525" s="1">
        <v>45855</v>
      </c>
      <c r="E3525" t="s">
        <v>19</v>
      </c>
      <c r="F3525">
        <v>4500</v>
      </c>
      <c r="J3525">
        <v>0.7</v>
      </c>
      <c r="K3525">
        <v>0.2</v>
      </c>
      <c r="L3525">
        <v>0</v>
      </c>
      <c r="M3525" t="s">
        <v>18</v>
      </c>
      <c r="N3525">
        <v>0</v>
      </c>
      <c r="O3525">
        <v>5</v>
      </c>
    </row>
    <row r="3526" spans="1:15" x14ac:dyDescent="0.2">
      <c r="A3526" s="6">
        <v>45821</v>
      </c>
      <c r="B3526" t="s">
        <v>15</v>
      </c>
      <c r="C3526" t="s">
        <v>16</v>
      </c>
      <c r="D3526" s="1">
        <v>45855</v>
      </c>
      <c r="E3526" t="s">
        <v>19</v>
      </c>
      <c r="F3526">
        <v>5000</v>
      </c>
      <c r="G3526">
        <v>49.8</v>
      </c>
      <c r="H3526">
        <v>55</v>
      </c>
      <c r="I3526">
        <v>35.200000000000003</v>
      </c>
      <c r="J3526">
        <v>40.700000000000003</v>
      </c>
      <c r="K3526">
        <v>57.6</v>
      </c>
      <c r="L3526">
        <v>6000</v>
      </c>
      <c r="M3526" t="s">
        <v>1573</v>
      </c>
      <c r="N3526">
        <v>30254.25</v>
      </c>
      <c r="O3526">
        <v>718</v>
      </c>
    </row>
    <row r="3527" spans="1:15" x14ac:dyDescent="0.2">
      <c r="A3527" s="6">
        <v>45821</v>
      </c>
      <c r="B3527" t="s">
        <v>15</v>
      </c>
      <c r="C3527" t="s">
        <v>16</v>
      </c>
      <c r="D3527" s="1">
        <v>45855</v>
      </c>
      <c r="E3527" t="s">
        <v>19</v>
      </c>
      <c r="F3527">
        <v>5350</v>
      </c>
      <c r="J3527">
        <v>36.4</v>
      </c>
      <c r="K3527">
        <v>140</v>
      </c>
      <c r="L3527">
        <v>0</v>
      </c>
      <c r="M3527" t="s">
        <v>18</v>
      </c>
      <c r="N3527">
        <v>0</v>
      </c>
      <c r="O3527">
        <v>3</v>
      </c>
    </row>
    <row r="3528" spans="1:15" x14ac:dyDescent="0.2">
      <c r="A3528" s="6">
        <v>45821</v>
      </c>
      <c r="B3528" t="s">
        <v>15</v>
      </c>
      <c r="C3528" t="s">
        <v>16</v>
      </c>
      <c r="D3528" s="1">
        <v>45855</v>
      </c>
      <c r="E3528" t="s">
        <v>17</v>
      </c>
      <c r="F3528">
        <v>5450</v>
      </c>
      <c r="G3528">
        <v>686</v>
      </c>
      <c r="H3528">
        <v>686</v>
      </c>
      <c r="I3528">
        <v>686</v>
      </c>
      <c r="J3528">
        <v>686</v>
      </c>
      <c r="K3528">
        <v>415.2</v>
      </c>
      <c r="L3528">
        <v>2</v>
      </c>
      <c r="M3528" t="s">
        <v>28</v>
      </c>
      <c r="N3528">
        <v>12.27</v>
      </c>
      <c r="O3528">
        <v>3</v>
      </c>
    </row>
    <row r="3529" spans="1:15" x14ac:dyDescent="0.2">
      <c r="A3529" s="6">
        <v>45821</v>
      </c>
      <c r="B3529" t="s">
        <v>15</v>
      </c>
      <c r="C3529" t="s">
        <v>16</v>
      </c>
      <c r="D3529" s="1">
        <v>45855</v>
      </c>
      <c r="E3529" t="s">
        <v>19</v>
      </c>
      <c r="F3529">
        <v>6550</v>
      </c>
      <c r="J3529">
        <v>526.6</v>
      </c>
      <c r="K3529">
        <v>824.1</v>
      </c>
      <c r="L3529">
        <v>0</v>
      </c>
      <c r="M3529" t="s">
        <v>18</v>
      </c>
      <c r="N3529">
        <v>0</v>
      </c>
      <c r="O3529">
        <v>0</v>
      </c>
    </row>
    <row r="3530" spans="1:15" x14ac:dyDescent="0.2">
      <c r="A3530" s="6">
        <v>45821</v>
      </c>
      <c r="B3530" t="s">
        <v>15</v>
      </c>
      <c r="C3530" t="s">
        <v>16</v>
      </c>
      <c r="D3530" s="1">
        <v>45855</v>
      </c>
      <c r="E3530" t="s">
        <v>19</v>
      </c>
      <c r="F3530">
        <v>4650</v>
      </c>
      <c r="J3530">
        <v>1.6</v>
      </c>
      <c r="K3530">
        <v>0.8</v>
      </c>
      <c r="L3530">
        <v>0</v>
      </c>
      <c r="M3530" t="s">
        <v>18</v>
      </c>
      <c r="N3530">
        <v>0</v>
      </c>
      <c r="O3530">
        <v>0</v>
      </c>
    </row>
    <row r="3531" spans="1:15" x14ac:dyDescent="0.2">
      <c r="A3531" s="6">
        <v>45821</v>
      </c>
      <c r="B3531" t="s">
        <v>15</v>
      </c>
      <c r="C3531" t="s">
        <v>16</v>
      </c>
      <c r="D3531" s="1">
        <v>45855</v>
      </c>
      <c r="E3531" t="s">
        <v>17</v>
      </c>
      <c r="F3531">
        <v>4050</v>
      </c>
      <c r="J3531">
        <v>2099.3000000000002</v>
      </c>
      <c r="K3531">
        <v>1673.4</v>
      </c>
      <c r="L3531">
        <v>0</v>
      </c>
      <c r="M3531" t="s">
        <v>18</v>
      </c>
      <c r="N3531">
        <v>0</v>
      </c>
      <c r="O3531">
        <v>0</v>
      </c>
    </row>
    <row r="3532" spans="1:15" x14ac:dyDescent="0.2">
      <c r="A3532" s="6">
        <v>45821</v>
      </c>
      <c r="B3532" t="s">
        <v>15</v>
      </c>
      <c r="C3532" t="s">
        <v>16</v>
      </c>
      <c r="D3532" s="1">
        <v>45855</v>
      </c>
      <c r="E3532" t="s">
        <v>17</v>
      </c>
      <c r="F3532">
        <v>4000</v>
      </c>
      <c r="J3532">
        <v>2149</v>
      </c>
      <c r="K3532">
        <v>1723.1</v>
      </c>
      <c r="L3532">
        <v>0</v>
      </c>
      <c r="M3532" t="s">
        <v>18</v>
      </c>
      <c r="N3532">
        <v>0</v>
      </c>
      <c r="O3532">
        <v>0</v>
      </c>
    </row>
    <row r="3533" spans="1:15" x14ac:dyDescent="0.2">
      <c r="A3533" s="6">
        <v>45821</v>
      </c>
      <c r="B3533" t="s">
        <v>15</v>
      </c>
      <c r="C3533" t="s">
        <v>16</v>
      </c>
      <c r="D3533" s="1">
        <v>45855</v>
      </c>
      <c r="E3533" t="s">
        <v>17</v>
      </c>
      <c r="F3533">
        <v>6350</v>
      </c>
      <c r="J3533">
        <v>204.7</v>
      </c>
      <c r="K3533">
        <v>26.4</v>
      </c>
      <c r="L3533">
        <v>0</v>
      </c>
      <c r="M3533" t="s">
        <v>18</v>
      </c>
      <c r="N3533">
        <v>0</v>
      </c>
      <c r="O3533">
        <v>0</v>
      </c>
    </row>
    <row r="3534" spans="1:15" x14ac:dyDescent="0.2">
      <c r="A3534" s="6">
        <v>45821</v>
      </c>
      <c r="B3534" t="s">
        <v>15</v>
      </c>
      <c r="C3534" t="s">
        <v>16</v>
      </c>
      <c r="D3534" s="1">
        <v>45855</v>
      </c>
      <c r="E3534" t="s">
        <v>19</v>
      </c>
      <c r="F3534">
        <v>4400</v>
      </c>
      <c r="J3534">
        <v>0.3</v>
      </c>
      <c r="K3534">
        <v>0.1</v>
      </c>
      <c r="L3534">
        <v>0</v>
      </c>
      <c r="M3534" t="s">
        <v>18</v>
      </c>
      <c r="N3534">
        <v>0</v>
      </c>
      <c r="O3534">
        <v>0</v>
      </c>
    </row>
    <row r="3535" spans="1:15" x14ac:dyDescent="0.2">
      <c r="A3535" s="6">
        <v>45821</v>
      </c>
      <c r="B3535" t="s">
        <v>15</v>
      </c>
      <c r="C3535" t="s">
        <v>16</v>
      </c>
      <c r="D3535" s="1">
        <v>45855</v>
      </c>
      <c r="E3535" t="s">
        <v>17</v>
      </c>
      <c r="F3535">
        <v>5800</v>
      </c>
      <c r="G3535">
        <v>347</v>
      </c>
      <c r="H3535">
        <v>702.3</v>
      </c>
      <c r="I3535">
        <v>311</v>
      </c>
      <c r="J3535">
        <v>561</v>
      </c>
      <c r="K3535">
        <v>258.60000000000002</v>
      </c>
      <c r="L3535">
        <v>1539</v>
      </c>
      <c r="M3535" t="s">
        <v>1359</v>
      </c>
      <c r="N3535">
        <v>9806.3700000000008</v>
      </c>
      <c r="O3535">
        <v>262</v>
      </c>
    </row>
    <row r="3536" spans="1:15" x14ac:dyDescent="0.2">
      <c r="A3536" s="6">
        <v>45821</v>
      </c>
      <c r="B3536" t="s">
        <v>15</v>
      </c>
      <c r="C3536" t="s">
        <v>16</v>
      </c>
      <c r="D3536" s="1">
        <v>45855</v>
      </c>
      <c r="E3536" t="s">
        <v>17</v>
      </c>
      <c r="F3536">
        <v>4550</v>
      </c>
      <c r="J3536">
        <v>1603</v>
      </c>
      <c r="K3536">
        <v>1176.5999999999999</v>
      </c>
      <c r="L3536">
        <v>0</v>
      </c>
      <c r="M3536" t="s">
        <v>18</v>
      </c>
      <c r="N3536">
        <v>0</v>
      </c>
      <c r="O3536">
        <v>0</v>
      </c>
    </row>
    <row r="3537" spans="1:15" x14ac:dyDescent="0.2">
      <c r="A3537" s="6">
        <v>45821</v>
      </c>
      <c r="B3537" t="s">
        <v>15</v>
      </c>
      <c r="C3537" t="s">
        <v>16</v>
      </c>
      <c r="D3537" s="1">
        <v>45855</v>
      </c>
      <c r="E3537" t="s">
        <v>19</v>
      </c>
      <c r="F3537">
        <v>5150</v>
      </c>
      <c r="G3537">
        <v>46</v>
      </c>
      <c r="H3537">
        <v>46</v>
      </c>
      <c r="I3537">
        <v>45</v>
      </c>
      <c r="J3537">
        <v>45.3</v>
      </c>
      <c r="K3537">
        <v>73.3</v>
      </c>
      <c r="L3537">
        <v>4</v>
      </c>
      <c r="M3537" t="s">
        <v>78</v>
      </c>
      <c r="N3537">
        <v>20.78</v>
      </c>
      <c r="O3537">
        <v>6</v>
      </c>
    </row>
    <row r="3538" spans="1:15" x14ac:dyDescent="0.2">
      <c r="A3538" s="6">
        <v>45821</v>
      </c>
      <c r="B3538" t="s">
        <v>15</v>
      </c>
      <c r="C3538" t="s">
        <v>16</v>
      </c>
      <c r="D3538" s="1">
        <v>45855</v>
      </c>
      <c r="E3538" t="s">
        <v>17</v>
      </c>
      <c r="F3538">
        <v>6250</v>
      </c>
      <c r="J3538">
        <v>244.6</v>
      </c>
      <c r="K3538">
        <v>38.4</v>
      </c>
      <c r="L3538">
        <v>0</v>
      </c>
      <c r="M3538" t="s">
        <v>18</v>
      </c>
      <c r="N3538">
        <v>0</v>
      </c>
      <c r="O3538">
        <v>0</v>
      </c>
    </row>
    <row r="3539" spans="1:15" x14ac:dyDescent="0.2">
      <c r="A3539" s="6">
        <v>45821</v>
      </c>
      <c r="B3539" t="s">
        <v>15</v>
      </c>
      <c r="C3539" t="s">
        <v>16</v>
      </c>
      <c r="D3539" s="1">
        <v>45855</v>
      </c>
      <c r="E3539" t="s">
        <v>17</v>
      </c>
      <c r="F3539">
        <v>5150</v>
      </c>
      <c r="J3539">
        <v>1022.9</v>
      </c>
      <c r="K3539">
        <v>600.6</v>
      </c>
      <c r="L3539">
        <v>0</v>
      </c>
      <c r="M3539" t="s">
        <v>18</v>
      </c>
      <c r="N3539">
        <v>0</v>
      </c>
      <c r="O3539">
        <v>2</v>
      </c>
    </row>
    <row r="3540" spans="1:15" x14ac:dyDescent="0.2">
      <c r="A3540" s="6">
        <v>45821</v>
      </c>
      <c r="B3540" t="s">
        <v>15</v>
      </c>
      <c r="C3540" t="s">
        <v>16</v>
      </c>
      <c r="D3540" s="1">
        <v>45855</v>
      </c>
      <c r="E3540" t="s">
        <v>17</v>
      </c>
      <c r="F3540">
        <v>5050</v>
      </c>
      <c r="J3540">
        <v>1116.5</v>
      </c>
      <c r="K3540">
        <v>691.4</v>
      </c>
      <c r="L3540">
        <v>0</v>
      </c>
      <c r="M3540" t="s">
        <v>18</v>
      </c>
      <c r="N3540">
        <v>0</v>
      </c>
      <c r="O3540">
        <v>0</v>
      </c>
    </row>
    <row r="3541" spans="1:15" x14ac:dyDescent="0.2">
      <c r="A3541" s="6">
        <v>45821</v>
      </c>
      <c r="B3541" t="s">
        <v>15</v>
      </c>
      <c r="C3541" t="s">
        <v>16</v>
      </c>
      <c r="D3541" s="1">
        <v>45855</v>
      </c>
      <c r="E3541" t="s">
        <v>17</v>
      </c>
      <c r="F3541">
        <v>6950</v>
      </c>
      <c r="J3541">
        <v>59.1</v>
      </c>
      <c r="K3541">
        <v>1.8</v>
      </c>
      <c r="L3541">
        <v>0</v>
      </c>
      <c r="M3541" t="s">
        <v>18</v>
      </c>
      <c r="N3541">
        <v>0</v>
      </c>
      <c r="O3541">
        <v>0</v>
      </c>
    </row>
    <row r="3542" spans="1:15" x14ac:dyDescent="0.2">
      <c r="A3542" s="6">
        <v>45821</v>
      </c>
      <c r="B3542" t="s">
        <v>15</v>
      </c>
      <c r="C3542" t="s">
        <v>16</v>
      </c>
      <c r="D3542" s="1">
        <v>45855</v>
      </c>
      <c r="E3542" t="s">
        <v>17</v>
      </c>
      <c r="F3542">
        <v>6500</v>
      </c>
      <c r="G3542">
        <v>215</v>
      </c>
      <c r="H3542">
        <v>433.2</v>
      </c>
      <c r="I3542">
        <v>210.1</v>
      </c>
      <c r="J3542">
        <v>291.60000000000002</v>
      </c>
      <c r="K3542">
        <v>103.3</v>
      </c>
      <c r="L3542">
        <v>10694</v>
      </c>
      <c r="M3542" t="s">
        <v>1574</v>
      </c>
      <c r="N3542">
        <v>72614</v>
      </c>
      <c r="O3542">
        <v>1223</v>
      </c>
    </row>
    <row r="3543" spans="1:15" x14ac:dyDescent="0.2">
      <c r="A3543" s="6">
        <v>45821</v>
      </c>
      <c r="B3543" t="s">
        <v>15</v>
      </c>
      <c r="C3543" t="s">
        <v>16</v>
      </c>
      <c r="D3543" s="1">
        <v>45855</v>
      </c>
      <c r="E3543" t="s">
        <v>17</v>
      </c>
      <c r="F3543">
        <v>6200</v>
      </c>
      <c r="G3543">
        <v>306</v>
      </c>
      <c r="H3543">
        <v>687</v>
      </c>
      <c r="I3543">
        <v>292.89999999999998</v>
      </c>
      <c r="J3543">
        <v>388.9</v>
      </c>
      <c r="K3543">
        <v>148</v>
      </c>
      <c r="L3543">
        <v>4116</v>
      </c>
      <c r="M3543" t="s">
        <v>1575</v>
      </c>
      <c r="N3543">
        <v>27047.439999999999</v>
      </c>
      <c r="O3543">
        <v>570</v>
      </c>
    </row>
    <row r="3544" spans="1:15" x14ac:dyDescent="0.2">
      <c r="A3544" s="6">
        <v>45821</v>
      </c>
      <c r="B3544" t="s">
        <v>15</v>
      </c>
      <c r="C3544" t="s">
        <v>16</v>
      </c>
      <c r="D3544" s="1">
        <v>45855</v>
      </c>
      <c r="E3544" t="s">
        <v>19</v>
      </c>
      <c r="F3544">
        <v>5200</v>
      </c>
      <c r="G3544">
        <v>88</v>
      </c>
      <c r="H3544">
        <v>88</v>
      </c>
      <c r="I3544">
        <v>52</v>
      </c>
      <c r="J3544">
        <v>58.8</v>
      </c>
      <c r="K3544">
        <v>90.3</v>
      </c>
      <c r="L3544">
        <v>2363</v>
      </c>
      <c r="M3544" t="s">
        <v>1576</v>
      </c>
      <c r="N3544">
        <v>12438.81</v>
      </c>
      <c r="O3544">
        <v>545</v>
      </c>
    </row>
    <row r="3545" spans="1:15" x14ac:dyDescent="0.2">
      <c r="A3545" s="6">
        <v>45821</v>
      </c>
      <c r="B3545" t="s">
        <v>15</v>
      </c>
      <c r="C3545" t="s">
        <v>16</v>
      </c>
      <c r="D3545" s="1">
        <v>45855</v>
      </c>
      <c r="E3545" t="s">
        <v>19</v>
      </c>
      <c r="F3545">
        <v>6250</v>
      </c>
      <c r="J3545">
        <v>333.1</v>
      </c>
      <c r="K3545">
        <v>552.4</v>
      </c>
      <c r="L3545">
        <v>0</v>
      </c>
      <c r="M3545" t="s">
        <v>18</v>
      </c>
      <c r="N3545">
        <v>0</v>
      </c>
      <c r="O3545">
        <v>0</v>
      </c>
    </row>
    <row r="3546" spans="1:15" x14ac:dyDescent="0.2">
      <c r="A3546" s="6">
        <v>45821</v>
      </c>
      <c r="B3546" t="s">
        <v>15</v>
      </c>
      <c r="C3546" t="s">
        <v>16</v>
      </c>
      <c r="D3546" s="1">
        <v>45855</v>
      </c>
      <c r="E3546" t="s">
        <v>17</v>
      </c>
      <c r="F3546">
        <v>4500</v>
      </c>
      <c r="J3546">
        <v>1652.4</v>
      </c>
      <c r="K3546">
        <v>1226.2</v>
      </c>
      <c r="L3546">
        <v>0</v>
      </c>
      <c r="M3546" t="s">
        <v>18</v>
      </c>
      <c r="N3546">
        <v>0</v>
      </c>
      <c r="O3546">
        <v>0</v>
      </c>
    </row>
    <row r="3547" spans="1:15" x14ac:dyDescent="0.2">
      <c r="A3547" s="6">
        <v>45821</v>
      </c>
      <c r="B3547" t="s">
        <v>15</v>
      </c>
      <c r="C3547" t="s">
        <v>16</v>
      </c>
      <c r="D3547" s="1">
        <v>45855</v>
      </c>
      <c r="E3547" t="s">
        <v>17</v>
      </c>
      <c r="F3547">
        <v>4250</v>
      </c>
      <c r="J3547">
        <v>1900.5</v>
      </c>
      <c r="K3547">
        <v>1474.6</v>
      </c>
      <c r="L3547">
        <v>0</v>
      </c>
      <c r="M3547" t="s">
        <v>18</v>
      </c>
      <c r="N3547">
        <v>0</v>
      </c>
      <c r="O3547">
        <v>0</v>
      </c>
    </row>
    <row r="3548" spans="1:15" x14ac:dyDescent="0.2">
      <c r="A3548" s="6">
        <v>45821</v>
      </c>
      <c r="B3548" t="s">
        <v>15</v>
      </c>
      <c r="C3548" t="s">
        <v>16</v>
      </c>
      <c r="D3548" s="1">
        <v>45855</v>
      </c>
      <c r="E3548" t="s">
        <v>17</v>
      </c>
      <c r="F3548">
        <v>4150</v>
      </c>
      <c r="J3548">
        <v>1999.9</v>
      </c>
      <c r="K3548">
        <v>1574</v>
      </c>
      <c r="L3548">
        <v>0</v>
      </c>
      <c r="M3548" t="s">
        <v>18</v>
      </c>
      <c r="N3548">
        <v>0</v>
      </c>
      <c r="O3548">
        <v>0</v>
      </c>
    </row>
    <row r="3549" spans="1:15" x14ac:dyDescent="0.2">
      <c r="A3549" s="6">
        <v>45821</v>
      </c>
      <c r="B3549" t="s">
        <v>15</v>
      </c>
      <c r="C3549" t="s">
        <v>16</v>
      </c>
      <c r="D3549" s="1">
        <v>45855</v>
      </c>
      <c r="E3549" t="s">
        <v>17</v>
      </c>
      <c r="F3549">
        <v>5900</v>
      </c>
      <c r="G3549">
        <v>350</v>
      </c>
      <c r="H3549">
        <v>625</v>
      </c>
      <c r="I3549">
        <v>315</v>
      </c>
      <c r="J3549">
        <v>498.4</v>
      </c>
      <c r="K3549">
        <v>225.4</v>
      </c>
      <c r="L3549">
        <v>480</v>
      </c>
      <c r="M3549" t="s">
        <v>1577</v>
      </c>
      <c r="N3549">
        <v>3067.69</v>
      </c>
      <c r="O3549">
        <v>62</v>
      </c>
    </row>
    <row r="3550" spans="1:15" x14ac:dyDescent="0.2">
      <c r="A3550" s="6">
        <v>45821</v>
      </c>
      <c r="B3550" t="s">
        <v>15</v>
      </c>
      <c r="C3550" t="s">
        <v>16</v>
      </c>
      <c r="D3550" s="1">
        <v>45855</v>
      </c>
      <c r="E3550" t="s">
        <v>17</v>
      </c>
      <c r="F3550">
        <v>3950</v>
      </c>
      <c r="J3550">
        <v>2198.6999999999998</v>
      </c>
      <c r="K3550">
        <v>1772.8</v>
      </c>
      <c r="L3550">
        <v>0</v>
      </c>
      <c r="M3550" t="s">
        <v>18</v>
      </c>
      <c r="N3550">
        <v>0</v>
      </c>
      <c r="O3550">
        <v>0</v>
      </c>
    </row>
    <row r="3551" spans="1:15" x14ac:dyDescent="0.2">
      <c r="A3551" s="6">
        <v>45821</v>
      </c>
      <c r="B3551" t="s">
        <v>15</v>
      </c>
      <c r="C3551" t="s">
        <v>16</v>
      </c>
      <c r="D3551" s="1">
        <v>45855</v>
      </c>
      <c r="E3551" t="s">
        <v>19</v>
      </c>
      <c r="F3551">
        <v>6350</v>
      </c>
      <c r="G3551">
        <v>722</v>
      </c>
      <c r="H3551">
        <v>722</v>
      </c>
      <c r="I3551">
        <v>571.6</v>
      </c>
      <c r="J3551">
        <v>646.79999999999995</v>
      </c>
      <c r="K3551">
        <v>639.9</v>
      </c>
      <c r="L3551">
        <v>2</v>
      </c>
      <c r="M3551" t="s">
        <v>28</v>
      </c>
      <c r="N3551">
        <v>13.99</v>
      </c>
      <c r="O3551">
        <v>1</v>
      </c>
    </row>
    <row r="3552" spans="1:15" x14ac:dyDescent="0.2">
      <c r="A3552" s="6">
        <v>45821</v>
      </c>
      <c r="B3552" t="s">
        <v>15</v>
      </c>
      <c r="C3552" t="s">
        <v>16</v>
      </c>
      <c r="D3552" s="1">
        <v>45855</v>
      </c>
      <c r="E3552" t="s">
        <v>19</v>
      </c>
      <c r="F3552">
        <v>5650</v>
      </c>
      <c r="G3552">
        <v>191.5</v>
      </c>
      <c r="H3552">
        <v>191.5</v>
      </c>
      <c r="I3552">
        <v>191.5</v>
      </c>
      <c r="J3552">
        <v>191.5</v>
      </c>
      <c r="K3552">
        <v>265.39999999999998</v>
      </c>
      <c r="L3552">
        <v>1</v>
      </c>
      <c r="M3552" t="s">
        <v>155</v>
      </c>
      <c r="N3552">
        <v>5.84</v>
      </c>
      <c r="O3552">
        <v>1</v>
      </c>
    </row>
    <row r="3553" spans="1:15" x14ac:dyDescent="0.2">
      <c r="A3553" s="6">
        <v>45821</v>
      </c>
      <c r="B3553" t="s">
        <v>15</v>
      </c>
      <c r="C3553" t="s">
        <v>16</v>
      </c>
      <c r="D3553" s="1">
        <v>45855</v>
      </c>
      <c r="E3553" t="s">
        <v>19</v>
      </c>
      <c r="F3553">
        <v>4850</v>
      </c>
      <c r="J3553">
        <v>4.5999999999999996</v>
      </c>
      <c r="K3553">
        <v>3.6</v>
      </c>
      <c r="L3553">
        <v>0</v>
      </c>
      <c r="M3553" t="s">
        <v>18</v>
      </c>
      <c r="N3553">
        <v>0</v>
      </c>
      <c r="O3553">
        <v>0</v>
      </c>
    </row>
    <row r="3554" spans="1:15" x14ac:dyDescent="0.2">
      <c r="A3554" s="6">
        <v>45821</v>
      </c>
      <c r="B3554" t="s">
        <v>15</v>
      </c>
      <c r="C3554" t="s">
        <v>16</v>
      </c>
      <c r="D3554" s="1">
        <v>45855</v>
      </c>
      <c r="E3554" t="s">
        <v>19</v>
      </c>
      <c r="F3554">
        <v>5600</v>
      </c>
      <c r="G3554">
        <v>150</v>
      </c>
      <c r="H3554">
        <v>190</v>
      </c>
      <c r="I3554">
        <v>118.7</v>
      </c>
      <c r="J3554">
        <v>135.19999999999999</v>
      </c>
      <c r="K3554">
        <v>222</v>
      </c>
      <c r="L3554">
        <v>3413</v>
      </c>
      <c r="M3554" t="s">
        <v>1578</v>
      </c>
      <c r="N3554">
        <v>19609.89</v>
      </c>
      <c r="O3554">
        <v>843</v>
      </c>
    </row>
    <row r="3555" spans="1:15" x14ac:dyDescent="0.2">
      <c r="A3555" s="6">
        <v>45821</v>
      </c>
      <c r="B3555" t="s">
        <v>15</v>
      </c>
      <c r="C3555" t="s">
        <v>16</v>
      </c>
      <c r="D3555" s="1">
        <v>45855</v>
      </c>
      <c r="E3555" t="s">
        <v>19</v>
      </c>
      <c r="F3555">
        <v>4000</v>
      </c>
      <c r="J3555">
        <v>0.1</v>
      </c>
      <c r="K3555">
        <v>0.1</v>
      </c>
      <c r="L3555">
        <v>0</v>
      </c>
      <c r="M3555" t="s">
        <v>18</v>
      </c>
      <c r="N3555">
        <v>0</v>
      </c>
      <c r="O3555">
        <v>0</v>
      </c>
    </row>
    <row r="3556" spans="1:15" x14ac:dyDescent="0.2">
      <c r="A3556" s="6">
        <v>45821</v>
      </c>
      <c r="B3556" t="s">
        <v>15</v>
      </c>
      <c r="C3556" t="s">
        <v>16</v>
      </c>
      <c r="D3556" s="1">
        <v>45855</v>
      </c>
      <c r="E3556" t="s">
        <v>17</v>
      </c>
      <c r="F3556">
        <v>6100</v>
      </c>
      <c r="G3556">
        <v>473.4</v>
      </c>
      <c r="H3556">
        <v>557.4</v>
      </c>
      <c r="I3556">
        <v>328.1</v>
      </c>
      <c r="J3556">
        <v>423.4</v>
      </c>
      <c r="K3556">
        <v>171.5</v>
      </c>
      <c r="L3556">
        <v>2023</v>
      </c>
      <c r="M3556" t="s">
        <v>1579</v>
      </c>
      <c r="N3556">
        <v>13144.72</v>
      </c>
      <c r="O3556">
        <v>643</v>
      </c>
    </row>
    <row r="3557" spans="1:15" x14ac:dyDescent="0.2">
      <c r="A3557" s="6">
        <v>45821</v>
      </c>
      <c r="B3557" t="s">
        <v>15</v>
      </c>
      <c r="C3557" t="s">
        <v>16</v>
      </c>
      <c r="D3557" s="1">
        <v>45855</v>
      </c>
      <c r="E3557" t="s">
        <v>17</v>
      </c>
      <c r="F3557">
        <v>5350</v>
      </c>
      <c r="J3557">
        <v>842.9</v>
      </c>
      <c r="K3557">
        <v>433</v>
      </c>
      <c r="L3557">
        <v>0</v>
      </c>
      <c r="M3557" t="s">
        <v>18</v>
      </c>
      <c r="N3557">
        <v>0</v>
      </c>
      <c r="O3557">
        <v>1</v>
      </c>
    </row>
    <row r="3558" spans="1:15" x14ac:dyDescent="0.2">
      <c r="A3558" s="6">
        <v>45821</v>
      </c>
      <c r="B3558" t="s">
        <v>15</v>
      </c>
      <c r="C3558" t="s">
        <v>16</v>
      </c>
      <c r="D3558" s="1">
        <v>45855</v>
      </c>
      <c r="E3558" t="s">
        <v>17</v>
      </c>
      <c r="F3558">
        <v>4600</v>
      </c>
      <c r="J3558">
        <v>1553.5</v>
      </c>
      <c r="K3558">
        <v>1127.0999999999999</v>
      </c>
      <c r="L3558">
        <v>0</v>
      </c>
      <c r="M3558" t="s">
        <v>18</v>
      </c>
      <c r="N3558">
        <v>0</v>
      </c>
      <c r="O3558">
        <v>0</v>
      </c>
    </row>
    <row r="3559" spans="1:15" x14ac:dyDescent="0.2">
      <c r="A3559" s="6">
        <v>45821</v>
      </c>
      <c r="B3559" t="s">
        <v>15</v>
      </c>
      <c r="C3559" t="s">
        <v>16</v>
      </c>
      <c r="D3559" s="1">
        <v>45855</v>
      </c>
      <c r="E3559" t="s">
        <v>19</v>
      </c>
      <c r="F3559">
        <v>3650</v>
      </c>
      <c r="J3559">
        <v>0.1</v>
      </c>
      <c r="K3559">
        <v>0.1</v>
      </c>
      <c r="L3559">
        <v>0</v>
      </c>
      <c r="M3559" t="s">
        <v>18</v>
      </c>
      <c r="N3559">
        <v>0</v>
      </c>
      <c r="O3559">
        <v>0</v>
      </c>
    </row>
    <row r="3560" spans="1:15" x14ac:dyDescent="0.2">
      <c r="A3560" s="6">
        <v>45821</v>
      </c>
      <c r="B3560" t="s">
        <v>15</v>
      </c>
      <c r="C3560" t="s">
        <v>16</v>
      </c>
      <c r="D3560" s="1">
        <v>45855</v>
      </c>
      <c r="E3560" t="s">
        <v>17</v>
      </c>
      <c r="F3560">
        <v>3600</v>
      </c>
      <c r="J3560">
        <v>2546.8000000000002</v>
      </c>
      <c r="K3560">
        <v>2120.8000000000002</v>
      </c>
      <c r="L3560">
        <v>0</v>
      </c>
      <c r="M3560" t="s">
        <v>18</v>
      </c>
      <c r="N3560">
        <v>0</v>
      </c>
      <c r="O3560">
        <v>0</v>
      </c>
    </row>
    <row r="3561" spans="1:15" x14ac:dyDescent="0.2">
      <c r="A3561" s="6">
        <v>45821</v>
      </c>
      <c r="B3561" t="s">
        <v>15</v>
      </c>
      <c r="C3561" t="s">
        <v>16</v>
      </c>
      <c r="D3561" s="1">
        <v>45855</v>
      </c>
      <c r="E3561" t="s">
        <v>17</v>
      </c>
      <c r="F3561">
        <v>3650</v>
      </c>
      <c r="J3561">
        <v>2497.1</v>
      </c>
      <c r="K3561">
        <v>2071.1</v>
      </c>
      <c r="L3561">
        <v>0</v>
      </c>
      <c r="M3561" t="s">
        <v>18</v>
      </c>
      <c r="N3561">
        <v>0</v>
      </c>
      <c r="O3561">
        <v>0</v>
      </c>
    </row>
    <row r="3562" spans="1:15" x14ac:dyDescent="0.2">
      <c r="A3562" s="6">
        <v>45821</v>
      </c>
      <c r="B3562" t="s">
        <v>15</v>
      </c>
      <c r="C3562" t="s">
        <v>16</v>
      </c>
      <c r="D3562" s="1">
        <v>45855</v>
      </c>
      <c r="E3562" t="s">
        <v>19</v>
      </c>
      <c r="F3562">
        <v>6700</v>
      </c>
      <c r="J3562">
        <v>638.79999999999995</v>
      </c>
      <c r="K3562">
        <v>967.6</v>
      </c>
      <c r="L3562">
        <v>0</v>
      </c>
      <c r="M3562" t="s">
        <v>18</v>
      </c>
      <c r="N3562">
        <v>0</v>
      </c>
      <c r="O3562">
        <v>0</v>
      </c>
    </row>
    <row r="3563" spans="1:15" x14ac:dyDescent="0.2">
      <c r="A3563" s="6">
        <v>45821</v>
      </c>
      <c r="B3563" t="s">
        <v>15</v>
      </c>
      <c r="C3563" t="s">
        <v>16</v>
      </c>
      <c r="D3563" s="1">
        <v>45855</v>
      </c>
      <c r="E3563" t="s">
        <v>19</v>
      </c>
      <c r="F3563">
        <v>6900</v>
      </c>
      <c r="J3563">
        <v>801.2</v>
      </c>
      <c r="K3563">
        <v>1162.7</v>
      </c>
      <c r="L3563">
        <v>0</v>
      </c>
      <c r="M3563" t="s">
        <v>18</v>
      </c>
      <c r="N3563">
        <v>0</v>
      </c>
      <c r="O3563">
        <v>0</v>
      </c>
    </row>
    <row r="3564" spans="1:15" x14ac:dyDescent="0.2">
      <c r="A3564" s="6">
        <v>45821</v>
      </c>
      <c r="B3564" t="s">
        <v>15</v>
      </c>
      <c r="C3564" t="s">
        <v>16</v>
      </c>
      <c r="D3564" s="1">
        <v>45855</v>
      </c>
      <c r="E3564" t="s">
        <v>17</v>
      </c>
      <c r="F3564">
        <v>5550</v>
      </c>
      <c r="J3564">
        <v>676</v>
      </c>
      <c r="K3564">
        <v>291.10000000000002</v>
      </c>
      <c r="L3564">
        <v>0</v>
      </c>
      <c r="M3564" t="s">
        <v>18</v>
      </c>
      <c r="N3564">
        <v>0</v>
      </c>
      <c r="O3564">
        <v>0</v>
      </c>
    </row>
    <row r="3565" spans="1:15" x14ac:dyDescent="0.2">
      <c r="A3565" s="6">
        <v>45821</v>
      </c>
      <c r="B3565" t="s">
        <v>15</v>
      </c>
      <c r="C3565" t="s">
        <v>16</v>
      </c>
      <c r="D3565" s="1">
        <v>45855</v>
      </c>
      <c r="E3565" t="s">
        <v>19</v>
      </c>
      <c r="F3565">
        <v>6000</v>
      </c>
      <c r="G3565">
        <v>201</v>
      </c>
      <c r="H3565">
        <v>400</v>
      </c>
      <c r="I3565">
        <v>200</v>
      </c>
      <c r="J3565">
        <v>308.89999999999998</v>
      </c>
      <c r="K3565">
        <v>455.2</v>
      </c>
      <c r="L3565">
        <v>6162</v>
      </c>
      <c r="M3565" t="s">
        <v>1580</v>
      </c>
      <c r="N3565">
        <v>38923.4</v>
      </c>
      <c r="O3565">
        <v>896</v>
      </c>
    </row>
    <row r="3566" spans="1:15" x14ac:dyDescent="0.2">
      <c r="A3566" s="6">
        <v>45821</v>
      </c>
      <c r="B3566" t="s">
        <v>15</v>
      </c>
      <c r="C3566" t="s">
        <v>16</v>
      </c>
      <c r="D3566" s="1">
        <v>45855</v>
      </c>
      <c r="E3566" t="s">
        <v>19</v>
      </c>
      <c r="F3566">
        <v>3950</v>
      </c>
      <c r="J3566">
        <v>0.1</v>
      </c>
      <c r="K3566">
        <v>0.1</v>
      </c>
      <c r="L3566">
        <v>0</v>
      </c>
      <c r="M3566" t="s">
        <v>18</v>
      </c>
      <c r="N3566">
        <v>0</v>
      </c>
      <c r="O3566">
        <v>0</v>
      </c>
    </row>
    <row r="3567" spans="1:15" x14ac:dyDescent="0.2">
      <c r="A3567" s="6">
        <v>45821</v>
      </c>
      <c r="B3567" t="s">
        <v>15</v>
      </c>
      <c r="C3567" t="s">
        <v>16</v>
      </c>
      <c r="D3567" s="1">
        <v>45855</v>
      </c>
      <c r="E3567" t="s">
        <v>19</v>
      </c>
      <c r="F3567">
        <v>3850</v>
      </c>
      <c r="J3567">
        <v>0.1</v>
      </c>
      <c r="K3567">
        <v>0.1</v>
      </c>
      <c r="L3567">
        <v>0</v>
      </c>
      <c r="M3567" t="s">
        <v>18</v>
      </c>
      <c r="N3567">
        <v>0</v>
      </c>
      <c r="O3567">
        <v>0</v>
      </c>
    </row>
    <row r="3568" spans="1:15" x14ac:dyDescent="0.2">
      <c r="A3568" s="6">
        <v>45821</v>
      </c>
      <c r="B3568" t="s">
        <v>15</v>
      </c>
      <c r="C3568" t="s">
        <v>16</v>
      </c>
      <c r="D3568" s="1">
        <v>45855</v>
      </c>
      <c r="E3568" t="s">
        <v>19</v>
      </c>
      <c r="F3568">
        <v>4800</v>
      </c>
      <c r="G3568">
        <v>92</v>
      </c>
      <c r="H3568">
        <v>92</v>
      </c>
      <c r="I3568">
        <v>5</v>
      </c>
      <c r="J3568">
        <v>31.4</v>
      </c>
      <c r="K3568">
        <v>34.5</v>
      </c>
      <c r="L3568">
        <v>11</v>
      </c>
      <c r="M3568" t="s">
        <v>236</v>
      </c>
      <c r="N3568">
        <v>53.15</v>
      </c>
      <c r="O3568">
        <v>6</v>
      </c>
    </row>
    <row r="3569" spans="1:15" x14ac:dyDescent="0.2">
      <c r="A3569" s="6">
        <v>45821</v>
      </c>
      <c r="B3569" t="s">
        <v>15</v>
      </c>
      <c r="C3569" t="s">
        <v>16</v>
      </c>
      <c r="D3569" s="1">
        <v>45855</v>
      </c>
      <c r="E3569" t="s">
        <v>17</v>
      </c>
      <c r="F3569">
        <v>6600</v>
      </c>
      <c r="G3569">
        <v>361.5</v>
      </c>
      <c r="H3569">
        <v>361.5</v>
      </c>
      <c r="I3569">
        <v>187.7</v>
      </c>
      <c r="J3569">
        <v>272.7</v>
      </c>
      <c r="K3569">
        <v>9.5</v>
      </c>
      <c r="L3569">
        <v>217</v>
      </c>
      <c r="M3569" t="s">
        <v>1581</v>
      </c>
      <c r="N3569">
        <v>1487.74</v>
      </c>
      <c r="O3569">
        <v>42</v>
      </c>
    </row>
    <row r="3570" spans="1:15" x14ac:dyDescent="0.2">
      <c r="A3570" s="6">
        <v>45821</v>
      </c>
      <c r="B3570" t="s">
        <v>15</v>
      </c>
      <c r="C3570" t="s">
        <v>16</v>
      </c>
      <c r="D3570" s="1">
        <v>45855</v>
      </c>
      <c r="E3570" t="s">
        <v>19</v>
      </c>
      <c r="F3570">
        <v>6500</v>
      </c>
      <c r="G3570">
        <v>680</v>
      </c>
      <c r="H3570">
        <v>680</v>
      </c>
      <c r="I3570">
        <v>595</v>
      </c>
      <c r="J3570">
        <v>634.70000000000005</v>
      </c>
      <c r="K3570">
        <v>777.1</v>
      </c>
      <c r="L3570">
        <v>29</v>
      </c>
      <c r="M3570" t="s">
        <v>297</v>
      </c>
      <c r="N3570">
        <v>207.01</v>
      </c>
      <c r="O3570">
        <v>5</v>
      </c>
    </row>
    <row r="3571" spans="1:15" x14ac:dyDescent="0.2">
      <c r="A3571" s="6">
        <v>45821</v>
      </c>
      <c r="B3571" t="s">
        <v>15</v>
      </c>
      <c r="C3571" t="s">
        <v>16</v>
      </c>
      <c r="D3571" s="1">
        <v>45855</v>
      </c>
      <c r="E3571" t="s">
        <v>19</v>
      </c>
      <c r="F3571">
        <v>5850</v>
      </c>
      <c r="J3571">
        <v>149.69999999999999</v>
      </c>
      <c r="K3571">
        <v>254.9</v>
      </c>
      <c r="L3571">
        <v>0</v>
      </c>
      <c r="M3571" t="s">
        <v>18</v>
      </c>
      <c r="N3571">
        <v>0</v>
      </c>
      <c r="O3571">
        <v>0</v>
      </c>
    </row>
    <row r="3572" spans="1:15" x14ac:dyDescent="0.2">
      <c r="A3572" s="6">
        <v>45821</v>
      </c>
      <c r="B3572" t="s">
        <v>15</v>
      </c>
      <c r="C3572" t="s">
        <v>16</v>
      </c>
      <c r="D3572" s="1">
        <v>45855</v>
      </c>
      <c r="E3572" t="s">
        <v>17</v>
      </c>
      <c r="F3572">
        <v>3900</v>
      </c>
      <c r="J3572">
        <v>2248.5</v>
      </c>
      <c r="K3572">
        <v>1822.5</v>
      </c>
      <c r="L3572">
        <v>0</v>
      </c>
      <c r="M3572" t="s">
        <v>18</v>
      </c>
      <c r="N3572">
        <v>0</v>
      </c>
      <c r="O3572">
        <v>0</v>
      </c>
    </row>
    <row r="3573" spans="1:15" x14ac:dyDescent="0.2">
      <c r="A3573" s="6">
        <v>45821</v>
      </c>
      <c r="B3573" t="s">
        <v>15</v>
      </c>
      <c r="C3573" t="s">
        <v>16</v>
      </c>
      <c r="D3573" s="1">
        <v>45855</v>
      </c>
      <c r="E3573" t="s">
        <v>19</v>
      </c>
      <c r="F3573">
        <v>6300</v>
      </c>
      <c r="G3573">
        <v>482</v>
      </c>
      <c r="H3573">
        <v>567.1</v>
      </c>
      <c r="I3573">
        <v>459.1</v>
      </c>
      <c r="J3573">
        <v>495.7</v>
      </c>
      <c r="K3573">
        <v>595.70000000000005</v>
      </c>
      <c r="L3573">
        <v>226</v>
      </c>
      <c r="M3573" t="s">
        <v>912</v>
      </c>
      <c r="N3573">
        <v>1533.78</v>
      </c>
      <c r="O3573">
        <v>44</v>
      </c>
    </row>
    <row r="3574" spans="1:15" x14ac:dyDescent="0.2">
      <c r="A3574" s="6">
        <v>45821</v>
      </c>
      <c r="B3574" t="s">
        <v>15</v>
      </c>
      <c r="C3574" t="s">
        <v>16</v>
      </c>
      <c r="D3574" s="1">
        <v>45855</v>
      </c>
      <c r="E3574" t="s">
        <v>17</v>
      </c>
      <c r="F3574">
        <v>5850</v>
      </c>
      <c r="G3574">
        <v>503.2</v>
      </c>
      <c r="H3574">
        <v>503.2</v>
      </c>
      <c r="I3574">
        <v>503.2</v>
      </c>
      <c r="J3574">
        <v>503.2</v>
      </c>
      <c r="K3574">
        <v>192</v>
      </c>
      <c r="L3574">
        <v>5</v>
      </c>
      <c r="M3574" t="s">
        <v>26</v>
      </c>
      <c r="N3574">
        <v>31.77</v>
      </c>
      <c r="O3574">
        <v>8</v>
      </c>
    </row>
    <row r="3575" spans="1:15" x14ac:dyDescent="0.2">
      <c r="A3575" s="6">
        <v>45821</v>
      </c>
      <c r="B3575" t="s">
        <v>15</v>
      </c>
      <c r="C3575" t="s">
        <v>16</v>
      </c>
      <c r="D3575" s="1">
        <v>45855</v>
      </c>
      <c r="E3575" t="s">
        <v>17</v>
      </c>
      <c r="F3575">
        <v>6150</v>
      </c>
      <c r="J3575">
        <v>289.89999999999998</v>
      </c>
      <c r="K3575">
        <v>54.6</v>
      </c>
      <c r="L3575">
        <v>0</v>
      </c>
      <c r="M3575" t="s">
        <v>18</v>
      </c>
      <c r="N3575">
        <v>0</v>
      </c>
      <c r="O3575">
        <v>0</v>
      </c>
    </row>
    <row r="3576" spans="1:15" x14ac:dyDescent="0.2">
      <c r="A3576" s="6">
        <v>45821</v>
      </c>
      <c r="B3576" t="s">
        <v>15</v>
      </c>
      <c r="C3576" t="s">
        <v>16</v>
      </c>
      <c r="D3576" s="1">
        <v>45855</v>
      </c>
      <c r="E3576" t="s">
        <v>19</v>
      </c>
      <c r="F3576">
        <v>4350</v>
      </c>
      <c r="J3576">
        <v>0.2</v>
      </c>
      <c r="K3576">
        <v>0.1</v>
      </c>
      <c r="L3576">
        <v>0</v>
      </c>
      <c r="M3576" t="s">
        <v>18</v>
      </c>
      <c r="N3576">
        <v>0</v>
      </c>
      <c r="O3576">
        <v>0</v>
      </c>
    </row>
    <row r="3577" spans="1:15" x14ac:dyDescent="0.2">
      <c r="A3577" s="6">
        <v>45821</v>
      </c>
      <c r="B3577" t="s">
        <v>15</v>
      </c>
      <c r="C3577" t="s">
        <v>16</v>
      </c>
      <c r="D3577" s="1">
        <v>45855</v>
      </c>
      <c r="E3577" t="s">
        <v>19</v>
      </c>
      <c r="F3577">
        <v>4750</v>
      </c>
      <c r="J3577">
        <v>2.8</v>
      </c>
      <c r="K3577">
        <v>1.8</v>
      </c>
      <c r="L3577">
        <v>0</v>
      </c>
      <c r="M3577" t="s">
        <v>18</v>
      </c>
      <c r="N3577">
        <v>0</v>
      </c>
      <c r="O3577">
        <v>0</v>
      </c>
    </row>
    <row r="3578" spans="1:15" x14ac:dyDescent="0.2">
      <c r="A3578" s="6">
        <v>45821</v>
      </c>
      <c r="B3578" t="s">
        <v>15</v>
      </c>
      <c r="C3578" t="s">
        <v>16</v>
      </c>
      <c r="D3578" s="1">
        <v>45855</v>
      </c>
      <c r="E3578" t="s">
        <v>19</v>
      </c>
      <c r="F3578">
        <v>5550</v>
      </c>
      <c r="J3578">
        <v>68.400000000000006</v>
      </c>
      <c r="K3578">
        <v>200.1</v>
      </c>
      <c r="L3578">
        <v>0</v>
      </c>
      <c r="M3578" t="s">
        <v>18</v>
      </c>
      <c r="N3578">
        <v>0</v>
      </c>
      <c r="O3578">
        <v>1</v>
      </c>
    </row>
    <row r="3579" spans="1:15" x14ac:dyDescent="0.2">
      <c r="A3579" s="6">
        <v>45821</v>
      </c>
      <c r="B3579" t="s">
        <v>15</v>
      </c>
      <c r="C3579" t="s">
        <v>16</v>
      </c>
      <c r="D3579" s="1">
        <v>45855</v>
      </c>
      <c r="E3579" t="s">
        <v>19</v>
      </c>
      <c r="F3579">
        <v>6600</v>
      </c>
      <c r="G3579">
        <v>681.1</v>
      </c>
      <c r="H3579">
        <v>681.1</v>
      </c>
      <c r="I3579">
        <v>681.1</v>
      </c>
      <c r="J3579">
        <v>681.1</v>
      </c>
      <c r="K3579">
        <v>871.5</v>
      </c>
      <c r="L3579">
        <v>1</v>
      </c>
      <c r="M3579" t="s">
        <v>155</v>
      </c>
      <c r="N3579">
        <v>7.28</v>
      </c>
      <c r="O3579">
        <v>1</v>
      </c>
    </row>
    <row r="3580" spans="1:15" x14ac:dyDescent="0.2">
      <c r="A3580" s="6">
        <v>45821</v>
      </c>
      <c r="B3580" t="s">
        <v>15</v>
      </c>
      <c r="C3580" t="s">
        <v>16</v>
      </c>
      <c r="D3580" s="1">
        <v>45855</v>
      </c>
      <c r="E3580" t="s">
        <v>17</v>
      </c>
      <c r="F3580">
        <v>5400</v>
      </c>
      <c r="G3580">
        <v>869.9</v>
      </c>
      <c r="H3580">
        <v>943</v>
      </c>
      <c r="I3580">
        <v>745.2</v>
      </c>
      <c r="J3580">
        <v>761.5</v>
      </c>
      <c r="K3580">
        <v>461.9</v>
      </c>
      <c r="L3580">
        <v>97</v>
      </c>
      <c r="M3580" t="s">
        <v>404</v>
      </c>
      <c r="N3580">
        <v>605.66999999999996</v>
      </c>
      <c r="O3580">
        <v>530</v>
      </c>
    </row>
    <row r="3581" spans="1:15" x14ac:dyDescent="0.2">
      <c r="A3581" s="6">
        <v>45821</v>
      </c>
      <c r="B3581" t="s">
        <v>15</v>
      </c>
      <c r="C3581" t="s">
        <v>16</v>
      </c>
      <c r="D3581" s="1">
        <v>45855</v>
      </c>
      <c r="E3581" t="s">
        <v>19</v>
      </c>
      <c r="F3581">
        <v>7000</v>
      </c>
      <c r="J3581">
        <v>886.9</v>
      </c>
      <c r="K3581">
        <v>1261.2</v>
      </c>
      <c r="L3581">
        <v>0</v>
      </c>
      <c r="M3581" t="s">
        <v>18</v>
      </c>
      <c r="N3581">
        <v>0</v>
      </c>
      <c r="O3581">
        <v>0</v>
      </c>
    </row>
    <row r="3582" spans="1:15" x14ac:dyDescent="0.2">
      <c r="A3582" s="6">
        <v>45821</v>
      </c>
      <c r="B3582" t="s">
        <v>15</v>
      </c>
      <c r="C3582" t="s">
        <v>16</v>
      </c>
      <c r="D3582" s="1">
        <v>45855</v>
      </c>
      <c r="E3582" t="s">
        <v>17</v>
      </c>
      <c r="F3582">
        <v>4300</v>
      </c>
      <c r="J3582">
        <v>1850.8</v>
      </c>
      <c r="K3582">
        <v>1424.8</v>
      </c>
      <c r="L3582">
        <v>0</v>
      </c>
      <c r="M3582" t="s">
        <v>18</v>
      </c>
      <c r="N3582">
        <v>0</v>
      </c>
      <c r="O3582">
        <v>0</v>
      </c>
    </row>
    <row r="3583" spans="1:15" x14ac:dyDescent="0.2">
      <c r="A3583" s="6">
        <v>45821</v>
      </c>
      <c r="B3583" t="s">
        <v>15</v>
      </c>
      <c r="C3583" t="s">
        <v>16</v>
      </c>
      <c r="D3583" s="1">
        <v>45855</v>
      </c>
      <c r="E3583" t="s">
        <v>19</v>
      </c>
      <c r="F3583">
        <v>4300</v>
      </c>
      <c r="J3583">
        <v>0.2</v>
      </c>
      <c r="K3583">
        <v>0.1</v>
      </c>
      <c r="L3583">
        <v>0</v>
      </c>
      <c r="M3583" t="s">
        <v>18</v>
      </c>
      <c r="N3583">
        <v>0</v>
      </c>
      <c r="O3583">
        <v>0</v>
      </c>
    </row>
    <row r="3584" spans="1:15" x14ac:dyDescent="0.2">
      <c r="A3584" s="6">
        <v>45821</v>
      </c>
      <c r="B3584" t="s">
        <v>15</v>
      </c>
      <c r="C3584" t="s">
        <v>16</v>
      </c>
      <c r="D3584" s="1">
        <v>45855</v>
      </c>
      <c r="E3584" t="s">
        <v>19</v>
      </c>
      <c r="F3584">
        <v>4150</v>
      </c>
      <c r="J3584">
        <v>0.1</v>
      </c>
      <c r="K3584">
        <v>0.1</v>
      </c>
      <c r="L3584">
        <v>0</v>
      </c>
      <c r="M3584" t="s">
        <v>18</v>
      </c>
      <c r="N3584">
        <v>0</v>
      </c>
      <c r="O3584">
        <v>0</v>
      </c>
    </row>
    <row r="3585" spans="1:15" x14ac:dyDescent="0.2">
      <c r="A3585" s="6">
        <v>45821</v>
      </c>
      <c r="B3585" t="s">
        <v>15</v>
      </c>
      <c r="C3585" t="s">
        <v>16</v>
      </c>
      <c r="D3585" s="1">
        <v>45855</v>
      </c>
      <c r="E3585" t="s">
        <v>19</v>
      </c>
      <c r="F3585">
        <v>6450</v>
      </c>
      <c r="J3585">
        <v>457.2</v>
      </c>
      <c r="K3585">
        <v>730.7</v>
      </c>
      <c r="L3585">
        <v>0</v>
      </c>
      <c r="M3585" t="s">
        <v>18</v>
      </c>
      <c r="N3585">
        <v>0</v>
      </c>
      <c r="O3585">
        <v>0</v>
      </c>
    </row>
    <row r="3586" spans="1:15" x14ac:dyDescent="0.2">
      <c r="A3586" s="6">
        <v>45821</v>
      </c>
      <c r="B3586" t="s">
        <v>15</v>
      </c>
      <c r="C3586" t="s">
        <v>16</v>
      </c>
      <c r="D3586" s="1">
        <v>45855</v>
      </c>
      <c r="E3586" t="s">
        <v>17</v>
      </c>
      <c r="F3586">
        <v>4700</v>
      </c>
      <c r="J3586">
        <v>1455</v>
      </c>
      <c r="K3586">
        <v>1028.3</v>
      </c>
      <c r="L3586">
        <v>0</v>
      </c>
      <c r="M3586" t="s">
        <v>18</v>
      </c>
      <c r="N3586">
        <v>0</v>
      </c>
      <c r="O3586">
        <v>0</v>
      </c>
    </row>
    <row r="3587" spans="1:15" x14ac:dyDescent="0.2">
      <c r="A3587" s="6">
        <v>45821</v>
      </c>
      <c r="B3587" t="s">
        <v>15</v>
      </c>
      <c r="C3587" t="s">
        <v>16</v>
      </c>
      <c r="D3587" s="1">
        <v>45855</v>
      </c>
      <c r="E3587" t="s">
        <v>19</v>
      </c>
      <c r="F3587">
        <v>3800</v>
      </c>
      <c r="J3587">
        <v>0.1</v>
      </c>
      <c r="K3587">
        <v>0.1</v>
      </c>
      <c r="L3587">
        <v>0</v>
      </c>
      <c r="M3587" t="s">
        <v>18</v>
      </c>
      <c r="N3587">
        <v>0</v>
      </c>
      <c r="O3587">
        <v>0</v>
      </c>
    </row>
    <row r="3588" spans="1:15" x14ac:dyDescent="0.2">
      <c r="A3588" s="6">
        <v>45821</v>
      </c>
      <c r="B3588" t="s">
        <v>15</v>
      </c>
      <c r="C3588" t="s">
        <v>16</v>
      </c>
      <c r="D3588" s="1">
        <v>45855</v>
      </c>
      <c r="E3588" t="s">
        <v>19</v>
      </c>
      <c r="F3588">
        <v>6100</v>
      </c>
      <c r="G3588">
        <v>384.6</v>
      </c>
      <c r="H3588">
        <v>436.3</v>
      </c>
      <c r="I3588">
        <v>339.5</v>
      </c>
      <c r="J3588">
        <v>369.6</v>
      </c>
      <c r="K3588">
        <v>429.6</v>
      </c>
      <c r="L3588">
        <v>856</v>
      </c>
      <c r="M3588" t="s">
        <v>1582</v>
      </c>
      <c r="N3588">
        <v>5541.04</v>
      </c>
      <c r="O3588">
        <v>244</v>
      </c>
    </row>
    <row r="3589" spans="1:15" x14ac:dyDescent="0.2">
      <c r="A3589" s="6">
        <v>45821</v>
      </c>
      <c r="B3589" t="s">
        <v>15</v>
      </c>
      <c r="C3589" t="s">
        <v>16</v>
      </c>
      <c r="D3589" s="1">
        <v>45855</v>
      </c>
      <c r="E3589" t="s">
        <v>19</v>
      </c>
      <c r="F3589">
        <v>5500</v>
      </c>
      <c r="G3589">
        <v>162</v>
      </c>
      <c r="H3589">
        <v>162</v>
      </c>
      <c r="I3589">
        <v>84.6</v>
      </c>
      <c r="J3589">
        <v>101.3</v>
      </c>
      <c r="K3589">
        <v>176.2</v>
      </c>
      <c r="L3589">
        <v>5171</v>
      </c>
      <c r="M3589" t="s">
        <v>1583</v>
      </c>
      <c r="N3589">
        <v>29022.63</v>
      </c>
      <c r="O3589">
        <v>1551</v>
      </c>
    </row>
    <row r="3590" spans="1:15" x14ac:dyDescent="0.2">
      <c r="A3590" s="6">
        <v>45821</v>
      </c>
      <c r="B3590" t="s">
        <v>15</v>
      </c>
      <c r="C3590" t="s">
        <v>16</v>
      </c>
      <c r="D3590" s="1">
        <v>45855</v>
      </c>
      <c r="E3590" t="s">
        <v>19</v>
      </c>
      <c r="F3590">
        <v>5750</v>
      </c>
      <c r="G3590">
        <v>147.1</v>
      </c>
      <c r="H3590">
        <v>251.3</v>
      </c>
      <c r="I3590">
        <v>147.1</v>
      </c>
      <c r="J3590">
        <v>202</v>
      </c>
      <c r="K3590">
        <v>365.4</v>
      </c>
      <c r="L3590">
        <v>10</v>
      </c>
      <c r="M3590" t="s">
        <v>69</v>
      </c>
      <c r="N3590">
        <v>59.52</v>
      </c>
      <c r="O3590">
        <v>6</v>
      </c>
    </row>
    <row r="3591" spans="1:15" x14ac:dyDescent="0.2">
      <c r="A3591" s="6">
        <v>45821</v>
      </c>
      <c r="B3591" t="s">
        <v>15</v>
      </c>
      <c r="C3591" t="s">
        <v>16</v>
      </c>
      <c r="D3591" s="1">
        <v>45855</v>
      </c>
      <c r="E3591" t="s">
        <v>19</v>
      </c>
      <c r="F3591">
        <v>4050</v>
      </c>
      <c r="J3591">
        <v>0.1</v>
      </c>
      <c r="K3591">
        <v>0.1</v>
      </c>
      <c r="L3591">
        <v>0</v>
      </c>
      <c r="M3591" t="s">
        <v>18</v>
      </c>
      <c r="N3591">
        <v>0</v>
      </c>
      <c r="O3591">
        <v>0</v>
      </c>
    </row>
    <row r="3592" spans="1:15" x14ac:dyDescent="0.2">
      <c r="A3592" s="6">
        <v>45820</v>
      </c>
      <c r="B3592" t="s">
        <v>15</v>
      </c>
      <c r="C3592" t="s">
        <v>16</v>
      </c>
      <c r="D3592" s="1">
        <v>45855</v>
      </c>
      <c r="E3592" t="s">
        <v>17</v>
      </c>
      <c r="F3592">
        <v>4650</v>
      </c>
      <c r="J3592">
        <v>1077.5999999999999</v>
      </c>
      <c r="K3592">
        <v>987.8</v>
      </c>
      <c r="L3592">
        <v>0</v>
      </c>
      <c r="M3592" t="s">
        <v>18</v>
      </c>
      <c r="N3592">
        <v>0</v>
      </c>
      <c r="O3592">
        <v>0</v>
      </c>
    </row>
    <row r="3593" spans="1:15" x14ac:dyDescent="0.2">
      <c r="A3593" s="6">
        <v>45820</v>
      </c>
      <c r="B3593" t="s">
        <v>15</v>
      </c>
      <c r="C3593" t="s">
        <v>16</v>
      </c>
      <c r="D3593" s="1">
        <v>45855</v>
      </c>
      <c r="E3593" t="s">
        <v>19</v>
      </c>
      <c r="F3593">
        <v>5100</v>
      </c>
      <c r="G3593">
        <v>72.099999999999994</v>
      </c>
      <c r="H3593">
        <v>79.900000000000006</v>
      </c>
      <c r="I3593">
        <v>62.9</v>
      </c>
      <c r="J3593">
        <v>72.7</v>
      </c>
      <c r="K3593">
        <v>75.2</v>
      </c>
      <c r="L3593">
        <v>31</v>
      </c>
      <c r="M3593" t="s">
        <v>532</v>
      </c>
      <c r="N3593">
        <v>160.30000000000001</v>
      </c>
      <c r="O3593">
        <v>20</v>
      </c>
    </row>
    <row r="3594" spans="1:15" x14ac:dyDescent="0.2">
      <c r="A3594" s="6">
        <v>45820</v>
      </c>
      <c r="B3594" t="s">
        <v>15</v>
      </c>
      <c r="C3594" t="s">
        <v>16</v>
      </c>
      <c r="D3594" s="1">
        <v>45855</v>
      </c>
      <c r="E3594" t="s">
        <v>19</v>
      </c>
      <c r="F3594">
        <v>6050</v>
      </c>
      <c r="J3594">
        <v>391.3</v>
      </c>
      <c r="K3594">
        <v>462.5</v>
      </c>
      <c r="L3594">
        <v>0</v>
      </c>
      <c r="M3594" t="s">
        <v>18</v>
      </c>
      <c r="N3594">
        <v>0</v>
      </c>
      <c r="O3594">
        <v>0</v>
      </c>
    </row>
    <row r="3595" spans="1:15" x14ac:dyDescent="0.2">
      <c r="A3595" s="6">
        <v>45820</v>
      </c>
      <c r="B3595" t="s">
        <v>15</v>
      </c>
      <c r="C3595" t="s">
        <v>16</v>
      </c>
      <c r="D3595" s="1">
        <v>45855</v>
      </c>
      <c r="E3595" t="s">
        <v>17</v>
      </c>
      <c r="F3595">
        <v>4200</v>
      </c>
      <c r="J3595">
        <v>1524.3</v>
      </c>
      <c r="K3595">
        <v>1433.5</v>
      </c>
      <c r="L3595">
        <v>0</v>
      </c>
      <c r="M3595" t="s">
        <v>18</v>
      </c>
      <c r="N3595">
        <v>0</v>
      </c>
      <c r="O3595">
        <v>0</v>
      </c>
    </row>
    <row r="3596" spans="1:15" x14ac:dyDescent="0.2">
      <c r="A3596" s="6">
        <v>45820</v>
      </c>
      <c r="B3596" t="s">
        <v>15</v>
      </c>
      <c r="C3596" t="s">
        <v>16</v>
      </c>
      <c r="D3596" s="1">
        <v>45855</v>
      </c>
      <c r="E3596" t="s">
        <v>19</v>
      </c>
      <c r="F3596">
        <v>6650</v>
      </c>
      <c r="J3596">
        <v>919.4</v>
      </c>
      <c r="K3596">
        <v>1007.3</v>
      </c>
      <c r="L3596">
        <v>0</v>
      </c>
      <c r="M3596" t="s">
        <v>18</v>
      </c>
      <c r="N3596">
        <v>0</v>
      </c>
      <c r="O3596">
        <v>0</v>
      </c>
    </row>
    <row r="3597" spans="1:15" x14ac:dyDescent="0.2">
      <c r="A3597" s="6">
        <v>45820</v>
      </c>
      <c r="B3597" t="s">
        <v>15</v>
      </c>
      <c r="C3597" t="s">
        <v>16</v>
      </c>
      <c r="D3597" s="1">
        <v>45855</v>
      </c>
      <c r="E3597" t="s">
        <v>19</v>
      </c>
      <c r="F3597">
        <v>4200</v>
      </c>
      <c r="J3597">
        <v>0.1</v>
      </c>
      <c r="K3597">
        <v>0.1</v>
      </c>
      <c r="L3597">
        <v>0</v>
      </c>
      <c r="M3597" t="s">
        <v>18</v>
      </c>
      <c r="N3597">
        <v>0</v>
      </c>
      <c r="O3597">
        <v>0</v>
      </c>
    </row>
    <row r="3598" spans="1:15" x14ac:dyDescent="0.2">
      <c r="A3598" s="6">
        <v>45820</v>
      </c>
      <c r="B3598" t="s">
        <v>15</v>
      </c>
      <c r="C3598" t="s">
        <v>16</v>
      </c>
      <c r="D3598" s="1">
        <v>45855</v>
      </c>
      <c r="E3598" t="s">
        <v>17</v>
      </c>
      <c r="F3598">
        <v>5250</v>
      </c>
      <c r="J3598">
        <v>514.1</v>
      </c>
      <c r="K3598">
        <v>440.3</v>
      </c>
      <c r="L3598">
        <v>0</v>
      </c>
      <c r="M3598" t="s">
        <v>18</v>
      </c>
      <c r="N3598">
        <v>0</v>
      </c>
      <c r="O3598">
        <v>0</v>
      </c>
    </row>
    <row r="3599" spans="1:15" x14ac:dyDescent="0.2">
      <c r="A3599" s="6">
        <v>45820</v>
      </c>
      <c r="B3599" t="s">
        <v>15</v>
      </c>
      <c r="C3599" t="s">
        <v>16</v>
      </c>
      <c r="D3599" s="1">
        <v>45855</v>
      </c>
      <c r="E3599" t="s">
        <v>17</v>
      </c>
      <c r="F3599">
        <v>5100</v>
      </c>
      <c r="J3599">
        <v>645.6</v>
      </c>
      <c r="K3599">
        <v>517.29999999999995</v>
      </c>
      <c r="L3599">
        <v>0</v>
      </c>
      <c r="M3599" t="s">
        <v>18</v>
      </c>
      <c r="N3599">
        <v>0</v>
      </c>
      <c r="O3599">
        <v>6</v>
      </c>
    </row>
    <row r="3600" spans="1:15" x14ac:dyDescent="0.2">
      <c r="A3600" s="6">
        <v>45820</v>
      </c>
      <c r="B3600" t="s">
        <v>15</v>
      </c>
      <c r="C3600" t="s">
        <v>16</v>
      </c>
      <c r="D3600" s="1">
        <v>45855</v>
      </c>
      <c r="E3600" t="s">
        <v>19</v>
      </c>
      <c r="F3600">
        <v>4900</v>
      </c>
      <c r="J3600">
        <v>5</v>
      </c>
      <c r="K3600">
        <v>8.9</v>
      </c>
      <c r="L3600">
        <v>0</v>
      </c>
      <c r="M3600" t="s">
        <v>18</v>
      </c>
      <c r="N3600">
        <v>0</v>
      </c>
      <c r="O3600">
        <v>0</v>
      </c>
    </row>
    <row r="3601" spans="1:15" x14ac:dyDescent="0.2">
      <c r="A3601" s="6">
        <v>45820</v>
      </c>
      <c r="B3601" t="s">
        <v>15</v>
      </c>
      <c r="C3601" t="s">
        <v>16</v>
      </c>
      <c r="D3601" s="1">
        <v>45855</v>
      </c>
      <c r="E3601" t="s">
        <v>17</v>
      </c>
      <c r="F3601">
        <v>5300</v>
      </c>
      <c r="G3601">
        <v>492.1</v>
      </c>
      <c r="H3601">
        <v>551.29999999999995</v>
      </c>
      <c r="I3601">
        <v>492.1</v>
      </c>
      <c r="J3601">
        <v>532.1</v>
      </c>
      <c r="K3601">
        <v>436.5</v>
      </c>
      <c r="L3601">
        <v>11</v>
      </c>
      <c r="M3601" t="s">
        <v>236</v>
      </c>
      <c r="N3601">
        <v>64.11</v>
      </c>
      <c r="O3601">
        <v>28</v>
      </c>
    </row>
    <row r="3602" spans="1:15" x14ac:dyDescent="0.2">
      <c r="A3602" s="6">
        <v>45820</v>
      </c>
      <c r="B3602" t="s">
        <v>15</v>
      </c>
      <c r="C3602" t="s">
        <v>16</v>
      </c>
      <c r="D3602" s="1">
        <v>45855</v>
      </c>
      <c r="E3602" t="s">
        <v>19</v>
      </c>
      <c r="F3602">
        <v>3600</v>
      </c>
      <c r="J3602">
        <v>0.1</v>
      </c>
      <c r="K3602">
        <v>0.1</v>
      </c>
      <c r="L3602">
        <v>0</v>
      </c>
      <c r="M3602" t="s">
        <v>18</v>
      </c>
      <c r="N3602">
        <v>0</v>
      </c>
      <c r="O3602">
        <v>0</v>
      </c>
    </row>
    <row r="3603" spans="1:15" x14ac:dyDescent="0.2">
      <c r="A3603" s="6">
        <v>45820</v>
      </c>
      <c r="B3603" t="s">
        <v>15</v>
      </c>
      <c r="C3603" t="s">
        <v>16</v>
      </c>
      <c r="D3603" s="1">
        <v>45855</v>
      </c>
      <c r="E3603" t="s">
        <v>19</v>
      </c>
      <c r="F3603">
        <v>5250</v>
      </c>
      <c r="J3603">
        <v>33.9</v>
      </c>
      <c r="K3603">
        <v>103.7</v>
      </c>
      <c r="L3603">
        <v>0</v>
      </c>
      <c r="M3603" t="s">
        <v>18</v>
      </c>
      <c r="N3603">
        <v>0</v>
      </c>
      <c r="O3603">
        <v>3</v>
      </c>
    </row>
    <row r="3604" spans="1:15" x14ac:dyDescent="0.2">
      <c r="A3604" s="6">
        <v>45820</v>
      </c>
      <c r="B3604" t="s">
        <v>15</v>
      </c>
      <c r="C3604" t="s">
        <v>16</v>
      </c>
      <c r="D3604" s="1">
        <v>45855</v>
      </c>
      <c r="E3604" t="s">
        <v>17</v>
      </c>
      <c r="F3604">
        <v>4800</v>
      </c>
      <c r="J3604">
        <v>930.2</v>
      </c>
      <c r="K3604">
        <v>841.8</v>
      </c>
      <c r="L3604">
        <v>0</v>
      </c>
      <c r="M3604" t="s">
        <v>18</v>
      </c>
      <c r="N3604">
        <v>0</v>
      </c>
      <c r="O3604">
        <v>0</v>
      </c>
    </row>
    <row r="3605" spans="1:15" x14ac:dyDescent="0.2">
      <c r="A3605" s="6">
        <v>45820</v>
      </c>
      <c r="B3605" t="s">
        <v>15</v>
      </c>
      <c r="C3605" t="s">
        <v>16</v>
      </c>
      <c r="D3605" s="1">
        <v>45855</v>
      </c>
      <c r="E3605" t="s">
        <v>19</v>
      </c>
      <c r="F3605">
        <v>3900</v>
      </c>
      <c r="J3605">
        <v>0.1</v>
      </c>
      <c r="K3605">
        <v>0.1</v>
      </c>
      <c r="L3605">
        <v>0</v>
      </c>
      <c r="M3605" t="s">
        <v>18</v>
      </c>
      <c r="N3605">
        <v>0</v>
      </c>
      <c r="O3605">
        <v>0</v>
      </c>
    </row>
    <row r="3606" spans="1:15" x14ac:dyDescent="0.2">
      <c r="A3606" s="6">
        <v>45820</v>
      </c>
      <c r="B3606" t="s">
        <v>15</v>
      </c>
      <c r="C3606" t="s">
        <v>16</v>
      </c>
      <c r="D3606" s="1">
        <v>45855</v>
      </c>
      <c r="E3606" t="s">
        <v>17</v>
      </c>
      <c r="F3606">
        <v>4900</v>
      </c>
      <c r="J3606">
        <v>833.3</v>
      </c>
      <c r="K3606">
        <v>746.5</v>
      </c>
      <c r="L3606">
        <v>0</v>
      </c>
      <c r="M3606" t="s">
        <v>18</v>
      </c>
      <c r="N3606">
        <v>0</v>
      </c>
      <c r="O3606">
        <v>0</v>
      </c>
    </row>
    <row r="3607" spans="1:15" x14ac:dyDescent="0.2">
      <c r="A3607" s="6">
        <v>45820</v>
      </c>
      <c r="B3607" t="s">
        <v>15</v>
      </c>
      <c r="C3607" t="s">
        <v>16</v>
      </c>
      <c r="D3607" s="1">
        <v>45855</v>
      </c>
      <c r="E3607" t="s">
        <v>17</v>
      </c>
      <c r="F3607">
        <v>5950</v>
      </c>
      <c r="G3607">
        <v>154.4</v>
      </c>
      <c r="H3607">
        <v>208</v>
      </c>
      <c r="I3607">
        <v>152.9</v>
      </c>
      <c r="J3607">
        <v>169.3</v>
      </c>
      <c r="K3607">
        <v>128.9</v>
      </c>
      <c r="L3607">
        <v>11</v>
      </c>
      <c r="M3607" t="s">
        <v>236</v>
      </c>
      <c r="N3607">
        <v>67.3</v>
      </c>
      <c r="O3607">
        <v>9</v>
      </c>
    </row>
    <row r="3608" spans="1:15" x14ac:dyDescent="0.2">
      <c r="A3608" s="6">
        <v>45820</v>
      </c>
      <c r="B3608" t="s">
        <v>15</v>
      </c>
      <c r="C3608" t="s">
        <v>16</v>
      </c>
      <c r="D3608" s="1">
        <v>45855</v>
      </c>
      <c r="E3608" t="s">
        <v>17</v>
      </c>
      <c r="F3608">
        <v>5700</v>
      </c>
      <c r="G3608">
        <v>229.3</v>
      </c>
      <c r="H3608">
        <v>312.8</v>
      </c>
      <c r="I3608">
        <v>218.3</v>
      </c>
      <c r="J3608">
        <v>297.60000000000002</v>
      </c>
      <c r="K3608">
        <v>218.3</v>
      </c>
      <c r="L3608">
        <v>3455</v>
      </c>
      <c r="M3608" t="s">
        <v>1584</v>
      </c>
      <c r="N3608">
        <v>20619.39</v>
      </c>
      <c r="O3608">
        <v>504</v>
      </c>
    </row>
    <row r="3609" spans="1:15" x14ac:dyDescent="0.2">
      <c r="A3609" s="6">
        <v>45820</v>
      </c>
      <c r="B3609" t="s">
        <v>15</v>
      </c>
      <c r="C3609" t="s">
        <v>16</v>
      </c>
      <c r="D3609" s="1">
        <v>45855</v>
      </c>
      <c r="E3609" t="s">
        <v>19</v>
      </c>
      <c r="F3609">
        <v>6550</v>
      </c>
      <c r="J3609">
        <v>824.1</v>
      </c>
      <c r="K3609">
        <v>910.8</v>
      </c>
      <c r="L3609">
        <v>0</v>
      </c>
      <c r="M3609" t="s">
        <v>18</v>
      </c>
      <c r="N3609">
        <v>0</v>
      </c>
      <c r="O3609">
        <v>0</v>
      </c>
    </row>
    <row r="3610" spans="1:15" x14ac:dyDescent="0.2">
      <c r="A3610" s="6">
        <v>45820</v>
      </c>
      <c r="B3610" t="s">
        <v>15</v>
      </c>
      <c r="C3610" t="s">
        <v>16</v>
      </c>
      <c r="D3610" s="1">
        <v>45855</v>
      </c>
      <c r="E3610" t="s">
        <v>17</v>
      </c>
      <c r="F3610">
        <v>4950</v>
      </c>
      <c r="J3610">
        <v>785.4</v>
      </c>
      <c r="K3610">
        <v>699.8</v>
      </c>
      <c r="L3610">
        <v>0</v>
      </c>
      <c r="M3610" t="s">
        <v>18</v>
      </c>
      <c r="N3610">
        <v>0</v>
      </c>
      <c r="O3610">
        <v>0</v>
      </c>
    </row>
    <row r="3611" spans="1:15" x14ac:dyDescent="0.2">
      <c r="A3611" s="6">
        <v>45820</v>
      </c>
      <c r="B3611" t="s">
        <v>15</v>
      </c>
      <c r="C3611" t="s">
        <v>16</v>
      </c>
      <c r="D3611" s="1">
        <v>45855</v>
      </c>
      <c r="E3611" t="s">
        <v>17</v>
      </c>
      <c r="F3611">
        <v>6200</v>
      </c>
      <c r="G3611">
        <v>120</v>
      </c>
      <c r="H3611">
        <v>157.80000000000001</v>
      </c>
      <c r="I3611">
        <v>104</v>
      </c>
      <c r="J3611">
        <v>148</v>
      </c>
      <c r="K3611">
        <v>47.4</v>
      </c>
      <c r="L3611">
        <v>365</v>
      </c>
      <c r="M3611" t="s">
        <v>1585</v>
      </c>
      <c r="N3611">
        <v>2311.71</v>
      </c>
      <c r="O3611">
        <v>88</v>
      </c>
    </row>
    <row r="3612" spans="1:15" x14ac:dyDescent="0.2">
      <c r="A3612" s="6">
        <v>45820</v>
      </c>
      <c r="B3612" t="s">
        <v>15</v>
      </c>
      <c r="C3612" t="s">
        <v>16</v>
      </c>
      <c r="D3612" s="1">
        <v>45855</v>
      </c>
      <c r="E3612" t="s">
        <v>17</v>
      </c>
      <c r="F3612">
        <v>4400</v>
      </c>
      <c r="J3612">
        <v>1325.5</v>
      </c>
      <c r="K3612">
        <v>1234.9000000000001</v>
      </c>
      <c r="L3612">
        <v>0</v>
      </c>
      <c r="M3612" t="s">
        <v>18</v>
      </c>
      <c r="N3612">
        <v>0</v>
      </c>
      <c r="O3612">
        <v>0</v>
      </c>
    </row>
    <row r="3613" spans="1:15" x14ac:dyDescent="0.2">
      <c r="A3613" s="6">
        <v>45820</v>
      </c>
      <c r="B3613" t="s">
        <v>15</v>
      </c>
      <c r="C3613" t="s">
        <v>16</v>
      </c>
      <c r="D3613" s="1">
        <v>45855</v>
      </c>
      <c r="E3613" t="s">
        <v>17</v>
      </c>
      <c r="F3613">
        <v>4450</v>
      </c>
      <c r="J3613">
        <v>1275.8</v>
      </c>
      <c r="K3613">
        <v>1185.3</v>
      </c>
      <c r="L3613">
        <v>0</v>
      </c>
      <c r="M3613" t="s">
        <v>18</v>
      </c>
      <c r="N3613">
        <v>0</v>
      </c>
      <c r="O3613">
        <v>0</v>
      </c>
    </row>
    <row r="3614" spans="1:15" x14ac:dyDescent="0.2">
      <c r="A3614" s="6">
        <v>45820</v>
      </c>
      <c r="B3614" t="s">
        <v>15</v>
      </c>
      <c r="C3614" t="s">
        <v>16</v>
      </c>
      <c r="D3614" s="1">
        <v>45855</v>
      </c>
      <c r="E3614" t="s">
        <v>17</v>
      </c>
      <c r="F3614">
        <v>4100</v>
      </c>
      <c r="J3614">
        <v>1623.7</v>
      </c>
      <c r="K3614">
        <v>1532.9</v>
      </c>
      <c r="L3614">
        <v>0</v>
      </c>
      <c r="M3614" t="s">
        <v>18</v>
      </c>
      <c r="N3614">
        <v>0</v>
      </c>
      <c r="O3614">
        <v>0</v>
      </c>
    </row>
    <row r="3615" spans="1:15" x14ac:dyDescent="0.2">
      <c r="A3615" s="6">
        <v>45820</v>
      </c>
      <c r="B3615" t="s">
        <v>15</v>
      </c>
      <c r="C3615" t="s">
        <v>16</v>
      </c>
      <c r="D3615" s="1">
        <v>45855</v>
      </c>
      <c r="E3615" t="s">
        <v>17</v>
      </c>
      <c r="F3615">
        <v>4750</v>
      </c>
      <c r="J3615">
        <v>979.2</v>
      </c>
      <c r="K3615">
        <v>890.2</v>
      </c>
      <c r="L3615">
        <v>0</v>
      </c>
      <c r="M3615" t="s">
        <v>18</v>
      </c>
      <c r="N3615">
        <v>0</v>
      </c>
      <c r="O3615">
        <v>0</v>
      </c>
    </row>
    <row r="3616" spans="1:15" x14ac:dyDescent="0.2">
      <c r="A3616" s="6">
        <v>45820</v>
      </c>
      <c r="B3616" t="s">
        <v>15</v>
      </c>
      <c r="C3616" t="s">
        <v>16</v>
      </c>
      <c r="D3616" s="1">
        <v>45855</v>
      </c>
      <c r="E3616" t="s">
        <v>17</v>
      </c>
      <c r="F3616">
        <v>3700</v>
      </c>
      <c r="J3616">
        <v>2021.4</v>
      </c>
      <c r="K3616">
        <v>1930.6</v>
      </c>
      <c r="L3616">
        <v>0</v>
      </c>
      <c r="M3616" t="s">
        <v>18</v>
      </c>
      <c r="N3616">
        <v>0</v>
      </c>
      <c r="O3616">
        <v>0</v>
      </c>
    </row>
    <row r="3617" spans="1:15" x14ac:dyDescent="0.2">
      <c r="A3617" s="6">
        <v>45820</v>
      </c>
      <c r="B3617" t="s">
        <v>15</v>
      </c>
      <c r="C3617" t="s">
        <v>16</v>
      </c>
      <c r="D3617" s="1">
        <v>45855</v>
      </c>
      <c r="E3617" t="s">
        <v>17</v>
      </c>
      <c r="F3617">
        <v>4350</v>
      </c>
      <c r="J3617">
        <v>1375.2</v>
      </c>
      <c r="K3617">
        <v>1284.5</v>
      </c>
      <c r="L3617">
        <v>0</v>
      </c>
      <c r="M3617" t="s">
        <v>18</v>
      </c>
      <c r="N3617">
        <v>0</v>
      </c>
      <c r="O3617">
        <v>0</v>
      </c>
    </row>
    <row r="3618" spans="1:15" x14ac:dyDescent="0.2">
      <c r="A3618" s="6">
        <v>45820</v>
      </c>
      <c r="B3618" t="s">
        <v>15</v>
      </c>
      <c r="C3618" t="s">
        <v>16</v>
      </c>
      <c r="D3618" s="1">
        <v>45855</v>
      </c>
      <c r="E3618" t="s">
        <v>17</v>
      </c>
      <c r="F3618">
        <v>5000</v>
      </c>
      <c r="G3618">
        <v>750</v>
      </c>
      <c r="H3618">
        <v>751.8</v>
      </c>
      <c r="I3618">
        <v>750</v>
      </c>
      <c r="J3618">
        <v>750.9</v>
      </c>
      <c r="K3618">
        <v>667.8</v>
      </c>
      <c r="L3618">
        <v>2</v>
      </c>
      <c r="M3618" t="s">
        <v>28</v>
      </c>
      <c r="N3618">
        <v>11.5</v>
      </c>
      <c r="O3618">
        <v>2</v>
      </c>
    </row>
    <row r="3619" spans="1:15" x14ac:dyDescent="0.2">
      <c r="A3619" s="6">
        <v>45820</v>
      </c>
      <c r="B3619" t="s">
        <v>15</v>
      </c>
      <c r="C3619" t="s">
        <v>16</v>
      </c>
      <c r="D3619" s="1">
        <v>45855</v>
      </c>
      <c r="E3619" t="s">
        <v>17</v>
      </c>
      <c r="F3619">
        <v>4850</v>
      </c>
      <c r="J3619">
        <v>881.6</v>
      </c>
      <c r="K3619">
        <v>793.9</v>
      </c>
      <c r="L3619">
        <v>0</v>
      </c>
      <c r="M3619" t="s">
        <v>18</v>
      </c>
      <c r="N3619">
        <v>0</v>
      </c>
      <c r="O3619">
        <v>0</v>
      </c>
    </row>
    <row r="3620" spans="1:15" x14ac:dyDescent="0.2">
      <c r="A3620" s="6">
        <v>45820</v>
      </c>
      <c r="B3620" t="s">
        <v>15</v>
      </c>
      <c r="C3620" t="s">
        <v>16</v>
      </c>
      <c r="D3620" s="1">
        <v>45855</v>
      </c>
      <c r="E3620" t="s">
        <v>19</v>
      </c>
      <c r="F3620">
        <v>6150</v>
      </c>
      <c r="J3620">
        <v>469.3</v>
      </c>
      <c r="K3620">
        <v>545.1</v>
      </c>
      <c r="L3620">
        <v>0</v>
      </c>
      <c r="M3620" t="s">
        <v>18</v>
      </c>
      <c r="N3620">
        <v>0</v>
      </c>
      <c r="O3620">
        <v>0</v>
      </c>
    </row>
    <row r="3621" spans="1:15" x14ac:dyDescent="0.2">
      <c r="A3621" s="6">
        <v>45820</v>
      </c>
      <c r="B3621" t="s">
        <v>15</v>
      </c>
      <c r="C3621" t="s">
        <v>16</v>
      </c>
      <c r="D3621" s="1">
        <v>45855</v>
      </c>
      <c r="E3621" t="s">
        <v>19</v>
      </c>
      <c r="F3621">
        <v>5200</v>
      </c>
      <c r="G3621">
        <v>75.099999999999994</v>
      </c>
      <c r="H3621">
        <v>104</v>
      </c>
      <c r="I3621">
        <v>75</v>
      </c>
      <c r="J3621">
        <v>90.3</v>
      </c>
      <c r="K3621">
        <v>91.6</v>
      </c>
      <c r="L3621">
        <v>772</v>
      </c>
      <c r="M3621" t="s">
        <v>283</v>
      </c>
      <c r="N3621">
        <v>4085.22</v>
      </c>
      <c r="O3621">
        <v>383</v>
      </c>
    </row>
    <row r="3622" spans="1:15" x14ac:dyDescent="0.2">
      <c r="A3622" s="6">
        <v>45820</v>
      </c>
      <c r="B3622" t="s">
        <v>15</v>
      </c>
      <c r="C3622" t="s">
        <v>16</v>
      </c>
      <c r="D3622" s="1">
        <v>45855</v>
      </c>
      <c r="E3622" t="s">
        <v>17</v>
      </c>
      <c r="F3622">
        <v>5750</v>
      </c>
      <c r="G3622">
        <v>241.7</v>
      </c>
      <c r="H3622">
        <v>293.5</v>
      </c>
      <c r="I3622">
        <v>223.9</v>
      </c>
      <c r="J3622">
        <v>282.10000000000002</v>
      </c>
      <c r="K3622">
        <v>209.1</v>
      </c>
      <c r="L3622">
        <v>40</v>
      </c>
      <c r="M3622" t="s">
        <v>75</v>
      </c>
      <c r="N3622">
        <v>240.25</v>
      </c>
      <c r="O3622">
        <v>10</v>
      </c>
    </row>
    <row r="3623" spans="1:15" x14ac:dyDescent="0.2">
      <c r="A3623" s="6">
        <v>45820</v>
      </c>
      <c r="B3623" t="s">
        <v>15</v>
      </c>
      <c r="C3623" t="s">
        <v>16</v>
      </c>
      <c r="D3623" s="1">
        <v>45855</v>
      </c>
      <c r="E3623" t="s">
        <v>19</v>
      </c>
      <c r="F3623">
        <v>6800</v>
      </c>
      <c r="J3623">
        <v>1064.7</v>
      </c>
      <c r="K3623">
        <v>1153.7</v>
      </c>
      <c r="L3623">
        <v>0</v>
      </c>
      <c r="M3623" t="s">
        <v>18</v>
      </c>
      <c r="N3623">
        <v>0</v>
      </c>
      <c r="O3623">
        <v>0</v>
      </c>
    </row>
    <row r="3624" spans="1:15" x14ac:dyDescent="0.2">
      <c r="A3624" s="6">
        <v>45820</v>
      </c>
      <c r="B3624" t="s">
        <v>15</v>
      </c>
      <c r="C3624" t="s">
        <v>16</v>
      </c>
      <c r="D3624" s="1">
        <v>45855</v>
      </c>
      <c r="E3624" t="s">
        <v>17</v>
      </c>
      <c r="F3624">
        <v>3800</v>
      </c>
      <c r="J3624">
        <v>1922</v>
      </c>
      <c r="K3624">
        <v>1831.2</v>
      </c>
      <c r="L3624">
        <v>0</v>
      </c>
      <c r="M3624" t="s">
        <v>18</v>
      </c>
      <c r="N3624">
        <v>0</v>
      </c>
      <c r="O3624">
        <v>0</v>
      </c>
    </row>
    <row r="3625" spans="1:15" x14ac:dyDescent="0.2">
      <c r="A3625" s="6">
        <v>45820</v>
      </c>
      <c r="B3625" t="s">
        <v>15</v>
      </c>
      <c r="C3625" t="s">
        <v>16</v>
      </c>
      <c r="D3625" s="1">
        <v>45855</v>
      </c>
      <c r="E3625" t="s">
        <v>19</v>
      </c>
      <c r="F3625">
        <v>5900</v>
      </c>
      <c r="G3625">
        <v>390</v>
      </c>
      <c r="H3625">
        <v>390</v>
      </c>
      <c r="I3625">
        <v>390</v>
      </c>
      <c r="J3625">
        <v>390</v>
      </c>
      <c r="K3625">
        <v>348.7</v>
      </c>
      <c r="L3625">
        <v>1</v>
      </c>
      <c r="M3625" t="s">
        <v>155</v>
      </c>
      <c r="N3625">
        <v>6.29</v>
      </c>
      <c r="O3625">
        <v>1</v>
      </c>
    </row>
    <row r="3626" spans="1:15" x14ac:dyDescent="0.2">
      <c r="A3626" s="6">
        <v>45820</v>
      </c>
      <c r="B3626" t="s">
        <v>15</v>
      </c>
      <c r="C3626" t="s">
        <v>16</v>
      </c>
      <c r="D3626" s="1">
        <v>45855</v>
      </c>
      <c r="E3626" t="s">
        <v>19</v>
      </c>
      <c r="F3626">
        <v>6200</v>
      </c>
      <c r="J3626">
        <v>510.3</v>
      </c>
      <c r="K3626">
        <v>588.20000000000005</v>
      </c>
      <c r="L3626">
        <v>0</v>
      </c>
      <c r="M3626" t="s">
        <v>18</v>
      </c>
      <c r="N3626">
        <v>0</v>
      </c>
      <c r="O3626">
        <v>0</v>
      </c>
    </row>
    <row r="3627" spans="1:15" x14ac:dyDescent="0.2">
      <c r="A3627" s="6">
        <v>45820</v>
      </c>
      <c r="B3627" t="s">
        <v>15</v>
      </c>
      <c r="C3627" t="s">
        <v>16</v>
      </c>
      <c r="D3627" s="1">
        <v>45855</v>
      </c>
      <c r="E3627" t="s">
        <v>19</v>
      </c>
      <c r="F3627">
        <v>4600</v>
      </c>
      <c r="J3627">
        <v>0.5</v>
      </c>
      <c r="K3627">
        <v>1.1000000000000001</v>
      </c>
      <c r="L3627">
        <v>0</v>
      </c>
      <c r="M3627" t="s">
        <v>18</v>
      </c>
      <c r="N3627">
        <v>0</v>
      </c>
      <c r="O3627">
        <v>0</v>
      </c>
    </row>
    <row r="3628" spans="1:15" x14ac:dyDescent="0.2">
      <c r="A3628" s="6">
        <v>45820</v>
      </c>
      <c r="B3628" t="s">
        <v>15</v>
      </c>
      <c r="C3628" t="s">
        <v>16</v>
      </c>
      <c r="D3628" s="1">
        <v>45855</v>
      </c>
      <c r="E3628" t="s">
        <v>17</v>
      </c>
      <c r="F3628">
        <v>6750</v>
      </c>
      <c r="J3628">
        <v>4.8</v>
      </c>
      <c r="K3628">
        <v>3.2</v>
      </c>
      <c r="L3628">
        <v>0</v>
      </c>
      <c r="M3628" t="s">
        <v>18</v>
      </c>
      <c r="N3628">
        <v>0</v>
      </c>
      <c r="O3628">
        <v>0</v>
      </c>
    </row>
    <row r="3629" spans="1:15" x14ac:dyDescent="0.2">
      <c r="A3629" s="6">
        <v>45820</v>
      </c>
      <c r="B3629" t="s">
        <v>15</v>
      </c>
      <c r="C3629" t="s">
        <v>16</v>
      </c>
      <c r="D3629" s="1">
        <v>45855</v>
      </c>
      <c r="E3629" t="s">
        <v>19</v>
      </c>
      <c r="F3629">
        <v>4950</v>
      </c>
      <c r="J3629">
        <v>6.9</v>
      </c>
      <c r="K3629">
        <v>11.9</v>
      </c>
      <c r="L3629">
        <v>0</v>
      </c>
      <c r="M3629" t="s">
        <v>18</v>
      </c>
      <c r="N3629">
        <v>0</v>
      </c>
      <c r="O3629">
        <v>0</v>
      </c>
    </row>
    <row r="3630" spans="1:15" x14ac:dyDescent="0.2">
      <c r="A3630" s="6">
        <v>45820</v>
      </c>
      <c r="B3630" t="s">
        <v>15</v>
      </c>
      <c r="C3630" t="s">
        <v>16</v>
      </c>
      <c r="D3630" s="1">
        <v>45855</v>
      </c>
      <c r="E3630" t="s">
        <v>19</v>
      </c>
      <c r="F3630">
        <v>4250</v>
      </c>
      <c r="J3630">
        <v>0.1</v>
      </c>
      <c r="K3630">
        <v>0.1</v>
      </c>
      <c r="L3630">
        <v>0</v>
      </c>
      <c r="M3630" t="s">
        <v>18</v>
      </c>
      <c r="N3630">
        <v>0</v>
      </c>
      <c r="O3630">
        <v>0</v>
      </c>
    </row>
    <row r="3631" spans="1:15" x14ac:dyDescent="0.2">
      <c r="A3631" s="6">
        <v>45820</v>
      </c>
      <c r="B3631" t="s">
        <v>15</v>
      </c>
      <c r="C3631" t="s">
        <v>16</v>
      </c>
      <c r="D3631" s="1">
        <v>45855</v>
      </c>
      <c r="E3631" t="s">
        <v>17</v>
      </c>
      <c r="F3631">
        <v>5600</v>
      </c>
      <c r="G3631">
        <v>284</v>
      </c>
      <c r="H3631">
        <v>362</v>
      </c>
      <c r="I3631">
        <v>258.5</v>
      </c>
      <c r="J3631">
        <v>345.1</v>
      </c>
      <c r="K3631">
        <v>267.2</v>
      </c>
      <c r="L3631">
        <v>1750</v>
      </c>
      <c r="M3631" t="s">
        <v>1586</v>
      </c>
      <c r="N3631">
        <v>10339.68</v>
      </c>
      <c r="O3631">
        <v>308</v>
      </c>
    </row>
    <row r="3632" spans="1:15" x14ac:dyDescent="0.2">
      <c r="A3632" s="6">
        <v>45820</v>
      </c>
      <c r="B3632" t="s">
        <v>15</v>
      </c>
      <c r="C3632" t="s">
        <v>16</v>
      </c>
      <c r="D3632" s="1">
        <v>45855</v>
      </c>
      <c r="E3632" t="s">
        <v>17</v>
      </c>
      <c r="F3632">
        <v>3850</v>
      </c>
      <c r="J3632">
        <v>1872.3</v>
      </c>
      <c r="K3632">
        <v>1781.5</v>
      </c>
      <c r="L3632">
        <v>0</v>
      </c>
      <c r="M3632" t="s">
        <v>18</v>
      </c>
      <c r="N3632">
        <v>0</v>
      </c>
      <c r="O3632">
        <v>0</v>
      </c>
    </row>
    <row r="3633" spans="1:15" x14ac:dyDescent="0.2">
      <c r="A3633" s="6">
        <v>45820</v>
      </c>
      <c r="B3633" t="s">
        <v>15</v>
      </c>
      <c r="C3633" t="s">
        <v>16</v>
      </c>
      <c r="D3633" s="1">
        <v>45855</v>
      </c>
      <c r="E3633" t="s">
        <v>19</v>
      </c>
      <c r="F3633">
        <v>5050</v>
      </c>
      <c r="J3633">
        <v>12.3</v>
      </c>
      <c r="K3633">
        <v>20.2</v>
      </c>
      <c r="L3633">
        <v>0</v>
      </c>
      <c r="M3633" t="s">
        <v>18</v>
      </c>
      <c r="N3633">
        <v>0</v>
      </c>
      <c r="O3633">
        <v>0</v>
      </c>
    </row>
    <row r="3634" spans="1:15" x14ac:dyDescent="0.2">
      <c r="A3634" s="6">
        <v>45820</v>
      </c>
      <c r="B3634" t="s">
        <v>15</v>
      </c>
      <c r="C3634" t="s">
        <v>16</v>
      </c>
      <c r="D3634" s="1">
        <v>45855</v>
      </c>
      <c r="E3634" t="s">
        <v>19</v>
      </c>
      <c r="F3634">
        <v>3700</v>
      </c>
      <c r="J3634">
        <v>0.1</v>
      </c>
      <c r="K3634">
        <v>0.1</v>
      </c>
      <c r="L3634">
        <v>0</v>
      </c>
      <c r="M3634" t="s">
        <v>18</v>
      </c>
      <c r="N3634">
        <v>0</v>
      </c>
      <c r="O3634">
        <v>0</v>
      </c>
    </row>
    <row r="3635" spans="1:15" x14ac:dyDescent="0.2">
      <c r="A3635" s="6">
        <v>45820</v>
      </c>
      <c r="B3635" t="s">
        <v>15</v>
      </c>
      <c r="C3635" t="s">
        <v>16</v>
      </c>
      <c r="D3635" s="1">
        <v>45855</v>
      </c>
      <c r="E3635" t="s">
        <v>19</v>
      </c>
      <c r="F3635">
        <v>4450</v>
      </c>
      <c r="J3635">
        <v>0.1</v>
      </c>
      <c r="K3635">
        <v>0.3</v>
      </c>
      <c r="L3635">
        <v>0</v>
      </c>
      <c r="M3635" t="s">
        <v>18</v>
      </c>
      <c r="N3635">
        <v>0</v>
      </c>
      <c r="O3635">
        <v>0</v>
      </c>
    </row>
    <row r="3636" spans="1:15" x14ac:dyDescent="0.2">
      <c r="A3636" s="6">
        <v>45820</v>
      </c>
      <c r="B3636" t="s">
        <v>15</v>
      </c>
      <c r="C3636" t="s">
        <v>16</v>
      </c>
      <c r="D3636" s="1">
        <v>45855</v>
      </c>
      <c r="E3636" t="s">
        <v>19</v>
      </c>
      <c r="F3636">
        <v>5700</v>
      </c>
      <c r="G3636">
        <v>248.9</v>
      </c>
      <c r="H3636">
        <v>312.89999999999998</v>
      </c>
      <c r="I3636">
        <v>236.4</v>
      </c>
      <c r="J3636">
        <v>273</v>
      </c>
      <c r="K3636">
        <v>282.60000000000002</v>
      </c>
      <c r="L3636">
        <v>2284</v>
      </c>
      <c r="M3636" t="s">
        <v>1587</v>
      </c>
      <c r="N3636">
        <v>13667.86</v>
      </c>
      <c r="O3636">
        <v>418</v>
      </c>
    </row>
    <row r="3637" spans="1:15" x14ac:dyDescent="0.2">
      <c r="A3637" s="6">
        <v>45820</v>
      </c>
      <c r="B3637" t="s">
        <v>15</v>
      </c>
      <c r="C3637" t="s">
        <v>16</v>
      </c>
      <c r="D3637" s="1">
        <v>45855</v>
      </c>
      <c r="E3637" t="s">
        <v>17</v>
      </c>
      <c r="F3637">
        <v>6550</v>
      </c>
      <c r="J3637">
        <v>11.8</v>
      </c>
      <c r="K3637">
        <v>8.1</v>
      </c>
      <c r="L3637">
        <v>0</v>
      </c>
      <c r="M3637" t="s">
        <v>18</v>
      </c>
      <c r="N3637">
        <v>0</v>
      </c>
      <c r="O3637">
        <v>0</v>
      </c>
    </row>
    <row r="3638" spans="1:15" x14ac:dyDescent="0.2">
      <c r="A3638" s="6">
        <v>45820</v>
      </c>
      <c r="B3638" t="s">
        <v>15</v>
      </c>
      <c r="C3638" t="s">
        <v>16</v>
      </c>
      <c r="D3638" s="1">
        <v>45855</v>
      </c>
      <c r="E3638" t="s">
        <v>19</v>
      </c>
      <c r="F3638">
        <v>5400</v>
      </c>
      <c r="G3638">
        <v>124.5</v>
      </c>
      <c r="H3638">
        <v>160.30000000000001</v>
      </c>
      <c r="I3638">
        <v>113.9</v>
      </c>
      <c r="J3638">
        <v>139.1</v>
      </c>
      <c r="K3638">
        <v>141.19999999999999</v>
      </c>
      <c r="L3638">
        <v>1033</v>
      </c>
      <c r="M3638" t="s">
        <v>1588</v>
      </c>
      <c r="N3638">
        <v>5724.84</v>
      </c>
      <c r="O3638">
        <v>607</v>
      </c>
    </row>
    <row r="3639" spans="1:15" x14ac:dyDescent="0.2">
      <c r="A3639" s="6">
        <v>45820</v>
      </c>
      <c r="B3639" t="s">
        <v>15</v>
      </c>
      <c r="C3639" t="s">
        <v>16</v>
      </c>
      <c r="D3639" s="1">
        <v>45855</v>
      </c>
      <c r="E3639" t="s">
        <v>19</v>
      </c>
      <c r="F3639">
        <v>6400</v>
      </c>
      <c r="J3639">
        <v>684.9</v>
      </c>
      <c r="K3639">
        <v>768.9</v>
      </c>
      <c r="L3639">
        <v>0</v>
      </c>
      <c r="M3639" t="s">
        <v>18</v>
      </c>
      <c r="N3639">
        <v>0</v>
      </c>
      <c r="O3639">
        <v>0</v>
      </c>
    </row>
    <row r="3640" spans="1:15" x14ac:dyDescent="0.2">
      <c r="A3640" s="6">
        <v>45820</v>
      </c>
      <c r="B3640" t="s">
        <v>15</v>
      </c>
      <c r="C3640" t="s">
        <v>16</v>
      </c>
      <c r="D3640" s="1">
        <v>45855</v>
      </c>
      <c r="E3640" t="s">
        <v>19</v>
      </c>
      <c r="F3640">
        <v>5300</v>
      </c>
      <c r="G3640">
        <v>116.3</v>
      </c>
      <c r="H3640">
        <v>130.30000000000001</v>
      </c>
      <c r="I3640">
        <v>93.2</v>
      </c>
      <c r="J3640">
        <v>111.1</v>
      </c>
      <c r="K3640">
        <v>112.8</v>
      </c>
      <c r="L3640">
        <v>764</v>
      </c>
      <c r="M3640" t="s">
        <v>1145</v>
      </c>
      <c r="N3640">
        <v>4135.75</v>
      </c>
      <c r="O3640">
        <v>294</v>
      </c>
    </row>
    <row r="3641" spans="1:15" x14ac:dyDescent="0.2">
      <c r="A3641" s="6">
        <v>45820</v>
      </c>
      <c r="B3641" t="s">
        <v>15</v>
      </c>
      <c r="C3641" t="s">
        <v>16</v>
      </c>
      <c r="D3641" s="1">
        <v>45855</v>
      </c>
      <c r="E3641" t="s">
        <v>19</v>
      </c>
      <c r="F3641">
        <v>6750</v>
      </c>
      <c r="J3641">
        <v>1016</v>
      </c>
      <c r="K3641">
        <v>1104.7</v>
      </c>
      <c r="L3641">
        <v>0</v>
      </c>
      <c r="M3641" t="s">
        <v>18</v>
      </c>
      <c r="N3641">
        <v>0</v>
      </c>
      <c r="O3641">
        <v>0</v>
      </c>
    </row>
    <row r="3642" spans="1:15" x14ac:dyDescent="0.2">
      <c r="A3642" s="6">
        <v>45820</v>
      </c>
      <c r="B3642" t="s">
        <v>15</v>
      </c>
      <c r="C3642" t="s">
        <v>16</v>
      </c>
      <c r="D3642" s="1">
        <v>45855</v>
      </c>
      <c r="E3642" t="s">
        <v>17</v>
      </c>
      <c r="F3642">
        <v>6050</v>
      </c>
      <c r="J3642">
        <v>76.099999999999994</v>
      </c>
      <c r="K3642">
        <v>87</v>
      </c>
      <c r="L3642">
        <v>0</v>
      </c>
      <c r="M3642" t="s">
        <v>18</v>
      </c>
      <c r="N3642">
        <v>0</v>
      </c>
      <c r="O3642">
        <v>1</v>
      </c>
    </row>
    <row r="3643" spans="1:15" x14ac:dyDescent="0.2">
      <c r="A3643" s="6">
        <v>45820</v>
      </c>
      <c r="B3643" t="s">
        <v>15</v>
      </c>
      <c r="C3643" t="s">
        <v>16</v>
      </c>
      <c r="D3643" s="1">
        <v>45855</v>
      </c>
      <c r="E3643" t="s">
        <v>19</v>
      </c>
      <c r="F3643">
        <v>5450</v>
      </c>
      <c r="G3643">
        <v>158.1</v>
      </c>
      <c r="H3643">
        <v>158.1</v>
      </c>
      <c r="I3643">
        <v>32</v>
      </c>
      <c r="J3643">
        <v>116</v>
      </c>
      <c r="K3643">
        <v>167.9</v>
      </c>
      <c r="L3643">
        <v>3</v>
      </c>
      <c r="M3643" t="s">
        <v>34</v>
      </c>
      <c r="N3643">
        <v>16.7</v>
      </c>
      <c r="O3643">
        <v>5</v>
      </c>
    </row>
    <row r="3644" spans="1:15" x14ac:dyDescent="0.2">
      <c r="A3644" s="6">
        <v>45820</v>
      </c>
      <c r="B3644" t="s">
        <v>15</v>
      </c>
      <c r="C3644" t="s">
        <v>16</v>
      </c>
      <c r="D3644" s="1">
        <v>45855</v>
      </c>
      <c r="E3644" t="s">
        <v>17</v>
      </c>
      <c r="F3644">
        <v>6650</v>
      </c>
      <c r="J3644">
        <v>7.6</v>
      </c>
      <c r="K3644">
        <v>5.2</v>
      </c>
      <c r="L3644">
        <v>0</v>
      </c>
      <c r="M3644" t="s">
        <v>18</v>
      </c>
      <c r="N3644">
        <v>0</v>
      </c>
      <c r="O3644">
        <v>0</v>
      </c>
    </row>
    <row r="3645" spans="1:15" x14ac:dyDescent="0.2">
      <c r="A3645" s="6">
        <v>45820</v>
      </c>
      <c r="B3645" t="s">
        <v>15</v>
      </c>
      <c r="C3645" t="s">
        <v>16</v>
      </c>
      <c r="D3645" s="1">
        <v>45855</v>
      </c>
      <c r="E3645" t="s">
        <v>17</v>
      </c>
      <c r="F3645">
        <v>3750</v>
      </c>
      <c r="J3645">
        <v>1971.7</v>
      </c>
      <c r="K3645">
        <v>1880.9</v>
      </c>
      <c r="L3645">
        <v>0</v>
      </c>
      <c r="M3645" t="s">
        <v>18</v>
      </c>
      <c r="N3645">
        <v>0</v>
      </c>
      <c r="O3645">
        <v>0</v>
      </c>
    </row>
    <row r="3646" spans="1:15" x14ac:dyDescent="0.2">
      <c r="A3646" s="6">
        <v>45820</v>
      </c>
      <c r="B3646" t="s">
        <v>15</v>
      </c>
      <c r="C3646" t="s">
        <v>16</v>
      </c>
      <c r="D3646" s="1">
        <v>45855</v>
      </c>
      <c r="E3646" t="s">
        <v>19</v>
      </c>
      <c r="F3646">
        <v>4700</v>
      </c>
      <c r="J3646">
        <v>1.2</v>
      </c>
      <c r="K3646">
        <v>2.4</v>
      </c>
      <c r="L3646">
        <v>0</v>
      </c>
      <c r="M3646" t="s">
        <v>18</v>
      </c>
      <c r="N3646">
        <v>0</v>
      </c>
      <c r="O3646">
        <v>0</v>
      </c>
    </row>
    <row r="3647" spans="1:15" x14ac:dyDescent="0.2">
      <c r="A3647" s="6">
        <v>45820</v>
      </c>
      <c r="B3647" t="s">
        <v>15</v>
      </c>
      <c r="C3647" t="s">
        <v>16</v>
      </c>
      <c r="D3647" s="1">
        <v>45855</v>
      </c>
      <c r="E3647" t="s">
        <v>17</v>
      </c>
      <c r="F3647">
        <v>6850</v>
      </c>
      <c r="J3647">
        <v>3</v>
      </c>
      <c r="K3647">
        <v>2</v>
      </c>
      <c r="L3647">
        <v>0</v>
      </c>
      <c r="M3647" t="s">
        <v>18</v>
      </c>
      <c r="N3647">
        <v>0</v>
      </c>
      <c r="O3647">
        <v>0</v>
      </c>
    </row>
    <row r="3648" spans="1:15" x14ac:dyDescent="0.2">
      <c r="A3648" s="6">
        <v>45820</v>
      </c>
      <c r="B3648" t="s">
        <v>15</v>
      </c>
      <c r="C3648" t="s">
        <v>16</v>
      </c>
      <c r="D3648" s="1">
        <v>45855</v>
      </c>
      <c r="E3648" t="s">
        <v>19</v>
      </c>
      <c r="F3648">
        <v>3750</v>
      </c>
      <c r="J3648">
        <v>0.1</v>
      </c>
      <c r="K3648">
        <v>0.1</v>
      </c>
      <c r="L3648">
        <v>0</v>
      </c>
      <c r="M3648" t="s">
        <v>18</v>
      </c>
      <c r="N3648">
        <v>0</v>
      </c>
      <c r="O3648">
        <v>0</v>
      </c>
    </row>
    <row r="3649" spans="1:15" x14ac:dyDescent="0.2">
      <c r="A3649" s="6">
        <v>45820</v>
      </c>
      <c r="B3649" t="s">
        <v>15</v>
      </c>
      <c r="C3649" t="s">
        <v>16</v>
      </c>
      <c r="D3649" s="1">
        <v>45855</v>
      </c>
      <c r="E3649" t="s">
        <v>19</v>
      </c>
      <c r="F3649">
        <v>4550</v>
      </c>
      <c r="J3649">
        <v>0.3</v>
      </c>
      <c r="K3649">
        <v>0.8</v>
      </c>
      <c r="L3649">
        <v>0</v>
      </c>
      <c r="M3649" t="s">
        <v>18</v>
      </c>
      <c r="N3649">
        <v>0</v>
      </c>
      <c r="O3649">
        <v>0</v>
      </c>
    </row>
    <row r="3650" spans="1:15" x14ac:dyDescent="0.2">
      <c r="A3650" s="6">
        <v>45820</v>
      </c>
      <c r="B3650" t="s">
        <v>15</v>
      </c>
      <c r="C3650" t="s">
        <v>16</v>
      </c>
      <c r="D3650" s="1">
        <v>45855</v>
      </c>
      <c r="E3650" t="s">
        <v>17</v>
      </c>
      <c r="F3650">
        <v>6800</v>
      </c>
      <c r="J3650">
        <v>3.8</v>
      </c>
      <c r="K3650">
        <v>2.6</v>
      </c>
      <c r="L3650">
        <v>0</v>
      </c>
      <c r="M3650" t="s">
        <v>18</v>
      </c>
      <c r="N3650">
        <v>0</v>
      </c>
      <c r="O3650">
        <v>0</v>
      </c>
    </row>
    <row r="3651" spans="1:15" x14ac:dyDescent="0.2">
      <c r="A3651" s="6">
        <v>45820</v>
      </c>
      <c r="B3651" t="s">
        <v>15</v>
      </c>
      <c r="C3651" t="s">
        <v>16</v>
      </c>
      <c r="D3651" s="1">
        <v>45855</v>
      </c>
      <c r="E3651" t="s">
        <v>17</v>
      </c>
      <c r="F3651">
        <v>6700</v>
      </c>
      <c r="J3651">
        <v>6.1</v>
      </c>
      <c r="K3651">
        <v>4.0999999999999996</v>
      </c>
      <c r="L3651">
        <v>0</v>
      </c>
      <c r="M3651" t="s">
        <v>18</v>
      </c>
      <c r="N3651">
        <v>0</v>
      </c>
      <c r="O3651">
        <v>0</v>
      </c>
    </row>
    <row r="3652" spans="1:15" x14ac:dyDescent="0.2">
      <c r="A3652" s="6">
        <v>45820</v>
      </c>
      <c r="B3652" t="s">
        <v>15</v>
      </c>
      <c r="C3652" t="s">
        <v>16</v>
      </c>
      <c r="D3652" s="1">
        <v>45855</v>
      </c>
      <c r="E3652" t="s">
        <v>17</v>
      </c>
      <c r="F3652">
        <v>6900</v>
      </c>
      <c r="J3652">
        <v>2.4</v>
      </c>
      <c r="K3652">
        <v>1.6</v>
      </c>
      <c r="L3652">
        <v>0</v>
      </c>
      <c r="M3652" t="s">
        <v>18</v>
      </c>
      <c r="N3652">
        <v>0</v>
      </c>
      <c r="O3652">
        <v>0</v>
      </c>
    </row>
    <row r="3653" spans="1:15" x14ac:dyDescent="0.2">
      <c r="A3653" s="6">
        <v>45820</v>
      </c>
      <c r="B3653" t="s">
        <v>15</v>
      </c>
      <c r="C3653" t="s">
        <v>16</v>
      </c>
      <c r="D3653" s="1">
        <v>45855</v>
      </c>
      <c r="E3653" t="s">
        <v>19</v>
      </c>
      <c r="F3653">
        <v>5800</v>
      </c>
      <c r="G3653">
        <v>340.9</v>
      </c>
      <c r="H3653">
        <v>384.6</v>
      </c>
      <c r="I3653">
        <v>325</v>
      </c>
      <c r="J3653">
        <v>329.3</v>
      </c>
      <c r="K3653">
        <v>340.9</v>
      </c>
      <c r="L3653">
        <v>469</v>
      </c>
      <c r="M3653" t="s">
        <v>1464</v>
      </c>
      <c r="N3653">
        <v>2878.95</v>
      </c>
      <c r="O3653">
        <v>188</v>
      </c>
    </row>
    <row r="3654" spans="1:15" x14ac:dyDescent="0.2">
      <c r="A3654" s="6">
        <v>45820</v>
      </c>
      <c r="B3654" t="s">
        <v>15</v>
      </c>
      <c r="C3654" t="s">
        <v>16</v>
      </c>
      <c r="D3654" s="1">
        <v>45855</v>
      </c>
      <c r="E3654" t="s">
        <v>17</v>
      </c>
      <c r="F3654">
        <v>5900</v>
      </c>
      <c r="G3654">
        <v>170</v>
      </c>
      <c r="H3654">
        <v>238.3</v>
      </c>
      <c r="I3654">
        <v>170</v>
      </c>
      <c r="J3654">
        <v>225.4</v>
      </c>
      <c r="K3654">
        <v>147.9</v>
      </c>
      <c r="L3654">
        <v>457</v>
      </c>
      <c r="M3654" t="s">
        <v>1589</v>
      </c>
      <c r="N3654">
        <v>2791.08</v>
      </c>
      <c r="O3654">
        <v>111</v>
      </c>
    </row>
    <row r="3655" spans="1:15" x14ac:dyDescent="0.2">
      <c r="A3655" s="6">
        <v>45820</v>
      </c>
      <c r="B3655" t="s">
        <v>15</v>
      </c>
      <c r="C3655" t="s">
        <v>16</v>
      </c>
      <c r="D3655" s="1">
        <v>45855</v>
      </c>
      <c r="E3655" t="s">
        <v>17</v>
      </c>
      <c r="F3655">
        <v>5200</v>
      </c>
      <c r="G3655">
        <v>580.9</v>
      </c>
      <c r="H3655">
        <v>606.4</v>
      </c>
      <c r="I3655">
        <v>576.20000000000005</v>
      </c>
      <c r="J3655">
        <v>589.70000000000005</v>
      </c>
      <c r="K3655">
        <v>475.9</v>
      </c>
      <c r="L3655">
        <v>8</v>
      </c>
      <c r="M3655" t="s">
        <v>71</v>
      </c>
      <c r="N3655">
        <v>46.32</v>
      </c>
      <c r="O3655">
        <v>32</v>
      </c>
    </row>
    <row r="3656" spans="1:15" x14ac:dyDescent="0.2">
      <c r="A3656" s="6">
        <v>45820</v>
      </c>
      <c r="B3656" t="s">
        <v>15</v>
      </c>
      <c r="C3656" t="s">
        <v>16</v>
      </c>
      <c r="D3656" s="1">
        <v>45855</v>
      </c>
      <c r="E3656" t="s">
        <v>17</v>
      </c>
      <c r="F3656">
        <v>4150</v>
      </c>
      <c r="J3656">
        <v>1574</v>
      </c>
      <c r="K3656">
        <v>1483.2</v>
      </c>
      <c r="L3656">
        <v>0</v>
      </c>
      <c r="M3656" t="s">
        <v>18</v>
      </c>
      <c r="N3656">
        <v>0</v>
      </c>
      <c r="O3656">
        <v>0</v>
      </c>
    </row>
    <row r="3657" spans="1:15" x14ac:dyDescent="0.2">
      <c r="A3657" s="6">
        <v>45820</v>
      </c>
      <c r="B3657" t="s">
        <v>15</v>
      </c>
      <c r="C3657" t="s">
        <v>16</v>
      </c>
      <c r="D3657" s="1">
        <v>45855</v>
      </c>
      <c r="E3657" t="s">
        <v>17</v>
      </c>
      <c r="F3657">
        <v>4250</v>
      </c>
      <c r="J3657">
        <v>1474.6</v>
      </c>
      <c r="K3657">
        <v>1383.9</v>
      </c>
      <c r="L3657">
        <v>0</v>
      </c>
      <c r="M3657" t="s">
        <v>18</v>
      </c>
      <c r="N3657">
        <v>0</v>
      </c>
      <c r="O3657">
        <v>0</v>
      </c>
    </row>
    <row r="3658" spans="1:15" x14ac:dyDescent="0.2">
      <c r="A3658" s="6">
        <v>45820</v>
      </c>
      <c r="B3658" t="s">
        <v>15</v>
      </c>
      <c r="C3658" t="s">
        <v>16</v>
      </c>
      <c r="D3658" s="1">
        <v>45855</v>
      </c>
      <c r="E3658" t="s">
        <v>17</v>
      </c>
      <c r="F3658">
        <v>4500</v>
      </c>
      <c r="J3658">
        <v>1226.2</v>
      </c>
      <c r="K3658">
        <v>1135.8</v>
      </c>
      <c r="L3658">
        <v>0</v>
      </c>
      <c r="M3658" t="s">
        <v>18</v>
      </c>
      <c r="N3658">
        <v>0</v>
      </c>
      <c r="O3658">
        <v>0</v>
      </c>
    </row>
    <row r="3659" spans="1:15" x14ac:dyDescent="0.2">
      <c r="A3659" s="6">
        <v>45820</v>
      </c>
      <c r="B3659" t="s">
        <v>15</v>
      </c>
      <c r="C3659" t="s">
        <v>16</v>
      </c>
      <c r="D3659" s="1">
        <v>45855</v>
      </c>
      <c r="E3659" t="s">
        <v>19</v>
      </c>
      <c r="F3659">
        <v>6250</v>
      </c>
      <c r="J3659">
        <v>552.4</v>
      </c>
      <c r="K3659">
        <v>632.20000000000005</v>
      </c>
      <c r="L3659">
        <v>0</v>
      </c>
      <c r="M3659" t="s">
        <v>18</v>
      </c>
      <c r="N3659">
        <v>0</v>
      </c>
      <c r="O3659">
        <v>0</v>
      </c>
    </row>
    <row r="3660" spans="1:15" x14ac:dyDescent="0.2">
      <c r="A3660" s="6">
        <v>45820</v>
      </c>
      <c r="B3660" t="s">
        <v>15</v>
      </c>
      <c r="C3660" t="s">
        <v>16</v>
      </c>
      <c r="D3660" s="1">
        <v>45855</v>
      </c>
      <c r="E3660" t="s">
        <v>19</v>
      </c>
      <c r="F3660">
        <v>5150</v>
      </c>
      <c r="G3660">
        <v>63.2</v>
      </c>
      <c r="H3660">
        <v>80</v>
      </c>
      <c r="I3660">
        <v>63.2</v>
      </c>
      <c r="J3660">
        <v>73.3</v>
      </c>
      <c r="K3660">
        <v>32.700000000000003</v>
      </c>
      <c r="L3660">
        <v>10</v>
      </c>
      <c r="M3660" t="s">
        <v>69</v>
      </c>
      <c r="N3660">
        <v>52.23</v>
      </c>
      <c r="O3660">
        <v>6</v>
      </c>
    </row>
    <row r="3661" spans="1:15" x14ac:dyDescent="0.2">
      <c r="A3661" s="6">
        <v>45820</v>
      </c>
      <c r="B3661" t="s">
        <v>15</v>
      </c>
      <c r="C3661" t="s">
        <v>16</v>
      </c>
      <c r="D3661" s="1">
        <v>45855</v>
      </c>
      <c r="E3661" t="s">
        <v>17</v>
      </c>
      <c r="F3661">
        <v>6250</v>
      </c>
      <c r="J3661">
        <v>38.4</v>
      </c>
      <c r="K3661">
        <v>27.7</v>
      </c>
      <c r="L3661">
        <v>0</v>
      </c>
      <c r="M3661" t="s">
        <v>18</v>
      </c>
      <c r="N3661">
        <v>0</v>
      </c>
      <c r="O3661">
        <v>0</v>
      </c>
    </row>
    <row r="3662" spans="1:15" x14ac:dyDescent="0.2">
      <c r="A3662" s="6">
        <v>45820</v>
      </c>
      <c r="B3662" t="s">
        <v>15</v>
      </c>
      <c r="C3662" t="s">
        <v>16</v>
      </c>
      <c r="D3662" s="1">
        <v>45855</v>
      </c>
      <c r="E3662" t="s">
        <v>17</v>
      </c>
      <c r="F3662">
        <v>6500</v>
      </c>
      <c r="G3662">
        <v>76</v>
      </c>
      <c r="H3662">
        <v>109.7</v>
      </c>
      <c r="I3662">
        <v>64.5</v>
      </c>
      <c r="J3662">
        <v>103.3</v>
      </c>
      <c r="K3662">
        <v>45.5</v>
      </c>
      <c r="L3662">
        <v>707</v>
      </c>
      <c r="M3662" t="s">
        <v>1590</v>
      </c>
      <c r="N3662">
        <v>4657.07</v>
      </c>
      <c r="O3662">
        <v>151</v>
      </c>
    </row>
    <row r="3663" spans="1:15" x14ac:dyDescent="0.2">
      <c r="A3663" s="6">
        <v>45820</v>
      </c>
      <c r="B3663" t="s">
        <v>15</v>
      </c>
      <c r="C3663" t="s">
        <v>16</v>
      </c>
      <c r="D3663" s="1">
        <v>45855</v>
      </c>
      <c r="E3663" t="s">
        <v>17</v>
      </c>
      <c r="F3663">
        <v>5050</v>
      </c>
      <c r="J3663">
        <v>691.4</v>
      </c>
      <c r="K3663">
        <v>608.70000000000005</v>
      </c>
      <c r="L3663">
        <v>0</v>
      </c>
      <c r="M3663" t="s">
        <v>18</v>
      </c>
      <c r="N3663">
        <v>0</v>
      </c>
      <c r="O3663">
        <v>0</v>
      </c>
    </row>
    <row r="3664" spans="1:15" x14ac:dyDescent="0.2">
      <c r="A3664" s="6">
        <v>45820</v>
      </c>
      <c r="B3664" t="s">
        <v>15</v>
      </c>
      <c r="C3664" t="s">
        <v>16</v>
      </c>
      <c r="D3664" s="1">
        <v>45855</v>
      </c>
      <c r="E3664" t="s">
        <v>17</v>
      </c>
      <c r="F3664">
        <v>5150</v>
      </c>
      <c r="J3664">
        <v>600.6</v>
      </c>
      <c r="K3664">
        <v>521.79999999999995</v>
      </c>
      <c r="L3664">
        <v>0</v>
      </c>
      <c r="M3664" t="s">
        <v>18</v>
      </c>
      <c r="N3664">
        <v>0</v>
      </c>
      <c r="O3664">
        <v>2</v>
      </c>
    </row>
    <row r="3665" spans="1:15" x14ac:dyDescent="0.2">
      <c r="A3665" s="6">
        <v>45820</v>
      </c>
      <c r="B3665" t="s">
        <v>15</v>
      </c>
      <c r="C3665" t="s">
        <v>16</v>
      </c>
      <c r="D3665" s="1">
        <v>45855</v>
      </c>
      <c r="E3665" t="s">
        <v>17</v>
      </c>
      <c r="F3665">
        <v>4550</v>
      </c>
      <c r="J3665">
        <v>1176.5999999999999</v>
      </c>
      <c r="K3665">
        <v>1086.3</v>
      </c>
      <c r="L3665">
        <v>0</v>
      </c>
      <c r="M3665" t="s">
        <v>18</v>
      </c>
      <c r="N3665">
        <v>0</v>
      </c>
      <c r="O3665">
        <v>0</v>
      </c>
    </row>
    <row r="3666" spans="1:15" x14ac:dyDescent="0.2">
      <c r="A3666" s="6">
        <v>45820</v>
      </c>
      <c r="B3666" t="s">
        <v>15</v>
      </c>
      <c r="C3666" t="s">
        <v>16</v>
      </c>
      <c r="D3666" s="1">
        <v>45855</v>
      </c>
      <c r="E3666" t="s">
        <v>17</v>
      </c>
      <c r="F3666">
        <v>5800</v>
      </c>
      <c r="G3666">
        <v>190</v>
      </c>
      <c r="H3666">
        <v>272</v>
      </c>
      <c r="I3666">
        <v>181.9</v>
      </c>
      <c r="J3666">
        <v>258.60000000000002</v>
      </c>
      <c r="K3666">
        <v>181.9</v>
      </c>
      <c r="L3666">
        <v>4363</v>
      </c>
      <c r="M3666" t="s">
        <v>1591</v>
      </c>
      <c r="N3666">
        <v>26337.75</v>
      </c>
      <c r="O3666">
        <v>453</v>
      </c>
    </row>
    <row r="3667" spans="1:15" x14ac:dyDescent="0.2">
      <c r="A3667" s="6">
        <v>45820</v>
      </c>
      <c r="B3667" t="s">
        <v>15</v>
      </c>
      <c r="C3667" t="s">
        <v>16</v>
      </c>
      <c r="D3667" s="1">
        <v>45855</v>
      </c>
      <c r="E3667" t="s">
        <v>19</v>
      </c>
      <c r="F3667">
        <v>4650</v>
      </c>
      <c r="J3667">
        <v>0.8</v>
      </c>
      <c r="K3667">
        <v>1.7</v>
      </c>
      <c r="L3667">
        <v>0</v>
      </c>
      <c r="M3667" t="s">
        <v>18</v>
      </c>
      <c r="N3667">
        <v>0</v>
      </c>
      <c r="O3667">
        <v>0</v>
      </c>
    </row>
    <row r="3668" spans="1:15" x14ac:dyDescent="0.2">
      <c r="A3668" s="6">
        <v>45820</v>
      </c>
      <c r="B3668" t="s">
        <v>15</v>
      </c>
      <c r="C3668" t="s">
        <v>16</v>
      </c>
      <c r="D3668" s="1">
        <v>45855</v>
      </c>
      <c r="E3668" t="s">
        <v>17</v>
      </c>
      <c r="F3668">
        <v>5450</v>
      </c>
      <c r="G3668">
        <v>385</v>
      </c>
      <c r="H3668">
        <v>435.9</v>
      </c>
      <c r="I3668">
        <v>385</v>
      </c>
      <c r="J3668">
        <v>415.2</v>
      </c>
      <c r="K3668">
        <v>279.39999999999998</v>
      </c>
      <c r="L3668">
        <v>3</v>
      </c>
      <c r="M3668" t="s">
        <v>34</v>
      </c>
      <c r="N3668">
        <v>17.600000000000001</v>
      </c>
      <c r="O3668">
        <v>4</v>
      </c>
    </row>
    <row r="3669" spans="1:15" x14ac:dyDescent="0.2">
      <c r="A3669" s="6">
        <v>45820</v>
      </c>
      <c r="B3669" t="s">
        <v>15</v>
      </c>
      <c r="C3669" t="s">
        <v>16</v>
      </c>
      <c r="D3669" s="1">
        <v>45855</v>
      </c>
      <c r="E3669" t="s">
        <v>17</v>
      </c>
      <c r="F3669">
        <v>6350</v>
      </c>
      <c r="J3669">
        <v>26.4</v>
      </c>
      <c r="K3669">
        <v>18.8</v>
      </c>
      <c r="L3669">
        <v>0</v>
      </c>
      <c r="M3669" t="s">
        <v>18</v>
      </c>
      <c r="N3669">
        <v>0</v>
      </c>
      <c r="O3669">
        <v>0</v>
      </c>
    </row>
    <row r="3670" spans="1:15" x14ac:dyDescent="0.2">
      <c r="A3670" s="6">
        <v>45820</v>
      </c>
      <c r="B3670" t="s">
        <v>15</v>
      </c>
      <c r="C3670" t="s">
        <v>16</v>
      </c>
      <c r="D3670" s="1">
        <v>45855</v>
      </c>
      <c r="E3670" t="s">
        <v>17</v>
      </c>
      <c r="F3670">
        <v>4000</v>
      </c>
      <c r="J3670">
        <v>1723.1</v>
      </c>
      <c r="K3670">
        <v>1632.3</v>
      </c>
      <c r="L3670">
        <v>0</v>
      </c>
      <c r="M3670" t="s">
        <v>18</v>
      </c>
      <c r="N3670">
        <v>0</v>
      </c>
      <c r="O3670">
        <v>0</v>
      </c>
    </row>
    <row r="3671" spans="1:15" x14ac:dyDescent="0.2">
      <c r="A3671" s="6">
        <v>45820</v>
      </c>
      <c r="B3671" t="s">
        <v>15</v>
      </c>
      <c r="C3671" t="s">
        <v>16</v>
      </c>
      <c r="D3671" s="1">
        <v>45855</v>
      </c>
      <c r="E3671" t="s">
        <v>17</v>
      </c>
      <c r="F3671">
        <v>4050</v>
      </c>
      <c r="J3671">
        <v>1673.4</v>
      </c>
      <c r="K3671">
        <v>1582.6</v>
      </c>
      <c r="L3671">
        <v>0</v>
      </c>
      <c r="M3671" t="s">
        <v>18</v>
      </c>
      <c r="N3671">
        <v>0</v>
      </c>
      <c r="O3671">
        <v>0</v>
      </c>
    </row>
    <row r="3672" spans="1:15" x14ac:dyDescent="0.2">
      <c r="A3672" s="6">
        <v>45820</v>
      </c>
      <c r="B3672" t="s">
        <v>15</v>
      </c>
      <c r="C3672" t="s">
        <v>16</v>
      </c>
      <c r="D3672" s="1">
        <v>45855</v>
      </c>
      <c r="E3672" t="s">
        <v>19</v>
      </c>
      <c r="F3672">
        <v>4400</v>
      </c>
      <c r="J3672">
        <v>0.1</v>
      </c>
      <c r="K3672">
        <v>0.2</v>
      </c>
      <c r="L3672">
        <v>0</v>
      </c>
      <c r="M3672" t="s">
        <v>18</v>
      </c>
      <c r="N3672">
        <v>0</v>
      </c>
      <c r="O3672">
        <v>0</v>
      </c>
    </row>
    <row r="3673" spans="1:15" x14ac:dyDescent="0.2">
      <c r="A3673" s="6">
        <v>45820</v>
      </c>
      <c r="B3673" t="s">
        <v>15</v>
      </c>
      <c r="C3673" t="s">
        <v>16</v>
      </c>
      <c r="D3673" s="1">
        <v>45855</v>
      </c>
      <c r="E3673" t="s">
        <v>19</v>
      </c>
      <c r="F3673">
        <v>5350</v>
      </c>
      <c r="G3673">
        <v>140</v>
      </c>
      <c r="H3673">
        <v>140</v>
      </c>
      <c r="I3673">
        <v>140</v>
      </c>
      <c r="J3673">
        <v>140</v>
      </c>
      <c r="K3673">
        <v>132.69999999999999</v>
      </c>
      <c r="L3673">
        <v>1</v>
      </c>
      <c r="M3673" t="s">
        <v>155</v>
      </c>
      <c r="N3673">
        <v>5.49</v>
      </c>
      <c r="O3673">
        <v>3</v>
      </c>
    </row>
    <row r="3674" spans="1:15" x14ac:dyDescent="0.2">
      <c r="A3674" s="6">
        <v>45820</v>
      </c>
      <c r="B3674" t="s">
        <v>15</v>
      </c>
      <c r="C3674" t="s">
        <v>16</v>
      </c>
      <c r="D3674" s="1">
        <v>45855</v>
      </c>
      <c r="E3674" t="s">
        <v>19</v>
      </c>
      <c r="F3674">
        <v>4500</v>
      </c>
      <c r="J3674">
        <v>0.2</v>
      </c>
      <c r="K3674">
        <v>0.5</v>
      </c>
      <c r="L3674">
        <v>0</v>
      </c>
      <c r="M3674" t="s">
        <v>18</v>
      </c>
      <c r="N3674">
        <v>0</v>
      </c>
      <c r="O3674">
        <v>5</v>
      </c>
    </row>
    <row r="3675" spans="1:15" x14ac:dyDescent="0.2">
      <c r="A3675" s="6">
        <v>45820</v>
      </c>
      <c r="B3675" t="s">
        <v>15</v>
      </c>
      <c r="C3675" t="s">
        <v>16</v>
      </c>
      <c r="D3675" s="1">
        <v>45855</v>
      </c>
      <c r="E3675" t="s">
        <v>19</v>
      </c>
      <c r="F3675">
        <v>6850</v>
      </c>
      <c r="J3675">
        <v>1113.5999999999999</v>
      </c>
      <c r="K3675">
        <v>1202.9000000000001</v>
      </c>
      <c r="L3675">
        <v>0</v>
      </c>
      <c r="M3675" t="s">
        <v>18</v>
      </c>
      <c r="N3675">
        <v>0</v>
      </c>
      <c r="O3675">
        <v>0</v>
      </c>
    </row>
    <row r="3676" spans="1:15" x14ac:dyDescent="0.2">
      <c r="A3676" s="6">
        <v>45820</v>
      </c>
      <c r="B3676" t="s">
        <v>15</v>
      </c>
      <c r="C3676" t="s">
        <v>16</v>
      </c>
      <c r="D3676" s="1">
        <v>45855</v>
      </c>
      <c r="E3676" t="s">
        <v>17</v>
      </c>
      <c r="F3676">
        <v>5500</v>
      </c>
      <c r="G3676">
        <v>351.9</v>
      </c>
      <c r="H3676">
        <v>413.1</v>
      </c>
      <c r="I3676">
        <v>314.2</v>
      </c>
      <c r="J3676">
        <v>400.5</v>
      </c>
      <c r="K3676">
        <v>317.2</v>
      </c>
      <c r="L3676">
        <v>887</v>
      </c>
      <c r="M3676" t="s">
        <v>1592</v>
      </c>
      <c r="N3676">
        <v>5199.25</v>
      </c>
      <c r="O3676">
        <v>361</v>
      </c>
    </row>
    <row r="3677" spans="1:15" x14ac:dyDescent="0.2">
      <c r="A3677" s="6">
        <v>45820</v>
      </c>
      <c r="B3677" t="s">
        <v>15</v>
      </c>
      <c r="C3677" t="s">
        <v>16</v>
      </c>
      <c r="D3677" s="1">
        <v>45855</v>
      </c>
      <c r="E3677" t="s">
        <v>19</v>
      </c>
      <c r="F3677">
        <v>4100</v>
      </c>
      <c r="J3677">
        <v>0.1</v>
      </c>
      <c r="K3677">
        <v>0.1</v>
      </c>
      <c r="L3677">
        <v>0</v>
      </c>
      <c r="M3677" t="s">
        <v>18</v>
      </c>
      <c r="N3677">
        <v>0</v>
      </c>
      <c r="O3677">
        <v>0</v>
      </c>
    </row>
    <row r="3678" spans="1:15" x14ac:dyDescent="0.2">
      <c r="A3678" s="6">
        <v>45820</v>
      </c>
      <c r="B3678" t="s">
        <v>15</v>
      </c>
      <c r="C3678" t="s">
        <v>16</v>
      </c>
      <c r="D3678" s="1">
        <v>45855</v>
      </c>
      <c r="E3678" t="s">
        <v>17</v>
      </c>
      <c r="F3678">
        <v>6300</v>
      </c>
      <c r="J3678">
        <v>31.9</v>
      </c>
      <c r="K3678">
        <v>22.9</v>
      </c>
      <c r="L3678">
        <v>0</v>
      </c>
      <c r="M3678" t="s">
        <v>18</v>
      </c>
      <c r="N3678">
        <v>0</v>
      </c>
      <c r="O3678">
        <v>0</v>
      </c>
    </row>
    <row r="3679" spans="1:15" x14ac:dyDescent="0.2">
      <c r="A3679" s="6">
        <v>45820</v>
      </c>
      <c r="B3679" t="s">
        <v>15</v>
      </c>
      <c r="C3679" t="s">
        <v>16</v>
      </c>
      <c r="D3679" s="1">
        <v>45855</v>
      </c>
      <c r="E3679" t="s">
        <v>17</v>
      </c>
      <c r="F3679">
        <v>6000</v>
      </c>
      <c r="G3679">
        <v>133.9</v>
      </c>
      <c r="H3679">
        <v>207.4</v>
      </c>
      <c r="I3679">
        <v>128</v>
      </c>
      <c r="J3679">
        <v>195.9</v>
      </c>
      <c r="K3679">
        <v>124.4</v>
      </c>
      <c r="L3679">
        <v>4515</v>
      </c>
      <c r="M3679" t="s">
        <v>1593</v>
      </c>
      <c r="N3679">
        <v>27877.279999999999</v>
      </c>
      <c r="O3679">
        <v>930</v>
      </c>
    </row>
    <row r="3680" spans="1:15" x14ac:dyDescent="0.2">
      <c r="A3680" s="6">
        <v>45820</v>
      </c>
      <c r="B3680" t="s">
        <v>15</v>
      </c>
      <c r="C3680" t="s">
        <v>16</v>
      </c>
      <c r="D3680" s="1">
        <v>45855</v>
      </c>
      <c r="E3680" t="s">
        <v>19</v>
      </c>
      <c r="F3680">
        <v>4050</v>
      </c>
      <c r="J3680">
        <v>0.1</v>
      </c>
      <c r="K3680">
        <v>0.1</v>
      </c>
      <c r="L3680">
        <v>0</v>
      </c>
      <c r="M3680" t="s">
        <v>18</v>
      </c>
      <c r="N3680">
        <v>0</v>
      </c>
      <c r="O3680">
        <v>0</v>
      </c>
    </row>
    <row r="3681" spans="1:15" x14ac:dyDescent="0.2">
      <c r="A3681" s="6">
        <v>45820</v>
      </c>
      <c r="B3681" t="s">
        <v>15</v>
      </c>
      <c r="C3681" t="s">
        <v>16</v>
      </c>
      <c r="D3681" s="1">
        <v>45855</v>
      </c>
      <c r="E3681" t="s">
        <v>19</v>
      </c>
      <c r="F3681">
        <v>5950</v>
      </c>
      <c r="J3681">
        <v>319.60000000000002</v>
      </c>
      <c r="K3681">
        <v>385.1</v>
      </c>
      <c r="L3681">
        <v>0</v>
      </c>
      <c r="M3681" t="s">
        <v>18</v>
      </c>
      <c r="N3681">
        <v>0</v>
      </c>
      <c r="O3681">
        <v>0</v>
      </c>
    </row>
    <row r="3682" spans="1:15" x14ac:dyDescent="0.2">
      <c r="A3682" s="6">
        <v>45820</v>
      </c>
      <c r="B3682" t="s">
        <v>15</v>
      </c>
      <c r="C3682" t="s">
        <v>16</v>
      </c>
      <c r="D3682" s="1">
        <v>45855</v>
      </c>
      <c r="E3682" t="s">
        <v>17</v>
      </c>
      <c r="F3682">
        <v>6450</v>
      </c>
      <c r="J3682">
        <v>17.8</v>
      </c>
      <c r="K3682">
        <v>12.5</v>
      </c>
      <c r="L3682">
        <v>0</v>
      </c>
      <c r="M3682" t="s">
        <v>18</v>
      </c>
      <c r="N3682">
        <v>0</v>
      </c>
      <c r="O3682">
        <v>0</v>
      </c>
    </row>
    <row r="3683" spans="1:15" x14ac:dyDescent="0.2">
      <c r="A3683" s="6">
        <v>45820</v>
      </c>
      <c r="B3683" t="s">
        <v>15</v>
      </c>
      <c r="C3683" t="s">
        <v>16</v>
      </c>
      <c r="D3683" s="1">
        <v>45855</v>
      </c>
      <c r="E3683" t="s">
        <v>19</v>
      </c>
      <c r="F3683">
        <v>6900</v>
      </c>
      <c r="J3683">
        <v>1162.7</v>
      </c>
      <c r="K3683">
        <v>1252.2</v>
      </c>
      <c r="L3683">
        <v>0</v>
      </c>
      <c r="M3683" t="s">
        <v>18</v>
      </c>
      <c r="N3683">
        <v>0</v>
      </c>
      <c r="O3683">
        <v>0</v>
      </c>
    </row>
    <row r="3684" spans="1:15" x14ac:dyDescent="0.2">
      <c r="A3684" s="6">
        <v>45820</v>
      </c>
      <c r="B3684" t="s">
        <v>15</v>
      </c>
      <c r="C3684" t="s">
        <v>16</v>
      </c>
      <c r="D3684" s="1">
        <v>45855</v>
      </c>
      <c r="E3684" t="s">
        <v>19</v>
      </c>
      <c r="F3684">
        <v>6700</v>
      </c>
      <c r="J3684">
        <v>967.6</v>
      </c>
      <c r="K3684">
        <v>1055.9000000000001</v>
      </c>
      <c r="L3684">
        <v>0</v>
      </c>
      <c r="M3684" t="s">
        <v>18</v>
      </c>
      <c r="N3684">
        <v>0</v>
      </c>
      <c r="O3684">
        <v>0</v>
      </c>
    </row>
    <row r="3685" spans="1:15" x14ac:dyDescent="0.2">
      <c r="A3685" s="6">
        <v>45820</v>
      </c>
      <c r="B3685" t="s">
        <v>15</v>
      </c>
      <c r="C3685" t="s">
        <v>16</v>
      </c>
      <c r="D3685" s="1">
        <v>45855</v>
      </c>
      <c r="E3685" t="s">
        <v>17</v>
      </c>
      <c r="F3685">
        <v>3650</v>
      </c>
      <c r="J3685">
        <v>2071.1</v>
      </c>
      <c r="K3685">
        <v>1980.3</v>
      </c>
      <c r="L3685">
        <v>0</v>
      </c>
      <c r="M3685" t="s">
        <v>18</v>
      </c>
      <c r="N3685">
        <v>0</v>
      </c>
      <c r="O3685">
        <v>0</v>
      </c>
    </row>
    <row r="3686" spans="1:15" x14ac:dyDescent="0.2">
      <c r="A3686" s="6">
        <v>45820</v>
      </c>
      <c r="B3686" t="s">
        <v>15</v>
      </c>
      <c r="C3686" t="s">
        <v>16</v>
      </c>
      <c r="D3686" s="1">
        <v>45855</v>
      </c>
      <c r="E3686" t="s">
        <v>17</v>
      </c>
      <c r="F3686">
        <v>3600</v>
      </c>
      <c r="J3686">
        <v>2120.8000000000002</v>
      </c>
      <c r="K3686">
        <v>2030</v>
      </c>
      <c r="L3686">
        <v>0</v>
      </c>
      <c r="M3686" t="s">
        <v>18</v>
      </c>
      <c r="N3686">
        <v>0</v>
      </c>
      <c r="O3686">
        <v>0</v>
      </c>
    </row>
    <row r="3687" spans="1:15" x14ac:dyDescent="0.2">
      <c r="A3687" s="6">
        <v>45820</v>
      </c>
      <c r="B3687" t="s">
        <v>15</v>
      </c>
      <c r="C3687" t="s">
        <v>16</v>
      </c>
      <c r="D3687" s="1">
        <v>45855</v>
      </c>
      <c r="E3687" t="s">
        <v>19</v>
      </c>
      <c r="F3687">
        <v>3650</v>
      </c>
      <c r="J3687">
        <v>0.1</v>
      </c>
      <c r="K3687">
        <v>0.1</v>
      </c>
      <c r="L3687">
        <v>0</v>
      </c>
      <c r="M3687" t="s">
        <v>18</v>
      </c>
      <c r="N3687">
        <v>0</v>
      </c>
      <c r="O3687">
        <v>0</v>
      </c>
    </row>
    <row r="3688" spans="1:15" x14ac:dyDescent="0.2">
      <c r="A3688" s="6">
        <v>45820</v>
      </c>
      <c r="B3688" t="s">
        <v>15</v>
      </c>
      <c r="C3688" t="s">
        <v>16</v>
      </c>
      <c r="D3688" s="1">
        <v>45855</v>
      </c>
      <c r="E3688" t="s">
        <v>17</v>
      </c>
      <c r="F3688">
        <v>4600</v>
      </c>
      <c r="J3688">
        <v>1127.0999999999999</v>
      </c>
      <c r="K3688">
        <v>1037</v>
      </c>
      <c r="L3688">
        <v>0</v>
      </c>
      <c r="M3688" t="s">
        <v>18</v>
      </c>
      <c r="N3688">
        <v>0</v>
      </c>
      <c r="O3688">
        <v>0</v>
      </c>
    </row>
    <row r="3689" spans="1:15" x14ac:dyDescent="0.2">
      <c r="A3689" s="6">
        <v>45820</v>
      </c>
      <c r="B3689" t="s">
        <v>15</v>
      </c>
      <c r="C3689" t="s">
        <v>16</v>
      </c>
      <c r="D3689" s="1">
        <v>45855</v>
      </c>
      <c r="E3689" t="s">
        <v>17</v>
      </c>
      <c r="F3689">
        <v>5350</v>
      </c>
      <c r="J3689">
        <v>433</v>
      </c>
      <c r="K3689">
        <v>365.1</v>
      </c>
      <c r="L3689">
        <v>0</v>
      </c>
      <c r="M3689" t="s">
        <v>18</v>
      </c>
      <c r="N3689">
        <v>0</v>
      </c>
      <c r="O3689">
        <v>1</v>
      </c>
    </row>
    <row r="3690" spans="1:15" x14ac:dyDescent="0.2">
      <c r="A3690" s="6">
        <v>45820</v>
      </c>
      <c r="B3690" t="s">
        <v>15</v>
      </c>
      <c r="C3690" t="s">
        <v>16</v>
      </c>
      <c r="D3690" s="1">
        <v>45855</v>
      </c>
      <c r="E3690" t="s">
        <v>17</v>
      </c>
      <c r="F3690">
        <v>6100</v>
      </c>
      <c r="G3690">
        <v>125</v>
      </c>
      <c r="H3690">
        <v>181</v>
      </c>
      <c r="I3690">
        <v>125</v>
      </c>
      <c r="J3690">
        <v>171.5</v>
      </c>
      <c r="K3690">
        <v>79</v>
      </c>
      <c r="L3690">
        <v>58</v>
      </c>
      <c r="M3690" t="s">
        <v>1594</v>
      </c>
      <c r="N3690">
        <v>363.52</v>
      </c>
      <c r="O3690">
        <v>30</v>
      </c>
    </row>
    <row r="3691" spans="1:15" x14ac:dyDescent="0.2">
      <c r="A3691" s="6">
        <v>45820</v>
      </c>
      <c r="B3691" t="s">
        <v>15</v>
      </c>
      <c r="C3691" t="s">
        <v>16</v>
      </c>
      <c r="D3691" s="1">
        <v>45855</v>
      </c>
      <c r="E3691" t="s">
        <v>19</v>
      </c>
      <c r="F3691">
        <v>5600</v>
      </c>
      <c r="G3691">
        <v>233.1</v>
      </c>
      <c r="H3691">
        <v>252.6</v>
      </c>
      <c r="I3691">
        <v>101</v>
      </c>
      <c r="J3691">
        <v>222</v>
      </c>
      <c r="K3691">
        <v>227.5</v>
      </c>
      <c r="L3691">
        <v>2403</v>
      </c>
      <c r="M3691" t="s">
        <v>1595</v>
      </c>
      <c r="N3691">
        <v>14011.91</v>
      </c>
      <c r="O3691">
        <v>484</v>
      </c>
    </row>
    <row r="3692" spans="1:15" x14ac:dyDescent="0.2">
      <c r="A3692" s="6">
        <v>45820</v>
      </c>
      <c r="B3692" t="s">
        <v>15</v>
      </c>
      <c r="C3692" t="s">
        <v>16</v>
      </c>
      <c r="D3692" s="1">
        <v>45855</v>
      </c>
      <c r="E3692" t="s">
        <v>19</v>
      </c>
      <c r="F3692">
        <v>4850</v>
      </c>
      <c r="J3692">
        <v>3.6</v>
      </c>
      <c r="K3692">
        <v>6.6</v>
      </c>
      <c r="L3692">
        <v>0</v>
      </c>
      <c r="M3692" t="s">
        <v>18</v>
      </c>
      <c r="N3692">
        <v>0</v>
      </c>
      <c r="O3692">
        <v>0</v>
      </c>
    </row>
    <row r="3693" spans="1:15" x14ac:dyDescent="0.2">
      <c r="A3693" s="6">
        <v>45820</v>
      </c>
      <c r="B3693" t="s">
        <v>15</v>
      </c>
      <c r="C3693" t="s">
        <v>16</v>
      </c>
      <c r="D3693" s="1">
        <v>45855</v>
      </c>
      <c r="E3693" t="s">
        <v>19</v>
      </c>
      <c r="F3693">
        <v>4000</v>
      </c>
      <c r="J3693">
        <v>0.1</v>
      </c>
      <c r="K3693">
        <v>0.1</v>
      </c>
      <c r="L3693">
        <v>0</v>
      </c>
      <c r="M3693" t="s">
        <v>18</v>
      </c>
      <c r="N3693">
        <v>0</v>
      </c>
      <c r="O3693">
        <v>0</v>
      </c>
    </row>
    <row r="3694" spans="1:15" x14ac:dyDescent="0.2">
      <c r="A3694" s="6">
        <v>45820</v>
      </c>
      <c r="B3694" t="s">
        <v>15</v>
      </c>
      <c r="C3694" t="s">
        <v>16</v>
      </c>
      <c r="D3694" s="1">
        <v>45855</v>
      </c>
      <c r="E3694" t="s">
        <v>19</v>
      </c>
      <c r="F3694">
        <v>5650</v>
      </c>
      <c r="G3694">
        <v>246.7</v>
      </c>
      <c r="H3694">
        <v>282.8</v>
      </c>
      <c r="I3694">
        <v>246.2</v>
      </c>
      <c r="J3694">
        <v>265.39999999999998</v>
      </c>
      <c r="K3694">
        <v>193.9</v>
      </c>
      <c r="L3694">
        <v>6</v>
      </c>
      <c r="M3694" t="s">
        <v>132</v>
      </c>
      <c r="N3694">
        <v>35.49</v>
      </c>
      <c r="O3694">
        <v>0</v>
      </c>
    </row>
    <row r="3695" spans="1:15" x14ac:dyDescent="0.2">
      <c r="A3695" s="6">
        <v>45820</v>
      </c>
      <c r="B3695" t="s">
        <v>15</v>
      </c>
      <c r="C3695" t="s">
        <v>16</v>
      </c>
      <c r="D3695" s="1">
        <v>45855</v>
      </c>
      <c r="E3695" t="s">
        <v>19</v>
      </c>
      <c r="F3695">
        <v>6350</v>
      </c>
      <c r="J3695">
        <v>639.9</v>
      </c>
      <c r="K3695">
        <v>722.6</v>
      </c>
      <c r="L3695">
        <v>0</v>
      </c>
      <c r="M3695" t="s">
        <v>18</v>
      </c>
      <c r="N3695">
        <v>0</v>
      </c>
      <c r="O3695">
        <v>0</v>
      </c>
    </row>
    <row r="3696" spans="1:15" x14ac:dyDescent="0.2">
      <c r="A3696" s="6">
        <v>45820</v>
      </c>
      <c r="B3696" t="s">
        <v>15</v>
      </c>
      <c r="C3696" t="s">
        <v>16</v>
      </c>
      <c r="D3696" s="1">
        <v>45855</v>
      </c>
      <c r="E3696" t="s">
        <v>17</v>
      </c>
      <c r="F3696">
        <v>3950</v>
      </c>
      <c r="J3696">
        <v>1772.8</v>
      </c>
      <c r="K3696">
        <v>1682.1</v>
      </c>
      <c r="L3696">
        <v>0</v>
      </c>
      <c r="M3696" t="s">
        <v>18</v>
      </c>
      <c r="N3696">
        <v>0</v>
      </c>
      <c r="O3696">
        <v>0</v>
      </c>
    </row>
    <row r="3697" spans="1:15" x14ac:dyDescent="0.2">
      <c r="A3697" s="6">
        <v>45820</v>
      </c>
      <c r="B3697" t="s">
        <v>15</v>
      </c>
      <c r="C3697" t="s">
        <v>16</v>
      </c>
      <c r="D3697" s="1">
        <v>45855</v>
      </c>
      <c r="E3697" t="s">
        <v>17</v>
      </c>
      <c r="F3697">
        <v>5650</v>
      </c>
      <c r="G3697">
        <v>283.2</v>
      </c>
      <c r="H3697">
        <v>302.10000000000002</v>
      </c>
      <c r="I3697">
        <v>276.60000000000002</v>
      </c>
      <c r="J3697">
        <v>283.8</v>
      </c>
      <c r="K3697">
        <v>217.9</v>
      </c>
      <c r="L3697">
        <v>7</v>
      </c>
      <c r="M3697" t="s">
        <v>23</v>
      </c>
      <c r="N3697">
        <v>41.54</v>
      </c>
      <c r="O3697">
        <v>5</v>
      </c>
    </row>
    <row r="3698" spans="1:15" x14ac:dyDescent="0.2">
      <c r="A3698" s="6">
        <v>45820</v>
      </c>
      <c r="B3698" t="s">
        <v>15</v>
      </c>
      <c r="C3698" t="s">
        <v>16</v>
      </c>
      <c r="D3698" s="1">
        <v>45855</v>
      </c>
      <c r="E3698" t="s">
        <v>17</v>
      </c>
      <c r="F3698">
        <v>4700</v>
      </c>
      <c r="J3698">
        <v>1028.3</v>
      </c>
      <c r="K3698">
        <v>938.9</v>
      </c>
      <c r="L3698">
        <v>0</v>
      </c>
      <c r="M3698" t="s">
        <v>18</v>
      </c>
      <c r="N3698">
        <v>0</v>
      </c>
      <c r="O3698">
        <v>0</v>
      </c>
    </row>
    <row r="3699" spans="1:15" x14ac:dyDescent="0.2">
      <c r="A3699" s="6">
        <v>45820</v>
      </c>
      <c r="B3699" t="s">
        <v>15</v>
      </c>
      <c r="C3699" t="s">
        <v>16</v>
      </c>
      <c r="D3699" s="1">
        <v>45855</v>
      </c>
      <c r="E3699" t="s">
        <v>19</v>
      </c>
      <c r="F3699">
        <v>5750</v>
      </c>
      <c r="G3699">
        <v>360.8</v>
      </c>
      <c r="H3699">
        <v>752</v>
      </c>
      <c r="I3699">
        <v>146.30000000000001</v>
      </c>
      <c r="J3699">
        <v>365.4</v>
      </c>
      <c r="K3699">
        <v>250.1</v>
      </c>
      <c r="L3699">
        <v>4</v>
      </c>
      <c r="M3699" t="s">
        <v>78</v>
      </c>
      <c r="N3699">
        <v>24.46</v>
      </c>
      <c r="O3699">
        <v>0</v>
      </c>
    </row>
    <row r="3700" spans="1:15" x14ac:dyDescent="0.2">
      <c r="A3700" s="6">
        <v>45820</v>
      </c>
      <c r="B3700" t="s">
        <v>15</v>
      </c>
      <c r="C3700" t="s">
        <v>16</v>
      </c>
      <c r="D3700" s="1">
        <v>45855</v>
      </c>
      <c r="E3700" t="s">
        <v>19</v>
      </c>
      <c r="F3700">
        <v>5500</v>
      </c>
      <c r="G3700">
        <v>166.9</v>
      </c>
      <c r="H3700">
        <v>201.6</v>
      </c>
      <c r="I3700">
        <v>140</v>
      </c>
      <c r="J3700">
        <v>176.2</v>
      </c>
      <c r="K3700">
        <v>179</v>
      </c>
      <c r="L3700">
        <v>2815</v>
      </c>
      <c r="M3700" t="s">
        <v>1596</v>
      </c>
      <c r="N3700">
        <v>15994.94</v>
      </c>
      <c r="O3700">
        <v>900</v>
      </c>
    </row>
    <row r="3701" spans="1:15" x14ac:dyDescent="0.2">
      <c r="A3701" s="6">
        <v>45820</v>
      </c>
      <c r="B3701" t="s">
        <v>15</v>
      </c>
      <c r="C3701" t="s">
        <v>16</v>
      </c>
      <c r="D3701" s="1">
        <v>45855</v>
      </c>
      <c r="E3701" t="s">
        <v>19</v>
      </c>
      <c r="F3701">
        <v>6100</v>
      </c>
      <c r="J3701">
        <v>429.6</v>
      </c>
      <c r="K3701">
        <v>503.2</v>
      </c>
      <c r="L3701">
        <v>0</v>
      </c>
      <c r="M3701" t="s">
        <v>18</v>
      </c>
      <c r="N3701">
        <v>0</v>
      </c>
      <c r="O3701">
        <v>0</v>
      </c>
    </row>
    <row r="3702" spans="1:15" x14ac:dyDescent="0.2">
      <c r="A3702" s="6">
        <v>45820</v>
      </c>
      <c r="B3702" t="s">
        <v>15</v>
      </c>
      <c r="C3702" t="s">
        <v>16</v>
      </c>
      <c r="D3702" s="1">
        <v>45855</v>
      </c>
      <c r="E3702" t="s">
        <v>17</v>
      </c>
      <c r="F3702">
        <v>4300</v>
      </c>
      <c r="J3702">
        <v>1424.8</v>
      </c>
      <c r="K3702">
        <v>1334.2</v>
      </c>
      <c r="L3702">
        <v>0</v>
      </c>
      <c r="M3702" t="s">
        <v>18</v>
      </c>
      <c r="N3702">
        <v>0</v>
      </c>
      <c r="O3702">
        <v>0</v>
      </c>
    </row>
    <row r="3703" spans="1:15" x14ac:dyDescent="0.2">
      <c r="A3703" s="6">
        <v>45820</v>
      </c>
      <c r="B3703" t="s">
        <v>15</v>
      </c>
      <c r="C3703" t="s">
        <v>16</v>
      </c>
      <c r="D3703" s="1">
        <v>45855</v>
      </c>
      <c r="E3703" t="s">
        <v>19</v>
      </c>
      <c r="F3703">
        <v>3800</v>
      </c>
      <c r="J3703">
        <v>0.1</v>
      </c>
      <c r="K3703">
        <v>0.1</v>
      </c>
      <c r="L3703">
        <v>0</v>
      </c>
      <c r="M3703" t="s">
        <v>18</v>
      </c>
      <c r="N3703">
        <v>0</v>
      </c>
      <c r="O3703">
        <v>0</v>
      </c>
    </row>
    <row r="3704" spans="1:15" x14ac:dyDescent="0.2">
      <c r="A3704" s="6">
        <v>45820</v>
      </c>
      <c r="B3704" t="s">
        <v>15</v>
      </c>
      <c r="C3704" t="s">
        <v>16</v>
      </c>
      <c r="D3704" s="1">
        <v>45855</v>
      </c>
      <c r="E3704" t="s">
        <v>19</v>
      </c>
      <c r="F3704">
        <v>6450</v>
      </c>
      <c r="J3704">
        <v>730.7</v>
      </c>
      <c r="K3704">
        <v>815.7</v>
      </c>
      <c r="L3704">
        <v>0</v>
      </c>
      <c r="M3704" t="s">
        <v>18</v>
      </c>
      <c r="N3704">
        <v>0</v>
      </c>
      <c r="O3704">
        <v>0</v>
      </c>
    </row>
    <row r="3705" spans="1:15" x14ac:dyDescent="0.2">
      <c r="A3705" s="6">
        <v>45820</v>
      </c>
      <c r="B3705" t="s">
        <v>15</v>
      </c>
      <c r="C3705" t="s">
        <v>16</v>
      </c>
      <c r="D3705" s="1">
        <v>45855</v>
      </c>
      <c r="E3705" t="s">
        <v>19</v>
      </c>
      <c r="F3705">
        <v>4150</v>
      </c>
      <c r="J3705">
        <v>0.1</v>
      </c>
      <c r="K3705">
        <v>0.1</v>
      </c>
      <c r="L3705">
        <v>0</v>
      </c>
      <c r="M3705" t="s">
        <v>18</v>
      </c>
      <c r="N3705">
        <v>0</v>
      </c>
      <c r="O3705">
        <v>0</v>
      </c>
    </row>
    <row r="3706" spans="1:15" x14ac:dyDescent="0.2">
      <c r="A3706" s="6">
        <v>45820</v>
      </c>
      <c r="B3706" t="s">
        <v>15</v>
      </c>
      <c r="C3706" t="s">
        <v>16</v>
      </c>
      <c r="D3706" s="1">
        <v>45855</v>
      </c>
      <c r="E3706" t="s">
        <v>19</v>
      </c>
      <c r="F3706">
        <v>5000</v>
      </c>
      <c r="G3706">
        <v>55.9</v>
      </c>
      <c r="H3706">
        <v>64.400000000000006</v>
      </c>
      <c r="I3706">
        <v>51.1</v>
      </c>
      <c r="J3706">
        <v>57.6</v>
      </c>
      <c r="K3706">
        <v>58</v>
      </c>
      <c r="L3706">
        <v>975</v>
      </c>
      <c r="M3706" t="s">
        <v>789</v>
      </c>
      <c r="N3706">
        <v>4931.74</v>
      </c>
      <c r="O3706">
        <v>338</v>
      </c>
    </row>
    <row r="3707" spans="1:15" x14ac:dyDescent="0.2">
      <c r="A3707" s="6">
        <v>45820</v>
      </c>
      <c r="B3707" t="s">
        <v>15</v>
      </c>
      <c r="C3707" t="s">
        <v>16</v>
      </c>
      <c r="D3707" s="1">
        <v>45855</v>
      </c>
      <c r="E3707" t="s">
        <v>17</v>
      </c>
      <c r="F3707">
        <v>5400</v>
      </c>
      <c r="G3707">
        <v>376.4</v>
      </c>
      <c r="H3707">
        <v>472</v>
      </c>
      <c r="I3707">
        <v>371</v>
      </c>
      <c r="J3707">
        <v>461.9</v>
      </c>
      <c r="K3707">
        <v>374.1</v>
      </c>
      <c r="L3707">
        <v>176</v>
      </c>
      <c r="M3707" t="s">
        <v>109</v>
      </c>
      <c r="N3707">
        <v>1024.52</v>
      </c>
      <c r="O3707">
        <v>535</v>
      </c>
    </row>
    <row r="3708" spans="1:15" x14ac:dyDescent="0.2">
      <c r="A3708" s="6">
        <v>45820</v>
      </c>
      <c r="B3708" t="s">
        <v>15</v>
      </c>
      <c r="C3708" t="s">
        <v>16</v>
      </c>
      <c r="D3708" s="1">
        <v>45855</v>
      </c>
      <c r="E3708" t="s">
        <v>19</v>
      </c>
      <c r="F3708">
        <v>6600</v>
      </c>
      <c r="J3708">
        <v>871.5</v>
      </c>
      <c r="K3708">
        <v>958.9</v>
      </c>
      <c r="L3708">
        <v>0</v>
      </c>
      <c r="M3708" t="s">
        <v>18</v>
      </c>
      <c r="N3708">
        <v>0</v>
      </c>
      <c r="O3708">
        <v>0</v>
      </c>
    </row>
    <row r="3709" spans="1:15" x14ac:dyDescent="0.2">
      <c r="A3709" s="6">
        <v>45820</v>
      </c>
      <c r="B3709" t="s">
        <v>15</v>
      </c>
      <c r="C3709" t="s">
        <v>16</v>
      </c>
      <c r="D3709" s="1">
        <v>45855</v>
      </c>
      <c r="E3709" t="s">
        <v>19</v>
      </c>
      <c r="F3709">
        <v>4300</v>
      </c>
      <c r="J3709">
        <v>0.1</v>
      </c>
      <c r="K3709">
        <v>0.1</v>
      </c>
      <c r="L3709">
        <v>0</v>
      </c>
      <c r="M3709" t="s">
        <v>18</v>
      </c>
      <c r="N3709">
        <v>0</v>
      </c>
      <c r="O3709">
        <v>0</v>
      </c>
    </row>
    <row r="3710" spans="1:15" x14ac:dyDescent="0.2">
      <c r="A3710" s="6">
        <v>45820</v>
      </c>
      <c r="B3710" t="s">
        <v>15</v>
      </c>
      <c r="C3710" t="s">
        <v>16</v>
      </c>
      <c r="D3710" s="1">
        <v>45855</v>
      </c>
      <c r="E3710" t="s">
        <v>19</v>
      </c>
      <c r="F3710">
        <v>5550</v>
      </c>
      <c r="G3710">
        <v>198.9</v>
      </c>
      <c r="H3710">
        <v>225</v>
      </c>
      <c r="I3710">
        <v>182.1</v>
      </c>
      <c r="J3710">
        <v>200.1</v>
      </c>
      <c r="K3710">
        <v>146.1</v>
      </c>
      <c r="L3710">
        <v>10</v>
      </c>
      <c r="M3710" t="s">
        <v>69</v>
      </c>
      <c r="N3710">
        <v>57.5</v>
      </c>
      <c r="O3710">
        <v>1</v>
      </c>
    </row>
    <row r="3711" spans="1:15" x14ac:dyDescent="0.2">
      <c r="A3711" s="6">
        <v>45820</v>
      </c>
      <c r="B3711" t="s">
        <v>15</v>
      </c>
      <c r="C3711" t="s">
        <v>16</v>
      </c>
      <c r="D3711" s="1">
        <v>45855</v>
      </c>
      <c r="E3711" t="s">
        <v>19</v>
      </c>
      <c r="F3711">
        <v>4750</v>
      </c>
      <c r="J3711">
        <v>1.8</v>
      </c>
      <c r="K3711">
        <v>3.4</v>
      </c>
      <c r="L3711">
        <v>0</v>
      </c>
      <c r="M3711" t="s">
        <v>18</v>
      </c>
      <c r="N3711">
        <v>0</v>
      </c>
      <c r="O3711">
        <v>0</v>
      </c>
    </row>
    <row r="3712" spans="1:15" x14ac:dyDescent="0.2">
      <c r="A3712" s="6">
        <v>45820</v>
      </c>
      <c r="B3712" t="s">
        <v>15</v>
      </c>
      <c r="C3712" t="s">
        <v>16</v>
      </c>
      <c r="D3712" s="1">
        <v>45855</v>
      </c>
      <c r="E3712" t="s">
        <v>17</v>
      </c>
      <c r="F3712">
        <v>6150</v>
      </c>
      <c r="J3712">
        <v>54.6</v>
      </c>
      <c r="K3712">
        <v>40.1</v>
      </c>
      <c r="L3712">
        <v>0</v>
      </c>
      <c r="M3712" t="s">
        <v>18</v>
      </c>
      <c r="N3712">
        <v>0</v>
      </c>
      <c r="O3712">
        <v>0</v>
      </c>
    </row>
    <row r="3713" spans="1:15" x14ac:dyDescent="0.2">
      <c r="A3713" s="6">
        <v>45820</v>
      </c>
      <c r="B3713" t="s">
        <v>15</v>
      </c>
      <c r="C3713" t="s">
        <v>16</v>
      </c>
      <c r="D3713" s="1">
        <v>45855</v>
      </c>
      <c r="E3713" t="s">
        <v>19</v>
      </c>
      <c r="F3713">
        <v>4350</v>
      </c>
      <c r="J3713">
        <v>0.1</v>
      </c>
      <c r="K3713">
        <v>0.1</v>
      </c>
      <c r="L3713">
        <v>0</v>
      </c>
      <c r="M3713" t="s">
        <v>18</v>
      </c>
      <c r="N3713">
        <v>0</v>
      </c>
      <c r="O3713">
        <v>0</v>
      </c>
    </row>
    <row r="3714" spans="1:15" x14ac:dyDescent="0.2">
      <c r="A3714" s="6">
        <v>45820</v>
      </c>
      <c r="B3714" t="s">
        <v>15</v>
      </c>
      <c r="C3714" t="s">
        <v>16</v>
      </c>
      <c r="D3714" s="1">
        <v>45855</v>
      </c>
      <c r="E3714" t="s">
        <v>17</v>
      </c>
      <c r="F3714">
        <v>5850</v>
      </c>
      <c r="G3714">
        <v>221.7</v>
      </c>
      <c r="H3714">
        <v>221.7</v>
      </c>
      <c r="I3714">
        <v>182.6</v>
      </c>
      <c r="J3714">
        <v>192</v>
      </c>
      <c r="K3714">
        <v>161.80000000000001</v>
      </c>
      <c r="L3714">
        <v>7</v>
      </c>
      <c r="M3714" t="s">
        <v>23</v>
      </c>
      <c r="N3714">
        <v>42.29</v>
      </c>
      <c r="O3714">
        <v>9</v>
      </c>
    </row>
    <row r="3715" spans="1:15" x14ac:dyDescent="0.2">
      <c r="A3715" s="6">
        <v>45820</v>
      </c>
      <c r="B3715" t="s">
        <v>15</v>
      </c>
      <c r="C3715" t="s">
        <v>16</v>
      </c>
      <c r="D3715" s="1">
        <v>45855</v>
      </c>
      <c r="E3715" t="s">
        <v>17</v>
      </c>
      <c r="F3715">
        <v>3900</v>
      </c>
      <c r="J3715">
        <v>1822.5</v>
      </c>
      <c r="K3715">
        <v>1731.8</v>
      </c>
      <c r="L3715">
        <v>0</v>
      </c>
      <c r="M3715" t="s">
        <v>18</v>
      </c>
      <c r="N3715">
        <v>0</v>
      </c>
      <c r="O3715">
        <v>0</v>
      </c>
    </row>
    <row r="3716" spans="1:15" x14ac:dyDescent="0.2">
      <c r="A3716" s="6">
        <v>45820</v>
      </c>
      <c r="B3716" t="s">
        <v>15</v>
      </c>
      <c r="C3716" t="s">
        <v>16</v>
      </c>
      <c r="D3716" s="1">
        <v>45855</v>
      </c>
      <c r="E3716" t="s">
        <v>19</v>
      </c>
      <c r="F3716">
        <v>5850</v>
      </c>
      <c r="J3716">
        <v>254.9</v>
      </c>
      <c r="K3716">
        <v>314</v>
      </c>
      <c r="L3716">
        <v>0</v>
      </c>
      <c r="M3716" t="s">
        <v>18</v>
      </c>
      <c r="N3716">
        <v>0</v>
      </c>
      <c r="O3716">
        <v>0</v>
      </c>
    </row>
    <row r="3717" spans="1:15" x14ac:dyDescent="0.2">
      <c r="A3717" s="6">
        <v>45820</v>
      </c>
      <c r="B3717" t="s">
        <v>15</v>
      </c>
      <c r="C3717" t="s">
        <v>16</v>
      </c>
      <c r="D3717" s="1">
        <v>45855</v>
      </c>
      <c r="E3717" t="s">
        <v>19</v>
      </c>
      <c r="F3717">
        <v>6500</v>
      </c>
      <c r="J3717">
        <v>777.1</v>
      </c>
      <c r="K3717">
        <v>863</v>
      </c>
      <c r="L3717">
        <v>0</v>
      </c>
      <c r="M3717" t="s">
        <v>18</v>
      </c>
      <c r="N3717">
        <v>0</v>
      </c>
      <c r="O3717">
        <v>0</v>
      </c>
    </row>
    <row r="3718" spans="1:15" x14ac:dyDescent="0.2">
      <c r="A3718" s="6">
        <v>45820</v>
      </c>
      <c r="B3718" t="s">
        <v>15</v>
      </c>
      <c r="C3718" t="s">
        <v>16</v>
      </c>
      <c r="D3718" s="1">
        <v>45855</v>
      </c>
      <c r="E3718" t="s">
        <v>17</v>
      </c>
      <c r="F3718">
        <v>6600</v>
      </c>
      <c r="J3718">
        <v>9.5</v>
      </c>
      <c r="K3718">
        <v>6.5</v>
      </c>
      <c r="L3718">
        <v>0</v>
      </c>
      <c r="M3718" t="s">
        <v>18</v>
      </c>
      <c r="N3718">
        <v>0</v>
      </c>
      <c r="O3718">
        <v>0</v>
      </c>
    </row>
    <row r="3719" spans="1:15" x14ac:dyDescent="0.2">
      <c r="A3719" s="6">
        <v>45820</v>
      </c>
      <c r="B3719" t="s">
        <v>15</v>
      </c>
      <c r="C3719" t="s">
        <v>16</v>
      </c>
      <c r="D3719" s="1">
        <v>45855</v>
      </c>
      <c r="E3719" t="s">
        <v>19</v>
      </c>
      <c r="F3719">
        <v>4800</v>
      </c>
      <c r="G3719">
        <v>38.5</v>
      </c>
      <c r="H3719">
        <v>38.5</v>
      </c>
      <c r="I3719">
        <v>27</v>
      </c>
      <c r="J3719">
        <v>34.5</v>
      </c>
      <c r="K3719">
        <v>4.8</v>
      </c>
      <c r="L3719">
        <v>3</v>
      </c>
      <c r="M3719" t="s">
        <v>34</v>
      </c>
      <c r="N3719">
        <v>14.5</v>
      </c>
      <c r="O3719">
        <v>6</v>
      </c>
    </row>
    <row r="3720" spans="1:15" x14ac:dyDescent="0.2">
      <c r="A3720" s="6">
        <v>45820</v>
      </c>
      <c r="B3720" t="s">
        <v>15</v>
      </c>
      <c r="C3720" t="s">
        <v>16</v>
      </c>
      <c r="D3720" s="1">
        <v>45855</v>
      </c>
      <c r="E3720" t="s">
        <v>19</v>
      </c>
      <c r="F3720">
        <v>6300</v>
      </c>
      <c r="J3720">
        <v>595.70000000000005</v>
      </c>
      <c r="K3720">
        <v>677</v>
      </c>
      <c r="L3720">
        <v>0</v>
      </c>
      <c r="M3720" t="s">
        <v>18</v>
      </c>
      <c r="N3720">
        <v>0</v>
      </c>
      <c r="O3720">
        <v>0</v>
      </c>
    </row>
    <row r="3721" spans="1:15" x14ac:dyDescent="0.2">
      <c r="A3721" s="6">
        <v>45820</v>
      </c>
      <c r="B3721" t="s">
        <v>15</v>
      </c>
      <c r="C3721" t="s">
        <v>16</v>
      </c>
      <c r="D3721" s="1">
        <v>45855</v>
      </c>
      <c r="E3721" t="s">
        <v>19</v>
      </c>
      <c r="F3721">
        <v>3850</v>
      </c>
      <c r="J3721">
        <v>0.1</v>
      </c>
      <c r="K3721">
        <v>0.1</v>
      </c>
      <c r="L3721">
        <v>0</v>
      </c>
      <c r="M3721" t="s">
        <v>18</v>
      </c>
      <c r="N3721">
        <v>0</v>
      </c>
      <c r="O3721">
        <v>0</v>
      </c>
    </row>
    <row r="3722" spans="1:15" x14ac:dyDescent="0.2">
      <c r="A3722" s="6">
        <v>45820</v>
      </c>
      <c r="B3722" t="s">
        <v>15</v>
      </c>
      <c r="C3722" t="s">
        <v>16</v>
      </c>
      <c r="D3722" s="1">
        <v>45855</v>
      </c>
      <c r="E3722" t="s">
        <v>19</v>
      </c>
      <c r="F3722">
        <v>3950</v>
      </c>
      <c r="J3722">
        <v>0.1</v>
      </c>
      <c r="K3722">
        <v>0.1</v>
      </c>
      <c r="L3722">
        <v>0</v>
      </c>
      <c r="M3722" t="s">
        <v>18</v>
      </c>
      <c r="N3722">
        <v>0</v>
      </c>
      <c r="O3722">
        <v>0</v>
      </c>
    </row>
    <row r="3723" spans="1:15" x14ac:dyDescent="0.2">
      <c r="A3723" s="6">
        <v>45820</v>
      </c>
      <c r="B3723" t="s">
        <v>15</v>
      </c>
      <c r="C3723" t="s">
        <v>16</v>
      </c>
      <c r="D3723" s="1">
        <v>45855</v>
      </c>
      <c r="E3723" t="s">
        <v>17</v>
      </c>
      <c r="F3723">
        <v>6400</v>
      </c>
      <c r="G3723">
        <v>100</v>
      </c>
      <c r="H3723">
        <v>100</v>
      </c>
      <c r="I3723">
        <v>100</v>
      </c>
      <c r="J3723">
        <v>100</v>
      </c>
      <c r="K3723">
        <v>15.3</v>
      </c>
      <c r="L3723">
        <v>1</v>
      </c>
      <c r="M3723" t="s">
        <v>155</v>
      </c>
      <c r="N3723">
        <v>6.5</v>
      </c>
      <c r="O3723">
        <v>1</v>
      </c>
    </row>
    <row r="3724" spans="1:15" x14ac:dyDescent="0.2">
      <c r="A3724" s="6">
        <v>45820</v>
      </c>
      <c r="B3724" t="s">
        <v>15</v>
      </c>
      <c r="C3724" t="s">
        <v>16</v>
      </c>
      <c r="D3724" s="1">
        <v>45855</v>
      </c>
      <c r="E3724" t="s">
        <v>19</v>
      </c>
      <c r="F3724">
        <v>6000</v>
      </c>
      <c r="G3724">
        <v>453.4</v>
      </c>
      <c r="H3724">
        <v>515</v>
      </c>
      <c r="I3724">
        <v>445</v>
      </c>
      <c r="J3724">
        <v>455.2</v>
      </c>
      <c r="K3724">
        <v>477.5</v>
      </c>
      <c r="L3724">
        <v>226</v>
      </c>
      <c r="M3724" t="s">
        <v>912</v>
      </c>
      <c r="N3724">
        <v>1462.28</v>
      </c>
      <c r="O3724">
        <v>231</v>
      </c>
    </row>
    <row r="3725" spans="1:15" x14ac:dyDescent="0.2">
      <c r="A3725" s="6">
        <v>45820</v>
      </c>
      <c r="B3725" t="s">
        <v>15</v>
      </c>
      <c r="C3725" t="s">
        <v>16</v>
      </c>
      <c r="D3725" s="1">
        <v>45855</v>
      </c>
      <c r="E3725" t="s">
        <v>17</v>
      </c>
      <c r="F3725">
        <v>5550</v>
      </c>
      <c r="J3725">
        <v>291.10000000000002</v>
      </c>
      <c r="K3725">
        <v>237.5</v>
      </c>
      <c r="L3725">
        <v>0</v>
      </c>
      <c r="M3725" t="s">
        <v>18</v>
      </c>
      <c r="N3725">
        <v>0</v>
      </c>
      <c r="O3725">
        <v>0</v>
      </c>
    </row>
    <row r="3726" spans="1:15" x14ac:dyDescent="0.2">
      <c r="A3726" s="6">
        <v>45819</v>
      </c>
      <c r="B3726" t="s">
        <v>15</v>
      </c>
      <c r="C3726" t="s">
        <v>16</v>
      </c>
      <c r="D3726" s="1">
        <v>45855</v>
      </c>
      <c r="E3726" t="s">
        <v>19</v>
      </c>
      <c r="F3726">
        <v>5200</v>
      </c>
      <c r="G3726">
        <v>110.7</v>
      </c>
      <c r="H3726">
        <v>116.6</v>
      </c>
      <c r="I3726">
        <v>87.4</v>
      </c>
      <c r="J3726">
        <v>91.6</v>
      </c>
      <c r="K3726">
        <v>105.5</v>
      </c>
      <c r="L3726">
        <v>653</v>
      </c>
      <c r="M3726" t="s">
        <v>804</v>
      </c>
      <c r="N3726">
        <v>3461.08</v>
      </c>
      <c r="O3726">
        <v>362</v>
      </c>
    </row>
    <row r="3727" spans="1:15" x14ac:dyDescent="0.2">
      <c r="A3727" s="6">
        <v>45819</v>
      </c>
      <c r="B3727" t="s">
        <v>15</v>
      </c>
      <c r="C3727" t="s">
        <v>16</v>
      </c>
      <c r="D3727" s="1">
        <v>45855</v>
      </c>
      <c r="E3727" t="s">
        <v>17</v>
      </c>
      <c r="F3727">
        <v>4350</v>
      </c>
      <c r="J3727">
        <v>1284.5</v>
      </c>
      <c r="K3727">
        <v>1154.3</v>
      </c>
      <c r="L3727">
        <v>0</v>
      </c>
      <c r="M3727" t="s">
        <v>18</v>
      </c>
      <c r="N3727">
        <v>0</v>
      </c>
      <c r="O3727">
        <v>0</v>
      </c>
    </row>
    <row r="3728" spans="1:15" x14ac:dyDescent="0.2">
      <c r="A3728" s="6">
        <v>45819</v>
      </c>
      <c r="B3728" t="s">
        <v>15</v>
      </c>
      <c r="C3728" t="s">
        <v>16</v>
      </c>
      <c r="D3728" s="1">
        <v>45855</v>
      </c>
      <c r="E3728" t="s">
        <v>17</v>
      </c>
      <c r="F3728">
        <v>4850</v>
      </c>
      <c r="J3728">
        <v>793.9</v>
      </c>
      <c r="K3728">
        <v>668.8</v>
      </c>
      <c r="L3728">
        <v>0</v>
      </c>
      <c r="M3728" t="s">
        <v>18</v>
      </c>
      <c r="N3728">
        <v>0</v>
      </c>
      <c r="O3728">
        <v>0</v>
      </c>
    </row>
    <row r="3729" spans="1:15" x14ac:dyDescent="0.2">
      <c r="A3729" s="6">
        <v>45819</v>
      </c>
      <c r="B3729" t="s">
        <v>15</v>
      </c>
      <c r="C3729" t="s">
        <v>16</v>
      </c>
      <c r="D3729" s="1">
        <v>45855</v>
      </c>
      <c r="E3729" t="s">
        <v>19</v>
      </c>
      <c r="F3729">
        <v>5250</v>
      </c>
      <c r="G3729">
        <v>107.7</v>
      </c>
      <c r="H3729">
        <v>107.7</v>
      </c>
      <c r="I3729">
        <v>101.7</v>
      </c>
      <c r="J3729">
        <v>103.7</v>
      </c>
      <c r="K3729">
        <v>77.8</v>
      </c>
      <c r="L3729">
        <v>3</v>
      </c>
      <c r="M3729" t="s">
        <v>34</v>
      </c>
      <c r="N3729">
        <v>16.059999999999999</v>
      </c>
      <c r="O3729">
        <v>3</v>
      </c>
    </row>
    <row r="3730" spans="1:15" x14ac:dyDescent="0.2">
      <c r="A3730" s="6">
        <v>45819</v>
      </c>
      <c r="B3730" t="s">
        <v>15</v>
      </c>
      <c r="C3730" t="s">
        <v>16</v>
      </c>
      <c r="D3730" s="1">
        <v>45855</v>
      </c>
      <c r="E3730" t="s">
        <v>17</v>
      </c>
      <c r="F3730">
        <v>5000</v>
      </c>
      <c r="G3730">
        <v>632.20000000000005</v>
      </c>
      <c r="H3730">
        <v>700.6</v>
      </c>
      <c r="I3730">
        <v>625.20000000000005</v>
      </c>
      <c r="J3730">
        <v>667.8</v>
      </c>
      <c r="K3730">
        <v>587</v>
      </c>
      <c r="L3730">
        <v>5</v>
      </c>
      <c r="M3730" t="s">
        <v>26</v>
      </c>
      <c r="N3730">
        <v>28.34</v>
      </c>
      <c r="O3730">
        <v>3</v>
      </c>
    </row>
    <row r="3731" spans="1:15" x14ac:dyDescent="0.2">
      <c r="A3731" s="6">
        <v>45819</v>
      </c>
      <c r="B3731" t="s">
        <v>15</v>
      </c>
      <c r="C3731" t="s">
        <v>16</v>
      </c>
      <c r="D3731" s="1">
        <v>45855</v>
      </c>
      <c r="E3731" t="s">
        <v>17</v>
      </c>
      <c r="F3731">
        <v>3700</v>
      </c>
      <c r="J3731">
        <v>1930.6</v>
      </c>
      <c r="K3731">
        <v>1800.1</v>
      </c>
      <c r="L3731">
        <v>0</v>
      </c>
      <c r="M3731" t="s">
        <v>18</v>
      </c>
      <c r="N3731">
        <v>0</v>
      </c>
      <c r="O3731">
        <v>0</v>
      </c>
    </row>
    <row r="3732" spans="1:15" x14ac:dyDescent="0.2">
      <c r="A3732" s="6">
        <v>45819</v>
      </c>
      <c r="B3732" t="s">
        <v>15</v>
      </c>
      <c r="C3732" t="s">
        <v>16</v>
      </c>
      <c r="D3732" s="1">
        <v>45855</v>
      </c>
      <c r="E3732" t="s">
        <v>17</v>
      </c>
      <c r="F3732">
        <v>4750</v>
      </c>
      <c r="J3732">
        <v>890.2</v>
      </c>
      <c r="K3732">
        <v>762.8</v>
      </c>
      <c r="L3732">
        <v>0</v>
      </c>
      <c r="M3732" t="s">
        <v>18</v>
      </c>
      <c r="N3732">
        <v>0</v>
      </c>
      <c r="O3732">
        <v>0</v>
      </c>
    </row>
    <row r="3733" spans="1:15" x14ac:dyDescent="0.2">
      <c r="A3733" s="6">
        <v>45819</v>
      </c>
      <c r="B3733" t="s">
        <v>15</v>
      </c>
      <c r="C3733" t="s">
        <v>16</v>
      </c>
      <c r="D3733" s="1">
        <v>45855</v>
      </c>
      <c r="E3733" t="s">
        <v>17</v>
      </c>
      <c r="F3733">
        <v>4100</v>
      </c>
      <c r="J3733">
        <v>1532.9</v>
      </c>
      <c r="K3733">
        <v>1402.5</v>
      </c>
      <c r="L3733">
        <v>0</v>
      </c>
      <c r="M3733" t="s">
        <v>18</v>
      </c>
      <c r="N3733">
        <v>0</v>
      </c>
      <c r="O3733">
        <v>0</v>
      </c>
    </row>
    <row r="3734" spans="1:15" x14ac:dyDescent="0.2">
      <c r="A3734" s="6">
        <v>45819</v>
      </c>
      <c r="B3734" t="s">
        <v>15</v>
      </c>
      <c r="C3734" t="s">
        <v>16</v>
      </c>
      <c r="D3734" s="1">
        <v>45855</v>
      </c>
      <c r="E3734" t="s">
        <v>17</v>
      </c>
      <c r="F3734">
        <v>4400</v>
      </c>
      <c r="J3734">
        <v>1234.9000000000001</v>
      </c>
      <c r="K3734">
        <v>1104.7</v>
      </c>
      <c r="L3734">
        <v>0</v>
      </c>
      <c r="M3734" t="s">
        <v>18</v>
      </c>
      <c r="N3734">
        <v>0</v>
      </c>
      <c r="O3734">
        <v>0</v>
      </c>
    </row>
    <row r="3735" spans="1:15" x14ac:dyDescent="0.2">
      <c r="A3735" s="6">
        <v>45819</v>
      </c>
      <c r="B3735" t="s">
        <v>15</v>
      </c>
      <c r="C3735" t="s">
        <v>16</v>
      </c>
      <c r="D3735" s="1">
        <v>45855</v>
      </c>
      <c r="E3735" t="s">
        <v>17</v>
      </c>
      <c r="F3735">
        <v>4450</v>
      </c>
      <c r="J3735">
        <v>1185.3</v>
      </c>
      <c r="K3735">
        <v>1055.3</v>
      </c>
      <c r="L3735">
        <v>0</v>
      </c>
      <c r="M3735" t="s">
        <v>18</v>
      </c>
      <c r="N3735">
        <v>0</v>
      </c>
      <c r="O3735">
        <v>0</v>
      </c>
    </row>
    <row r="3736" spans="1:15" x14ac:dyDescent="0.2">
      <c r="A3736" s="6">
        <v>45819</v>
      </c>
      <c r="B3736" t="s">
        <v>15</v>
      </c>
      <c r="C3736" t="s">
        <v>16</v>
      </c>
      <c r="D3736" s="1">
        <v>45855</v>
      </c>
      <c r="E3736" t="s">
        <v>17</v>
      </c>
      <c r="F3736">
        <v>5300</v>
      </c>
      <c r="G3736">
        <v>326.5</v>
      </c>
      <c r="H3736">
        <v>457</v>
      </c>
      <c r="I3736">
        <v>312.2</v>
      </c>
      <c r="J3736">
        <v>436.5</v>
      </c>
      <c r="K3736">
        <v>366.8</v>
      </c>
      <c r="L3736">
        <v>47</v>
      </c>
      <c r="M3736" t="s">
        <v>230</v>
      </c>
      <c r="N3736">
        <v>266.63</v>
      </c>
      <c r="O3736">
        <v>25</v>
      </c>
    </row>
    <row r="3737" spans="1:15" x14ac:dyDescent="0.2">
      <c r="A3737" s="6">
        <v>45819</v>
      </c>
      <c r="B3737" t="s">
        <v>15</v>
      </c>
      <c r="C3737" t="s">
        <v>16</v>
      </c>
      <c r="D3737" s="1">
        <v>45855</v>
      </c>
      <c r="E3737" t="s">
        <v>17</v>
      </c>
      <c r="F3737">
        <v>6200</v>
      </c>
      <c r="G3737">
        <v>30.1</v>
      </c>
      <c r="H3737">
        <v>60</v>
      </c>
      <c r="I3737">
        <v>30.1</v>
      </c>
      <c r="J3737">
        <v>47.4</v>
      </c>
      <c r="K3737">
        <v>17.5</v>
      </c>
      <c r="L3737">
        <v>3</v>
      </c>
      <c r="M3737" t="s">
        <v>34</v>
      </c>
      <c r="N3737">
        <v>18.739999999999998</v>
      </c>
      <c r="O3737">
        <v>1</v>
      </c>
    </row>
    <row r="3738" spans="1:15" x14ac:dyDescent="0.2">
      <c r="A3738" s="6">
        <v>45819</v>
      </c>
      <c r="B3738" t="s">
        <v>15</v>
      </c>
      <c r="C3738" t="s">
        <v>16</v>
      </c>
      <c r="D3738" s="1">
        <v>45855</v>
      </c>
      <c r="E3738" t="s">
        <v>19</v>
      </c>
      <c r="F3738">
        <v>6150</v>
      </c>
      <c r="J3738">
        <v>545.1</v>
      </c>
      <c r="K3738">
        <v>656.6</v>
      </c>
      <c r="L3738">
        <v>0</v>
      </c>
      <c r="M3738" t="s">
        <v>18</v>
      </c>
      <c r="N3738">
        <v>0</v>
      </c>
      <c r="O3738">
        <v>0</v>
      </c>
    </row>
    <row r="3739" spans="1:15" x14ac:dyDescent="0.2">
      <c r="A3739" s="6">
        <v>45819</v>
      </c>
      <c r="B3739" t="s">
        <v>15</v>
      </c>
      <c r="C3739" t="s">
        <v>16</v>
      </c>
      <c r="D3739" s="1">
        <v>45855</v>
      </c>
      <c r="E3739" t="s">
        <v>17</v>
      </c>
      <c r="F3739">
        <v>4950</v>
      </c>
      <c r="J3739">
        <v>699.8</v>
      </c>
      <c r="K3739">
        <v>578.1</v>
      </c>
      <c r="L3739">
        <v>0</v>
      </c>
      <c r="M3739" t="s">
        <v>18</v>
      </c>
      <c r="N3739">
        <v>0</v>
      </c>
      <c r="O3739">
        <v>0</v>
      </c>
    </row>
    <row r="3740" spans="1:15" x14ac:dyDescent="0.2">
      <c r="A3740" s="6">
        <v>45819</v>
      </c>
      <c r="B3740" t="s">
        <v>15</v>
      </c>
      <c r="C3740" t="s">
        <v>16</v>
      </c>
      <c r="D3740" s="1">
        <v>45855</v>
      </c>
      <c r="E3740" t="s">
        <v>17</v>
      </c>
      <c r="F3740">
        <v>5700</v>
      </c>
      <c r="G3740">
        <v>144.19999999999999</v>
      </c>
      <c r="H3740">
        <v>237.9</v>
      </c>
      <c r="I3740">
        <v>132.30000000000001</v>
      </c>
      <c r="J3740">
        <v>218.3</v>
      </c>
      <c r="K3740">
        <v>154.69999999999999</v>
      </c>
      <c r="L3740">
        <v>1135</v>
      </c>
      <c r="M3740" t="s">
        <v>1104</v>
      </c>
      <c r="N3740">
        <v>6685.8</v>
      </c>
      <c r="O3740">
        <v>209</v>
      </c>
    </row>
    <row r="3741" spans="1:15" x14ac:dyDescent="0.2">
      <c r="A3741" s="6">
        <v>45819</v>
      </c>
      <c r="B3741" t="s">
        <v>15</v>
      </c>
      <c r="C3741" t="s">
        <v>16</v>
      </c>
      <c r="D3741" s="1">
        <v>45855</v>
      </c>
      <c r="E3741" t="s">
        <v>19</v>
      </c>
      <c r="F3741">
        <v>6550</v>
      </c>
      <c r="J3741">
        <v>910.8</v>
      </c>
      <c r="K3741">
        <v>1036.3</v>
      </c>
      <c r="L3741">
        <v>0</v>
      </c>
      <c r="M3741" t="s">
        <v>18</v>
      </c>
      <c r="N3741">
        <v>0</v>
      </c>
      <c r="O3741">
        <v>0</v>
      </c>
    </row>
    <row r="3742" spans="1:15" x14ac:dyDescent="0.2">
      <c r="A3742" s="6">
        <v>45819</v>
      </c>
      <c r="B3742" t="s">
        <v>15</v>
      </c>
      <c r="C3742" t="s">
        <v>16</v>
      </c>
      <c r="D3742" s="1">
        <v>45855</v>
      </c>
      <c r="E3742" t="s">
        <v>17</v>
      </c>
      <c r="F3742">
        <v>4900</v>
      </c>
      <c r="J3742">
        <v>746.5</v>
      </c>
      <c r="K3742">
        <v>623</v>
      </c>
      <c r="L3742">
        <v>0</v>
      </c>
      <c r="M3742" t="s">
        <v>18</v>
      </c>
      <c r="N3742">
        <v>0</v>
      </c>
      <c r="O3742">
        <v>0</v>
      </c>
    </row>
    <row r="3743" spans="1:15" x14ac:dyDescent="0.2">
      <c r="A3743" s="6">
        <v>45819</v>
      </c>
      <c r="B3743" t="s">
        <v>15</v>
      </c>
      <c r="C3743" t="s">
        <v>16</v>
      </c>
      <c r="D3743" s="1">
        <v>45855</v>
      </c>
      <c r="E3743" t="s">
        <v>17</v>
      </c>
      <c r="F3743">
        <v>5950</v>
      </c>
      <c r="G3743">
        <v>128.9</v>
      </c>
      <c r="H3743">
        <v>128.9</v>
      </c>
      <c r="I3743">
        <v>128.9</v>
      </c>
      <c r="J3743">
        <v>128.9</v>
      </c>
      <c r="K3743">
        <v>46.4</v>
      </c>
      <c r="L3743">
        <v>1</v>
      </c>
      <c r="M3743" t="s">
        <v>155</v>
      </c>
      <c r="N3743">
        <v>6.08</v>
      </c>
      <c r="O3743">
        <v>1</v>
      </c>
    </row>
    <row r="3744" spans="1:15" x14ac:dyDescent="0.2">
      <c r="A3744" s="6">
        <v>45819</v>
      </c>
      <c r="B3744" t="s">
        <v>15</v>
      </c>
      <c r="C3744" t="s">
        <v>16</v>
      </c>
      <c r="D3744" s="1">
        <v>45855</v>
      </c>
      <c r="E3744" t="s">
        <v>19</v>
      </c>
      <c r="F3744">
        <v>3900</v>
      </c>
      <c r="J3744">
        <v>0.1</v>
      </c>
      <c r="K3744">
        <v>0.1</v>
      </c>
      <c r="L3744">
        <v>0</v>
      </c>
      <c r="M3744" t="s">
        <v>18</v>
      </c>
      <c r="N3744">
        <v>0</v>
      </c>
      <c r="O3744">
        <v>0</v>
      </c>
    </row>
    <row r="3745" spans="1:15" x14ac:dyDescent="0.2">
      <c r="A3745" s="6">
        <v>45819</v>
      </c>
      <c r="B3745" t="s">
        <v>15</v>
      </c>
      <c r="C3745" t="s">
        <v>16</v>
      </c>
      <c r="D3745" s="1">
        <v>45855</v>
      </c>
      <c r="E3745" t="s">
        <v>17</v>
      </c>
      <c r="F3745">
        <v>4800</v>
      </c>
      <c r="J3745">
        <v>841.8</v>
      </c>
      <c r="K3745">
        <v>715.5</v>
      </c>
      <c r="L3745">
        <v>0</v>
      </c>
      <c r="M3745" t="s">
        <v>18</v>
      </c>
      <c r="N3745">
        <v>0</v>
      </c>
      <c r="O3745">
        <v>0</v>
      </c>
    </row>
    <row r="3746" spans="1:15" x14ac:dyDescent="0.2">
      <c r="A3746" s="6">
        <v>45819</v>
      </c>
      <c r="B3746" t="s">
        <v>15</v>
      </c>
      <c r="C3746" t="s">
        <v>16</v>
      </c>
      <c r="D3746" s="1">
        <v>45855</v>
      </c>
      <c r="E3746" t="s">
        <v>19</v>
      </c>
      <c r="F3746">
        <v>4200</v>
      </c>
      <c r="J3746">
        <v>0.1</v>
      </c>
      <c r="K3746">
        <v>0.1</v>
      </c>
      <c r="L3746">
        <v>0</v>
      </c>
      <c r="M3746" t="s">
        <v>18</v>
      </c>
      <c r="N3746">
        <v>0</v>
      </c>
      <c r="O3746">
        <v>0</v>
      </c>
    </row>
    <row r="3747" spans="1:15" x14ac:dyDescent="0.2">
      <c r="A3747" s="6">
        <v>45819</v>
      </c>
      <c r="B3747" t="s">
        <v>15</v>
      </c>
      <c r="C3747" t="s">
        <v>16</v>
      </c>
      <c r="D3747" s="1">
        <v>45855</v>
      </c>
      <c r="E3747" t="s">
        <v>19</v>
      </c>
      <c r="F3747">
        <v>3600</v>
      </c>
      <c r="J3747">
        <v>0.1</v>
      </c>
      <c r="K3747">
        <v>0.1</v>
      </c>
      <c r="L3747">
        <v>0</v>
      </c>
      <c r="M3747" t="s">
        <v>18</v>
      </c>
      <c r="N3747">
        <v>0</v>
      </c>
      <c r="O3747">
        <v>0</v>
      </c>
    </row>
    <row r="3748" spans="1:15" x14ac:dyDescent="0.2">
      <c r="A3748" s="6">
        <v>45819</v>
      </c>
      <c r="B3748" t="s">
        <v>15</v>
      </c>
      <c r="C3748" t="s">
        <v>16</v>
      </c>
      <c r="D3748" s="1">
        <v>45855</v>
      </c>
      <c r="E3748" t="s">
        <v>19</v>
      </c>
      <c r="F3748">
        <v>4900</v>
      </c>
      <c r="J3748">
        <v>8.9</v>
      </c>
      <c r="K3748">
        <v>15.7</v>
      </c>
      <c r="L3748">
        <v>0</v>
      </c>
      <c r="M3748" t="s">
        <v>18</v>
      </c>
      <c r="N3748">
        <v>0</v>
      </c>
      <c r="O3748">
        <v>0</v>
      </c>
    </row>
    <row r="3749" spans="1:15" x14ac:dyDescent="0.2">
      <c r="A3749" s="6">
        <v>45819</v>
      </c>
      <c r="B3749" t="s">
        <v>15</v>
      </c>
      <c r="C3749" t="s">
        <v>16</v>
      </c>
      <c r="D3749" s="1">
        <v>45855</v>
      </c>
      <c r="E3749" t="s">
        <v>17</v>
      </c>
      <c r="F3749">
        <v>5100</v>
      </c>
      <c r="G3749">
        <v>474.4</v>
      </c>
      <c r="H3749">
        <v>545</v>
      </c>
      <c r="I3749">
        <v>474.4</v>
      </c>
      <c r="J3749">
        <v>517.29999999999995</v>
      </c>
      <c r="K3749">
        <v>538.29999999999995</v>
      </c>
      <c r="L3749">
        <v>9</v>
      </c>
      <c r="M3749" t="s">
        <v>343</v>
      </c>
      <c r="N3749">
        <v>50.56</v>
      </c>
      <c r="O3749">
        <v>6</v>
      </c>
    </row>
    <row r="3750" spans="1:15" x14ac:dyDescent="0.2">
      <c r="A3750" s="6">
        <v>45819</v>
      </c>
      <c r="B3750" t="s">
        <v>15</v>
      </c>
      <c r="C3750" t="s">
        <v>16</v>
      </c>
      <c r="D3750" s="1">
        <v>45855</v>
      </c>
      <c r="E3750" t="s">
        <v>17</v>
      </c>
      <c r="F3750">
        <v>5250</v>
      </c>
      <c r="J3750">
        <v>440.3</v>
      </c>
      <c r="K3750">
        <v>337.3</v>
      </c>
      <c r="L3750">
        <v>0</v>
      </c>
      <c r="M3750" t="s">
        <v>18</v>
      </c>
      <c r="N3750">
        <v>0</v>
      </c>
      <c r="O3750">
        <v>0</v>
      </c>
    </row>
    <row r="3751" spans="1:15" x14ac:dyDescent="0.2">
      <c r="A3751" s="6">
        <v>45819</v>
      </c>
      <c r="B3751" t="s">
        <v>15</v>
      </c>
      <c r="C3751" t="s">
        <v>16</v>
      </c>
      <c r="D3751" s="1">
        <v>45855</v>
      </c>
      <c r="E3751" t="s">
        <v>17</v>
      </c>
      <c r="F3751">
        <v>4200</v>
      </c>
      <c r="J3751">
        <v>1433.5</v>
      </c>
      <c r="K3751">
        <v>1303.0999999999999</v>
      </c>
      <c r="L3751">
        <v>0</v>
      </c>
      <c r="M3751" t="s">
        <v>18</v>
      </c>
      <c r="N3751">
        <v>0</v>
      </c>
      <c r="O3751">
        <v>0</v>
      </c>
    </row>
    <row r="3752" spans="1:15" x14ac:dyDescent="0.2">
      <c r="A3752" s="6">
        <v>45819</v>
      </c>
      <c r="B3752" t="s">
        <v>15</v>
      </c>
      <c r="C3752" t="s">
        <v>16</v>
      </c>
      <c r="D3752" s="1">
        <v>45855</v>
      </c>
      <c r="E3752" t="s">
        <v>19</v>
      </c>
      <c r="F3752">
        <v>6050</v>
      </c>
      <c r="J3752">
        <v>462.5</v>
      </c>
      <c r="K3752">
        <v>567.6</v>
      </c>
      <c r="L3752">
        <v>0</v>
      </c>
      <c r="M3752" t="s">
        <v>18</v>
      </c>
      <c r="N3752">
        <v>0</v>
      </c>
      <c r="O3752">
        <v>0</v>
      </c>
    </row>
    <row r="3753" spans="1:15" x14ac:dyDescent="0.2">
      <c r="A3753" s="6">
        <v>45819</v>
      </c>
      <c r="B3753" t="s">
        <v>15</v>
      </c>
      <c r="C3753" t="s">
        <v>16</v>
      </c>
      <c r="D3753" s="1">
        <v>45855</v>
      </c>
      <c r="E3753" t="s">
        <v>19</v>
      </c>
      <c r="F3753">
        <v>6650</v>
      </c>
      <c r="J3753">
        <v>1007.3</v>
      </c>
      <c r="K3753">
        <v>1134.3</v>
      </c>
      <c r="L3753">
        <v>0</v>
      </c>
      <c r="M3753" t="s">
        <v>18</v>
      </c>
      <c r="N3753">
        <v>0</v>
      </c>
      <c r="O3753">
        <v>0</v>
      </c>
    </row>
    <row r="3754" spans="1:15" x14ac:dyDescent="0.2">
      <c r="A3754" s="6">
        <v>45819</v>
      </c>
      <c r="B3754" t="s">
        <v>15</v>
      </c>
      <c r="C3754" t="s">
        <v>16</v>
      </c>
      <c r="D3754" s="1">
        <v>45855</v>
      </c>
      <c r="E3754" t="s">
        <v>19</v>
      </c>
      <c r="F3754">
        <v>5100</v>
      </c>
      <c r="G3754">
        <v>88.1</v>
      </c>
      <c r="H3754">
        <v>90</v>
      </c>
      <c r="I3754">
        <v>70.5</v>
      </c>
      <c r="J3754">
        <v>75.2</v>
      </c>
      <c r="K3754">
        <v>78</v>
      </c>
      <c r="L3754">
        <v>43</v>
      </c>
      <c r="M3754" t="s">
        <v>250</v>
      </c>
      <c r="N3754">
        <v>222.73</v>
      </c>
      <c r="O3754">
        <v>17</v>
      </c>
    </row>
    <row r="3755" spans="1:15" x14ac:dyDescent="0.2">
      <c r="A3755" s="6">
        <v>45819</v>
      </c>
      <c r="B3755" t="s">
        <v>15</v>
      </c>
      <c r="C3755" t="s">
        <v>16</v>
      </c>
      <c r="D3755" s="1">
        <v>45855</v>
      </c>
      <c r="E3755" t="s">
        <v>17</v>
      </c>
      <c r="F3755">
        <v>4650</v>
      </c>
      <c r="J3755">
        <v>987.8</v>
      </c>
      <c r="K3755">
        <v>859.1</v>
      </c>
      <c r="L3755">
        <v>0</v>
      </c>
      <c r="M3755" t="s">
        <v>18</v>
      </c>
      <c r="N3755">
        <v>0</v>
      </c>
      <c r="O3755">
        <v>0</v>
      </c>
    </row>
    <row r="3756" spans="1:15" x14ac:dyDescent="0.2">
      <c r="A3756" s="6">
        <v>45819</v>
      </c>
      <c r="B3756" t="s">
        <v>15</v>
      </c>
      <c r="C3756" t="s">
        <v>16</v>
      </c>
      <c r="D3756" s="1">
        <v>45855</v>
      </c>
      <c r="E3756" t="s">
        <v>19</v>
      </c>
      <c r="F3756">
        <v>5800</v>
      </c>
      <c r="G3756">
        <v>340</v>
      </c>
      <c r="H3756">
        <v>341.5</v>
      </c>
      <c r="I3756">
        <v>340</v>
      </c>
      <c r="J3756">
        <v>340.9</v>
      </c>
      <c r="K3756">
        <v>365.1</v>
      </c>
      <c r="L3756">
        <v>5</v>
      </c>
      <c r="M3756" t="s">
        <v>26</v>
      </c>
      <c r="N3756">
        <v>30.7</v>
      </c>
      <c r="O3756">
        <v>4</v>
      </c>
    </row>
    <row r="3757" spans="1:15" x14ac:dyDescent="0.2">
      <c r="A3757" s="6">
        <v>45819</v>
      </c>
      <c r="B3757" t="s">
        <v>15</v>
      </c>
      <c r="C3757" t="s">
        <v>16</v>
      </c>
      <c r="D3757" s="1">
        <v>45855</v>
      </c>
      <c r="E3757" t="s">
        <v>17</v>
      </c>
      <c r="F3757">
        <v>3600</v>
      </c>
      <c r="J3757">
        <v>2030</v>
      </c>
      <c r="K3757">
        <v>1899.5</v>
      </c>
      <c r="L3757">
        <v>0</v>
      </c>
      <c r="M3757" t="s">
        <v>18</v>
      </c>
      <c r="N3757">
        <v>0</v>
      </c>
      <c r="O3757">
        <v>0</v>
      </c>
    </row>
    <row r="3758" spans="1:15" x14ac:dyDescent="0.2">
      <c r="A3758" s="6">
        <v>45819</v>
      </c>
      <c r="B3758" t="s">
        <v>15</v>
      </c>
      <c r="C3758" t="s">
        <v>16</v>
      </c>
      <c r="D3758" s="1">
        <v>45855</v>
      </c>
      <c r="E3758" t="s">
        <v>19</v>
      </c>
      <c r="F3758">
        <v>5450</v>
      </c>
      <c r="G3758">
        <v>166.9</v>
      </c>
      <c r="H3758">
        <v>168.1</v>
      </c>
      <c r="I3758">
        <v>166.9</v>
      </c>
      <c r="J3758">
        <v>167.9</v>
      </c>
      <c r="K3758">
        <v>153</v>
      </c>
      <c r="L3758">
        <v>5</v>
      </c>
      <c r="M3758" t="s">
        <v>26</v>
      </c>
      <c r="N3758">
        <v>28.09</v>
      </c>
      <c r="O3758">
        <v>5</v>
      </c>
    </row>
    <row r="3759" spans="1:15" x14ac:dyDescent="0.2">
      <c r="A3759" s="6">
        <v>45819</v>
      </c>
      <c r="B3759" t="s">
        <v>15</v>
      </c>
      <c r="C3759" t="s">
        <v>16</v>
      </c>
      <c r="D3759" s="1">
        <v>45855</v>
      </c>
      <c r="E3759" t="s">
        <v>17</v>
      </c>
      <c r="F3759">
        <v>6700</v>
      </c>
      <c r="J3759">
        <v>4.0999999999999996</v>
      </c>
      <c r="K3759">
        <v>1.7</v>
      </c>
      <c r="L3759">
        <v>0</v>
      </c>
      <c r="M3759" t="s">
        <v>18</v>
      </c>
      <c r="N3759">
        <v>0</v>
      </c>
      <c r="O3759">
        <v>0</v>
      </c>
    </row>
    <row r="3760" spans="1:15" x14ac:dyDescent="0.2">
      <c r="A3760" s="6">
        <v>45819</v>
      </c>
      <c r="B3760" t="s">
        <v>15</v>
      </c>
      <c r="C3760" t="s">
        <v>16</v>
      </c>
      <c r="D3760" s="1">
        <v>45855</v>
      </c>
      <c r="E3760" t="s">
        <v>19</v>
      </c>
      <c r="F3760">
        <v>4550</v>
      </c>
      <c r="J3760">
        <v>0.8</v>
      </c>
      <c r="K3760">
        <v>1.6</v>
      </c>
      <c r="L3760">
        <v>0</v>
      </c>
      <c r="M3760" t="s">
        <v>18</v>
      </c>
      <c r="N3760">
        <v>0</v>
      </c>
      <c r="O3760">
        <v>0</v>
      </c>
    </row>
    <row r="3761" spans="1:15" x14ac:dyDescent="0.2">
      <c r="A3761" s="6">
        <v>45819</v>
      </c>
      <c r="B3761" t="s">
        <v>15</v>
      </c>
      <c r="C3761" t="s">
        <v>16</v>
      </c>
      <c r="D3761" s="1">
        <v>45855</v>
      </c>
      <c r="E3761" t="s">
        <v>19</v>
      </c>
      <c r="F3761">
        <v>6400</v>
      </c>
      <c r="J3761">
        <v>768.9</v>
      </c>
      <c r="K3761">
        <v>890.9</v>
      </c>
      <c r="L3761">
        <v>0</v>
      </c>
      <c r="M3761" t="s">
        <v>18</v>
      </c>
      <c r="N3761">
        <v>0</v>
      </c>
      <c r="O3761">
        <v>0</v>
      </c>
    </row>
    <row r="3762" spans="1:15" x14ac:dyDescent="0.2">
      <c r="A3762" s="6">
        <v>45819</v>
      </c>
      <c r="B3762" t="s">
        <v>15</v>
      </c>
      <c r="C3762" t="s">
        <v>16</v>
      </c>
      <c r="D3762" s="1">
        <v>45855</v>
      </c>
      <c r="E3762" t="s">
        <v>19</v>
      </c>
      <c r="F3762">
        <v>3750</v>
      </c>
      <c r="J3762">
        <v>0.1</v>
      </c>
      <c r="K3762">
        <v>0.1</v>
      </c>
      <c r="L3762">
        <v>0</v>
      </c>
      <c r="M3762" t="s">
        <v>18</v>
      </c>
      <c r="N3762">
        <v>0</v>
      </c>
      <c r="O3762">
        <v>0</v>
      </c>
    </row>
    <row r="3763" spans="1:15" x14ac:dyDescent="0.2">
      <c r="A3763" s="6">
        <v>45819</v>
      </c>
      <c r="B3763" t="s">
        <v>15</v>
      </c>
      <c r="C3763" t="s">
        <v>16</v>
      </c>
      <c r="D3763" s="1">
        <v>45855</v>
      </c>
      <c r="E3763" t="s">
        <v>19</v>
      </c>
      <c r="F3763">
        <v>4700</v>
      </c>
      <c r="J3763">
        <v>2.4</v>
      </c>
      <c r="K3763">
        <v>4.5999999999999996</v>
      </c>
      <c r="L3763">
        <v>0</v>
      </c>
      <c r="M3763" t="s">
        <v>18</v>
      </c>
      <c r="N3763">
        <v>0</v>
      </c>
      <c r="O3763">
        <v>0</v>
      </c>
    </row>
    <row r="3764" spans="1:15" x14ac:dyDescent="0.2">
      <c r="A3764" s="6">
        <v>45819</v>
      </c>
      <c r="B3764" t="s">
        <v>15</v>
      </c>
      <c r="C3764" t="s">
        <v>16</v>
      </c>
      <c r="D3764" s="1">
        <v>45855</v>
      </c>
      <c r="E3764" t="s">
        <v>17</v>
      </c>
      <c r="F3764">
        <v>3750</v>
      </c>
      <c r="J3764">
        <v>1880.9</v>
      </c>
      <c r="K3764">
        <v>1750.4</v>
      </c>
      <c r="L3764">
        <v>0</v>
      </c>
      <c r="M3764" t="s">
        <v>18</v>
      </c>
      <c r="N3764">
        <v>0</v>
      </c>
      <c r="O3764">
        <v>0</v>
      </c>
    </row>
    <row r="3765" spans="1:15" x14ac:dyDescent="0.2">
      <c r="A3765" s="6">
        <v>45819</v>
      </c>
      <c r="B3765" t="s">
        <v>15</v>
      </c>
      <c r="C3765" t="s">
        <v>16</v>
      </c>
      <c r="D3765" s="1">
        <v>45855</v>
      </c>
      <c r="E3765" t="s">
        <v>17</v>
      </c>
      <c r="F3765">
        <v>6650</v>
      </c>
      <c r="J3765">
        <v>5.2</v>
      </c>
      <c r="K3765">
        <v>2.2000000000000002</v>
      </c>
      <c r="L3765">
        <v>0</v>
      </c>
      <c r="M3765" t="s">
        <v>18</v>
      </c>
      <c r="N3765">
        <v>0</v>
      </c>
      <c r="O3765">
        <v>0</v>
      </c>
    </row>
    <row r="3766" spans="1:15" x14ac:dyDescent="0.2">
      <c r="A3766" s="6">
        <v>45819</v>
      </c>
      <c r="B3766" t="s">
        <v>15</v>
      </c>
      <c r="C3766" t="s">
        <v>16</v>
      </c>
      <c r="D3766" s="1">
        <v>45855</v>
      </c>
      <c r="E3766" t="s">
        <v>17</v>
      </c>
      <c r="F3766">
        <v>6050</v>
      </c>
      <c r="G3766">
        <v>87</v>
      </c>
      <c r="H3766">
        <v>87</v>
      </c>
      <c r="I3766">
        <v>87</v>
      </c>
      <c r="J3766">
        <v>87</v>
      </c>
      <c r="K3766">
        <v>31.9</v>
      </c>
      <c r="L3766">
        <v>1</v>
      </c>
      <c r="M3766" t="s">
        <v>155</v>
      </c>
      <c r="N3766">
        <v>6.14</v>
      </c>
      <c r="O3766">
        <v>1</v>
      </c>
    </row>
    <row r="3767" spans="1:15" x14ac:dyDescent="0.2">
      <c r="A3767" s="6">
        <v>45819</v>
      </c>
      <c r="B3767" t="s">
        <v>15</v>
      </c>
      <c r="C3767" t="s">
        <v>16</v>
      </c>
      <c r="D3767" s="1">
        <v>45855</v>
      </c>
      <c r="E3767" t="s">
        <v>19</v>
      </c>
      <c r="F3767">
        <v>6750</v>
      </c>
      <c r="J3767">
        <v>1104.7</v>
      </c>
      <c r="K3767">
        <v>1232.8</v>
      </c>
      <c r="L3767">
        <v>0</v>
      </c>
      <c r="M3767" t="s">
        <v>18</v>
      </c>
      <c r="N3767">
        <v>0</v>
      </c>
      <c r="O3767">
        <v>0</v>
      </c>
    </row>
    <row r="3768" spans="1:15" x14ac:dyDescent="0.2">
      <c r="A3768" s="6">
        <v>45819</v>
      </c>
      <c r="B3768" t="s">
        <v>15</v>
      </c>
      <c r="C3768" t="s">
        <v>16</v>
      </c>
      <c r="D3768" s="1">
        <v>45855</v>
      </c>
      <c r="E3768" t="s">
        <v>19</v>
      </c>
      <c r="F3768">
        <v>5300</v>
      </c>
      <c r="G3768">
        <v>140</v>
      </c>
      <c r="H3768">
        <v>150.80000000000001</v>
      </c>
      <c r="I3768">
        <v>109.1</v>
      </c>
      <c r="J3768">
        <v>112.8</v>
      </c>
      <c r="K3768">
        <v>133.9</v>
      </c>
      <c r="L3768">
        <v>617</v>
      </c>
      <c r="M3768" t="s">
        <v>875</v>
      </c>
      <c r="N3768">
        <v>3350.94</v>
      </c>
      <c r="O3768">
        <v>164</v>
      </c>
    </row>
    <row r="3769" spans="1:15" x14ac:dyDescent="0.2">
      <c r="A3769" s="6">
        <v>45819</v>
      </c>
      <c r="B3769" t="s">
        <v>15</v>
      </c>
      <c r="C3769" t="s">
        <v>16</v>
      </c>
      <c r="D3769" s="1">
        <v>45855</v>
      </c>
      <c r="E3769" t="s">
        <v>19</v>
      </c>
      <c r="F3769">
        <v>5400</v>
      </c>
      <c r="G3769">
        <v>183.3</v>
      </c>
      <c r="H3769">
        <v>188.1</v>
      </c>
      <c r="I3769">
        <v>137.5</v>
      </c>
      <c r="J3769">
        <v>141.19999999999999</v>
      </c>
      <c r="K3769">
        <v>173.7</v>
      </c>
      <c r="L3769">
        <v>1413</v>
      </c>
      <c r="M3769" t="s">
        <v>1001</v>
      </c>
      <c r="N3769">
        <v>7859.17</v>
      </c>
      <c r="O3769">
        <v>503</v>
      </c>
    </row>
    <row r="3770" spans="1:15" x14ac:dyDescent="0.2">
      <c r="A3770" s="6">
        <v>45819</v>
      </c>
      <c r="B3770" t="s">
        <v>15</v>
      </c>
      <c r="C3770" t="s">
        <v>16</v>
      </c>
      <c r="D3770" s="1">
        <v>45855</v>
      </c>
      <c r="E3770" t="s">
        <v>19</v>
      </c>
      <c r="F3770">
        <v>5700</v>
      </c>
      <c r="G3770">
        <v>312.10000000000002</v>
      </c>
      <c r="H3770">
        <v>318.89999999999998</v>
      </c>
      <c r="I3770">
        <v>278.3</v>
      </c>
      <c r="J3770">
        <v>282.60000000000002</v>
      </c>
      <c r="K3770">
        <v>300</v>
      </c>
      <c r="L3770">
        <v>127</v>
      </c>
      <c r="M3770" t="s">
        <v>403</v>
      </c>
      <c r="N3770">
        <v>761.16</v>
      </c>
      <c r="O3770">
        <v>63</v>
      </c>
    </row>
    <row r="3771" spans="1:15" x14ac:dyDescent="0.2">
      <c r="A3771" s="6">
        <v>45819</v>
      </c>
      <c r="B3771" t="s">
        <v>15</v>
      </c>
      <c r="C3771" t="s">
        <v>16</v>
      </c>
      <c r="D3771" s="1">
        <v>45855</v>
      </c>
      <c r="E3771" t="s">
        <v>17</v>
      </c>
      <c r="F3771">
        <v>6550</v>
      </c>
      <c r="J3771">
        <v>8.1</v>
      </c>
      <c r="K3771">
        <v>3.6</v>
      </c>
      <c r="L3771">
        <v>0</v>
      </c>
      <c r="M3771" t="s">
        <v>18</v>
      </c>
      <c r="N3771">
        <v>0</v>
      </c>
      <c r="O3771">
        <v>0</v>
      </c>
    </row>
    <row r="3772" spans="1:15" x14ac:dyDescent="0.2">
      <c r="A3772" s="6">
        <v>45819</v>
      </c>
      <c r="B3772" t="s">
        <v>15</v>
      </c>
      <c r="C3772" t="s">
        <v>16</v>
      </c>
      <c r="D3772" s="1">
        <v>45855</v>
      </c>
      <c r="E3772" t="s">
        <v>19</v>
      </c>
      <c r="F3772">
        <v>3700</v>
      </c>
      <c r="J3772">
        <v>0.1</v>
      </c>
      <c r="K3772">
        <v>0.1</v>
      </c>
      <c r="L3772">
        <v>0</v>
      </c>
      <c r="M3772" t="s">
        <v>18</v>
      </c>
      <c r="N3772">
        <v>0</v>
      </c>
      <c r="O3772">
        <v>0</v>
      </c>
    </row>
    <row r="3773" spans="1:15" x14ac:dyDescent="0.2">
      <c r="A3773" s="6">
        <v>45819</v>
      </c>
      <c r="B3773" t="s">
        <v>15</v>
      </c>
      <c r="C3773" t="s">
        <v>16</v>
      </c>
      <c r="D3773" s="1">
        <v>45855</v>
      </c>
      <c r="E3773" t="s">
        <v>19</v>
      </c>
      <c r="F3773">
        <v>5050</v>
      </c>
      <c r="J3773">
        <v>20.2</v>
      </c>
      <c r="K3773">
        <v>33.5</v>
      </c>
      <c r="L3773">
        <v>0</v>
      </c>
      <c r="M3773" t="s">
        <v>18</v>
      </c>
      <c r="N3773">
        <v>0</v>
      </c>
      <c r="O3773">
        <v>0</v>
      </c>
    </row>
    <row r="3774" spans="1:15" x14ac:dyDescent="0.2">
      <c r="A3774" s="6">
        <v>45819</v>
      </c>
      <c r="B3774" t="s">
        <v>15</v>
      </c>
      <c r="C3774" t="s">
        <v>16</v>
      </c>
      <c r="D3774" s="1">
        <v>45855</v>
      </c>
      <c r="E3774" t="s">
        <v>19</v>
      </c>
      <c r="F3774">
        <v>4450</v>
      </c>
      <c r="J3774">
        <v>0.3</v>
      </c>
      <c r="K3774">
        <v>0.7</v>
      </c>
      <c r="L3774">
        <v>0</v>
      </c>
      <c r="M3774" t="s">
        <v>18</v>
      </c>
      <c r="N3774">
        <v>0</v>
      </c>
      <c r="O3774">
        <v>0</v>
      </c>
    </row>
    <row r="3775" spans="1:15" x14ac:dyDescent="0.2">
      <c r="A3775" s="6">
        <v>45819</v>
      </c>
      <c r="B3775" t="s">
        <v>15</v>
      </c>
      <c r="C3775" t="s">
        <v>16</v>
      </c>
      <c r="D3775" s="1">
        <v>45855</v>
      </c>
      <c r="E3775" t="s">
        <v>17</v>
      </c>
      <c r="F3775">
        <v>3850</v>
      </c>
      <c r="J3775">
        <v>1781.5</v>
      </c>
      <c r="K3775">
        <v>1651</v>
      </c>
      <c r="L3775">
        <v>0</v>
      </c>
      <c r="M3775" t="s">
        <v>18</v>
      </c>
      <c r="N3775">
        <v>0</v>
      </c>
      <c r="O3775">
        <v>0</v>
      </c>
    </row>
    <row r="3776" spans="1:15" x14ac:dyDescent="0.2">
      <c r="A3776" s="6">
        <v>45819</v>
      </c>
      <c r="B3776" t="s">
        <v>15</v>
      </c>
      <c r="C3776" t="s">
        <v>16</v>
      </c>
      <c r="D3776" s="1">
        <v>45855</v>
      </c>
      <c r="E3776" t="s">
        <v>19</v>
      </c>
      <c r="F3776">
        <v>4250</v>
      </c>
      <c r="J3776">
        <v>0.1</v>
      </c>
      <c r="K3776">
        <v>0.1</v>
      </c>
      <c r="L3776">
        <v>0</v>
      </c>
      <c r="M3776" t="s">
        <v>18</v>
      </c>
      <c r="N3776">
        <v>0</v>
      </c>
      <c r="O3776">
        <v>0</v>
      </c>
    </row>
    <row r="3777" spans="1:15" x14ac:dyDescent="0.2">
      <c r="A3777" s="6">
        <v>45819</v>
      </c>
      <c r="B3777" t="s">
        <v>15</v>
      </c>
      <c r="C3777" t="s">
        <v>16</v>
      </c>
      <c r="D3777" s="1">
        <v>45855</v>
      </c>
      <c r="E3777" t="s">
        <v>17</v>
      </c>
      <c r="F3777">
        <v>5600</v>
      </c>
      <c r="G3777">
        <v>180</v>
      </c>
      <c r="H3777">
        <v>285</v>
      </c>
      <c r="I3777">
        <v>165</v>
      </c>
      <c r="J3777">
        <v>267.2</v>
      </c>
      <c r="K3777">
        <v>192.4</v>
      </c>
      <c r="L3777">
        <v>2886</v>
      </c>
      <c r="M3777" t="s">
        <v>1597</v>
      </c>
      <c r="N3777">
        <v>16783.52</v>
      </c>
      <c r="O3777">
        <v>404</v>
      </c>
    </row>
    <row r="3778" spans="1:15" x14ac:dyDescent="0.2">
      <c r="A3778" s="6">
        <v>45819</v>
      </c>
      <c r="B3778" t="s">
        <v>15</v>
      </c>
      <c r="C3778" t="s">
        <v>16</v>
      </c>
      <c r="D3778" s="1">
        <v>45855</v>
      </c>
      <c r="E3778" t="s">
        <v>19</v>
      </c>
      <c r="F3778">
        <v>4950</v>
      </c>
      <c r="J3778">
        <v>11.9</v>
      </c>
      <c r="K3778">
        <v>20.399999999999999</v>
      </c>
      <c r="L3778">
        <v>0</v>
      </c>
      <c r="M3778" t="s">
        <v>18</v>
      </c>
      <c r="N3778">
        <v>0</v>
      </c>
      <c r="O3778">
        <v>0</v>
      </c>
    </row>
    <row r="3779" spans="1:15" x14ac:dyDescent="0.2">
      <c r="A3779" s="6">
        <v>45819</v>
      </c>
      <c r="B3779" t="s">
        <v>15</v>
      </c>
      <c r="C3779" t="s">
        <v>16</v>
      </c>
      <c r="D3779" s="1">
        <v>45855</v>
      </c>
      <c r="E3779" t="s">
        <v>17</v>
      </c>
      <c r="F3779">
        <v>6750</v>
      </c>
      <c r="J3779">
        <v>3.2</v>
      </c>
      <c r="K3779">
        <v>1.3</v>
      </c>
      <c r="L3779">
        <v>0</v>
      </c>
      <c r="M3779" t="s">
        <v>18</v>
      </c>
      <c r="N3779">
        <v>0</v>
      </c>
      <c r="O3779">
        <v>0</v>
      </c>
    </row>
    <row r="3780" spans="1:15" x14ac:dyDescent="0.2">
      <c r="A3780" s="6">
        <v>45819</v>
      </c>
      <c r="B3780" t="s">
        <v>15</v>
      </c>
      <c r="C3780" t="s">
        <v>16</v>
      </c>
      <c r="D3780" s="1">
        <v>45855</v>
      </c>
      <c r="E3780" t="s">
        <v>19</v>
      </c>
      <c r="F3780">
        <v>4600</v>
      </c>
      <c r="J3780">
        <v>1.1000000000000001</v>
      </c>
      <c r="K3780">
        <v>2.2999999999999998</v>
      </c>
      <c r="L3780">
        <v>0</v>
      </c>
      <c r="M3780" t="s">
        <v>18</v>
      </c>
      <c r="N3780">
        <v>0</v>
      </c>
      <c r="O3780">
        <v>0</v>
      </c>
    </row>
    <row r="3781" spans="1:15" x14ac:dyDescent="0.2">
      <c r="A3781" s="6">
        <v>45819</v>
      </c>
      <c r="B3781" t="s">
        <v>15</v>
      </c>
      <c r="C3781" t="s">
        <v>16</v>
      </c>
      <c r="D3781" s="1">
        <v>45855</v>
      </c>
      <c r="E3781" t="s">
        <v>17</v>
      </c>
      <c r="F3781">
        <v>5550</v>
      </c>
      <c r="J3781">
        <v>237.5</v>
      </c>
      <c r="K3781">
        <v>164.6</v>
      </c>
      <c r="L3781">
        <v>0</v>
      </c>
      <c r="M3781" t="s">
        <v>18</v>
      </c>
      <c r="N3781">
        <v>0</v>
      </c>
      <c r="O3781">
        <v>0</v>
      </c>
    </row>
    <row r="3782" spans="1:15" x14ac:dyDescent="0.2">
      <c r="A3782" s="6">
        <v>45819</v>
      </c>
      <c r="B3782" t="s">
        <v>15</v>
      </c>
      <c r="C3782" t="s">
        <v>16</v>
      </c>
      <c r="D3782" s="1">
        <v>45855</v>
      </c>
      <c r="E3782" t="s">
        <v>19</v>
      </c>
      <c r="F3782">
        <v>6200</v>
      </c>
      <c r="J3782">
        <v>588.20000000000005</v>
      </c>
      <c r="K3782">
        <v>702.3</v>
      </c>
      <c r="L3782">
        <v>0</v>
      </c>
      <c r="M3782" t="s">
        <v>18</v>
      </c>
      <c r="N3782">
        <v>0</v>
      </c>
      <c r="O3782">
        <v>0</v>
      </c>
    </row>
    <row r="3783" spans="1:15" x14ac:dyDescent="0.2">
      <c r="A3783" s="6">
        <v>45819</v>
      </c>
      <c r="B3783" t="s">
        <v>15</v>
      </c>
      <c r="C3783" t="s">
        <v>16</v>
      </c>
      <c r="D3783" s="1">
        <v>45855</v>
      </c>
      <c r="E3783" t="s">
        <v>19</v>
      </c>
      <c r="F3783">
        <v>5900</v>
      </c>
      <c r="J3783">
        <v>348.7</v>
      </c>
      <c r="K3783">
        <v>442.1</v>
      </c>
      <c r="L3783">
        <v>0</v>
      </c>
      <c r="M3783" t="s">
        <v>18</v>
      </c>
      <c r="N3783">
        <v>0</v>
      </c>
      <c r="O3783">
        <v>0</v>
      </c>
    </row>
    <row r="3784" spans="1:15" x14ac:dyDescent="0.2">
      <c r="A3784" s="6">
        <v>45819</v>
      </c>
      <c r="B3784" t="s">
        <v>15</v>
      </c>
      <c r="C3784" t="s">
        <v>16</v>
      </c>
      <c r="D3784" s="1">
        <v>45855</v>
      </c>
      <c r="E3784" t="s">
        <v>17</v>
      </c>
      <c r="F3784">
        <v>3800</v>
      </c>
      <c r="J3784">
        <v>1831.2</v>
      </c>
      <c r="K3784">
        <v>1700.7</v>
      </c>
      <c r="L3784">
        <v>0</v>
      </c>
      <c r="M3784" t="s">
        <v>18</v>
      </c>
      <c r="N3784">
        <v>0</v>
      </c>
      <c r="O3784">
        <v>0</v>
      </c>
    </row>
    <row r="3785" spans="1:15" x14ac:dyDescent="0.2">
      <c r="A3785" s="6">
        <v>45819</v>
      </c>
      <c r="B3785" t="s">
        <v>15</v>
      </c>
      <c r="C3785" t="s">
        <v>16</v>
      </c>
      <c r="D3785" s="1">
        <v>45855</v>
      </c>
      <c r="E3785" t="s">
        <v>17</v>
      </c>
      <c r="F3785">
        <v>5750</v>
      </c>
      <c r="G3785">
        <v>209.1</v>
      </c>
      <c r="H3785">
        <v>209.1</v>
      </c>
      <c r="I3785">
        <v>209.1</v>
      </c>
      <c r="J3785">
        <v>209.1</v>
      </c>
      <c r="K3785">
        <v>91.4</v>
      </c>
      <c r="L3785">
        <v>4</v>
      </c>
      <c r="M3785" t="s">
        <v>78</v>
      </c>
      <c r="N3785">
        <v>23.84</v>
      </c>
      <c r="O3785">
        <v>4</v>
      </c>
    </row>
    <row r="3786" spans="1:15" x14ac:dyDescent="0.2">
      <c r="A3786" s="6">
        <v>45819</v>
      </c>
      <c r="B3786" t="s">
        <v>15</v>
      </c>
      <c r="C3786" t="s">
        <v>16</v>
      </c>
      <c r="D3786" s="1">
        <v>45855</v>
      </c>
      <c r="E3786" t="s">
        <v>17</v>
      </c>
      <c r="F3786">
        <v>6450</v>
      </c>
      <c r="J3786">
        <v>12.5</v>
      </c>
      <c r="K3786">
        <v>5.7</v>
      </c>
      <c r="L3786">
        <v>0</v>
      </c>
      <c r="M3786" t="s">
        <v>18</v>
      </c>
      <c r="N3786">
        <v>0</v>
      </c>
      <c r="O3786">
        <v>0</v>
      </c>
    </row>
    <row r="3787" spans="1:15" x14ac:dyDescent="0.2">
      <c r="A3787" s="6">
        <v>45819</v>
      </c>
      <c r="B3787" t="s">
        <v>15</v>
      </c>
      <c r="C3787" t="s">
        <v>16</v>
      </c>
      <c r="D3787" s="1">
        <v>45855</v>
      </c>
      <c r="E3787" t="s">
        <v>17</v>
      </c>
      <c r="F3787">
        <v>6500</v>
      </c>
      <c r="G3787">
        <v>44</v>
      </c>
      <c r="H3787">
        <v>48</v>
      </c>
      <c r="I3787">
        <v>44</v>
      </c>
      <c r="J3787">
        <v>45.5</v>
      </c>
      <c r="K3787">
        <v>11</v>
      </c>
      <c r="L3787">
        <v>9</v>
      </c>
      <c r="M3787" t="s">
        <v>343</v>
      </c>
      <c r="N3787">
        <v>58.91</v>
      </c>
      <c r="O3787">
        <v>9</v>
      </c>
    </row>
    <row r="3788" spans="1:15" x14ac:dyDescent="0.2">
      <c r="A3788" s="6">
        <v>45819</v>
      </c>
      <c r="B3788" t="s">
        <v>15</v>
      </c>
      <c r="C3788" t="s">
        <v>16</v>
      </c>
      <c r="D3788" s="1">
        <v>45855</v>
      </c>
      <c r="E3788" t="s">
        <v>17</v>
      </c>
      <c r="F3788">
        <v>6300</v>
      </c>
      <c r="J3788">
        <v>22.9</v>
      </c>
      <c r="K3788">
        <v>11.4</v>
      </c>
      <c r="L3788">
        <v>0</v>
      </c>
      <c r="M3788" t="s">
        <v>18</v>
      </c>
      <c r="N3788">
        <v>0</v>
      </c>
      <c r="O3788">
        <v>0</v>
      </c>
    </row>
    <row r="3789" spans="1:15" x14ac:dyDescent="0.2">
      <c r="A3789" s="6">
        <v>45819</v>
      </c>
      <c r="B3789" t="s">
        <v>15</v>
      </c>
      <c r="C3789" t="s">
        <v>16</v>
      </c>
      <c r="D3789" s="1">
        <v>45855</v>
      </c>
      <c r="E3789" t="s">
        <v>19</v>
      </c>
      <c r="F3789">
        <v>4050</v>
      </c>
      <c r="J3789">
        <v>0.1</v>
      </c>
      <c r="K3789">
        <v>0.1</v>
      </c>
      <c r="L3789">
        <v>0</v>
      </c>
      <c r="M3789" t="s">
        <v>18</v>
      </c>
      <c r="N3789">
        <v>0</v>
      </c>
      <c r="O3789">
        <v>0</v>
      </c>
    </row>
    <row r="3790" spans="1:15" x14ac:dyDescent="0.2">
      <c r="A3790" s="6">
        <v>45819</v>
      </c>
      <c r="B3790" t="s">
        <v>15</v>
      </c>
      <c r="C3790" t="s">
        <v>16</v>
      </c>
      <c r="D3790" s="1">
        <v>45855</v>
      </c>
      <c r="E3790" t="s">
        <v>19</v>
      </c>
      <c r="F3790">
        <v>4100</v>
      </c>
      <c r="J3790">
        <v>0.1</v>
      </c>
      <c r="K3790">
        <v>0.1</v>
      </c>
      <c r="L3790">
        <v>0</v>
      </c>
      <c r="M3790" t="s">
        <v>18</v>
      </c>
      <c r="N3790">
        <v>0</v>
      </c>
      <c r="O3790">
        <v>0</v>
      </c>
    </row>
    <row r="3791" spans="1:15" x14ac:dyDescent="0.2">
      <c r="A3791" s="6">
        <v>45819</v>
      </c>
      <c r="B3791" t="s">
        <v>15</v>
      </c>
      <c r="C3791" t="s">
        <v>16</v>
      </c>
      <c r="D3791" s="1">
        <v>45855</v>
      </c>
      <c r="E3791" t="s">
        <v>19</v>
      </c>
      <c r="F3791">
        <v>5350</v>
      </c>
      <c r="G3791">
        <v>132.69999999999999</v>
      </c>
      <c r="H3791">
        <v>132.69999999999999</v>
      </c>
      <c r="I3791">
        <v>132.69999999999999</v>
      </c>
      <c r="J3791">
        <v>132.69999999999999</v>
      </c>
      <c r="K3791">
        <v>111.2</v>
      </c>
      <c r="L3791">
        <v>2</v>
      </c>
      <c r="M3791" t="s">
        <v>28</v>
      </c>
      <c r="N3791">
        <v>10.97</v>
      </c>
      <c r="O3791">
        <v>3</v>
      </c>
    </row>
    <row r="3792" spans="1:15" x14ac:dyDescent="0.2">
      <c r="A3792" s="6">
        <v>45819</v>
      </c>
      <c r="B3792" t="s">
        <v>15</v>
      </c>
      <c r="C3792" t="s">
        <v>16</v>
      </c>
      <c r="D3792" s="1">
        <v>45855</v>
      </c>
      <c r="E3792" t="s">
        <v>19</v>
      </c>
      <c r="F3792">
        <v>4500</v>
      </c>
      <c r="J3792">
        <v>0.5</v>
      </c>
      <c r="K3792">
        <v>1</v>
      </c>
      <c r="L3792">
        <v>0</v>
      </c>
      <c r="M3792" t="s">
        <v>18</v>
      </c>
      <c r="N3792">
        <v>0</v>
      </c>
      <c r="O3792">
        <v>5</v>
      </c>
    </row>
    <row r="3793" spans="1:15" x14ac:dyDescent="0.2">
      <c r="A3793" s="6">
        <v>45819</v>
      </c>
      <c r="B3793" t="s">
        <v>15</v>
      </c>
      <c r="C3793" t="s">
        <v>16</v>
      </c>
      <c r="D3793" s="1">
        <v>45855</v>
      </c>
      <c r="E3793" t="s">
        <v>19</v>
      </c>
      <c r="F3793">
        <v>4400</v>
      </c>
      <c r="J3793">
        <v>0.2</v>
      </c>
      <c r="K3793">
        <v>0.4</v>
      </c>
      <c r="L3793">
        <v>0</v>
      </c>
      <c r="M3793" t="s">
        <v>18</v>
      </c>
      <c r="N3793">
        <v>0</v>
      </c>
      <c r="O3793">
        <v>0</v>
      </c>
    </row>
    <row r="3794" spans="1:15" x14ac:dyDescent="0.2">
      <c r="A3794" s="6">
        <v>45819</v>
      </c>
      <c r="B3794" t="s">
        <v>15</v>
      </c>
      <c r="C3794" t="s">
        <v>16</v>
      </c>
      <c r="D3794" s="1">
        <v>45855</v>
      </c>
      <c r="E3794" t="s">
        <v>17</v>
      </c>
      <c r="F3794">
        <v>4050</v>
      </c>
      <c r="J3794">
        <v>1582.6</v>
      </c>
      <c r="K3794">
        <v>1452.2</v>
      </c>
      <c r="L3794">
        <v>0</v>
      </c>
      <c r="M3794" t="s">
        <v>18</v>
      </c>
      <c r="N3794">
        <v>0</v>
      </c>
      <c r="O3794">
        <v>0</v>
      </c>
    </row>
    <row r="3795" spans="1:15" x14ac:dyDescent="0.2">
      <c r="A3795" s="6">
        <v>45819</v>
      </c>
      <c r="B3795" t="s">
        <v>15</v>
      </c>
      <c r="C3795" t="s">
        <v>16</v>
      </c>
      <c r="D3795" s="1">
        <v>45855</v>
      </c>
      <c r="E3795" t="s">
        <v>17</v>
      </c>
      <c r="F3795">
        <v>4000</v>
      </c>
      <c r="J3795">
        <v>1632.3</v>
      </c>
      <c r="K3795">
        <v>1501.9</v>
      </c>
      <c r="L3795">
        <v>0</v>
      </c>
      <c r="M3795" t="s">
        <v>18</v>
      </c>
      <c r="N3795">
        <v>0</v>
      </c>
      <c r="O3795">
        <v>0</v>
      </c>
    </row>
    <row r="3796" spans="1:15" x14ac:dyDescent="0.2">
      <c r="A3796" s="6">
        <v>45819</v>
      </c>
      <c r="B3796" t="s">
        <v>15</v>
      </c>
      <c r="C3796" t="s">
        <v>16</v>
      </c>
      <c r="D3796" s="1">
        <v>45855</v>
      </c>
      <c r="E3796" t="s">
        <v>17</v>
      </c>
      <c r="F3796">
        <v>6350</v>
      </c>
      <c r="J3796">
        <v>18.8</v>
      </c>
      <c r="K3796">
        <v>9.1</v>
      </c>
      <c r="L3796">
        <v>0</v>
      </c>
      <c r="M3796" t="s">
        <v>18</v>
      </c>
      <c r="N3796">
        <v>0</v>
      </c>
      <c r="O3796">
        <v>0</v>
      </c>
    </row>
    <row r="3797" spans="1:15" x14ac:dyDescent="0.2">
      <c r="A3797" s="6">
        <v>45819</v>
      </c>
      <c r="B3797" t="s">
        <v>15</v>
      </c>
      <c r="C3797" t="s">
        <v>16</v>
      </c>
      <c r="D3797" s="1">
        <v>45855</v>
      </c>
      <c r="E3797" t="s">
        <v>17</v>
      </c>
      <c r="F3797">
        <v>5450</v>
      </c>
      <c r="G3797">
        <v>228.2</v>
      </c>
      <c r="H3797">
        <v>337.7</v>
      </c>
      <c r="I3797">
        <v>228.2</v>
      </c>
      <c r="J3797">
        <v>279.39999999999998</v>
      </c>
      <c r="K3797">
        <v>213.6</v>
      </c>
      <c r="L3797">
        <v>12</v>
      </c>
      <c r="M3797" t="s">
        <v>180</v>
      </c>
      <c r="N3797">
        <v>68.7</v>
      </c>
      <c r="O3797">
        <v>6</v>
      </c>
    </row>
    <row r="3798" spans="1:15" x14ac:dyDescent="0.2">
      <c r="A3798" s="6">
        <v>45819</v>
      </c>
      <c r="B3798" t="s">
        <v>15</v>
      </c>
      <c r="C3798" t="s">
        <v>16</v>
      </c>
      <c r="D3798" s="1">
        <v>45855</v>
      </c>
      <c r="E3798" t="s">
        <v>19</v>
      </c>
      <c r="F3798">
        <v>4650</v>
      </c>
      <c r="J3798">
        <v>1.7</v>
      </c>
      <c r="K3798">
        <v>3.3</v>
      </c>
      <c r="L3798">
        <v>0</v>
      </c>
      <c r="M3798" t="s">
        <v>18</v>
      </c>
      <c r="N3798">
        <v>0</v>
      </c>
      <c r="O3798">
        <v>0</v>
      </c>
    </row>
    <row r="3799" spans="1:15" x14ac:dyDescent="0.2">
      <c r="A3799" s="6">
        <v>45819</v>
      </c>
      <c r="B3799" t="s">
        <v>15</v>
      </c>
      <c r="C3799" t="s">
        <v>16</v>
      </c>
      <c r="D3799" s="1">
        <v>45855</v>
      </c>
      <c r="E3799" t="s">
        <v>17</v>
      </c>
      <c r="F3799">
        <v>5800</v>
      </c>
      <c r="G3799">
        <v>117.7</v>
      </c>
      <c r="H3799">
        <v>200</v>
      </c>
      <c r="I3799">
        <v>108</v>
      </c>
      <c r="J3799">
        <v>181.9</v>
      </c>
      <c r="K3799">
        <v>126.2</v>
      </c>
      <c r="L3799">
        <v>598</v>
      </c>
      <c r="M3799" t="s">
        <v>353</v>
      </c>
      <c r="N3799">
        <v>3555.49</v>
      </c>
      <c r="O3799">
        <v>101</v>
      </c>
    </row>
    <row r="3800" spans="1:15" x14ac:dyDescent="0.2">
      <c r="A3800" s="6">
        <v>45819</v>
      </c>
      <c r="B3800" t="s">
        <v>15</v>
      </c>
      <c r="C3800" t="s">
        <v>16</v>
      </c>
      <c r="D3800" s="1">
        <v>45855</v>
      </c>
      <c r="E3800" t="s">
        <v>17</v>
      </c>
      <c r="F3800">
        <v>4550</v>
      </c>
      <c r="J3800">
        <v>1086.3</v>
      </c>
      <c r="K3800">
        <v>956.8</v>
      </c>
      <c r="L3800">
        <v>0</v>
      </c>
      <c r="M3800" t="s">
        <v>18</v>
      </c>
      <c r="N3800">
        <v>0</v>
      </c>
      <c r="O3800">
        <v>0</v>
      </c>
    </row>
    <row r="3801" spans="1:15" x14ac:dyDescent="0.2">
      <c r="A3801" s="6">
        <v>45819</v>
      </c>
      <c r="B3801" t="s">
        <v>15</v>
      </c>
      <c r="C3801" t="s">
        <v>16</v>
      </c>
      <c r="D3801" s="1">
        <v>45855</v>
      </c>
      <c r="E3801" t="s">
        <v>17</v>
      </c>
      <c r="F3801">
        <v>5150</v>
      </c>
      <c r="J3801">
        <v>521.79999999999995</v>
      </c>
      <c r="K3801">
        <v>411.1</v>
      </c>
      <c r="L3801">
        <v>0</v>
      </c>
      <c r="M3801" t="s">
        <v>18</v>
      </c>
      <c r="N3801">
        <v>0</v>
      </c>
      <c r="O3801">
        <v>2</v>
      </c>
    </row>
    <row r="3802" spans="1:15" x14ac:dyDescent="0.2">
      <c r="A3802" s="6">
        <v>45819</v>
      </c>
      <c r="B3802" t="s">
        <v>15</v>
      </c>
      <c r="C3802" t="s">
        <v>16</v>
      </c>
      <c r="D3802" s="1">
        <v>45855</v>
      </c>
      <c r="E3802" t="s">
        <v>17</v>
      </c>
      <c r="F3802">
        <v>6250</v>
      </c>
      <c r="J3802">
        <v>27.7</v>
      </c>
      <c r="K3802">
        <v>14.1</v>
      </c>
      <c r="L3802">
        <v>0</v>
      </c>
      <c r="M3802" t="s">
        <v>18</v>
      </c>
      <c r="N3802">
        <v>0</v>
      </c>
      <c r="O3802">
        <v>0</v>
      </c>
    </row>
    <row r="3803" spans="1:15" x14ac:dyDescent="0.2">
      <c r="A3803" s="6">
        <v>45819</v>
      </c>
      <c r="B3803" t="s">
        <v>15</v>
      </c>
      <c r="C3803" t="s">
        <v>16</v>
      </c>
      <c r="D3803" s="1">
        <v>45855</v>
      </c>
      <c r="E3803" t="s">
        <v>17</v>
      </c>
      <c r="F3803">
        <v>5050</v>
      </c>
      <c r="J3803">
        <v>608.70000000000005</v>
      </c>
      <c r="K3803">
        <v>491.7</v>
      </c>
      <c r="L3803">
        <v>0</v>
      </c>
      <c r="M3803" t="s">
        <v>18</v>
      </c>
      <c r="N3803">
        <v>0</v>
      </c>
      <c r="O3803">
        <v>0</v>
      </c>
    </row>
    <row r="3804" spans="1:15" x14ac:dyDescent="0.2">
      <c r="A3804" s="6">
        <v>45819</v>
      </c>
      <c r="B3804" t="s">
        <v>15</v>
      </c>
      <c r="C3804" t="s">
        <v>16</v>
      </c>
      <c r="D3804" s="1">
        <v>45855</v>
      </c>
      <c r="E3804" t="s">
        <v>19</v>
      </c>
      <c r="F3804">
        <v>6250</v>
      </c>
      <c r="J3804">
        <v>632.20000000000005</v>
      </c>
      <c r="K3804">
        <v>748.7</v>
      </c>
      <c r="L3804">
        <v>0</v>
      </c>
      <c r="M3804" t="s">
        <v>18</v>
      </c>
      <c r="N3804">
        <v>0</v>
      </c>
      <c r="O3804">
        <v>0</v>
      </c>
    </row>
    <row r="3805" spans="1:15" x14ac:dyDescent="0.2">
      <c r="A3805" s="6">
        <v>45819</v>
      </c>
      <c r="B3805" t="s">
        <v>15</v>
      </c>
      <c r="C3805" t="s">
        <v>16</v>
      </c>
      <c r="D3805" s="1">
        <v>45855</v>
      </c>
      <c r="E3805" t="s">
        <v>19</v>
      </c>
      <c r="F3805">
        <v>5150</v>
      </c>
      <c r="J3805">
        <v>32.700000000000003</v>
      </c>
      <c r="K3805">
        <v>52.3</v>
      </c>
      <c r="L3805">
        <v>0</v>
      </c>
      <c r="M3805" t="s">
        <v>18</v>
      </c>
      <c r="N3805">
        <v>0</v>
      </c>
      <c r="O3805">
        <v>2</v>
      </c>
    </row>
    <row r="3806" spans="1:15" x14ac:dyDescent="0.2">
      <c r="A3806" s="6">
        <v>45819</v>
      </c>
      <c r="B3806" t="s">
        <v>15</v>
      </c>
      <c r="C3806" t="s">
        <v>16</v>
      </c>
      <c r="D3806" s="1">
        <v>45855</v>
      </c>
      <c r="E3806" t="s">
        <v>17</v>
      </c>
      <c r="F3806">
        <v>4500</v>
      </c>
      <c r="J3806">
        <v>1135.8</v>
      </c>
      <c r="K3806">
        <v>1005.9</v>
      </c>
      <c r="L3806">
        <v>0</v>
      </c>
      <c r="M3806" t="s">
        <v>18</v>
      </c>
      <c r="N3806">
        <v>0</v>
      </c>
      <c r="O3806">
        <v>0</v>
      </c>
    </row>
    <row r="3807" spans="1:15" x14ac:dyDescent="0.2">
      <c r="A3807" s="6">
        <v>45819</v>
      </c>
      <c r="B3807" t="s">
        <v>15</v>
      </c>
      <c r="C3807" t="s">
        <v>16</v>
      </c>
      <c r="D3807" s="1">
        <v>45855</v>
      </c>
      <c r="E3807" t="s">
        <v>17</v>
      </c>
      <c r="F3807">
        <v>5500</v>
      </c>
      <c r="G3807">
        <v>213.2</v>
      </c>
      <c r="H3807">
        <v>334.3</v>
      </c>
      <c r="I3807">
        <v>201.2</v>
      </c>
      <c r="J3807">
        <v>317.2</v>
      </c>
      <c r="K3807">
        <v>234.8</v>
      </c>
      <c r="L3807">
        <v>2291</v>
      </c>
      <c r="M3807" t="s">
        <v>1598</v>
      </c>
      <c r="N3807">
        <v>13169.43</v>
      </c>
      <c r="O3807">
        <v>325</v>
      </c>
    </row>
    <row r="3808" spans="1:15" x14ac:dyDescent="0.2">
      <c r="A3808" s="6">
        <v>45819</v>
      </c>
      <c r="B3808" t="s">
        <v>15</v>
      </c>
      <c r="C3808" t="s">
        <v>16</v>
      </c>
      <c r="D3808" s="1">
        <v>45855</v>
      </c>
      <c r="E3808" t="s">
        <v>17</v>
      </c>
      <c r="F3808">
        <v>4250</v>
      </c>
      <c r="J3808">
        <v>1383.9</v>
      </c>
      <c r="K3808">
        <v>1253.5</v>
      </c>
      <c r="L3808">
        <v>0</v>
      </c>
      <c r="M3808" t="s">
        <v>18</v>
      </c>
      <c r="N3808">
        <v>0</v>
      </c>
      <c r="O3808">
        <v>0</v>
      </c>
    </row>
    <row r="3809" spans="1:15" x14ac:dyDescent="0.2">
      <c r="A3809" s="6">
        <v>45819</v>
      </c>
      <c r="B3809" t="s">
        <v>15</v>
      </c>
      <c r="C3809" t="s">
        <v>16</v>
      </c>
      <c r="D3809" s="1">
        <v>45855</v>
      </c>
      <c r="E3809" t="s">
        <v>17</v>
      </c>
      <c r="F3809">
        <v>4150</v>
      </c>
      <c r="J3809">
        <v>1483.2</v>
      </c>
      <c r="K3809">
        <v>1352.8</v>
      </c>
      <c r="L3809">
        <v>0</v>
      </c>
      <c r="M3809" t="s">
        <v>18</v>
      </c>
      <c r="N3809">
        <v>0</v>
      </c>
      <c r="O3809">
        <v>0</v>
      </c>
    </row>
    <row r="3810" spans="1:15" x14ac:dyDescent="0.2">
      <c r="A3810" s="6">
        <v>45819</v>
      </c>
      <c r="B3810" t="s">
        <v>15</v>
      </c>
      <c r="C3810" t="s">
        <v>16</v>
      </c>
      <c r="D3810" s="1">
        <v>45855</v>
      </c>
      <c r="E3810" t="s">
        <v>17</v>
      </c>
      <c r="F3810">
        <v>5900</v>
      </c>
      <c r="G3810">
        <v>95</v>
      </c>
      <c r="H3810">
        <v>170.6</v>
      </c>
      <c r="I3810">
        <v>94.9</v>
      </c>
      <c r="J3810">
        <v>147.9</v>
      </c>
      <c r="K3810">
        <v>106.8</v>
      </c>
      <c r="L3810">
        <v>36</v>
      </c>
      <c r="M3810" t="s">
        <v>146</v>
      </c>
      <c r="N3810">
        <v>217.1</v>
      </c>
      <c r="O3810">
        <v>12</v>
      </c>
    </row>
    <row r="3811" spans="1:15" x14ac:dyDescent="0.2">
      <c r="A3811" s="6">
        <v>45819</v>
      </c>
      <c r="B3811" t="s">
        <v>15</v>
      </c>
      <c r="C3811" t="s">
        <v>16</v>
      </c>
      <c r="D3811" s="1">
        <v>45855</v>
      </c>
      <c r="E3811" t="s">
        <v>17</v>
      </c>
      <c r="F3811">
        <v>5200</v>
      </c>
      <c r="G3811">
        <v>382.8</v>
      </c>
      <c r="H3811">
        <v>508.7</v>
      </c>
      <c r="I3811">
        <v>369</v>
      </c>
      <c r="J3811">
        <v>475.9</v>
      </c>
      <c r="K3811">
        <v>439.5</v>
      </c>
      <c r="L3811">
        <v>41</v>
      </c>
      <c r="M3811" t="s">
        <v>272</v>
      </c>
      <c r="N3811">
        <v>229.84</v>
      </c>
      <c r="O3811">
        <v>33</v>
      </c>
    </row>
    <row r="3812" spans="1:15" x14ac:dyDescent="0.2">
      <c r="A3812" s="6">
        <v>45819</v>
      </c>
      <c r="B3812" t="s">
        <v>15</v>
      </c>
      <c r="C3812" t="s">
        <v>16</v>
      </c>
      <c r="D3812" s="1">
        <v>45855</v>
      </c>
      <c r="E3812" t="s">
        <v>17</v>
      </c>
      <c r="F3812">
        <v>3950</v>
      </c>
      <c r="J3812">
        <v>1682.1</v>
      </c>
      <c r="K3812">
        <v>1551.6</v>
      </c>
      <c r="L3812">
        <v>0</v>
      </c>
      <c r="M3812" t="s">
        <v>18</v>
      </c>
      <c r="N3812">
        <v>0</v>
      </c>
      <c r="O3812">
        <v>0</v>
      </c>
    </row>
    <row r="3813" spans="1:15" x14ac:dyDescent="0.2">
      <c r="A3813" s="6">
        <v>45819</v>
      </c>
      <c r="B3813" t="s">
        <v>15</v>
      </c>
      <c r="C3813" t="s">
        <v>16</v>
      </c>
      <c r="D3813" s="1">
        <v>45855</v>
      </c>
      <c r="E3813" t="s">
        <v>19</v>
      </c>
      <c r="F3813">
        <v>6350</v>
      </c>
      <c r="J3813">
        <v>722.6</v>
      </c>
      <c r="K3813">
        <v>843</v>
      </c>
      <c r="L3813">
        <v>0</v>
      </c>
      <c r="M3813" t="s">
        <v>18</v>
      </c>
      <c r="N3813">
        <v>0</v>
      </c>
      <c r="O3813">
        <v>0</v>
      </c>
    </row>
    <row r="3814" spans="1:15" x14ac:dyDescent="0.2">
      <c r="A3814" s="6">
        <v>45819</v>
      </c>
      <c r="B3814" t="s">
        <v>15</v>
      </c>
      <c r="C3814" t="s">
        <v>16</v>
      </c>
      <c r="D3814" s="1">
        <v>45855</v>
      </c>
      <c r="E3814" t="s">
        <v>19</v>
      </c>
      <c r="F3814">
        <v>5650</v>
      </c>
      <c r="J3814">
        <v>193.9</v>
      </c>
      <c r="K3814">
        <v>262.2</v>
      </c>
      <c r="L3814">
        <v>0</v>
      </c>
      <c r="M3814" t="s">
        <v>18</v>
      </c>
      <c r="N3814">
        <v>0</v>
      </c>
      <c r="O3814">
        <v>0</v>
      </c>
    </row>
    <row r="3815" spans="1:15" x14ac:dyDescent="0.2">
      <c r="A3815" s="6">
        <v>45819</v>
      </c>
      <c r="B3815" t="s">
        <v>15</v>
      </c>
      <c r="C3815" t="s">
        <v>16</v>
      </c>
      <c r="D3815" s="1">
        <v>45855</v>
      </c>
      <c r="E3815" t="s">
        <v>19</v>
      </c>
      <c r="F3815">
        <v>4850</v>
      </c>
      <c r="J3815">
        <v>6.6</v>
      </c>
      <c r="K3815">
        <v>11.8</v>
      </c>
      <c r="L3815">
        <v>0</v>
      </c>
      <c r="M3815" t="s">
        <v>18</v>
      </c>
      <c r="N3815">
        <v>0</v>
      </c>
      <c r="O3815">
        <v>0</v>
      </c>
    </row>
    <row r="3816" spans="1:15" x14ac:dyDescent="0.2">
      <c r="A3816" s="6">
        <v>45819</v>
      </c>
      <c r="B3816" t="s">
        <v>15</v>
      </c>
      <c r="C3816" t="s">
        <v>16</v>
      </c>
      <c r="D3816" s="1">
        <v>45855</v>
      </c>
      <c r="E3816" t="s">
        <v>19</v>
      </c>
      <c r="F3816">
        <v>5600</v>
      </c>
      <c r="G3816">
        <v>282</v>
      </c>
      <c r="H3816">
        <v>300</v>
      </c>
      <c r="I3816">
        <v>223</v>
      </c>
      <c r="J3816">
        <v>227.5</v>
      </c>
      <c r="K3816">
        <v>279.89999999999998</v>
      </c>
      <c r="L3816">
        <v>1497</v>
      </c>
      <c r="M3816" t="s">
        <v>1399</v>
      </c>
      <c r="N3816">
        <v>8761.1299999999992</v>
      </c>
      <c r="O3816">
        <v>450</v>
      </c>
    </row>
    <row r="3817" spans="1:15" x14ac:dyDescent="0.2">
      <c r="A3817" s="6">
        <v>45819</v>
      </c>
      <c r="B3817" t="s">
        <v>15</v>
      </c>
      <c r="C3817" t="s">
        <v>16</v>
      </c>
      <c r="D3817" s="1">
        <v>45855</v>
      </c>
      <c r="E3817" t="s">
        <v>19</v>
      </c>
      <c r="F3817">
        <v>4000</v>
      </c>
      <c r="J3817">
        <v>0.1</v>
      </c>
      <c r="K3817">
        <v>0.1</v>
      </c>
      <c r="L3817">
        <v>0</v>
      </c>
      <c r="M3817" t="s">
        <v>18</v>
      </c>
      <c r="N3817">
        <v>0</v>
      </c>
      <c r="O3817">
        <v>0</v>
      </c>
    </row>
    <row r="3818" spans="1:15" x14ac:dyDescent="0.2">
      <c r="A3818" s="6">
        <v>45819</v>
      </c>
      <c r="B3818" t="s">
        <v>15</v>
      </c>
      <c r="C3818" t="s">
        <v>16</v>
      </c>
      <c r="D3818" s="1">
        <v>45855</v>
      </c>
      <c r="E3818" t="s">
        <v>17</v>
      </c>
      <c r="F3818">
        <v>6100</v>
      </c>
      <c r="G3818">
        <v>51</v>
      </c>
      <c r="H3818">
        <v>94.1</v>
      </c>
      <c r="I3818">
        <v>51</v>
      </c>
      <c r="J3818">
        <v>79</v>
      </c>
      <c r="K3818">
        <v>52.7</v>
      </c>
      <c r="L3818">
        <v>9</v>
      </c>
      <c r="M3818" t="s">
        <v>343</v>
      </c>
      <c r="N3818">
        <v>55.61</v>
      </c>
      <c r="O3818">
        <v>7</v>
      </c>
    </row>
    <row r="3819" spans="1:15" x14ac:dyDescent="0.2">
      <c r="A3819" s="6">
        <v>45819</v>
      </c>
      <c r="B3819" t="s">
        <v>15</v>
      </c>
      <c r="C3819" t="s">
        <v>16</v>
      </c>
      <c r="D3819" s="1">
        <v>45855</v>
      </c>
      <c r="E3819" t="s">
        <v>17</v>
      </c>
      <c r="F3819">
        <v>5350</v>
      </c>
      <c r="J3819">
        <v>365.1</v>
      </c>
      <c r="K3819">
        <v>271.2</v>
      </c>
      <c r="L3819">
        <v>0</v>
      </c>
      <c r="M3819" t="s">
        <v>18</v>
      </c>
      <c r="N3819">
        <v>0</v>
      </c>
      <c r="O3819">
        <v>1</v>
      </c>
    </row>
    <row r="3820" spans="1:15" x14ac:dyDescent="0.2">
      <c r="A3820" s="6">
        <v>45819</v>
      </c>
      <c r="B3820" t="s">
        <v>15</v>
      </c>
      <c r="C3820" t="s">
        <v>16</v>
      </c>
      <c r="D3820" s="1">
        <v>45855</v>
      </c>
      <c r="E3820" t="s">
        <v>17</v>
      </c>
      <c r="F3820">
        <v>4600</v>
      </c>
      <c r="J3820">
        <v>1037</v>
      </c>
      <c r="K3820">
        <v>907.8</v>
      </c>
      <c r="L3820">
        <v>0</v>
      </c>
      <c r="M3820" t="s">
        <v>18</v>
      </c>
      <c r="N3820">
        <v>0</v>
      </c>
      <c r="O3820">
        <v>0</v>
      </c>
    </row>
    <row r="3821" spans="1:15" x14ac:dyDescent="0.2">
      <c r="A3821" s="6">
        <v>45819</v>
      </c>
      <c r="B3821" t="s">
        <v>15</v>
      </c>
      <c r="C3821" t="s">
        <v>16</v>
      </c>
      <c r="D3821" s="1">
        <v>45855</v>
      </c>
      <c r="E3821" t="s">
        <v>19</v>
      </c>
      <c r="F3821">
        <v>3650</v>
      </c>
      <c r="J3821">
        <v>0.1</v>
      </c>
      <c r="K3821">
        <v>0.1</v>
      </c>
      <c r="L3821">
        <v>0</v>
      </c>
      <c r="M3821" t="s">
        <v>18</v>
      </c>
      <c r="N3821">
        <v>0</v>
      </c>
      <c r="O3821">
        <v>0</v>
      </c>
    </row>
    <row r="3822" spans="1:15" x14ac:dyDescent="0.2">
      <c r="A3822" s="6">
        <v>45819</v>
      </c>
      <c r="B3822" t="s">
        <v>15</v>
      </c>
      <c r="C3822" t="s">
        <v>16</v>
      </c>
      <c r="D3822" s="1">
        <v>45855</v>
      </c>
      <c r="E3822" t="s">
        <v>17</v>
      </c>
      <c r="F3822">
        <v>3650</v>
      </c>
      <c r="J3822">
        <v>1980.3</v>
      </c>
      <c r="K3822">
        <v>1849.8</v>
      </c>
      <c r="L3822">
        <v>0</v>
      </c>
      <c r="M3822" t="s">
        <v>18</v>
      </c>
      <c r="N3822">
        <v>0</v>
      </c>
      <c r="O3822">
        <v>0</v>
      </c>
    </row>
    <row r="3823" spans="1:15" x14ac:dyDescent="0.2">
      <c r="A3823" s="6">
        <v>45819</v>
      </c>
      <c r="B3823" t="s">
        <v>15</v>
      </c>
      <c r="C3823" t="s">
        <v>16</v>
      </c>
      <c r="D3823" s="1">
        <v>45855</v>
      </c>
      <c r="E3823" t="s">
        <v>19</v>
      </c>
      <c r="F3823">
        <v>6700</v>
      </c>
      <c r="J3823">
        <v>1055.9000000000001</v>
      </c>
      <c r="K3823">
        <v>1183.5</v>
      </c>
      <c r="L3823">
        <v>0</v>
      </c>
      <c r="M3823" t="s">
        <v>18</v>
      </c>
      <c r="N3823">
        <v>0</v>
      </c>
      <c r="O3823">
        <v>0</v>
      </c>
    </row>
    <row r="3824" spans="1:15" x14ac:dyDescent="0.2">
      <c r="A3824" s="6">
        <v>45819</v>
      </c>
      <c r="B3824" t="s">
        <v>15</v>
      </c>
      <c r="C3824" t="s">
        <v>16</v>
      </c>
      <c r="D3824" s="1">
        <v>45855</v>
      </c>
      <c r="E3824" t="s">
        <v>17</v>
      </c>
      <c r="F3824">
        <v>6400</v>
      </c>
      <c r="J3824">
        <v>15.3</v>
      </c>
      <c r="K3824">
        <v>7.3</v>
      </c>
      <c r="L3824">
        <v>0</v>
      </c>
      <c r="M3824" t="s">
        <v>18</v>
      </c>
      <c r="N3824">
        <v>0</v>
      </c>
      <c r="O3824">
        <v>0</v>
      </c>
    </row>
    <row r="3825" spans="1:15" x14ac:dyDescent="0.2">
      <c r="A3825" s="6">
        <v>45819</v>
      </c>
      <c r="B3825" t="s">
        <v>15</v>
      </c>
      <c r="C3825" t="s">
        <v>16</v>
      </c>
      <c r="D3825" s="1">
        <v>45855</v>
      </c>
      <c r="E3825" t="s">
        <v>19</v>
      </c>
      <c r="F3825">
        <v>3950</v>
      </c>
      <c r="J3825">
        <v>0.1</v>
      </c>
      <c r="K3825">
        <v>0.1</v>
      </c>
      <c r="L3825">
        <v>0</v>
      </c>
      <c r="M3825" t="s">
        <v>18</v>
      </c>
      <c r="N3825">
        <v>0</v>
      </c>
      <c r="O3825">
        <v>0</v>
      </c>
    </row>
    <row r="3826" spans="1:15" x14ac:dyDescent="0.2">
      <c r="A3826" s="6">
        <v>45819</v>
      </c>
      <c r="B3826" t="s">
        <v>15</v>
      </c>
      <c r="C3826" t="s">
        <v>16</v>
      </c>
      <c r="D3826" s="1">
        <v>45855</v>
      </c>
      <c r="E3826" t="s">
        <v>19</v>
      </c>
      <c r="F3826">
        <v>3850</v>
      </c>
      <c r="J3826">
        <v>0.1</v>
      </c>
      <c r="K3826">
        <v>0.1</v>
      </c>
      <c r="L3826">
        <v>0</v>
      </c>
      <c r="M3826" t="s">
        <v>18</v>
      </c>
      <c r="N3826">
        <v>0</v>
      </c>
      <c r="O3826">
        <v>0</v>
      </c>
    </row>
    <row r="3827" spans="1:15" x14ac:dyDescent="0.2">
      <c r="A3827" s="6">
        <v>45819</v>
      </c>
      <c r="B3827" t="s">
        <v>15</v>
      </c>
      <c r="C3827" t="s">
        <v>16</v>
      </c>
      <c r="D3827" s="1">
        <v>45855</v>
      </c>
      <c r="E3827" t="s">
        <v>19</v>
      </c>
      <c r="F3827">
        <v>6000</v>
      </c>
      <c r="G3827">
        <v>580</v>
      </c>
      <c r="H3827">
        <v>587</v>
      </c>
      <c r="I3827">
        <v>474</v>
      </c>
      <c r="J3827">
        <v>477.5</v>
      </c>
      <c r="K3827">
        <v>563.6</v>
      </c>
      <c r="L3827">
        <v>122</v>
      </c>
      <c r="M3827" t="s">
        <v>1358</v>
      </c>
      <c r="N3827">
        <v>796.28</v>
      </c>
      <c r="O3827">
        <v>151</v>
      </c>
    </row>
    <row r="3828" spans="1:15" x14ac:dyDescent="0.2">
      <c r="A3828" s="6">
        <v>45819</v>
      </c>
      <c r="B3828" t="s">
        <v>15</v>
      </c>
      <c r="C3828" t="s">
        <v>16</v>
      </c>
      <c r="D3828" s="1">
        <v>45855</v>
      </c>
      <c r="E3828" t="s">
        <v>19</v>
      </c>
      <c r="F3828">
        <v>6300</v>
      </c>
      <c r="J3828">
        <v>677</v>
      </c>
      <c r="K3828">
        <v>795.6</v>
      </c>
      <c r="L3828">
        <v>0</v>
      </c>
      <c r="M3828" t="s">
        <v>18</v>
      </c>
      <c r="N3828">
        <v>0</v>
      </c>
      <c r="O3828">
        <v>0</v>
      </c>
    </row>
    <row r="3829" spans="1:15" x14ac:dyDescent="0.2">
      <c r="A3829" s="6">
        <v>45819</v>
      </c>
      <c r="B3829" t="s">
        <v>15</v>
      </c>
      <c r="C3829" t="s">
        <v>16</v>
      </c>
      <c r="D3829" s="1">
        <v>45855</v>
      </c>
      <c r="E3829" t="s">
        <v>19</v>
      </c>
      <c r="F3829">
        <v>4800</v>
      </c>
      <c r="J3829">
        <v>4.8</v>
      </c>
      <c r="K3829">
        <v>39.200000000000003</v>
      </c>
      <c r="L3829">
        <v>0</v>
      </c>
      <c r="M3829" t="s">
        <v>18</v>
      </c>
      <c r="N3829">
        <v>0</v>
      </c>
      <c r="O3829">
        <v>6</v>
      </c>
    </row>
    <row r="3830" spans="1:15" x14ac:dyDescent="0.2">
      <c r="A3830" s="6">
        <v>45819</v>
      </c>
      <c r="B3830" t="s">
        <v>15</v>
      </c>
      <c r="C3830" t="s">
        <v>16</v>
      </c>
      <c r="D3830" s="1">
        <v>45855</v>
      </c>
      <c r="E3830" t="s">
        <v>17</v>
      </c>
      <c r="F3830">
        <v>6600</v>
      </c>
      <c r="J3830">
        <v>6.5</v>
      </c>
      <c r="K3830">
        <v>2.8</v>
      </c>
      <c r="L3830">
        <v>0</v>
      </c>
      <c r="M3830" t="s">
        <v>18</v>
      </c>
      <c r="N3830">
        <v>0</v>
      </c>
      <c r="O3830">
        <v>0</v>
      </c>
    </row>
    <row r="3831" spans="1:15" x14ac:dyDescent="0.2">
      <c r="A3831" s="6">
        <v>45819</v>
      </c>
      <c r="B3831" t="s">
        <v>15</v>
      </c>
      <c r="C3831" t="s">
        <v>16</v>
      </c>
      <c r="D3831" s="1">
        <v>45855</v>
      </c>
      <c r="E3831" t="s">
        <v>19</v>
      </c>
      <c r="F3831">
        <v>6500</v>
      </c>
      <c r="J3831">
        <v>863</v>
      </c>
      <c r="K3831">
        <v>987.6</v>
      </c>
      <c r="L3831">
        <v>0</v>
      </c>
      <c r="M3831" t="s">
        <v>18</v>
      </c>
      <c r="N3831">
        <v>0</v>
      </c>
      <c r="O3831">
        <v>0</v>
      </c>
    </row>
    <row r="3832" spans="1:15" x14ac:dyDescent="0.2">
      <c r="A3832" s="6">
        <v>45819</v>
      </c>
      <c r="B3832" t="s">
        <v>15</v>
      </c>
      <c r="C3832" t="s">
        <v>16</v>
      </c>
      <c r="D3832" s="1">
        <v>45855</v>
      </c>
      <c r="E3832" t="s">
        <v>19</v>
      </c>
      <c r="F3832">
        <v>5850</v>
      </c>
      <c r="J3832">
        <v>314</v>
      </c>
      <c r="K3832">
        <v>402.8</v>
      </c>
      <c r="L3832">
        <v>0</v>
      </c>
      <c r="M3832" t="s">
        <v>18</v>
      </c>
      <c r="N3832">
        <v>0</v>
      </c>
      <c r="O3832">
        <v>0</v>
      </c>
    </row>
    <row r="3833" spans="1:15" x14ac:dyDescent="0.2">
      <c r="A3833" s="6">
        <v>45819</v>
      </c>
      <c r="B3833" t="s">
        <v>15</v>
      </c>
      <c r="C3833" t="s">
        <v>16</v>
      </c>
      <c r="D3833" s="1">
        <v>45855</v>
      </c>
      <c r="E3833" t="s">
        <v>17</v>
      </c>
      <c r="F3833">
        <v>3900</v>
      </c>
      <c r="J3833">
        <v>1731.8</v>
      </c>
      <c r="K3833">
        <v>1601.3</v>
      </c>
      <c r="L3833">
        <v>0</v>
      </c>
      <c r="M3833" t="s">
        <v>18</v>
      </c>
      <c r="N3833">
        <v>0</v>
      </c>
      <c r="O3833">
        <v>0</v>
      </c>
    </row>
    <row r="3834" spans="1:15" x14ac:dyDescent="0.2">
      <c r="A3834" s="6">
        <v>45819</v>
      </c>
      <c r="B3834" t="s">
        <v>15</v>
      </c>
      <c r="C3834" t="s">
        <v>16</v>
      </c>
      <c r="D3834" s="1">
        <v>45855</v>
      </c>
      <c r="E3834" t="s">
        <v>17</v>
      </c>
      <c r="F3834">
        <v>5850</v>
      </c>
      <c r="G3834">
        <v>161.6</v>
      </c>
      <c r="H3834">
        <v>162</v>
      </c>
      <c r="I3834">
        <v>161.6</v>
      </c>
      <c r="J3834">
        <v>161.80000000000001</v>
      </c>
      <c r="K3834">
        <v>65.8</v>
      </c>
      <c r="L3834">
        <v>8</v>
      </c>
      <c r="M3834" t="s">
        <v>71</v>
      </c>
      <c r="N3834">
        <v>48.09</v>
      </c>
      <c r="O3834">
        <v>8</v>
      </c>
    </row>
    <row r="3835" spans="1:15" x14ac:dyDescent="0.2">
      <c r="A3835" s="6">
        <v>45819</v>
      </c>
      <c r="B3835" t="s">
        <v>15</v>
      </c>
      <c r="C3835" t="s">
        <v>16</v>
      </c>
      <c r="D3835" s="1">
        <v>45855</v>
      </c>
      <c r="E3835" t="s">
        <v>19</v>
      </c>
      <c r="F3835">
        <v>4350</v>
      </c>
      <c r="J3835">
        <v>0.1</v>
      </c>
      <c r="K3835">
        <v>0.3</v>
      </c>
      <c r="L3835">
        <v>0</v>
      </c>
      <c r="M3835" t="s">
        <v>18</v>
      </c>
      <c r="N3835">
        <v>0</v>
      </c>
      <c r="O3835">
        <v>0</v>
      </c>
    </row>
    <row r="3836" spans="1:15" x14ac:dyDescent="0.2">
      <c r="A3836" s="6">
        <v>45819</v>
      </c>
      <c r="B3836" t="s">
        <v>15</v>
      </c>
      <c r="C3836" t="s">
        <v>16</v>
      </c>
      <c r="D3836" s="1">
        <v>45855</v>
      </c>
      <c r="E3836" t="s">
        <v>17</v>
      </c>
      <c r="F3836">
        <v>6150</v>
      </c>
      <c r="J3836">
        <v>40.1</v>
      </c>
      <c r="K3836">
        <v>21.5</v>
      </c>
      <c r="L3836">
        <v>0</v>
      </c>
      <c r="M3836" t="s">
        <v>18</v>
      </c>
      <c r="N3836">
        <v>0</v>
      </c>
      <c r="O3836">
        <v>0</v>
      </c>
    </row>
    <row r="3837" spans="1:15" x14ac:dyDescent="0.2">
      <c r="A3837" s="6">
        <v>45819</v>
      </c>
      <c r="B3837" t="s">
        <v>15</v>
      </c>
      <c r="C3837" t="s">
        <v>16</v>
      </c>
      <c r="D3837" s="1">
        <v>45855</v>
      </c>
      <c r="E3837" t="s">
        <v>19</v>
      </c>
      <c r="F3837">
        <v>4750</v>
      </c>
      <c r="J3837">
        <v>3.4</v>
      </c>
      <c r="K3837">
        <v>6.4</v>
      </c>
      <c r="L3837">
        <v>0</v>
      </c>
      <c r="M3837" t="s">
        <v>18</v>
      </c>
      <c r="N3837">
        <v>0</v>
      </c>
      <c r="O3837">
        <v>0</v>
      </c>
    </row>
    <row r="3838" spans="1:15" x14ac:dyDescent="0.2">
      <c r="A3838" s="6">
        <v>45819</v>
      </c>
      <c r="B3838" t="s">
        <v>15</v>
      </c>
      <c r="C3838" t="s">
        <v>16</v>
      </c>
      <c r="D3838" s="1">
        <v>45855</v>
      </c>
      <c r="E3838" t="s">
        <v>19</v>
      </c>
      <c r="F3838">
        <v>5550</v>
      </c>
      <c r="J3838">
        <v>146.1</v>
      </c>
      <c r="K3838">
        <v>203.4</v>
      </c>
      <c r="L3838">
        <v>0</v>
      </c>
      <c r="M3838" t="s">
        <v>18</v>
      </c>
      <c r="N3838">
        <v>0</v>
      </c>
      <c r="O3838">
        <v>1</v>
      </c>
    </row>
    <row r="3839" spans="1:15" x14ac:dyDescent="0.2">
      <c r="A3839" s="6">
        <v>45819</v>
      </c>
      <c r="B3839" t="s">
        <v>15</v>
      </c>
      <c r="C3839" t="s">
        <v>16</v>
      </c>
      <c r="D3839" s="1">
        <v>45855</v>
      </c>
      <c r="E3839" t="s">
        <v>19</v>
      </c>
      <c r="F3839">
        <v>6600</v>
      </c>
      <c r="J3839">
        <v>958.9</v>
      </c>
      <c r="K3839">
        <v>1085.2</v>
      </c>
      <c r="L3839">
        <v>0</v>
      </c>
      <c r="M3839" t="s">
        <v>18</v>
      </c>
      <c r="N3839">
        <v>0</v>
      </c>
      <c r="O3839">
        <v>0</v>
      </c>
    </row>
    <row r="3840" spans="1:15" x14ac:dyDescent="0.2">
      <c r="A3840" s="6">
        <v>45819</v>
      </c>
      <c r="B3840" t="s">
        <v>15</v>
      </c>
      <c r="C3840" t="s">
        <v>16</v>
      </c>
      <c r="D3840" s="1">
        <v>45855</v>
      </c>
      <c r="E3840" t="s">
        <v>17</v>
      </c>
      <c r="F3840">
        <v>5400</v>
      </c>
      <c r="G3840">
        <v>273</v>
      </c>
      <c r="H3840">
        <v>388.5</v>
      </c>
      <c r="I3840">
        <v>244.7</v>
      </c>
      <c r="J3840">
        <v>374.1</v>
      </c>
      <c r="K3840">
        <v>282.10000000000002</v>
      </c>
      <c r="L3840">
        <v>992</v>
      </c>
      <c r="M3840" t="s">
        <v>1599</v>
      </c>
      <c r="N3840">
        <v>5650.88</v>
      </c>
      <c r="O3840">
        <v>537</v>
      </c>
    </row>
    <row r="3841" spans="1:15" x14ac:dyDescent="0.2">
      <c r="A3841" s="6">
        <v>45819</v>
      </c>
      <c r="B3841" t="s">
        <v>15</v>
      </c>
      <c r="C3841" t="s">
        <v>16</v>
      </c>
      <c r="D3841" s="1">
        <v>45855</v>
      </c>
      <c r="E3841" t="s">
        <v>19</v>
      </c>
      <c r="F3841">
        <v>4300</v>
      </c>
      <c r="J3841">
        <v>0.1</v>
      </c>
      <c r="K3841">
        <v>0.2</v>
      </c>
      <c r="L3841">
        <v>0</v>
      </c>
      <c r="M3841" t="s">
        <v>18</v>
      </c>
      <c r="N3841">
        <v>0</v>
      </c>
      <c r="O3841">
        <v>0</v>
      </c>
    </row>
    <row r="3842" spans="1:15" x14ac:dyDescent="0.2">
      <c r="A3842" s="6">
        <v>45819</v>
      </c>
      <c r="B3842" t="s">
        <v>15</v>
      </c>
      <c r="C3842" t="s">
        <v>16</v>
      </c>
      <c r="D3842" s="1">
        <v>45855</v>
      </c>
      <c r="E3842" t="s">
        <v>19</v>
      </c>
      <c r="F3842">
        <v>6450</v>
      </c>
      <c r="J3842">
        <v>815.7</v>
      </c>
      <c r="K3842">
        <v>939.1</v>
      </c>
      <c r="L3842">
        <v>0</v>
      </c>
      <c r="M3842" t="s">
        <v>18</v>
      </c>
      <c r="N3842">
        <v>0</v>
      </c>
      <c r="O3842">
        <v>0</v>
      </c>
    </row>
    <row r="3843" spans="1:15" x14ac:dyDescent="0.2">
      <c r="A3843" s="6">
        <v>45819</v>
      </c>
      <c r="B3843" t="s">
        <v>15</v>
      </c>
      <c r="C3843" t="s">
        <v>16</v>
      </c>
      <c r="D3843" s="1">
        <v>45855</v>
      </c>
      <c r="E3843" t="s">
        <v>19</v>
      </c>
      <c r="F3843">
        <v>5000</v>
      </c>
      <c r="G3843">
        <v>75.099999999999994</v>
      </c>
      <c r="H3843">
        <v>77.400000000000006</v>
      </c>
      <c r="I3843">
        <v>55.1</v>
      </c>
      <c r="J3843">
        <v>58</v>
      </c>
      <c r="K3843">
        <v>67.900000000000006</v>
      </c>
      <c r="L3843">
        <v>899</v>
      </c>
      <c r="M3843" t="s">
        <v>1600</v>
      </c>
      <c r="N3843">
        <v>4552.22</v>
      </c>
      <c r="O3843">
        <v>330</v>
      </c>
    </row>
    <row r="3844" spans="1:15" x14ac:dyDescent="0.2">
      <c r="A3844" s="6">
        <v>45819</v>
      </c>
      <c r="B3844" t="s">
        <v>15</v>
      </c>
      <c r="C3844" t="s">
        <v>16</v>
      </c>
      <c r="D3844" s="1">
        <v>45855</v>
      </c>
      <c r="E3844" t="s">
        <v>19</v>
      </c>
      <c r="F3844">
        <v>4150</v>
      </c>
      <c r="J3844">
        <v>0.1</v>
      </c>
      <c r="K3844">
        <v>0.1</v>
      </c>
      <c r="L3844">
        <v>0</v>
      </c>
      <c r="M3844" t="s">
        <v>18</v>
      </c>
      <c r="N3844">
        <v>0</v>
      </c>
      <c r="O3844">
        <v>0</v>
      </c>
    </row>
    <row r="3845" spans="1:15" x14ac:dyDescent="0.2">
      <c r="A3845" s="6">
        <v>45819</v>
      </c>
      <c r="B3845" t="s">
        <v>15</v>
      </c>
      <c r="C3845" t="s">
        <v>16</v>
      </c>
      <c r="D3845" s="1">
        <v>45855</v>
      </c>
      <c r="E3845" t="s">
        <v>19</v>
      </c>
      <c r="F3845">
        <v>5950</v>
      </c>
      <c r="J3845">
        <v>385.1</v>
      </c>
      <c r="K3845">
        <v>482.7</v>
      </c>
      <c r="L3845">
        <v>0</v>
      </c>
      <c r="M3845" t="s">
        <v>18</v>
      </c>
      <c r="N3845">
        <v>0</v>
      </c>
      <c r="O3845">
        <v>0</v>
      </c>
    </row>
    <row r="3846" spans="1:15" x14ac:dyDescent="0.2">
      <c r="A3846" s="6">
        <v>45819</v>
      </c>
      <c r="B3846" t="s">
        <v>15</v>
      </c>
      <c r="C3846" t="s">
        <v>16</v>
      </c>
      <c r="D3846" s="1">
        <v>45855</v>
      </c>
      <c r="E3846" t="s">
        <v>17</v>
      </c>
      <c r="F3846">
        <v>4700</v>
      </c>
      <c r="J3846">
        <v>938.9</v>
      </c>
      <c r="K3846">
        <v>810.7</v>
      </c>
      <c r="L3846">
        <v>0</v>
      </c>
      <c r="M3846" t="s">
        <v>18</v>
      </c>
      <c r="N3846">
        <v>0</v>
      </c>
      <c r="O3846">
        <v>0</v>
      </c>
    </row>
    <row r="3847" spans="1:15" x14ac:dyDescent="0.2">
      <c r="A3847" s="6">
        <v>45819</v>
      </c>
      <c r="B3847" t="s">
        <v>15</v>
      </c>
      <c r="C3847" t="s">
        <v>16</v>
      </c>
      <c r="D3847" s="1">
        <v>45855</v>
      </c>
      <c r="E3847" t="s">
        <v>17</v>
      </c>
      <c r="F3847">
        <v>5650</v>
      </c>
      <c r="G3847">
        <v>196.4</v>
      </c>
      <c r="H3847">
        <v>230</v>
      </c>
      <c r="I3847">
        <v>183.1</v>
      </c>
      <c r="J3847">
        <v>217.9</v>
      </c>
      <c r="K3847">
        <v>124.1</v>
      </c>
      <c r="L3847">
        <v>10</v>
      </c>
      <c r="M3847" t="s">
        <v>69</v>
      </c>
      <c r="N3847">
        <v>58.68</v>
      </c>
      <c r="O3847">
        <v>2</v>
      </c>
    </row>
    <row r="3848" spans="1:15" x14ac:dyDescent="0.2">
      <c r="A3848" s="6">
        <v>45819</v>
      </c>
      <c r="B3848" t="s">
        <v>15</v>
      </c>
      <c r="C3848" t="s">
        <v>16</v>
      </c>
      <c r="D3848" s="1">
        <v>45855</v>
      </c>
      <c r="E3848" t="s">
        <v>17</v>
      </c>
      <c r="F3848">
        <v>4300</v>
      </c>
      <c r="J3848">
        <v>1334.2</v>
      </c>
      <c r="K3848">
        <v>1203.9000000000001</v>
      </c>
      <c r="L3848">
        <v>0</v>
      </c>
      <c r="M3848" t="s">
        <v>18</v>
      </c>
      <c r="N3848">
        <v>0</v>
      </c>
      <c r="O3848">
        <v>0</v>
      </c>
    </row>
    <row r="3849" spans="1:15" x14ac:dyDescent="0.2">
      <c r="A3849" s="6">
        <v>45819</v>
      </c>
      <c r="B3849" t="s">
        <v>15</v>
      </c>
      <c r="C3849" t="s">
        <v>16</v>
      </c>
      <c r="D3849" s="1">
        <v>45855</v>
      </c>
      <c r="E3849" t="s">
        <v>19</v>
      </c>
      <c r="F3849">
        <v>3800</v>
      </c>
      <c r="J3849">
        <v>0.1</v>
      </c>
      <c r="K3849">
        <v>0.1</v>
      </c>
      <c r="L3849">
        <v>0</v>
      </c>
      <c r="M3849" t="s">
        <v>18</v>
      </c>
      <c r="N3849">
        <v>0</v>
      </c>
      <c r="O3849">
        <v>0</v>
      </c>
    </row>
    <row r="3850" spans="1:15" x14ac:dyDescent="0.2">
      <c r="A3850" s="6">
        <v>45819</v>
      </c>
      <c r="B3850" t="s">
        <v>15</v>
      </c>
      <c r="C3850" t="s">
        <v>16</v>
      </c>
      <c r="D3850" s="1">
        <v>45855</v>
      </c>
      <c r="E3850" t="s">
        <v>19</v>
      </c>
      <c r="F3850">
        <v>6100</v>
      </c>
      <c r="J3850">
        <v>503.2</v>
      </c>
      <c r="K3850">
        <v>611.70000000000005</v>
      </c>
      <c r="L3850">
        <v>0</v>
      </c>
      <c r="M3850" t="s">
        <v>18</v>
      </c>
      <c r="N3850">
        <v>0</v>
      </c>
      <c r="O3850">
        <v>0</v>
      </c>
    </row>
    <row r="3851" spans="1:15" x14ac:dyDescent="0.2">
      <c r="A3851" s="6">
        <v>45819</v>
      </c>
      <c r="B3851" t="s">
        <v>15</v>
      </c>
      <c r="C3851" t="s">
        <v>16</v>
      </c>
      <c r="D3851" s="1">
        <v>45855</v>
      </c>
      <c r="E3851" t="s">
        <v>17</v>
      </c>
      <c r="F3851">
        <v>6000</v>
      </c>
      <c r="G3851">
        <v>74.3</v>
      </c>
      <c r="H3851">
        <v>142</v>
      </c>
      <c r="I3851">
        <v>66.900000000000006</v>
      </c>
      <c r="J3851">
        <v>124.4</v>
      </c>
      <c r="K3851">
        <v>79.2</v>
      </c>
      <c r="L3851">
        <v>2208</v>
      </c>
      <c r="M3851" t="s">
        <v>1601</v>
      </c>
      <c r="N3851">
        <v>13460.06</v>
      </c>
      <c r="O3851">
        <v>654</v>
      </c>
    </row>
    <row r="3852" spans="1:15" x14ac:dyDescent="0.2">
      <c r="A3852" s="6">
        <v>45819</v>
      </c>
      <c r="B3852" t="s">
        <v>15</v>
      </c>
      <c r="C3852" t="s">
        <v>16</v>
      </c>
      <c r="D3852" s="1">
        <v>45855</v>
      </c>
      <c r="E3852" t="s">
        <v>19</v>
      </c>
      <c r="F3852">
        <v>5500</v>
      </c>
      <c r="G3852">
        <v>235.1</v>
      </c>
      <c r="H3852">
        <v>241.1</v>
      </c>
      <c r="I3852">
        <v>175</v>
      </c>
      <c r="J3852">
        <v>179</v>
      </c>
      <c r="K3852">
        <v>223.6</v>
      </c>
      <c r="L3852">
        <v>2958</v>
      </c>
      <c r="M3852" t="s">
        <v>1602</v>
      </c>
      <c r="N3852">
        <v>16870.12</v>
      </c>
      <c r="O3852">
        <v>909</v>
      </c>
    </row>
    <row r="3853" spans="1:15" x14ac:dyDescent="0.2">
      <c r="A3853" s="6">
        <v>45819</v>
      </c>
      <c r="B3853" t="s">
        <v>15</v>
      </c>
      <c r="C3853" t="s">
        <v>16</v>
      </c>
      <c r="D3853" s="1">
        <v>45855</v>
      </c>
      <c r="E3853" t="s">
        <v>19</v>
      </c>
      <c r="F3853">
        <v>5750</v>
      </c>
      <c r="J3853">
        <v>250.1</v>
      </c>
      <c r="K3853">
        <v>329</v>
      </c>
      <c r="L3853">
        <v>0</v>
      </c>
      <c r="M3853" t="s">
        <v>18</v>
      </c>
      <c r="N3853">
        <v>0</v>
      </c>
      <c r="O3853">
        <v>0</v>
      </c>
    </row>
    <row r="3854" spans="1:15" x14ac:dyDescent="0.2">
      <c r="A3854" s="6">
        <v>45818</v>
      </c>
      <c r="B3854" t="s">
        <v>15</v>
      </c>
      <c r="C3854" t="s">
        <v>16</v>
      </c>
      <c r="D3854" s="1">
        <v>45855</v>
      </c>
      <c r="E3854" t="s">
        <v>17</v>
      </c>
      <c r="F3854">
        <v>4650</v>
      </c>
      <c r="J3854">
        <v>859.1</v>
      </c>
      <c r="K3854">
        <v>849.3</v>
      </c>
      <c r="L3854">
        <v>0</v>
      </c>
      <c r="M3854" t="s">
        <v>18</v>
      </c>
      <c r="N3854">
        <v>0</v>
      </c>
      <c r="O3854">
        <v>0</v>
      </c>
    </row>
    <row r="3855" spans="1:15" x14ac:dyDescent="0.2">
      <c r="A3855" s="6">
        <v>45818</v>
      </c>
      <c r="B3855" t="s">
        <v>15</v>
      </c>
      <c r="C3855" t="s">
        <v>16</v>
      </c>
      <c r="D3855" s="1">
        <v>45855</v>
      </c>
      <c r="E3855" t="s">
        <v>19</v>
      </c>
      <c r="F3855">
        <v>5100</v>
      </c>
      <c r="G3855">
        <v>86.1</v>
      </c>
      <c r="H3855">
        <v>86.1</v>
      </c>
      <c r="I3855">
        <v>73.599999999999994</v>
      </c>
      <c r="J3855">
        <v>78</v>
      </c>
      <c r="K3855">
        <v>91.6</v>
      </c>
      <c r="L3855">
        <v>19</v>
      </c>
      <c r="M3855" t="s">
        <v>550</v>
      </c>
      <c r="N3855">
        <v>98.42</v>
      </c>
      <c r="O3855">
        <v>12</v>
      </c>
    </row>
    <row r="3856" spans="1:15" x14ac:dyDescent="0.2">
      <c r="A3856" s="6">
        <v>45818</v>
      </c>
      <c r="B3856" t="s">
        <v>15</v>
      </c>
      <c r="C3856" t="s">
        <v>16</v>
      </c>
      <c r="D3856" s="1">
        <v>45855</v>
      </c>
      <c r="E3856" t="s">
        <v>19</v>
      </c>
      <c r="F3856">
        <v>6650</v>
      </c>
      <c r="J3856">
        <v>1134.3</v>
      </c>
      <c r="K3856">
        <v>1145.7</v>
      </c>
      <c r="L3856">
        <v>0</v>
      </c>
      <c r="M3856" t="s">
        <v>18</v>
      </c>
      <c r="N3856">
        <v>0</v>
      </c>
      <c r="O3856">
        <v>0</v>
      </c>
    </row>
    <row r="3857" spans="1:15" x14ac:dyDescent="0.2">
      <c r="A3857" s="6">
        <v>45818</v>
      </c>
      <c r="B3857" t="s">
        <v>15</v>
      </c>
      <c r="C3857" t="s">
        <v>16</v>
      </c>
      <c r="D3857" s="1">
        <v>45855</v>
      </c>
      <c r="E3857" t="s">
        <v>19</v>
      </c>
      <c r="F3857">
        <v>6050</v>
      </c>
      <c r="J3857">
        <v>567.6</v>
      </c>
      <c r="K3857">
        <v>581.70000000000005</v>
      </c>
      <c r="L3857">
        <v>0</v>
      </c>
      <c r="M3857" t="s">
        <v>18</v>
      </c>
      <c r="N3857">
        <v>0</v>
      </c>
      <c r="O3857">
        <v>0</v>
      </c>
    </row>
    <row r="3858" spans="1:15" x14ac:dyDescent="0.2">
      <c r="A3858" s="6">
        <v>45818</v>
      </c>
      <c r="B3858" t="s">
        <v>15</v>
      </c>
      <c r="C3858" t="s">
        <v>16</v>
      </c>
      <c r="D3858" s="1">
        <v>45855</v>
      </c>
      <c r="E3858" t="s">
        <v>17</v>
      </c>
      <c r="F3858">
        <v>5250</v>
      </c>
      <c r="J3858">
        <v>337.3</v>
      </c>
      <c r="K3858">
        <v>336.3</v>
      </c>
      <c r="L3858">
        <v>0</v>
      </c>
      <c r="M3858" t="s">
        <v>18</v>
      </c>
      <c r="N3858">
        <v>0</v>
      </c>
      <c r="O3858">
        <v>0</v>
      </c>
    </row>
    <row r="3859" spans="1:15" x14ac:dyDescent="0.2">
      <c r="A3859" s="6">
        <v>45818</v>
      </c>
      <c r="B3859" t="s">
        <v>15</v>
      </c>
      <c r="C3859" t="s">
        <v>16</v>
      </c>
      <c r="D3859" s="1">
        <v>45855</v>
      </c>
      <c r="E3859" t="s">
        <v>17</v>
      </c>
      <c r="F3859">
        <v>4200</v>
      </c>
      <c r="J3859">
        <v>1303.0999999999999</v>
      </c>
      <c r="K3859">
        <v>1292.0999999999999</v>
      </c>
      <c r="L3859">
        <v>0</v>
      </c>
      <c r="M3859" t="s">
        <v>18</v>
      </c>
      <c r="N3859">
        <v>0</v>
      </c>
      <c r="O3859">
        <v>0</v>
      </c>
    </row>
    <row r="3860" spans="1:15" x14ac:dyDescent="0.2">
      <c r="A3860" s="6">
        <v>45818</v>
      </c>
      <c r="B3860" t="s">
        <v>15</v>
      </c>
      <c r="C3860" t="s">
        <v>16</v>
      </c>
      <c r="D3860" s="1">
        <v>45855</v>
      </c>
      <c r="E3860" t="s">
        <v>17</v>
      </c>
      <c r="F3860">
        <v>5700</v>
      </c>
      <c r="G3860">
        <v>162.9</v>
      </c>
      <c r="H3860">
        <v>178.9</v>
      </c>
      <c r="I3860">
        <v>152</v>
      </c>
      <c r="J3860">
        <v>154.69999999999999</v>
      </c>
      <c r="K3860">
        <v>155.69999999999999</v>
      </c>
      <c r="L3860">
        <v>183</v>
      </c>
      <c r="M3860" t="s">
        <v>725</v>
      </c>
      <c r="N3860">
        <v>1073.6300000000001</v>
      </c>
      <c r="O3860">
        <v>104</v>
      </c>
    </row>
    <row r="3861" spans="1:15" x14ac:dyDescent="0.2">
      <c r="A3861" s="6">
        <v>45818</v>
      </c>
      <c r="B3861" t="s">
        <v>15</v>
      </c>
      <c r="C3861" t="s">
        <v>16</v>
      </c>
      <c r="D3861" s="1">
        <v>45855</v>
      </c>
      <c r="E3861" t="s">
        <v>17</v>
      </c>
      <c r="F3861">
        <v>4800</v>
      </c>
      <c r="J3861">
        <v>715.5</v>
      </c>
      <c r="K3861">
        <v>707.1</v>
      </c>
      <c r="L3861">
        <v>0</v>
      </c>
      <c r="M3861" t="s">
        <v>18</v>
      </c>
      <c r="N3861">
        <v>0</v>
      </c>
      <c r="O3861">
        <v>0</v>
      </c>
    </row>
    <row r="3862" spans="1:15" x14ac:dyDescent="0.2">
      <c r="A3862" s="6">
        <v>45818</v>
      </c>
      <c r="B3862" t="s">
        <v>15</v>
      </c>
      <c r="C3862" t="s">
        <v>16</v>
      </c>
      <c r="D3862" s="1">
        <v>45855</v>
      </c>
      <c r="E3862" t="s">
        <v>19</v>
      </c>
      <c r="F3862">
        <v>4200</v>
      </c>
      <c r="J3862">
        <v>0.1</v>
      </c>
      <c r="K3862">
        <v>0.1</v>
      </c>
      <c r="L3862">
        <v>0</v>
      </c>
      <c r="M3862" t="s">
        <v>18</v>
      </c>
      <c r="N3862">
        <v>0</v>
      </c>
      <c r="O3862">
        <v>0</v>
      </c>
    </row>
    <row r="3863" spans="1:15" x14ac:dyDescent="0.2">
      <c r="A3863" s="6">
        <v>45818</v>
      </c>
      <c r="B3863" t="s">
        <v>15</v>
      </c>
      <c r="C3863" t="s">
        <v>16</v>
      </c>
      <c r="D3863" s="1">
        <v>45855</v>
      </c>
      <c r="E3863" t="s">
        <v>17</v>
      </c>
      <c r="F3863">
        <v>4900</v>
      </c>
      <c r="J3863">
        <v>623</v>
      </c>
      <c r="K3863">
        <v>615.9</v>
      </c>
      <c r="L3863">
        <v>0</v>
      </c>
      <c r="M3863" t="s">
        <v>18</v>
      </c>
      <c r="N3863">
        <v>0</v>
      </c>
      <c r="O3863">
        <v>0</v>
      </c>
    </row>
    <row r="3864" spans="1:15" x14ac:dyDescent="0.2">
      <c r="A3864" s="6">
        <v>45818</v>
      </c>
      <c r="B3864" t="s">
        <v>15</v>
      </c>
      <c r="C3864" t="s">
        <v>16</v>
      </c>
      <c r="D3864" s="1">
        <v>45855</v>
      </c>
      <c r="E3864" t="s">
        <v>17</v>
      </c>
      <c r="F3864">
        <v>4950</v>
      </c>
      <c r="J3864">
        <v>578.1</v>
      </c>
      <c r="K3864">
        <v>571.79999999999995</v>
      </c>
      <c r="L3864">
        <v>0</v>
      </c>
      <c r="M3864" t="s">
        <v>18</v>
      </c>
      <c r="N3864">
        <v>0</v>
      </c>
      <c r="O3864">
        <v>0</v>
      </c>
    </row>
    <row r="3865" spans="1:15" x14ac:dyDescent="0.2">
      <c r="A3865" s="6">
        <v>45818</v>
      </c>
      <c r="B3865" t="s">
        <v>15</v>
      </c>
      <c r="C3865" t="s">
        <v>16</v>
      </c>
      <c r="D3865" s="1">
        <v>45855</v>
      </c>
      <c r="E3865" t="s">
        <v>17</v>
      </c>
      <c r="F3865">
        <v>5100</v>
      </c>
      <c r="G3865">
        <v>538.29999999999995</v>
      </c>
      <c r="H3865">
        <v>538.29999999999995</v>
      </c>
      <c r="I3865">
        <v>538.29999999999995</v>
      </c>
      <c r="J3865">
        <v>538.29999999999995</v>
      </c>
      <c r="K3865">
        <v>486.1</v>
      </c>
      <c r="L3865">
        <v>1</v>
      </c>
      <c r="M3865" t="s">
        <v>155</v>
      </c>
      <c r="N3865">
        <v>5.64</v>
      </c>
      <c r="O3865">
        <v>5</v>
      </c>
    </row>
    <row r="3866" spans="1:15" x14ac:dyDescent="0.2">
      <c r="A3866" s="6">
        <v>45818</v>
      </c>
      <c r="B3866" t="s">
        <v>15</v>
      </c>
      <c r="C3866" t="s">
        <v>16</v>
      </c>
      <c r="D3866" s="1">
        <v>45855</v>
      </c>
      <c r="E3866" t="s">
        <v>17</v>
      </c>
      <c r="F3866">
        <v>5300</v>
      </c>
      <c r="G3866">
        <v>363</v>
      </c>
      <c r="H3866">
        <v>380</v>
      </c>
      <c r="I3866">
        <v>339</v>
      </c>
      <c r="J3866">
        <v>366.8</v>
      </c>
      <c r="K3866">
        <v>344.2</v>
      </c>
      <c r="L3866">
        <v>16</v>
      </c>
      <c r="M3866" t="s">
        <v>259</v>
      </c>
      <c r="N3866">
        <v>90.67</v>
      </c>
      <c r="O3866">
        <v>15</v>
      </c>
    </row>
    <row r="3867" spans="1:15" x14ac:dyDescent="0.2">
      <c r="A3867" s="6">
        <v>45818</v>
      </c>
      <c r="B3867" t="s">
        <v>15</v>
      </c>
      <c r="C3867" t="s">
        <v>16</v>
      </c>
      <c r="D3867" s="1">
        <v>45855</v>
      </c>
      <c r="E3867" t="s">
        <v>19</v>
      </c>
      <c r="F3867">
        <v>3600</v>
      </c>
      <c r="J3867">
        <v>0.1</v>
      </c>
      <c r="K3867">
        <v>0.1</v>
      </c>
      <c r="L3867">
        <v>0</v>
      </c>
      <c r="M3867" t="s">
        <v>18</v>
      </c>
      <c r="N3867">
        <v>0</v>
      </c>
      <c r="O3867">
        <v>0</v>
      </c>
    </row>
    <row r="3868" spans="1:15" x14ac:dyDescent="0.2">
      <c r="A3868" s="6">
        <v>45818</v>
      </c>
      <c r="B3868" t="s">
        <v>15</v>
      </c>
      <c r="C3868" t="s">
        <v>16</v>
      </c>
      <c r="D3868" s="1">
        <v>45855</v>
      </c>
      <c r="E3868" t="s">
        <v>17</v>
      </c>
      <c r="F3868">
        <v>4450</v>
      </c>
      <c r="J3868">
        <v>1055.3</v>
      </c>
      <c r="K3868">
        <v>1044.5999999999999</v>
      </c>
      <c r="L3868">
        <v>0</v>
      </c>
      <c r="M3868" t="s">
        <v>18</v>
      </c>
      <c r="N3868">
        <v>0</v>
      </c>
      <c r="O3868">
        <v>0</v>
      </c>
    </row>
    <row r="3869" spans="1:15" x14ac:dyDescent="0.2">
      <c r="A3869" s="6">
        <v>45818</v>
      </c>
      <c r="B3869" t="s">
        <v>15</v>
      </c>
      <c r="C3869" t="s">
        <v>16</v>
      </c>
      <c r="D3869" s="1">
        <v>45855</v>
      </c>
      <c r="E3869" t="s">
        <v>17</v>
      </c>
      <c r="F3869">
        <v>5950</v>
      </c>
      <c r="J3869">
        <v>46.4</v>
      </c>
      <c r="K3869">
        <v>50</v>
      </c>
      <c r="L3869">
        <v>0</v>
      </c>
      <c r="M3869" t="s">
        <v>18</v>
      </c>
      <c r="N3869">
        <v>0</v>
      </c>
      <c r="O3869">
        <v>0</v>
      </c>
    </row>
    <row r="3870" spans="1:15" x14ac:dyDescent="0.2">
      <c r="A3870" s="6">
        <v>45818</v>
      </c>
      <c r="B3870" t="s">
        <v>15</v>
      </c>
      <c r="C3870" t="s">
        <v>16</v>
      </c>
      <c r="D3870" s="1">
        <v>45855</v>
      </c>
      <c r="E3870" t="s">
        <v>17</v>
      </c>
      <c r="F3870">
        <v>5200</v>
      </c>
      <c r="G3870">
        <v>429</v>
      </c>
      <c r="H3870">
        <v>457</v>
      </c>
      <c r="I3870">
        <v>429</v>
      </c>
      <c r="J3870">
        <v>439.5</v>
      </c>
      <c r="K3870">
        <v>407.6</v>
      </c>
      <c r="L3870">
        <v>7</v>
      </c>
      <c r="M3870" t="s">
        <v>23</v>
      </c>
      <c r="N3870">
        <v>39.479999999999997</v>
      </c>
      <c r="O3870">
        <v>10</v>
      </c>
    </row>
    <row r="3871" spans="1:15" x14ac:dyDescent="0.2">
      <c r="A3871" s="6">
        <v>45818</v>
      </c>
      <c r="B3871" t="s">
        <v>15</v>
      </c>
      <c r="C3871" t="s">
        <v>16</v>
      </c>
      <c r="D3871" s="1">
        <v>45855</v>
      </c>
      <c r="E3871" t="s">
        <v>19</v>
      </c>
      <c r="F3871">
        <v>6150</v>
      </c>
      <c r="J3871">
        <v>656.6</v>
      </c>
      <c r="K3871">
        <v>670.1</v>
      </c>
      <c r="L3871">
        <v>0</v>
      </c>
      <c r="M3871" t="s">
        <v>18</v>
      </c>
      <c r="N3871">
        <v>0</v>
      </c>
      <c r="O3871">
        <v>0</v>
      </c>
    </row>
    <row r="3872" spans="1:15" x14ac:dyDescent="0.2">
      <c r="A3872" s="6">
        <v>45818</v>
      </c>
      <c r="B3872" t="s">
        <v>15</v>
      </c>
      <c r="C3872" t="s">
        <v>16</v>
      </c>
      <c r="D3872" s="1">
        <v>45855</v>
      </c>
      <c r="E3872" t="s">
        <v>19</v>
      </c>
      <c r="F3872">
        <v>4900</v>
      </c>
      <c r="J3872">
        <v>15.7</v>
      </c>
      <c r="K3872">
        <v>19.7</v>
      </c>
      <c r="L3872">
        <v>0</v>
      </c>
      <c r="M3872" t="s">
        <v>18</v>
      </c>
      <c r="N3872">
        <v>0</v>
      </c>
      <c r="O3872">
        <v>0</v>
      </c>
    </row>
    <row r="3873" spans="1:15" x14ac:dyDescent="0.2">
      <c r="A3873" s="6">
        <v>45818</v>
      </c>
      <c r="B3873" t="s">
        <v>15</v>
      </c>
      <c r="C3873" t="s">
        <v>16</v>
      </c>
      <c r="D3873" s="1">
        <v>45855</v>
      </c>
      <c r="E3873" t="s">
        <v>17</v>
      </c>
      <c r="F3873">
        <v>4400</v>
      </c>
      <c r="J3873">
        <v>1104.7</v>
      </c>
      <c r="K3873">
        <v>1093.9000000000001</v>
      </c>
      <c r="L3873">
        <v>0</v>
      </c>
      <c r="M3873" t="s">
        <v>18</v>
      </c>
      <c r="N3873">
        <v>0</v>
      </c>
      <c r="O3873">
        <v>0</v>
      </c>
    </row>
    <row r="3874" spans="1:15" x14ac:dyDescent="0.2">
      <c r="A3874" s="6">
        <v>45818</v>
      </c>
      <c r="B3874" t="s">
        <v>15</v>
      </c>
      <c r="C3874" t="s">
        <v>16</v>
      </c>
      <c r="D3874" s="1">
        <v>45855</v>
      </c>
      <c r="E3874" t="s">
        <v>17</v>
      </c>
      <c r="F3874">
        <v>4100</v>
      </c>
      <c r="J3874">
        <v>1402.5</v>
      </c>
      <c r="K3874">
        <v>1391.4</v>
      </c>
      <c r="L3874">
        <v>0</v>
      </c>
      <c r="M3874" t="s">
        <v>18</v>
      </c>
      <c r="N3874">
        <v>0</v>
      </c>
      <c r="O3874">
        <v>0</v>
      </c>
    </row>
    <row r="3875" spans="1:15" x14ac:dyDescent="0.2">
      <c r="A3875" s="6">
        <v>45818</v>
      </c>
      <c r="B3875" t="s">
        <v>15</v>
      </c>
      <c r="C3875" t="s">
        <v>16</v>
      </c>
      <c r="D3875" s="1">
        <v>45855</v>
      </c>
      <c r="E3875" t="s">
        <v>17</v>
      </c>
      <c r="F3875">
        <v>4750</v>
      </c>
      <c r="J3875">
        <v>762.8</v>
      </c>
      <c r="K3875">
        <v>754</v>
      </c>
      <c r="L3875">
        <v>0</v>
      </c>
      <c r="M3875" t="s">
        <v>18</v>
      </c>
      <c r="N3875">
        <v>0</v>
      </c>
      <c r="O3875">
        <v>0</v>
      </c>
    </row>
    <row r="3876" spans="1:15" x14ac:dyDescent="0.2">
      <c r="A3876" s="6">
        <v>45818</v>
      </c>
      <c r="B3876" t="s">
        <v>15</v>
      </c>
      <c r="C3876" t="s">
        <v>16</v>
      </c>
      <c r="D3876" s="1">
        <v>45855</v>
      </c>
      <c r="E3876" t="s">
        <v>17</v>
      </c>
      <c r="F3876">
        <v>3700</v>
      </c>
      <c r="J3876">
        <v>1800.1</v>
      </c>
      <c r="K3876">
        <v>1788.8</v>
      </c>
      <c r="L3876">
        <v>0</v>
      </c>
      <c r="M3876" t="s">
        <v>18</v>
      </c>
      <c r="N3876">
        <v>0</v>
      </c>
      <c r="O3876">
        <v>0</v>
      </c>
    </row>
    <row r="3877" spans="1:15" x14ac:dyDescent="0.2">
      <c r="A3877" s="6">
        <v>45818</v>
      </c>
      <c r="B3877" t="s">
        <v>15</v>
      </c>
      <c r="C3877" t="s">
        <v>16</v>
      </c>
      <c r="D3877" s="1">
        <v>45855</v>
      </c>
      <c r="E3877" t="s">
        <v>17</v>
      </c>
      <c r="F3877">
        <v>4350</v>
      </c>
      <c r="J3877">
        <v>1154.3</v>
      </c>
      <c r="K3877">
        <v>1143.3</v>
      </c>
      <c r="L3877">
        <v>0</v>
      </c>
      <c r="M3877" t="s">
        <v>18</v>
      </c>
      <c r="N3877">
        <v>0</v>
      </c>
      <c r="O3877">
        <v>0</v>
      </c>
    </row>
    <row r="3878" spans="1:15" x14ac:dyDescent="0.2">
      <c r="A3878" s="6">
        <v>45818</v>
      </c>
      <c r="B3878" t="s">
        <v>15</v>
      </c>
      <c r="C3878" t="s">
        <v>16</v>
      </c>
      <c r="D3878" s="1">
        <v>45855</v>
      </c>
      <c r="E3878" t="s">
        <v>17</v>
      </c>
      <c r="F3878">
        <v>5000</v>
      </c>
      <c r="G3878">
        <v>584.20000000000005</v>
      </c>
      <c r="H3878">
        <v>613.79999999999995</v>
      </c>
      <c r="I3878">
        <v>570</v>
      </c>
      <c r="J3878">
        <v>587</v>
      </c>
      <c r="K3878">
        <v>528.79999999999995</v>
      </c>
      <c r="L3878">
        <v>6</v>
      </c>
      <c r="M3878" t="s">
        <v>132</v>
      </c>
      <c r="N3878">
        <v>33.520000000000003</v>
      </c>
      <c r="O3878">
        <v>4</v>
      </c>
    </row>
    <row r="3879" spans="1:15" x14ac:dyDescent="0.2">
      <c r="A3879" s="6">
        <v>45818</v>
      </c>
      <c r="B3879" t="s">
        <v>15</v>
      </c>
      <c r="C3879" t="s">
        <v>16</v>
      </c>
      <c r="D3879" s="1">
        <v>45855</v>
      </c>
      <c r="E3879" t="s">
        <v>17</v>
      </c>
      <c r="F3879">
        <v>4850</v>
      </c>
      <c r="J3879">
        <v>668.8</v>
      </c>
      <c r="K3879">
        <v>661.1</v>
      </c>
      <c r="L3879">
        <v>0</v>
      </c>
      <c r="M3879" t="s">
        <v>18</v>
      </c>
      <c r="N3879">
        <v>0</v>
      </c>
      <c r="O3879">
        <v>0</v>
      </c>
    </row>
    <row r="3880" spans="1:15" x14ac:dyDescent="0.2">
      <c r="A3880" s="6">
        <v>45818</v>
      </c>
      <c r="B3880" t="s">
        <v>15</v>
      </c>
      <c r="C3880" t="s">
        <v>16</v>
      </c>
      <c r="D3880" s="1">
        <v>45855</v>
      </c>
      <c r="E3880" t="s">
        <v>19</v>
      </c>
      <c r="F3880">
        <v>5250</v>
      </c>
      <c r="J3880">
        <v>77.8</v>
      </c>
      <c r="K3880">
        <v>87.8</v>
      </c>
      <c r="L3880">
        <v>0</v>
      </c>
      <c r="M3880" t="s">
        <v>18</v>
      </c>
      <c r="N3880">
        <v>0</v>
      </c>
      <c r="O3880">
        <v>0</v>
      </c>
    </row>
    <row r="3881" spans="1:15" x14ac:dyDescent="0.2">
      <c r="A3881" s="6">
        <v>45818</v>
      </c>
      <c r="B3881" t="s">
        <v>15</v>
      </c>
      <c r="C3881" t="s">
        <v>16</v>
      </c>
      <c r="D3881" s="1">
        <v>45855</v>
      </c>
      <c r="E3881" t="s">
        <v>17</v>
      </c>
      <c r="F3881">
        <v>4500</v>
      </c>
      <c r="J3881">
        <v>1005.9</v>
      </c>
      <c r="K3881">
        <v>995.4</v>
      </c>
      <c r="L3881">
        <v>0</v>
      </c>
      <c r="M3881" t="s">
        <v>18</v>
      </c>
      <c r="N3881">
        <v>0</v>
      </c>
      <c r="O3881">
        <v>0</v>
      </c>
    </row>
    <row r="3882" spans="1:15" x14ac:dyDescent="0.2">
      <c r="A3882" s="6">
        <v>45818</v>
      </c>
      <c r="B3882" t="s">
        <v>15</v>
      </c>
      <c r="C3882" t="s">
        <v>16</v>
      </c>
      <c r="D3882" s="1">
        <v>45855</v>
      </c>
      <c r="E3882" t="s">
        <v>17</v>
      </c>
      <c r="F3882">
        <v>5750</v>
      </c>
      <c r="J3882">
        <v>91.4</v>
      </c>
      <c r="K3882">
        <v>100.1</v>
      </c>
      <c r="L3882">
        <v>0</v>
      </c>
      <c r="M3882" t="s">
        <v>18</v>
      </c>
      <c r="N3882">
        <v>0</v>
      </c>
      <c r="O3882">
        <v>2</v>
      </c>
    </row>
    <row r="3883" spans="1:15" x14ac:dyDescent="0.2">
      <c r="A3883" s="6">
        <v>45818</v>
      </c>
      <c r="B3883" t="s">
        <v>15</v>
      </c>
      <c r="C3883" t="s">
        <v>16</v>
      </c>
      <c r="D3883" s="1">
        <v>45855</v>
      </c>
      <c r="E3883" t="s">
        <v>19</v>
      </c>
      <c r="F3883">
        <v>5900</v>
      </c>
      <c r="J3883">
        <v>442.1</v>
      </c>
      <c r="K3883">
        <v>456.7</v>
      </c>
      <c r="L3883">
        <v>0</v>
      </c>
      <c r="M3883" t="s">
        <v>18</v>
      </c>
      <c r="N3883">
        <v>0</v>
      </c>
      <c r="O3883">
        <v>0</v>
      </c>
    </row>
    <row r="3884" spans="1:15" x14ac:dyDescent="0.2">
      <c r="A3884" s="6">
        <v>45818</v>
      </c>
      <c r="B3884" t="s">
        <v>15</v>
      </c>
      <c r="C3884" t="s">
        <v>16</v>
      </c>
      <c r="D3884" s="1">
        <v>45855</v>
      </c>
      <c r="E3884" t="s">
        <v>17</v>
      </c>
      <c r="F3884">
        <v>3800</v>
      </c>
      <c r="J3884">
        <v>1700.7</v>
      </c>
      <c r="K3884">
        <v>1689.5</v>
      </c>
      <c r="L3884">
        <v>0</v>
      </c>
      <c r="M3884" t="s">
        <v>18</v>
      </c>
      <c r="N3884">
        <v>0</v>
      </c>
      <c r="O3884">
        <v>0</v>
      </c>
    </row>
    <row r="3885" spans="1:15" x14ac:dyDescent="0.2">
      <c r="A3885" s="6">
        <v>45818</v>
      </c>
      <c r="B3885" t="s">
        <v>15</v>
      </c>
      <c r="C3885" t="s">
        <v>16</v>
      </c>
      <c r="D3885" s="1">
        <v>45855</v>
      </c>
      <c r="E3885" t="s">
        <v>19</v>
      </c>
      <c r="F3885">
        <v>6200</v>
      </c>
      <c r="J3885">
        <v>702.3</v>
      </c>
      <c r="K3885">
        <v>715.5</v>
      </c>
      <c r="L3885">
        <v>0</v>
      </c>
      <c r="M3885" t="s">
        <v>18</v>
      </c>
      <c r="N3885">
        <v>0</v>
      </c>
      <c r="O3885">
        <v>0</v>
      </c>
    </row>
    <row r="3886" spans="1:15" x14ac:dyDescent="0.2">
      <c r="A3886" s="6">
        <v>45818</v>
      </c>
      <c r="B3886" t="s">
        <v>15</v>
      </c>
      <c r="C3886" t="s">
        <v>16</v>
      </c>
      <c r="D3886" s="1">
        <v>45855</v>
      </c>
      <c r="E3886" t="s">
        <v>19</v>
      </c>
      <c r="F3886">
        <v>4600</v>
      </c>
      <c r="J3886">
        <v>2.2999999999999998</v>
      </c>
      <c r="K3886">
        <v>3.3</v>
      </c>
      <c r="L3886">
        <v>0</v>
      </c>
      <c r="M3886" t="s">
        <v>18</v>
      </c>
      <c r="N3886">
        <v>0</v>
      </c>
      <c r="O3886">
        <v>0</v>
      </c>
    </row>
    <row r="3887" spans="1:15" x14ac:dyDescent="0.2">
      <c r="A3887" s="6">
        <v>45818</v>
      </c>
      <c r="B3887" t="s">
        <v>15</v>
      </c>
      <c r="C3887" t="s">
        <v>16</v>
      </c>
      <c r="D3887" s="1">
        <v>45855</v>
      </c>
      <c r="E3887" t="s">
        <v>17</v>
      </c>
      <c r="F3887">
        <v>6750</v>
      </c>
      <c r="J3887">
        <v>1.3</v>
      </c>
      <c r="K3887">
        <v>1.7</v>
      </c>
      <c r="L3887">
        <v>0</v>
      </c>
      <c r="M3887" t="s">
        <v>18</v>
      </c>
      <c r="N3887">
        <v>0</v>
      </c>
      <c r="O3887">
        <v>0</v>
      </c>
    </row>
    <row r="3888" spans="1:15" x14ac:dyDescent="0.2">
      <c r="A3888" s="6">
        <v>45818</v>
      </c>
      <c r="B3888" t="s">
        <v>15</v>
      </c>
      <c r="C3888" t="s">
        <v>16</v>
      </c>
      <c r="D3888" s="1">
        <v>45855</v>
      </c>
      <c r="E3888" t="s">
        <v>19</v>
      </c>
      <c r="F3888">
        <v>4950</v>
      </c>
      <c r="J3888">
        <v>20.399999999999999</v>
      </c>
      <c r="K3888">
        <v>25.2</v>
      </c>
      <c r="L3888">
        <v>0</v>
      </c>
      <c r="M3888" t="s">
        <v>18</v>
      </c>
      <c r="N3888">
        <v>0</v>
      </c>
      <c r="O3888">
        <v>0</v>
      </c>
    </row>
    <row r="3889" spans="1:15" x14ac:dyDescent="0.2">
      <c r="A3889" s="6">
        <v>45818</v>
      </c>
      <c r="B3889" t="s">
        <v>15</v>
      </c>
      <c r="C3889" t="s">
        <v>16</v>
      </c>
      <c r="D3889" s="1">
        <v>45855</v>
      </c>
      <c r="E3889" t="s">
        <v>19</v>
      </c>
      <c r="F3889">
        <v>4250</v>
      </c>
      <c r="J3889">
        <v>0.1</v>
      </c>
      <c r="K3889">
        <v>0.2</v>
      </c>
      <c r="L3889">
        <v>0</v>
      </c>
      <c r="M3889" t="s">
        <v>18</v>
      </c>
      <c r="N3889">
        <v>0</v>
      </c>
      <c r="O3889">
        <v>0</v>
      </c>
    </row>
    <row r="3890" spans="1:15" x14ac:dyDescent="0.2">
      <c r="A3890" s="6">
        <v>45818</v>
      </c>
      <c r="B3890" t="s">
        <v>15</v>
      </c>
      <c r="C3890" t="s">
        <v>16</v>
      </c>
      <c r="D3890" s="1">
        <v>45855</v>
      </c>
      <c r="E3890" t="s">
        <v>17</v>
      </c>
      <c r="F3890">
        <v>5600</v>
      </c>
      <c r="G3890">
        <v>205.3</v>
      </c>
      <c r="H3890">
        <v>223</v>
      </c>
      <c r="I3890">
        <v>190</v>
      </c>
      <c r="J3890">
        <v>192.4</v>
      </c>
      <c r="K3890">
        <v>192.3</v>
      </c>
      <c r="L3890">
        <v>592</v>
      </c>
      <c r="M3890" t="s">
        <v>387</v>
      </c>
      <c r="N3890">
        <v>3437.81</v>
      </c>
      <c r="O3890">
        <v>153</v>
      </c>
    </row>
    <row r="3891" spans="1:15" x14ac:dyDescent="0.2">
      <c r="A3891" s="6">
        <v>45818</v>
      </c>
      <c r="B3891" t="s">
        <v>15</v>
      </c>
      <c r="C3891" t="s">
        <v>16</v>
      </c>
      <c r="D3891" s="1">
        <v>45855</v>
      </c>
      <c r="E3891" t="s">
        <v>17</v>
      </c>
      <c r="F3891">
        <v>3850</v>
      </c>
      <c r="J3891">
        <v>1651</v>
      </c>
      <c r="K3891">
        <v>1639.8</v>
      </c>
      <c r="L3891">
        <v>0</v>
      </c>
      <c r="M3891" t="s">
        <v>18</v>
      </c>
      <c r="N3891">
        <v>0</v>
      </c>
      <c r="O3891">
        <v>0</v>
      </c>
    </row>
    <row r="3892" spans="1:15" x14ac:dyDescent="0.2">
      <c r="A3892" s="6">
        <v>45818</v>
      </c>
      <c r="B3892" t="s">
        <v>15</v>
      </c>
      <c r="C3892" t="s">
        <v>16</v>
      </c>
      <c r="D3892" s="1">
        <v>45855</v>
      </c>
      <c r="E3892" t="s">
        <v>19</v>
      </c>
      <c r="F3892">
        <v>5050</v>
      </c>
      <c r="J3892">
        <v>33.5</v>
      </c>
      <c r="K3892">
        <v>39.9</v>
      </c>
      <c r="L3892">
        <v>0</v>
      </c>
      <c r="M3892" t="s">
        <v>18</v>
      </c>
      <c r="N3892">
        <v>0</v>
      </c>
      <c r="O3892">
        <v>0</v>
      </c>
    </row>
    <row r="3893" spans="1:15" x14ac:dyDescent="0.2">
      <c r="A3893" s="6">
        <v>45818</v>
      </c>
      <c r="B3893" t="s">
        <v>15</v>
      </c>
      <c r="C3893" t="s">
        <v>16</v>
      </c>
      <c r="D3893" s="1">
        <v>45855</v>
      </c>
      <c r="E3893" t="s">
        <v>19</v>
      </c>
      <c r="F3893">
        <v>4450</v>
      </c>
      <c r="J3893">
        <v>0.7</v>
      </c>
      <c r="K3893">
        <v>1.1000000000000001</v>
      </c>
      <c r="L3893">
        <v>0</v>
      </c>
      <c r="M3893" t="s">
        <v>18</v>
      </c>
      <c r="N3893">
        <v>0</v>
      </c>
      <c r="O3893">
        <v>0</v>
      </c>
    </row>
    <row r="3894" spans="1:15" x14ac:dyDescent="0.2">
      <c r="A3894" s="6">
        <v>45818</v>
      </c>
      <c r="B3894" t="s">
        <v>15</v>
      </c>
      <c r="C3894" t="s">
        <v>16</v>
      </c>
      <c r="D3894" s="1">
        <v>45855</v>
      </c>
      <c r="E3894" t="s">
        <v>19</v>
      </c>
      <c r="F3894">
        <v>5700</v>
      </c>
      <c r="G3894">
        <v>295</v>
      </c>
      <c r="H3894">
        <v>305</v>
      </c>
      <c r="I3894">
        <v>295</v>
      </c>
      <c r="J3894">
        <v>300</v>
      </c>
      <c r="K3894">
        <v>309.5</v>
      </c>
      <c r="L3894">
        <v>2</v>
      </c>
      <c r="M3894" t="s">
        <v>28</v>
      </c>
      <c r="N3894">
        <v>12</v>
      </c>
      <c r="O3894">
        <v>1</v>
      </c>
    </row>
    <row r="3895" spans="1:15" x14ac:dyDescent="0.2">
      <c r="A3895" s="6">
        <v>45818</v>
      </c>
      <c r="B3895" t="s">
        <v>15</v>
      </c>
      <c r="C3895" t="s">
        <v>16</v>
      </c>
      <c r="D3895" s="1">
        <v>45855</v>
      </c>
      <c r="E3895" t="s">
        <v>17</v>
      </c>
      <c r="F3895">
        <v>6550</v>
      </c>
      <c r="J3895">
        <v>3.6</v>
      </c>
      <c r="K3895">
        <v>4.5</v>
      </c>
      <c r="L3895">
        <v>0</v>
      </c>
      <c r="M3895" t="s">
        <v>18</v>
      </c>
      <c r="N3895">
        <v>0</v>
      </c>
      <c r="O3895">
        <v>0</v>
      </c>
    </row>
    <row r="3896" spans="1:15" x14ac:dyDescent="0.2">
      <c r="A3896" s="6">
        <v>45818</v>
      </c>
      <c r="B3896" t="s">
        <v>15</v>
      </c>
      <c r="C3896" t="s">
        <v>16</v>
      </c>
      <c r="D3896" s="1">
        <v>45855</v>
      </c>
      <c r="E3896" t="s">
        <v>19</v>
      </c>
      <c r="F3896">
        <v>5400</v>
      </c>
      <c r="G3896">
        <v>179.5</v>
      </c>
      <c r="H3896">
        <v>179.8</v>
      </c>
      <c r="I3896">
        <v>142.30000000000001</v>
      </c>
      <c r="J3896">
        <v>173.7</v>
      </c>
      <c r="K3896">
        <v>195.7</v>
      </c>
      <c r="L3896">
        <v>690</v>
      </c>
      <c r="M3896" t="s">
        <v>1603</v>
      </c>
      <c r="N3896">
        <v>3836.08</v>
      </c>
      <c r="O3896">
        <v>375</v>
      </c>
    </row>
    <row r="3897" spans="1:15" x14ac:dyDescent="0.2">
      <c r="A3897" s="6">
        <v>45818</v>
      </c>
      <c r="B3897" t="s">
        <v>15</v>
      </c>
      <c r="C3897" t="s">
        <v>16</v>
      </c>
      <c r="D3897" s="1">
        <v>45855</v>
      </c>
      <c r="E3897" t="s">
        <v>19</v>
      </c>
      <c r="F3897">
        <v>6400</v>
      </c>
      <c r="J3897">
        <v>890.9</v>
      </c>
      <c r="K3897">
        <v>903.1</v>
      </c>
      <c r="L3897">
        <v>0</v>
      </c>
      <c r="M3897" t="s">
        <v>18</v>
      </c>
      <c r="N3897">
        <v>0</v>
      </c>
      <c r="O3897">
        <v>0</v>
      </c>
    </row>
    <row r="3898" spans="1:15" x14ac:dyDescent="0.2">
      <c r="A3898" s="6">
        <v>45818</v>
      </c>
      <c r="B3898" t="s">
        <v>15</v>
      </c>
      <c r="C3898" t="s">
        <v>16</v>
      </c>
      <c r="D3898" s="1">
        <v>45855</v>
      </c>
      <c r="E3898" t="s">
        <v>19</v>
      </c>
      <c r="F3898">
        <v>5300</v>
      </c>
      <c r="G3898">
        <v>150</v>
      </c>
      <c r="H3898">
        <v>150</v>
      </c>
      <c r="I3898">
        <v>114.1</v>
      </c>
      <c r="J3898">
        <v>133.9</v>
      </c>
      <c r="K3898">
        <v>149.1</v>
      </c>
      <c r="L3898">
        <v>183</v>
      </c>
      <c r="M3898" t="s">
        <v>725</v>
      </c>
      <c r="N3898">
        <v>993.66</v>
      </c>
      <c r="O3898">
        <v>113</v>
      </c>
    </row>
    <row r="3899" spans="1:15" x14ac:dyDescent="0.2">
      <c r="A3899" s="6">
        <v>45818</v>
      </c>
      <c r="B3899" t="s">
        <v>15</v>
      </c>
      <c r="C3899" t="s">
        <v>16</v>
      </c>
      <c r="D3899" s="1">
        <v>45855</v>
      </c>
      <c r="E3899" t="s">
        <v>19</v>
      </c>
      <c r="F3899">
        <v>3700</v>
      </c>
      <c r="J3899">
        <v>0.1</v>
      </c>
      <c r="K3899">
        <v>0.1</v>
      </c>
      <c r="L3899">
        <v>0</v>
      </c>
      <c r="M3899" t="s">
        <v>18</v>
      </c>
      <c r="N3899">
        <v>0</v>
      </c>
      <c r="O3899">
        <v>0</v>
      </c>
    </row>
    <row r="3900" spans="1:15" x14ac:dyDescent="0.2">
      <c r="A3900" s="6">
        <v>45818</v>
      </c>
      <c r="B3900" t="s">
        <v>15</v>
      </c>
      <c r="C3900" t="s">
        <v>16</v>
      </c>
      <c r="D3900" s="1">
        <v>45855</v>
      </c>
      <c r="E3900" t="s">
        <v>19</v>
      </c>
      <c r="F3900">
        <v>6750</v>
      </c>
      <c r="J3900">
        <v>1232.8</v>
      </c>
      <c r="K3900">
        <v>1244</v>
      </c>
      <c r="L3900">
        <v>0</v>
      </c>
      <c r="M3900" t="s">
        <v>18</v>
      </c>
      <c r="N3900">
        <v>0</v>
      </c>
      <c r="O3900">
        <v>0</v>
      </c>
    </row>
    <row r="3901" spans="1:15" x14ac:dyDescent="0.2">
      <c r="A3901" s="6">
        <v>45818</v>
      </c>
      <c r="B3901" t="s">
        <v>15</v>
      </c>
      <c r="C3901" t="s">
        <v>16</v>
      </c>
      <c r="D3901" s="1">
        <v>45855</v>
      </c>
      <c r="E3901" t="s">
        <v>17</v>
      </c>
      <c r="F3901">
        <v>6050</v>
      </c>
      <c r="J3901">
        <v>31.9</v>
      </c>
      <c r="K3901">
        <v>35.1</v>
      </c>
      <c r="L3901">
        <v>0</v>
      </c>
      <c r="M3901" t="s">
        <v>18</v>
      </c>
      <c r="N3901">
        <v>0</v>
      </c>
      <c r="O3901">
        <v>0</v>
      </c>
    </row>
    <row r="3902" spans="1:15" x14ac:dyDescent="0.2">
      <c r="A3902" s="6">
        <v>45818</v>
      </c>
      <c r="B3902" t="s">
        <v>15</v>
      </c>
      <c r="C3902" t="s">
        <v>16</v>
      </c>
      <c r="D3902" s="1">
        <v>45855</v>
      </c>
      <c r="E3902" t="s">
        <v>17</v>
      </c>
      <c r="F3902">
        <v>6650</v>
      </c>
      <c r="J3902">
        <v>2.2000000000000002</v>
      </c>
      <c r="K3902">
        <v>2.8</v>
      </c>
      <c r="L3902">
        <v>0</v>
      </c>
      <c r="M3902" t="s">
        <v>18</v>
      </c>
      <c r="N3902">
        <v>0</v>
      </c>
      <c r="O3902">
        <v>0</v>
      </c>
    </row>
    <row r="3903" spans="1:15" x14ac:dyDescent="0.2">
      <c r="A3903" s="6">
        <v>45818</v>
      </c>
      <c r="B3903" t="s">
        <v>15</v>
      </c>
      <c r="C3903" t="s">
        <v>16</v>
      </c>
      <c r="D3903" s="1">
        <v>45855</v>
      </c>
      <c r="E3903" t="s">
        <v>17</v>
      </c>
      <c r="F3903">
        <v>3750</v>
      </c>
      <c r="J3903">
        <v>1750.4</v>
      </c>
      <c r="K3903">
        <v>1739.1</v>
      </c>
      <c r="L3903">
        <v>0</v>
      </c>
      <c r="M3903" t="s">
        <v>18</v>
      </c>
      <c r="N3903">
        <v>0</v>
      </c>
      <c r="O3903">
        <v>0</v>
      </c>
    </row>
    <row r="3904" spans="1:15" x14ac:dyDescent="0.2">
      <c r="A3904" s="6">
        <v>45818</v>
      </c>
      <c r="B3904" t="s">
        <v>15</v>
      </c>
      <c r="C3904" t="s">
        <v>16</v>
      </c>
      <c r="D3904" s="1">
        <v>45855</v>
      </c>
      <c r="E3904" t="s">
        <v>19</v>
      </c>
      <c r="F3904">
        <v>5450</v>
      </c>
      <c r="J3904">
        <v>153</v>
      </c>
      <c r="K3904">
        <v>166</v>
      </c>
      <c r="L3904">
        <v>0</v>
      </c>
      <c r="M3904" t="s">
        <v>18</v>
      </c>
      <c r="N3904">
        <v>0</v>
      </c>
      <c r="O3904">
        <v>5</v>
      </c>
    </row>
    <row r="3905" spans="1:15" x14ac:dyDescent="0.2">
      <c r="A3905" s="6">
        <v>45818</v>
      </c>
      <c r="B3905" t="s">
        <v>15</v>
      </c>
      <c r="C3905" t="s">
        <v>16</v>
      </c>
      <c r="D3905" s="1">
        <v>45855</v>
      </c>
      <c r="E3905" t="s">
        <v>19</v>
      </c>
      <c r="F3905">
        <v>4700</v>
      </c>
      <c r="J3905">
        <v>4.5999999999999996</v>
      </c>
      <c r="K3905">
        <v>6.4</v>
      </c>
      <c r="L3905">
        <v>0</v>
      </c>
      <c r="M3905" t="s">
        <v>18</v>
      </c>
      <c r="N3905">
        <v>0</v>
      </c>
      <c r="O3905">
        <v>0</v>
      </c>
    </row>
    <row r="3906" spans="1:15" x14ac:dyDescent="0.2">
      <c r="A3906" s="6">
        <v>45818</v>
      </c>
      <c r="B3906" t="s">
        <v>15</v>
      </c>
      <c r="C3906" t="s">
        <v>16</v>
      </c>
      <c r="D3906" s="1">
        <v>45855</v>
      </c>
      <c r="E3906" t="s">
        <v>19</v>
      </c>
      <c r="F3906">
        <v>3750</v>
      </c>
      <c r="J3906">
        <v>0.1</v>
      </c>
      <c r="K3906">
        <v>0.1</v>
      </c>
      <c r="L3906">
        <v>0</v>
      </c>
      <c r="M3906" t="s">
        <v>18</v>
      </c>
      <c r="N3906">
        <v>0</v>
      </c>
      <c r="O3906">
        <v>0</v>
      </c>
    </row>
    <row r="3907" spans="1:15" x14ac:dyDescent="0.2">
      <c r="A3907" s="6">
        <v>45818</v>
      </c>
      <c r="B3907" t="s">
        <v>15</v>
      </c>
      <c r="C3907" t="s">
        <v>16</v>
      </c>
      <c r="D3907" s="1">
        <v>45855</v>
      </c>
      <c r="E3907" t="s">
        <v>19</v>
      </c>
      <c r="F3907">
        <v>4550</v>
      </c>
      <c r="J3907">
        <v>1.6</v>
      </c>
      <c r="K3907">
        <v>2.2999999999999998</v>
      </c>
      <c r="L3907">
        <v>0</v>
      </c>
      <c r="M3907" t="s">
        <v>18</v>
      </c>
      <c r="N3907">
        <v>0</v>
      </c>
      <c r="O3907">
        <v>0</v>
      </c>
    </row>
    <row r="3908" spans="1:15" x14ac:dyDescent="0.2">
      <c r="A3908" s="6">
        <v>45818</v>
      </c>
      <c r="B3908" t="s">
        <v>15</v>
      </c>
      <c r="C3908" t="s">
        <v>16</v>
      </c>
      <c r="D3908" s="1">
        <v>45855</v>
      </c>
      <c r="E3908" t="s">
        <v>17</v>
      </c>
      <c r="F3908">
        <v>6700</v>
      </c>
      <c r="J3908">
        <v>1.7</v>
      </c>
      <c r="K3908">
        <v>2.2000000000000002</v>
      </c>
      <c r="L3908">
        <v>0</v>
      </c>
      <c r="M3908" t="s">
        <v>18</v>
      </c>
      <c r="N3908">
        <v>0</v>
      </c>
      <c r="O3908">
        <v>0</v>
      </c>
    </row>
    <row r="3909" spans="1:15" x14ac:dyDescent="0.2">
      <c r="A3909" s="6">
        <v>45818</v>
      </c>
      <c r="B3909" t="s">
        <v>15</v>
      </c>
      <c r="C3909" t="s">
        <v>16</v>
      </c>
      <c r="D3909" s="1">
        <v>45855</v>
      </c>
      <c r="E3909" t="s">
        <v>19</v>
      </c>
      <c r="F3909">
        <v>5800</v>
      </c>
      <c r="J3909">
        <v>365.1</v>
      </c>
      <c r="K3909">
        <v>380</v>
      </c>
      <c r="L3909">
        <v>0</v>
      </c>
      <c r="M3909" t="s">
        <v>18</v>
      </c>
      <c r="N3909">
        <v>0</v>
      </c>
      <c r="O3909">
        <v>0</v>
      </c>
    </row>
    <row r="3910" spans="1:15" x14ac:dyDescent="0.2">
      <c r="A3910" s="6">
        <v>45818</v>
      </c>
      <c r="B3910" t="s">
        <v>15</v>
      </c>
      <c r="C3910" t="s">
        <v>16</v>
      </c>
      <c r="D3910" s="1">
        <v>45855</v>
      </c>
      <c r="E3910" t="s">
        <v>19</v>
      </c>
      <c r="F3910">
        <v>6250</v>
      </c>
      <c r="J3910">
        <v>748.7</v>
      </c>
      <c r="K3910">
        <v>761.6</v>
      </c>
      <c r="L3910">
        <v>0</v>
      </c>
      <c r="M3910" t="s">
        <v>18</v>
      </c>
      <c r="N3910">
        <v>0</v>
      </c>
      <c r="O3910">
        <v>0</v>
      </c>
    </row>
    <row r="3911" spans="1:15" x14ac:dyDescent="0.2">
      <c r="A3911" s="6">
        <v>45818</v>
      </c>
      <c r="B3911" t="s">
        <v>15</v>
      </c>
      <c r="C3911" t="s">
        <v>16</v>
      </c>
      <c r="D3911" s="1">
        <v>45855</v>
      </c>
      <c r="E3911" t="s">
        <v>19</v>
      </c>
      <c r="F3911">
        <v>5200</v>
      </c>
      <c r="G3911">
        <v>112.1</v>
      </c>
      <c r="H3911">
        <v>117</v>
      </c>
      <c r="I3911">
        <v>91</v>
      </c>
      <c r="J3911">
        <v>105.5</v>
      </c>
      <c r="K3911">
        <v>123.3</v>
      </c>
      <c r="L3911">
        <v>257</v>
      </c>
      <c r="M3911" t="s">
        <v>1604</v>
      </c>
      <c r="N3911">
        <v>1363.12</v>
      </c>
      <c r="O3911">
        <v>192</v>
      </c>
    </row>
    <row r="3912" spans="1:15" x14ac:dyDescent="0.2">
      <c r="A3912" s="6">
        <v>45818</v>
      </c>
      <c r="B3912" t="s">
        <v>15</v>
      </c>
      <c r="C3912" t="s">
        <v>16</v>
      </c>
      <c r="D3912" s="1">
        <v>45855</v>
      </c>
      <c r="E3912" t="s">
        <v>19</v>
      </c>
      <c r="F3912">
        <v>5150</v>
      </c>
      <c r="J3912">
        <v>52.3</v>
      </c>
      <c r="K3912">
        <v>127.8</v>
      </c>
      <c r="L3912">
        <v>0</v>
      </c>
      <c r="M3912" t="s">
        <v>18</v>
      </c>
      <c r="N3912">
        <v>0</v>
      </c>
      <c r="O3912">
        <v>2</v>
      </c>
    </row>
    <row r="3913" spans="1:15" x14ac:dyDescent="0.2">
      <c r="A3913" s="6">
        <v>45818</v>
      </c>
      <c r="B3913" t="s">
        <v>15</v>
      </c>
      <c r="C3913" t="s">
        <v>16</v>
      </c>
      <c r="D3913" s="1">
        <v>45855</v>
      </c>
      <c r="E3913" t="s">
        <v>17</v>
      </c>
      <c r="F3913">
        <v>6200</v>
      </c>
      <c r="J3913">
        <v>17.5</v>
      </c>
      <c r="K3913">
        <v>19.899999999999999</v>
      </c>
      <c r="L3913">
        <v>0</v>
      </c>
      <c r="M3913" t="s">
        <v>18</v>
      </c>
      <c r="N3913">
        <v>0</v>
      </c>
      <c r="O3913">
        <v>0</v>
      </c>
    </row>
    <row r="3914" spans="1:15" x14ac:dyDescent="0.2">
      <c r="A3914" s="6">
        <v>45818</v>
      </c>
      <c r="B3914" t="s">
        <v>15</v>
      </c>
      <c r="C3914" t="s">
        <v>16</v>
      </c>
      <c r="D3914" s="1">
        <v>45855</v>
      </c>
      <c r="E3914" t="s">
        <v>17</v>
      </c>
      <c r="F3914">
        <v>6250</v>
      </c>
      <c r="J3914">
        <v>14.1</v>
      </c>
      <c r="K3914">
        <v>16.3</v>
      </c>
      <c r="L3914">
        <v>0</v>
      </c>
      <c r="M3914" t="s">
        <v>18</v>
      </c>
      <c r="N3914">
        <v>0</v>
      </c>
      <c r="O3914">
        <v>0</v>
      </c>
    </row>
    <row r="3915" spans="1:15" x14ac:dyDescent="0.2">
      <c r="A3915" s="6">
        <v>45818</v>
      </c>
      <c r="B3915" t="s">
        <v>15</v>
      </c>
      <c r="C3915" t="s">
        <v>16</v>
      </c>
      <c r="D3915" s="1">
        <v>45855</v>
      </c>
      <c r="E3915" t="s">
        <v>17</v>
      </c>
      <c r="F3915">
        <v>6500</v>
      </c>
      <c r="G3915">
        <v>11</v>
      </c>
      <c r="H3915">
        <v>11</v>
      </c>
      <c r="I3915">
        <v>11</v>
      </c>
      <c r="J3915">
        <v>11</v>
      </c>
      <c r="K3915">
        <v>5.6</v>
      </c>
      <c r="L3915">
        <v>1</v>
      </c>
      <c r="M3915" t="s">
        <v>155</v>
      </c>
      <c r="N3915">
        <v>6.51</v>
      </c>
      <c r="O3915">
        <v>1</v>
      </c>
    </row>
    <row r="3916" spans="1:15" x14ac:dyDescent="0.2">
      <c r="A3916" s="6">
        <v>45818</v>
      </c>
      <c r="B3916" t="s">
        <v>15</v>
      </c>
      <c r="C3916" t="s">
        <v>16</v>
      </c>
      <c r="D3916" s="1">
        <v>45855</v>
      </c>
      <c r="E3916" t="s">
        <v>19</v>
      </c>
      <c r="F3916">
        <v>3900</v>
      </c>
      <c r="J3916">
        <v>0.1</v>
      </c>
      <c r="K3916">
        <v>0.1</v>
      </c>
      <c r="L3916">
        <v>0</v>
      </c>
      <c r="M3916" t="s">
        <v>18</v>
      </c>
      <c r="N3916">
        <v>0</v>
      </c>
      <c r="O3916">
        <v>0</v>
      </c>
    </row>
    <row r="3917" spans="1:15" x14ac:dyDescent="0.2">
      <c r="A3917" s="6">
        <v>45818</v>
      </c>
      <c r="B3917" t="s">
        <v>15</v>
      </c>
      <c r="C3917" t="s">
        <v>16</v>
      </c>
      <c r="D3917" s="1">
        <v>45855</v>
      </c>
      <c r="E3917" t="s">
        <v>17</v>
      </c>
      <c r="F3917">
        <v>5050</v>
      </c>
      <c r="J3917">
        <v>491.7</v>
      </c>
      <c r="K3917">
        <v>487.1</v>
      </c>
      <c r="L3917">
        <v>0</v>
      </c>
      <c r="M3917" t="s">
        <v>18</v>
      </c>
      <c r="N3917">
        <v>0</v>
      </c>
      <c r="O3917">
        <v>0</v>
      </c>
    </row>
    <row r="3918" spans="1:15" x14ac:dyDescent="0.2">
      <c r="A3918" s="6">
        <v>45818</v>
      </c>
      <c r="B3918" t="s">
        <v>15</v>
      </c>
      <c r="C3918" t="s">
        <v>16</v>
      </c>
      <c r="D3918" s="1">
        <v>45855</v>
      </c>
      <c r="E3918" t="s">
        <v>17</v>
      </c>
      <c r="F3918">
        <v>5900</v>
      </c>
      <c r="G3918">
        <v>111</v>
      </c>
      <c r="H3918">
        <v>111</v>
      </c>
      <c r="I3918">
        <v>104</v>
      </c>
      <c r="J3918">
        <v>106.8</v>
      </c>
      <c r="K3918">
        <v>96.9</v>
      </c>
      <c r="L3918">
        <v>12</v>
      </c>
      <c r="M3918" t="s">
        <v>180</v>
      </c>
      <c r="N3918">
        <v>72.09</v>
      </c>
      <c r="O3918">
        <v>8</v>
      </c>
    </row>
    <row r="3919" spans="1:15" x14ac:dyDescent="0.2">
      <c r="A3919" s="6">
        <v>45818</v>
      </c>
      <c r="B3919" t="s">
        <v>15</v>
      </c>
      <c r="C3919" t="s">
        <v>16</v>
      </c>
      <c r="D3919" s="1">
        <v>45855</v>
      </c>
      <c r="E3919" t="s">
        <v>17</v>
      </c>
      <c r="F3919">
        <v>5150</v>
      </c>
      <c r="J3919">
        <v>411.1</v>
      </c>
      <c r="K3919">
        <v>350</v>
      </c>
      <c r="L3919">
        <v>0</v>
      </c>
      <c r="M3919" t="s">
        <v>18</v>
      </c>
      <c r="N3919">
        <v>0</v>
      </c>
      <c r="O3919">
        <v>2</v>
      </c>
    </row>
    <row r="3920" spans="1:15" x14ac:dyDescent="0.2">
      <c r="A3920" s="6">
        <v>45818</v>
      </c>
      <c r="B3920" t="s">
        <v>15</v>
      </c>
      <c r="C3920" t="s">
        <v>16</v>
      </c>
      <c r="D3920" s="1">
        <v>45855</v>
      </c>
      <c r="E3920" t="s">
        <v>17</v>
      </c>
      <c r="F3920">
        <v>4550</v>
      </c>
      <c r="J3920">
        <v>956.8</v>
      </c>
      <c r="K3920">
        <v>946.4</v>
      </c>
      <c r="L3920">
        <v>0</v>
      </c>
      <c r="M3920" t="s">
        <v>18</v>
      </c>
      <c r="N3920">
        <v>0</v>
      </c>
      <c r="O3920">
        <v>0</v>
      </c>
    </row>
    <row r="3921" spans="1:15" x14ac:dyDescent="0.2">
      <c r="A3921" s="6">
        <v>45818</v>
      </c>
      <c r="B3921" t="s">
        <v>15</v>
      </c>
      <c r="C3921" t="s">
        <v>16</v>
      </c>
      <c r="D3921" s="1">
        <v>45855</v>
      </c>
      <c r="E3921" t="s">
        <v>17</v>
      </c>
      <c r="F3921">
        <v>4150</v>
      </c>
      <c r="J3921">
        <v>1352.8</v>
      </c>
      <c r="K3921">
        <v>1341.7</v>
      </c>
      <c r="L3921">
        <v>0</v>
      </c>
      <c r="M3921" t="s">
        <v>18</v>
      </c>
      <c r="N3921">
        <v>0</v>
      </c>
      <c r="O3921">
        <v>0</v>
      </c>
    </row>
    <row r="3922" spans="1:15" x14ac:dyDescent="0.2">
      <c r="A3922" s="6">
        <v>45818</v>
      </c>
      <c r="B3922" t="s">
        <v>15</v>
      </c>
      <c r="C3922" t="s">
        <v>16</v>
      </c>
      <c r="D3922" s="1">
        <v>45855</v>
      </c>
      <c r="E3922" t="s">
        <v>19</v>
      </c>
      <c r="F3922">
        <v>4650</v>
      </c>
      <c r="J3922">
        <v>3.3</v>
      </c>
      <c r="K3922">
        <v>4.5999999999999996</v>
      </c>
      <c r="L3922">
        <v>0</v>
      </c>
      <c r="M3922" t="s">
        <v>18</v>
      </c>
      <c r="N3922">
        <v>0</v>
      </c>
      <c r="O3922">
        <v>0</v>
      </c>
    </row>
    <row r="3923" spans="1:15" x14ac:dyDescent="0.2">
      <c r="A3923" s="6">
        <v>45818</v>
      </c>
      <c r="B3923" t="s">
        <v>15</v>
      </c>
      <c r="C3923" t="s">
        <v>16</v>
      </c>
      <c r="D3923" s="1">
        <v>45855</v>
      </c>
      <c r="E3923" t="s">
        <v>17</v>
      </c>
      <c r="F3923">
        <v>6350</v>
      </c>
      <c r="J3923">
        <v>9.1</v>
      </c>
      <c r="K3923">
        <v>10.8</v>
      </c>
      <c r="L3923">
        <v>0</v>
      </c>
      <c r="M3923" t="s">
        <v>18</v>
      </c>
      <c r="N3923">
        <v>0</v>
      </c>
      <c r="O3923">
        <v>0</v>
      </c>
    </row>
    <row r="3924" spans="1:15" x14ac:dyDescent="0.2">
      <c r="A3924" s="6">
        <v>45818</v>
      </c>
      <c r="B3924" t="s">
        <v>15</v>
      </c>
      <c r="C3924" t="s">
        <v>16</v>
      </c>
      <c r="D3924" s="1">
        <v>45855</v>
      </c>
      <c r="E3924" t="s">
        <v>19</v>
      </c>
      <c r="F3924">
        <v>6550</v>
      </c>
      <c r="J3924">
        <v>1036.3</v>
      </c>
      <c r="K3924">
        <v>1047.9000000000001</v>
      </c>
      <c r="L3924">
        <v>0</v>
      </c>
      <c r="M3924" t="s">
        <v>18</v>
      </c>
      <c r="N3924">
        <v>0</v>
      </c>
      <c r="O3924">
        <v>0</v>
      </c>
    </row>
    <row r="3925" spans="1:15" x14ac:dyDescent="0.2">
      <c r="A3925" s="6">
        <v>45818</v>
      </c>
      <c r="B3925" t="s">
        <v>15</v>
      </c>
      <c r="C3925" t="s">
        <v>16</v>
      </c>
      <c r="D3925" s="1">
        <v>45855</v>
      </c>
      <c r="E3925" t="s">
        <v>17</v>
      </c>
      <c r="F3925">
        <v>5800</v>
      </c>
      <c r="G3925">
        <v>123</v>
      </c>
      <c r="H3925">
        <v>143.9</v>
      </c>
      <c r="I3925">
        <v>123</v>
      </c>
      <c r="J3925">
        <v>126.2</v>
      </c>
      <c r="K3925">
        <v>123.5</v>
      </c>
      <c r="L3925">
        <v>154</v>
      </c>
      <c r="M3925" t="s">
        <v>1605</v>
      </c>
      <c r="N3925">
        <v>913.93</v>
      </c>
      <c r="O3925">
        <v>89</v>
      </c>
    </row>
    <row r="3926" spans="1:15" x14ac:dyDescent="0.2">
      <c r="A3926" s="6">
        <v>45818</v>
      </c>
      <c r="B3926" t="s">
        <v>15</v>
      </c>
      <c r="C3926" t="s">
        <v>16</v>
      </c>
      <c r="D3926" s="1">
        <v>45855</v>
      </c>
      <c r="E3926" t="s">
        <v>17</v>
      </c>
      <c r="F3926">
        <v>5450</v>
      </c>
      <c r="J3926">
        <v>213.6</v>
      </c>
      <c r="K3926">
        <v>215.7</v>
      </c>
      <c r="L3926">
        <v>0</v>
      </c>
      <c r="M3926" t="s">
        <v>18</v>
      </c>
      <c r="N3926">
        <v>0</v>
      </c>
      <c r="O3926">
        <v>2</v>
      </c>
    </row>
    <row r="3927" spans="1:15" x14ac:dyDescent="0.2">
      <c r="A3927" s="6">
        <v>45818</v>
      </c>
      <c r="B3927" t="s">
        <v>15</v>
      </c>
      <c r="C3927" t="s">
        <v>16</v>
      </c>
      <c r="D3927" s="1">
        <v>45855</v>
      </c>
      <c r="E3927" t="s">
        <v>19</v>
      </c>
      <c r="F3927">
        <v>4500</v>
      </c>
      <c r="J3927">
        <v>1</v>
      </c>
      <c r="K3927">
        <v>1.6</v>
      </c>
      <c r="L3927">
        <v>0</v>
      </c>
      <c r="M3927" t="s">
        <v>18</v>
      </c>
      <c r="N3927">
        <v>0</v>
      </c>
      <c r="O3927">
        <v>5</v>
      </c>
    </row>
    <row r="3928" spans="1:15" x14ac:dyDescent="0.2">
      <c r="A3928" s="6">
        <v>45818</v>
      </c>
      <c r="B3928" t="s">
        <v>15</v>
      </c>
      <c r="C3928" t="s">
        <v>16</v>
      </c>
      <c r="D3928" s="1">
        <v>45855</v>
      </c>
      <c r="E3928" t="s">
        <v>19</v>
      </c>
      <c r="F3928">
        <v>4400</v>
      </c>
      <c r="J3928">
        <v>0.4</v>
      </c>
      <c r="K3928">
        <v>0.7</v>
      </c>
      <c r="L3928">
        <v>0</v>
      </c>
      <c r="M3928" t="s">
        <v>18</v>
      </c>
      <c r="N3928">
        <v>0</v>
      </c>
      <c r="O3928">
        <v>0</v>
      </c>
    </row>
    <row r="3929" spans="1:15" x14ac:dyDescent="0.2">
      <c r="A3929" s="6">
        <v>45818</v>
      </c>
      <c r="B3929" t="s">
        <v>15</v>
      </c>
      <c r="C3929" t="s">
        <v>16</v>
      </c>
      <c r="D3929" s="1">
        <v>45855</v>
      </c>
      <c r="E3929" t="s">
        <v>19</v>
      </c>
      <c r="F3929">
        <v>5350</v>
      </c>
      <c r="J3929">
        <v>111.2</v>
      </c>
      <c r="K3929">
        <v>122.9</v>
      </c>
      <c r="L3929">
        <v>0</v>
      </c>
      <c r="M3929" t="s">
        <v>18</v>
      </c>
      <c r="N3929">
        <v>0</v>
      </c>
      <c r="O3929">
        <v>1</v>
      </c>
    </row>
    <row r="3930" spans="1:15" x14ac:dyDescent="0.2">
      <c r="A3930" s="6">
        <v>45818</v>
      </c>
      <c r="B3930" t="s">
        <v>15</v>
      </c>
      <c r="C3930" t="s">
        <v>16</v>
      </c>
      <c r="D3930" s="1">
        <v>45855</v>
      </c>
      <c r="E3930" t="s">
        <v>19</v>
      </c>
      <c r="F3930">
        <v>5000</v>
      </c>
      <c r="G3930">
        <v>62.9</v>
      </c>
      <c r="H3930">
        <v>71.8</v>
      </c>
      <c r="I3930">
        <v>59</v>
      </c>
      <c r="J3930">
        <v>67.900000000000006</v>
      </c>
      <c r="K3930">
        <v>72.599999999999994</v>
      </c>
      <c r="L3930">
        <v>1157</v>
      </c>
      <c r="M3930" t="s">
        <v>1070</v>
      </c>
      <c r="N3930">
        <v>5863.02</v>
      </c>
      <c r="O3930">
        <v>86</v>
      </c>
    </row>
    <row r="3931" spans="1:15" x14ac:dyDescent="0.2">
      <c r="A3931" s="6">
        <v>45818</v>
      </c>
      <c r="B3931" t="s">
        <v>15</v>
      </c>
      <c r="C3931" t="s">
        <v>16</v>
      </c>
      <c r="D3931" s="1">
        <v>45855</v>
      </c>
      <c r="E3931" t="s">
        <v>17</v>
      </c>
      <c r="F3931">
        <v>4000</v>
      </c>
      <c r="J3931">
        <v>1501.9</v>
      </c>
      <c r="K3931">
        <v>1490.7</v>
      </c>
      <c r="L3931">
        <v>0</v>
      </c>
      <c r="M3931" t="s">
        <v>18</v>
      </c>
      <c r="N3931">
        <v>0</v>
      </c>
      <c r="O3931">
        <v>0</v>
      </c>
    </row>
    <row r="3932" spans="1:15" x14ac:dyDescent="0.2">
      <c r="A3932" s="6">
        <v>45818</v>
      </c>
      <c r="B3932" t="s">
        <v>15</v>
      </c>
      <c r="C3932" t="s">
        <v>16</v>
      </c>
      <c r="D3932" s="1">
        <v>45855</v>
      </c>
      <c r="E3932" t="s">
        <v>17</v>
      </c>
      <c r="F3932">
        <v>4250</v>
      </c>
      <c r="J3932">
        <v>1253.5</v>
      </c>
      <c r="K3932">
        <v>1242.4000000000001</v>
      </c>
      <c r="L3932">
        <v>0</v>
      </c>
      <c r="M3932" t="s">
        <v>18</v>
      </c>
      <c r="N3932">
        <v>0</v>
      </c>
      <c r="O3932">
        <v>0</v>
      </c>
    </row>
    <row r="3933" spans="1:15" x14ac:dyDescent="0.2">
      <c r="A3933" s="6">
        <v>45818</v>
      </c>
      <c r="B3933" t="s">
        <v>15</v>
      </c>
      <c r="C3933" t="s">
        <v>16</v>
      </c>
      <c r="D3933" s="1">
        <v>45855</v>
      </c>
      <c r="E3933" t="s">
        <v>17</v>
      </c>
      <c r="F3933">
        <v>5500</v>
      </c>
      <c r="G3933">
        <v>255.9</v>
      </c>
      <c r="H3933">
        <v>272.7</v>
      </c>
      <c r="I3933">
        <v>228.3</v>
      </c>
      <c r="J3933">
        <v>234.8</v>
      </c>
      <c r="K3933">
        <v>238.7</v>
      </c>
      <c r="L3933">
        <v>575</v>
      </c>
      <c r="M3933" t="s">
        <v>1606</v>
      </c>
      <c r="N3933">
        <v>3307.27</v>
      </c>
      <c r="O3933">
        <v>182</v>
      </c>
    </row>
    <row r="3934" spans="1:15" x14ac:dyDescent="0.2">
      <c r="A3934" s="6">
        <v>45818</v>
      </c>
      <c r="B3934" t="s">
        <v>15</v>
      </c>
      <c r="C3934" t="s">
        <v>16</v>
      </c>
      <c r="D3934" s="1">
        <v>45855</v>
      </c>
      <c r="E3934" t="s">
        <v>19</v>
      </c>
      <c r="F3934">
        <v>4100</v>
      </c>
      <c r="J3934">
        <v>0.1</v>
      </c>
      <c r="K3934">
        <v>0.1</v>
      </c>
      <c r="L3934">
        <v>0</v>
      </c>
      <c r="M3934" t="s">
        <v>18</v>
      </c>
      <c r="N3934">
        <v>0</v>
      </c>
      <c r="O3934">
        <v>0</v>
      </c>
    </row>
    <row r="3935" spans="1:15" x14ac:dyDescent="0.2">
      <c r="A3935" s="6">
        <v>45818</v>
      </c>
      <c r="B3935" t="s">
        <v>15</v>
      </c>
      <c r="C3935" t="s">
        <v>16</v>
      </c>
      <c r="D3935" s="1">
        <v>45855</v>
      </c>
      <c r="E3935" t="s">
        <v>19</v>
      </c>
      <c r="F3935">
        <v>4050</v>
      </c>
      <c r="J3935">
        <v>0.1</v>
      </c>
      <c r="K3935">
        <v>0.1</v>
      </c>
      <c r="L3935">
        <v>0</v>
      </c>
      <c r="M3935" t="s">
        <v>18</v>
      </c>
      <c r="N3935">
        <v>0</v>
      </c>
      <c r="O3935">
        <v>0</v>
      </c>
    </row>
    <row r="3936" spans="1:15" x14ac:dyDescent="0.2">
      <c r="A3936" s="6">
        <v>45818</v>
      </c>
      <c r="B3936" t="s">
        <v>15</v>
      </c>
      <c r="C3936" t="s">
        <v>16</v>
      </c>
      <c r="D3936" s="1">
        <v>45855</v>
      </c>
      <c r="E3936" t="s">
        <v>17</v>
      </c>
      <c r="F3936">
        <v>6000</v>
      </c>
      <c r="G3936">
        <v>79.400000000000006</v>
      </c>
      <c r="H3936">
        <v>89</v>
      </c>
      <c r="I3936">
        <v>71</v>
      </c>
      <c r="J3936">
        <v>79.2</v>
      </c>
      <c r="K3936">
        <v>71.900000000000006</v>
      </c>
      <c r="L3936">
        <v>1685</v>
      </c>
      <c r="M3936" t="s">
        <v>1607</v>
      </c>
      <c r="N3936">
        <v>10242.31</v>
      </c>
      <c r="O3936">
        <v>313</v>
      </c>
    </row>
    <row r="3937" spans="1:15" x14ac:dyDescent="0.2">
      <c r="A3937" s="6">
        <v>45818</v>
      </c>
      <c r="B3937" t="s">
        <v>15</v>
      </c>
      <c r="C3937" t="s">
        <v>16</v>
      </c>
      <c r="D3937" s="1">
        <v>45855</v>
      </c>
      <c r="E3937" t="s">
        <v>17</v>
      </c>
      <c r="F3937">
        <v>6300</v>
      </c>
      <c r="J3937">
        <v>11.4</v>
      </c>
      <c r="K3937">
        <v>13.3</v>
      </c>
      <c r="L3937">
        <v>0</v>
      </c>
      <c r="M3937" t="s">
        <v>18</v>
      </c>
      <c r="N3937">
        <v>0</v>
      </c>
      <c r="O3937">
        <v>0</v>
      </c>
    </row>
    <row r="3938" spans="1:15" x14ac:dyDescent="0.2">
      <c r="A3938" s="6">
        <v>45818</v>
      </c>
      <c r="B3938" t="s">
        <v>15</v>
      </c>
      <c r="C3938" t="s">
        <v>16</v>
      </c>
      <c r="D3938" s="1">
        <v>45855</v>
      </c>
      <c r="E3938" t="s">
        <v>19</v>
      </c>
      <c r="F3938">
        <v>5950</v>
      </c>
      <c r="J3938">
        <v>482.7</v>
      </c>
      <c r="K3938">
        <v>497.2</v>
      </c>
      <c r="L3938">
        <v>0</v>
      </c>
      <c r="M3938" t="s">
        <v>18</v>
      </c>
      <c r="N3938">
        <v>0</v>
      </c>
      <c r="O3938">
        <v>0</v>
      </c>
    </row>
    <row r="3939" spans="1:15" x14ac:dyDescent="0.2">
      <c r="A3939" s="6">
        <v>45818</v>
      </c>
      <c r="B3939" t="s">
        <v>15</v>
      </c>
      <c r="C3939" t="s">
        <v>16</v>
      </c>
      <c r="D3939" s="1">
        <v>45855</v>
      </c>
      <c r="E3939" t="s">
        <v>17</v>
      </c>
      <c r="F3939">
        <v>6450</v>
      </c>
      <c r="J3939">
        <v>5.7</v>
      </c>
      <c r="K3939">
        <v>7</v>
      </c>
      <c r="L3939">
        <v>0</v>
      </c>
      <c r="M3939" t="s">
        <v>18</v>
      </c>
      <c r="N3939">
        <v>0</v>
      </c>
      <c r="O3939">
        <v>0</v>
      </c>
    </row>
    <row r="3940" spans="1:15" x14ac:dyDescent="0.2">
      <c r="A3940" s="6">
        <v>45818</v>
      </c>
      <c r="B3940" t="s">
        <v>15</v>
      </c>
      <c r="C3940" t="s">
        <v>16</v>
      </c>
      <c r="D3940" s="1">
        <v>45855</v>
      </c>
      <c r="E3940" t="s">
        <v>17</v>
      </c>
      <c r="F3940">
        <v>5650</v>
      </c>
      <c r="J3940">
        <v>124.1</v>
      </c>
      <c r="K3940">
        <v>127.8</v>
      </c>
      <c r="L3940">
        <v>0</v>
      </c>
      <c r="M3940" t="s">
        <v>18</v>
      </c>
      <c r="N3940">
        <v>0</v>
      </c>
      <c r="O3940">
        <v>0</v>
      </c>
    </row>
    <row r="3941" spans="1:15" x14ac:dyDescent="0.2">
      <c r="A3941" s="6">
        <v>45818</v>
      </c>
      <c r="B3941" t="s">
        <v>15</v>
      </c>
      <c r="C3941" t="s">
        <v>16</v>
      </c>
      <c r="D3941" s="1">
        <v>45855</v>
      </c>
      <c r="E3941" t="s">
        <v>19</v>
      </c>
      <c r="F3941">
        <v>6700</v>
      </c>
      <c r="J3941">
        <v>1183.5</v>
      </c>
      <c r="K3941">
        <v>1194.7</v>
      </c>
      <c r="L3941">
        <v>0</v>
      </c>
      <c r="M3941" t="s">
        <v>18</v>
      </c>
      <c r="N3941">
        <v>0</v>
      </c>
      <c r="O3941">
        <v>0</v>
      </c>
    </row>
    <row r="3942" spans="1:15" x14ac:dyDescent="0.2">
      <c r="A3942" s="6">
        <v>45818</v>
      </c>
      <c r="B3942" t="s">
        <v>15</v>
      </c>
      <c r="C3942" t="s">
        <v>16</v>
      </c>
      <c r="D3942" s="1">
        <v>45855</v>
      </c>
      <c r="E3942" t="s">
        <v>17</v>
      </c>
      <c r="F3942">
        <v>3650</v>
      </c>
      <c r="J3942">
        <v>1849.8</v>
      </c>
      <c r="K3942">
        <v>1838.5</v>
      </c>
      <c r="L3942">
        <v>0</v>
      </c>
      <c r="M3942" t="s">
        <v>18</v>
      </c>
      <c r="N3942">
        <v>0</v>
      </c>
      <c r="O3942">
        <v>0</v>
      </c>
    </row>
    <row r="3943" spans="1:15" x14ac:dyDescent="0.2">
      <c r="A3943" s="6">
        <v>45818</v>
      </c>
      <c r="B3943" t="s">
        <v>15</v>
      </c>
      <c r="C3943" t="s">
        <v>16</v>
      </c>
      <c r="D3943" s="1">
        <v>45855</v>
      </c>
      <c r="E3943" t="s">
        <v>17</v>
      </c>
      <c r="F3943">
        <v>3600</v>
      </c>
      <c r="J3943">
        <v>1899.5</v>
      </c>
      <c r="K3943">
        <v>1888.2</v>
      </c>
      <c r="L3943">
        <v>0</v>
      </c>
      <c r="M3943" t="s">
        <v>18</v>
      </c>
      <c r="N3943">
        <v>0</v>
      </c>
      <c r="O3943">
        <v>0</v>
      </c>
    </row>
    <row r="3944" spans="1:15" x14ac:dyDescent="0.2">
      <c r="A3944" s="6">
        <v>45818</v>
      </c>
      <c r="B3944" t="s">
        <v>15</v>
      </c>
      <c r="C3944" t="s">
        <v>16</v>
      </c>
      <c r="D3944" s="1">
        <v>45855</v>
      </c>
      <c r="E3944" t="s">
        <v>19</v>
      </c>
      <c r="F3944">
        <v>3650</v>
      </c>
      <c r="J3944">
        <v>0.1</v>
      </c>
      <c r="K3944">
        <v>0.1</v>
      </c>
      <c r="L3944">
        <v>0</v>
      </c>
      <c r="M3944" t="s">
        <v>18</v>
      </c>
      <c r="N3944">
        <v>0</v>
      </c>
      <c r="O3944">
        <v>0</v>
      </c>
    </row>
    <row r="3945" spans="1:15" x14ac:dyDescent="0.2">
      <c r="A3945" s="6">
        <v>45818</v>
      </c>
      <c r="B3945" t="s">
        <v>15</v>
      </c>
      <c r="C3945" t="s">
        <v>16</v>
      </c>
      <c r="D3945" s="1">
        <v>45855</v>
      </c>
      <c r="E3945" t="s">
        <v>17</v>
      </c>
      <c r="F3945">
        <v>4600</v>
      </c>
      <c r="J3945">
        <v>907.8</v>
      </c>
      <c r="K3945">
        <v>897.7</v>
      </c>
      <c r="L3945">
        <v>0</v>
      </c>
      <c r="M3945" t="s">
        <v>18</v>
      </c>
      <c r="N3945">
        <v>0</v>
      </c>
      <c r="O3945">
        <v>0</v>
      </c>
    </row>
    <row r="3946" spans="1:15" x14ac:dyDescent="0.2">
      <c r="A3946" s="6">
        <v>45818</v>
      </c>
      <c r="B3946" t="s">
        <v>15</v>
      </c>
      <c r="C3946" t="s">
        <v>16</v>
      </c>
      <c r="D3946" s="1">
        <v>45855</v>
      </c>
      <c r="E3946" t="s">
        <v>17</v>
      </c>
      <c r="F3946">
        <v>5350</v>
      </c>
      <c r="J3946">
        <v>271.2</v>
      </c>
      <c r="K3946">
        <v>271.89999999999998</v>
      </c>
      <c r="L3946">
        <v>0</v>
      </c>
      <c r="M3946" t="s">
        <v>18</v>
      </c>
      <c r="N3946">
        <v>0</v>
      </c>
      <c r="O3946">
        <v>1</v>
      </c>
    </row>
    <row r="3947" spans="1:15" x14ac:dyDescent="0.2">
      <c r="A3947" s="6">
        <v>45818</v>
      </c>
      <c r="B3947" t="s">
        <v>15</v>
      </c>
      <c r="C3947" t="s">
        <v>16</v>
      </c>
      <c r="D3947" s="1">
        <v>45855</v>
      </c>
      <c r="E3947" t="s">
        <v>17</v>
      </c>
      <c r="F3947">
        <v>6100</v>
      </c>
      <c r="G3947">
        <v>75</v>
      </c>
      <c r="H3947">
        <v>75</v>
      </c>
      <c r="I3947">
        <v>41.6</v>
      </c>
      <c r="J3947">
        <v>52.7</v>
      </c>
      <c r="K3947">
        <v>29.2</v>
      </c>
      <c r="L3947">
        <v>3</v>
      </c>
      <c r="M3947" t="s">
        <v>34</v>
      </c>
      <c r="N3947">
        <v>18.46</v>
      </c>
      <c r="O3947">
        <v>3</v>
      </c>
    </row>
    <row r="3948" spans="1:15" x14ac:dyDescent="0.2">
      <c r="A3948" s="6">
        <v>45818</v>
      </c>
      <c r="B3948" t="s">
        <v>15</v>
      </c>
      <c r="C3948" t="s">
        <v>16</v>
      </c>
      <c r="D3948" s="1">
        <v>45855</v>
      </c>
      <c r="E3948" t="s">
        <v>19</v>
      </c>
      <c r="F3948">
        <v>5600</v>
      </c>
      <c r="G3948">
        <v>271.89999999999998</v>
      </c>
      <c r="H3948">
        <v>284.7</v>
      </c>
      <c r="I3948">
        <v>235.7</v>
      </c>
      <c r="J3948">
        <v>279.89999999999998</v>
      </c>
      <c r="K3948">
        <v>291.5</v>
      </c>
      <c r="L3948">
        <v>259</v>
      </c>
      <c r="M3948" t="s">
        <v>1608</v>
      </c>
      <c r="N3948">
        <v>1517.94</v>
      </c>
      <c r="O3948">
        <v>78</v>
      </c>
    </row>
    <row r="3949" spans="1:15" x14ac:dyDescent="0.2">
      <c r="A3949" s="6">
        <v>45818</v>
      </c>
      <c r="B3949" t="s">
        <v>15</v>
      </c>
      <c r="C3949" t="s">
        <v>16</v>
      </c>
      <c r="D3949" s="1">
        <v>45855</v>
      </c>
      <c r="E3949" t="s">
        <v>19</v>
      </c>
      <c r="F3949">
        <v>4850</v>
      </c>
      <c r="J3949">
        <v>11.8</v>
      </c>
      <c r="K3949">
        <v>15.1</v>
      </c>
      <c r="L3949">
        <v>0</v>
      </c>
      <c r="M3949" t="s">
        <v>18</v>
      </c>
      <c r="N3949">
        <v>0</v>
      </c>
      <c r="O3949">
        <v>0</v>
      </c>
    </row>
    <row r="3950" spans="1:15" x14ac:dyDescent="0.2">
      <c r="A3950" s="6">
        <v>45818</v>
      </c>
      <c r="B3950" t="s">
        <v>15</v>
      </c>
      <c r="C3950" t="s">
        <v>16</v>
      </c>
      <c r="D3950" s="1">
        <v>45855</v>
      </c>
      <c r="E3950" t="s">
        <v>19</v>
      </c>
      <c r="F3950">
        <v>4000</v>
      </c>
      <c r="J3950">
        <v>0.1</v>
      </c>
      <c r="K3950">
        <v>0.1</v>
      </c>
      <c r="L3950">
        <v>0</v>
      </c>
      <c r="M3950" t="s">
        <v>18</v>
      </c>
      <c r="N3950">
        <v>0</v>
      </c>
      <c r="O3950">
        <v>0</v>
      </c>
    </row>
    <row r="3951" spans="1:15" x14ac:dyDescent="0.2">
      <c r="A3951" s="6">
        <v>45818</v>
      </c>
      <c r="B3951" t="s">
        <v>15</v>
      </c>
      <c r="C3951" t="s">
        <v>16</v>
      </c>
      <c r="D3951" s="1">
        <v>45855</v>
      </c>
      <c r="E3951" t="s">
        <v>19</v>
      </c>
      <c r="F3951">
        <v>5650</v>
      </c>
      <c r="J3951">
        <v>262.2</v>
      </c>
      <c r="K3951">
        <v>276.89999999999998</v>
      </c>
      <c r="L3951">
        <v>0</v>
      </c>
      <c r="M3951" t="s">
        <v>18</v>
      </c>
      <c r="N3951">
        <v>0</v>
      </c>
      <c r="O3951">
        <v>0</v>
      </c>
    </row>
    <row r="3952" spans="1:15" x14ac:dyDescent="0.2">
      <c r="A3952" s="6">
        <v>45818</v>
      </c>
      <c r="B3952" t="s">
        <v>15</v>
      </c>
      <c r="C3952" t="s">
        <v>16</v>
      </c>
      <c r="D3952" s="1">
        <v>45855</v>
      </c>
      <c r="E3952" t="s">
        <v>19</v>
      </c>
      <c r="F3952">
        <v>6350</v>
      </c>
      <c r="J3952">
        <v>843</v>
      </c>
      <c r="K3952">
        <v>855.5</v>
      </c>
      <c r="L3952">
        <v>0</v>
      </c>
      <c r="M3952" t="s">
        <v>18</v>
      </c>
      <c r="N3952">
        <v>0</v>
      </c>
      <c r="O3952">
        <v>0</v>
      </c>
    </row>
    <row r="3953" spans="1:15" x14ac:dyDescent="0.2">
      <c r="A3953" s="6">
        <v>45818</v>
      </c>
      <c r="B3953" t="s">
        <v>15</v>
      </c>
      <c r="C3953" t="s">
        <v>16</v>
      </c>
      <c r="D3953" s="1">
        <v>45855</v>
      </c>
      <c r="E3953" t="s">
        <v>17</v>
      </c>
      <c r="F3953">
        <v>3950</v>
      </c>
      <c r="J3953">
        <v>1551.6</v>
      </c>
      <c r="K3953">
        <v>1540.4</v>
      </c>
      <c r="L3953">
        <v>0</v>
      </c>
      <c r="M3953" t="s">
        <v>18</v>
      </c>
      <c r="N3953">
        <v>0</v>
      </c>
      <c r="O3953">
        <v>0</v>
      </c>
    </row>
    <row r="3954" spans="1:15" x14ac:dyDescent="0.2">
      <c r="A3954" s="6">
        <v>45818</v>
      </c>
      <c r="B3954" t="s">
        <v>15</v>
      </c>
      <c r="C3954" t="s">
        <v>16</v>
      </c>
      <c r="D3954" s="1">
        <v>45855</v>
      </c>
      <c r="E3954" t="s">
        <v>19</v>
      </c>
      <c r="F3954">
        <v>5750</v>
      </c>
      <c r="J3954">
        <v>329</v>
      </c>
      <c r="K3954">
        <v>343.9</v>
      </c>
      <c r="L3954">
        <v>0</v>
      </c>
      <c r="M3954" t="s">
        <v>18</v>
      </c>
      <c r="N3954">
        <v>0</v>
      </c>
      <c r="O3954">
        <v>0</v>
      </c>
    </row>
    <row r="3955" spans="1:15" x14ac:dyDescent="0.2">
      <c r="A3955" s="6">
        <v>45818</v>
      </c>
      <c r="B3955" t="s">
        <v>15</v>
      </c>
      <c r="C3955" t="s">
        <v>16</v>
      </c>
      <c r="D3955" s="1">
        <v>45855</v>
      </c>
      <c r="E3955" t="s">
        <v>19</v>
      </c>
      <c r="F3955">
        <v>5500</v>
      </c>
      <c r="G3955">
        <v>219.3</v>
      </c>
      <c r="H3955">
        <v>230.8</v>
      </c>
      <c r="I3955">
        <v>188.5</v>
      </c>
      <c r="J3955">
        <v>223.6</v>
      </c>
      <c r="K3955">
        <v>240.2</v>
      </c>
      <c r="L3955">
        <v>698</v>
      </c>
      <c r="M3955" t="s">
        <v>1609</v>
      </c>
      <c r="N3955">
        <v>3986.77</v>
      </c>
      <c r="O3955">
        <v>284</v>
      </c>
    </row>
    <row r="3956" spans="1:15" x14ac:dyDescent="0.2">
      <c r="A3956" s="6">
        <v>45818</v>
      </c>
      <c r="B3956" t="s">
        <v>15</v>
      </c>
      <c r="C3956" t="s">
        <v>16</v>
      </c>
      <c r="D3956" s="1">
        <v>45855</v>
      </c>
      <c r="E3956" t="s">
        <v>17</v>
      </c>
      <c r="F3956">
        <v>4700</v>
      </c>
      <c r="J3956">
        <v>810.7</v>
      </c>
      <c r="K3956">
        <v>801.4</v>
      </c>
      <c r="L3956">
        <v>0</v>
      </c>
      <c r="M3956" t="s">
        <v>18</v>
      </c>
      <c r="N3956">
        <v>0</v>
      </c>
      <c r="O3956">
        <v>0</v>
      </c>
    </row>
    <row r="3957" spans="1:15" x14ac:dyDescent="0.2">
      <c r="A3957" s="6">
        <v>45818</v>
      </c>
      <c r="B3957" t="s">
        <v>15</v>
      </c>
      <c r="C3957" t="s">
        <v>16</v>
      </c>
      <c r="D3957" s="1">
        <v>45855</v>
      </c>
      <c r="E3957" t="s">
        <v>19</v>
      </c>
      <c r="F3957">
        <v>6100</v>
      </c>
      <c r="J3957">
        <v>611.70000000000005</v>
      </c>
      <c r="K3957">
        <v>625.5</v>
      </c>
      <c r="L3957">
        <v>0</v>
      </c>
      <c r="M3957" t="s">
        <v>18</v>
      </c>
      <c r="N3957">
        <v>0</v>
      </c>
      <c r="O3957">
        <v>0</v>
      </c>
    </row>
    <row r="3958" spans="1:15" x14ac:dyDescent="0.2">
      <c r="A3958" s="6">
        <v>45818</v>
      </c>
      <c r="B3958" t="s">
        <v>15</v>
      </c>
      <c r="C3958" t="s">
        <v>16</v>
      </c>
      <c r="D3958" s="1">
        <v>45855</v>
      </c>
      <c r="E3958" t="s">
        <v>17</v>
      </c>
      <c r="F3958">
        <v>4300</v>
      </c>
      <c r="J3958">
        <v>1203.9000000000001</v>
      </c>
      <c r="K3958">
        <v>1192.9000000000001</v>
      </c>
      <c r="L3958">
        <v>0</v>
      </c>
      <c r="M3958" t="s">
        <v>18</v>
      </c>
      <c r="N3958">
        <v>0</v>
      </c>
      <c r="O3958">
        <v>0</v>
      </c>
    </row>
    <row r="3959" spans="1:15" x14ac:dyDescent="0.2">
      <c r="A3959" s="6">
        <v>45818</v>
      </c>
      <c r="B3959" t="s">
        <v>15</v>
      </c>
      <c r="C3959" t="s">
        <v>16</v>
      </c>
      <c r="D3959" s="1">
        <v>45855</v>
      </c>
      <c r="E3959" t="s">
        <v>19</v>
      </c>
      <c r="F3959">
        <v>3800</v>
      </c>
      <c r="J3959">
        <v>0.1</v>
      </c>
      <c r="K3959">
        <v>0.1</v>
      </c>
      <c r="L3959">
        <v>0</v>
      </c>
      <c r="M3959" t="s">
        <v>18</v>
      </c>
      <c r="N3959">
        <v>0</v>
      </c>
      <c r="O3959">
        <v>0</v>
      </c>
    </row>
    <row r="3960" spans="1:15" x14ac:dyDescent="0.2">
      <c r="A3960" s="6">
        <v>45818</v>
      </c>
      <c r="B3960" t="s">
        <v>15</v>
      </c>
      <c r="C3960" t="s">
        <v>16</v>
      </c>
      <c r="D3960" s="1">
        <v>45855</v>
      </c>
      <c r="E3960" t="s">
        <v>19</v>
      </c>
      <c r="F3960">
        <v>6450</v>
      </c>
      <c r="J3960">
        <v>939.1</v>
      </c>
      <c r="K3960">
        <v>951.1</v>
      </c>
      <c r="L3960">
        <v>0</v>
      </c>
      <c r="M3960" t="s">
        <v>18</v>
      </c>
      <c r="N3960">
        <v>0</v>
      </c>
      <c r="O3960">
        <v>0</v>
      </c>
    </row>
    <row r="3961" spans="1:15" x14ac:dyDescent="0.2">
      <c r="A3961" s="6">
        <v>45818</v>
      </c>
      <c r="B3961" t="s">
        <v>15</v>
      </c>
      <c r="C3961" t="s">
        <v>16</v>
      </c>
      <c r="D3961" s="1">
        <v>45855</v>
      </c>
      <c r="E3961" t="s">
        <v>19</v>
      </c>
      <c r="F3961">
        <v>4300</v>
      </c>
      <c r="J3961">
        <v>0.2</v>
      </c>
      <c r="K3961">
        <v>0.3</v>
      </c>
      <c r="L3961">
        <v>0</v>
      </c>
      <c r="M3961" t="s">
        <v>18</v>
      </c>
      <c r="N3961">
        <v>0</v>
      </c>
      <c r="O3961">
        <v>0</v>
      </c>
    </row>
    <row r="3962" spans="1:15" x14ac:dyDescent="0.2">
      <c r="A3962" s="6">
        <v>45818</v>
      </c>
      <c r="B3962" t="s">
        <v>15</v>
      </c>
      <c r="C3962" t="s">
        <v>16</v>
      </c>
      <c r="D3962" s="1">
        <v>45855</v>
      </c>
      <c r="E3962" t="s">
        <v>19</v>
      </c>
      <c r="F3962">
        <v>5550</v>
      </c>
      <c r="J3962">
        <v>203.4</v>
      </c>
      <c r="K3962">
        <v>293.39999999999998</v>
      </c>
      <c r="L3962">
        <v>0</v>
      </c>
      <c r="M3962" t="s">
        <v>18</v>
      </c>
      <c r="N3962">
        <v>0</v>
      </c>
      <c r="O3962">
        <v>1</v>
      </c>
    </row>
    <row r="3963" spans="1:15" x14ac:dyDescent="0.2">
      <c r="A3963" s="6">
        <v>45818</v>
      </c>
      <c r="B3963" t="s">
        <v>15</v>
      </c>
      <c r="C3963" t="s">
        <v>16</v>
      </c>
      <c r="D3963" s="1">
        <v>45855</v>
      </c>
      <c r="E3963" t="s">
        <v>19</v>
      </c>
      <c r="F3963">
        <v>6600</v>
      </c>
      <c r="J3963">
        <v>1085.2</v>
      </c>
      <c r="K3963">
        <v>1096.7</v>
      </c>
      <c r="L3963">
        <v>0</v>
      </c>
      <c r="M3963" t="s">
        <v>18</v>
      </c>
      <c r="N3963">
        <v>0</v>
      </c>
      <c r="O3963">
        <v>0</v>
      </c>
    </row>
    <row r="3964" spans="1:15" x14ac:dyDescent="0.2">
      <c r="A3964" s="6">
        <v>45818</v>
      </c>
      <c r="B3964" t="s">
        <v>15</v>
      </c>
      <c r="C3964" t="s">
        <v>16</v>
      </c>
      <c r="D3964" s="1">
        <v>45855</v>
      </c>
      <c r="E3964" t="s">
        <v>19</v>
      </c>
      <c r="F3964">
        <v>4350</v>
      </c>
      <c r="J3964">
        <v>0.3</v>
      </c>
      <c r="K3964">
        <v>0.5</v>
      </c>
      <c r="L3964">
        <v>0</v>
      </c>
      <c r="M3964" t="s">
        <v>18</v>
      </c>
      <c r="N3964">
        <v>0</v>
      </c>
      <c r="O3964">
        <v>0</v>
      </c>
    </row>
    <row r="3965" spans="1:15" x14ac:dyDescent="0.2">
      <c r="A3965" s="6">
        <v>45818</v>
      </c>
      <c r="B3965" t="s">
        <v>15</v>
      </c>
      <c r="C3965" t="s">
        <v>16</v>
      </c>
      <c r="D3965" s="1">
        <v>45855</v>
      </c>
      <c r="E3965" t="s">
        <v>17</v>
      </c>
      <c r="F3965">
        <v>6150</v>
      </c>
      <c r="J3965">
        <v>21.5</v>
      </c>
      <c r="K3965">
        <v>24.2</v>
      </c>
      <c r="L3965">
        <v>0</v>
      </c>
      <c r="M3965" t="s">
        <v>18</v>
      </c>
      <c r="N3965">
        <v>0</v>
      </c>
      <c r="O3965">
        <v>0</v>
      </c>
    </row>
    <row r="3966" spans="1:15" x14ac:dyDescent="0.2">
      <c r="A3966" s="6">
        <v>45818</v>
      </c>
      <c r="B3966" t="s">
        <v>15</v>
      </c>
      <c r="C3966" t="s">
        <v>16</v>
      </c>
      <c r="D3966" s="1">
        <v>45855</v>
      </c>
      <c r="E3966" t="s">
        <v>19</v>
      </c>
      <c r="F3966">
        <v>4750</v>
      </c>
      <c r="J3966">
        <v>6.4</v>
      </c>
      <c r="K3966">
        <v>8.6</v>
      </c>
      <c r="L3966">
        <v>0</v>
      </c>
      <c r="M3966" t="s">
        <v>18</v>
      </c>
      <c r="N3966">
        <v>0</v>
      </c>
      <c r="O3966">
        <v>0</v>
      </c>
    </row>
    <row r="3967" spans="1:15" x14ac:dyDescent="0.2">
      <c r="A3967" s="6">
        <v>45818</v>
      </c>
      <c r="B3967" t="s">
        <v>15</v>
      </c>
      <c r="C3967" t="s">
        <v>16</v>
      </c>
      <c r="D3967" s="1">
        <v>45855</v>
      </c>
      <c r="E3967" t="s">
        <v>17</v>
      </c>
      <c r="F3967">
        <v>4050</v>
      </c>
      <c r="J3967">
        <v>1452.2</v>
      </c>
      <c r="K3967">
        <v>1441</v>
      </c>
      <c r="L3967">
        <v>0</v>
      </c>
      <c r="M3967" t="s">
        <v>18</v>
      </c>
      <c r="N3967">
        <v>0</v>
      </c>
      <c r="O3967">
        <v>0</v>
      </c>
    </row>
    <row r="3968" spans="1:15" x14ac:dyDescent="0.2">
      <c r="A3968" s="6">
        <v>45818</v>
      </c>
      <c r="B3968" t="s">
        <v>15</v>
      </c>
      <c r="C3968" t="s">
        <v>16</v>
      </c>
      <c r="D3968" s="1">
        <v>45855</v>
      </c>
      <c r="E3968" t="s">
        <v>19</v>
      </c>
      <c r="F3968">
        <v>4150</v>
      </c>
      <c r="J3968">
        <v>0.1</v>
      </c>
      <c r="K3968">
        <v>0.1</v>
      </c>
      <c r="L3968">
        <v>0</v>
      </c>
      <c r="M3968" t="s">
        <v>18</v>
      </c>
      <c r="N3968">
        <v>0</v>
      </c>
      <c r="O3968">
        <v>0</v>
      </c>
    </row>
    <row r="3969" spans="1:15" x14ac:dyDescent="0.2">
      <c r="A3969" s="6">
        <v>45818</v>
      </c>
      <c r="B3969" t="s">
        <v>15</v>
      </c>
      <c r="C3969" t="s">
        <v>16</v>
      </c>
      <c r="D3969" s="1">
        <v>45855</v>
      </c>
      <c r="E3969" t="s">
        <v>17</v>
      </c>
      <c r="F3969">
        <v>5850</v>
      </c>
      <c r="J3969">
        <v>65.8</v>
      </c>
      <c r="K3969">
        <v>69.8</v>
      </c>
      <c r="L3969">
        <v>0</v>
      </c>
      <c r="M3969" t="s">
        <v>18</v>
      </c>
      <c r="N3969">
        <v>0</v>
      </c>
      <c r="O3969">
        <v>0</v>
      </c>
    </row>
    <row r="3970" spans="1:15" x14ac:dyDescent="0.2">
      <c r="A3970" s="6">
        <v>45818</v>
      </c>
      <c r="B3970" t="s">
        <v>15</v>
      </c>
      <c r="C3970" t="s">
        <v>16</v>
      </c>
      <c r="D3970" s="1">
        <v>45855</v>
      </c>
      <c r="E3970" t="s">
        <v>17</v>
      </c>
      <c r="F3970">
        <v>5400</v>
      </c>
      <c r="G3970">
        <v>307.89999999999998</v>
      </c>
      <c r="H3970">
        <v>324.89999999999998</v>
      </c>
      <c r="I3970">
        <v>278.5</v>
      </c>
      <c r="J3970">
        <v>282.10000000000002</v>
      </c>
      <c r="K3970">
        <v>291.10000000000002</v>
      </c>
      <c r="L3970">
        <v>479</v>
      </c>
      <c r="M3970" t="s">
        <v>1610</v>
      </c>
      <c r="N3970">
        <v>2732.5</v>
      </c>
      <c r="O3970">
        <v>318</v>
      </c>
    </row>
    <row r="3971" spans="1:15" x14ac:dyDescent="0.2">
      <c r="A3971" s="6">
        <v>45818</v>
      </c>
      <c r="B3971" t="s">
        <v>15</v>
      </c>
      <c r="C3971" t="s">
        <v>16</v>
      </c>
      <c r="D3971" s="1">
        <v>45855</v>
      </c>
      <c r="E3971" t="s">
        <v>19</v>
      </c>
      <c r="F3971">
        <v>6300</v>
      </c>
      <c r="J3971">
        <v>795.6</v>
      </c>
      <c r="K3971">
        <v>808.3</v>
      </c>
      <c r="L3971">
        <v>0</v>
      </c>
      <c r="M3971" t="s">
        <v>18</v>
      </c>
      <c r="N3971">
        <v>0</v>
      </c>
      <c r="O3971">
        <v>0</v>
      </c>
    </row>
    <row r="3972" spans="1:15" x14ac:dyDescent="0.2">
      <c r="A3972" s="6">
        <v>45818</v>
      </c>
      <c r="B3972" t="s">
        <v>15</v>
      </c>
      <c r="C3972" t="s">
        <v>16</v>
      </c>
      <c r="D3972" s="1">
        <v>45855</v>
      </c>
      <c r="E3972" t="s">
        <v>17</v>
      </c>
      <c r="F3972">
        <v>3900</v>
      </c>
      <c r="J3972">
        <v>1601.3</v>
      </c>
      <c r="K3972">
        <v>1590.1</v>
      </c>
      <c r="L3972">
        <v>0</v>
      </c>
      <c r="M3972" t="s">
        <v>18</v>
      </c>
      <c r="N3972">
        <v>0</v>
      </c>
      <c r="O3972">
        <v>0</v>
      </c>
    </row>
    <row r="3973" spans="1:15" x14ac:dyDescent="0.2">
      <c r="A3973" s="6">
        <v>45818</v>
      </c>
      <c r="B3973" t="s">
        <v>15</v>
      </c>
      <c r="C3973" t="s">
        <v>16</v>
      </c>
      <c r="D3973" s="1">
        <v>45855</v>
      </c>
      <c r="E3973" t="s">
        <v>19</v>
      </c>
      <c r="F3973">
        <v>5850</v>
      </c>
      <c r="J3973">
        <v>402.8</v>
      </c>
      <c r="K3973">
        <v>417.6</v>
      </c>
      <c r="L3973">
        <v>0</v>
      </c>
      <c r="M3973" t="s">
        <v>18</v>
      </c>
      <c r="N3973">
        <v>0</v>
      </c>
      <c r="O3973">
        <v>0</v>
      </c>
    </row>
    <row r="3974" spans="1:15" x14ac:dyDescent="0.2">
      <c r="A3974" s="6">
        <v>45818</v>
      </c>
      <c r="B3974" t="s">
        <v>15</v>
      </c>
      <c r="C3974" t="s">
        <v>16</v>
      </c>
      <c r="D3974" s="1">
        <v>45855</v>
      </c>
      <c r="E3974" t="s">
        <v>19</v>
      </c>
      <c r="F3974">
        <v>6500</v>
      </c>
      <c r="J3974">
        <v>987.6</v>
      </c>
      <c r="K3974">
        <v>999.4</v>
      </c>
      <c r="L3974">
        <v>0</v>
      </c>
      <c r="M3974" t="s">
        <v>18</v>
      </c>
      <c r="N3974">
        <v>0</v>
      </c>
      <c r="O3974">
        <v>0</v>
      </c>
    </row>
    <row r="3975" spans="1:15" x14ac:dyDescent="0.2">
      <c r="A3975" s="6">
        <v>45818</v>
      </c>
      <c r="B3975" t="s">
        <v>15</v>
      </c>
      <c r="C3975" t="s">
        <v>16</v>
      </c>
      <c r="D3975" s="1">
        <v>45855</v>
      </c>
      <c r="E3975" t="s">
        <v>17</v>
      </c>
      <c r="F3975">
        <v>6600</v>
      </c>
      <c r="J3975">
        <v>2.8</v>
      </c>
      <c r="K3975">
        <v>3.5</v>
      </c>
      <c r="L3975">
        <v>0</v>
      </c>
      <c r="M3975" t="s">
        <v>18</v>
      </c>
      <c r="N3975">
        <v>0</v>
      </c>
      <c r="O3975">
        <v>0</v>
      </c>
    </row>
    <row r="3976" spans="1:15" x14ac:dyDescent="0.2">
      <c r="A3976" s="6">
        <v>45818</v>
      </c>
      <c r="B3976" t="s">
        <v>15</v>
      </c>
      <c r="C3976" t="s">
        <v>16</v>
      </c>
      <c r="D3976" s="1">
        <v>45855</v>
      </c>
      <c r="E3976" t="s">
        <v>19</v>
      </c>
      <c r="F3976">
        <v>4800</v>
      </c>
      <c r="G3976">
        <v>39</v>
      </c>
      <c r="H3976">
        <v>39.4</v>
      </c>
      <c r="I3976">
        <v>39</v>
      </c>
      <c r="J3976">
        <v>39.200000000000003</v>
      </c>
      <c r="K3976">
        <v>31.5</v>
      </c>
      <c r="L3976">
        <v>2</v>
      </c>
      <c r="M3976" t="s">
        <v>28</v>
      </c>
      <c r="N3976">
        <v>9.68</v>
      </c>
      <c r="O3976">
        <v>6</v>
      </c>
    </row>
    <row r="3977" spans="1:15" x14ac:dyDescent="0.2">
      <c r="A3977" s="6">
        <v>45818</v>
      </c>
      <c r="B3977" t="s">
        <v>15</v>
      </c>
      <c r="C3977" t="s">
        <v>16</v>
      </c>
      <c r="D3977" s="1">
        <v>45855</v>
      </c>
      <c r="E3977" t="s">
        <v>19</v>
      </c>
      <c r="F3977">
        <v>6000</v>
      </c>
      <c r="G3977">
        <v>530</v>
      </c>
      <c r="H3977">
        <v>566</v>
      </c>
      <c r="I3977">
        <v>507.3</v>
      </c>
      <c r="J3977">
        <v>563.6</v>
      </c>
      <c r="K3977">
        <v>562.29999999999995</v>
      </c>
      <c r="L3977">
        <v>34</v>
      </c>
      <c r="M3977" t="s">
        <v>1088</v>
      </c>
      <c r="N3977">
        <v>222.57</v>
      </c>
      <c r="O3977">
        <v>106</v>
      </c>
    </row>
    <row r="3978" spans="1:15" x14ac:dyDescent="0.2">
      <c r="A3978" s="6">
        <v>45818</v>
      </c>
      <c r="B3978" t="s">
        <v>15</v>
      </c>
      <c r="C3978" t="s">
        <v>16</v>
      </c>
      <c r="D3978" s="1">
        <v>45855</v>
      </c>
      <c r="E3978" t="s">
        <v>19</v>
      </c>
      <c r="F3978">
        <v>3850</v>
      </c>
      <c r="J3978">
        <v>0.1</v>
      </c>
      <c r="K3978">
        <v>0.1</v>
      </c>
      <c r="L3978">
        <v>0</v>
      </c>
      <c r="M3978" t="s">
        <v>18</v>
      </c>
      <c r="N3978">
        <v>0</v>
      </c>
      <c r="O3978">
        <v>0</v>
      </c>
    </row>
    <row r="3979" spans="1:15" x14ac:dyDescent="0.2">
      <c r="A3979" s="6">
        <v>45818</v>
      </c>
      <c r="B3979" t="s">
        <v>15</v>
      </c>
      <c r="C3979" t="s">
        <v>16</v>
      </c>
      <c r="D3979" s="1">
        <v>45855</v>
      </c>
      <c r="E3979" t="s">
        <v>17</v>
      </c>
      <c r="F3979">
        <v>6400</v>
      </c>
      <c r="J3979">
        <v>7.3</v>
      </c>
      <c r="K3979">
        <v>8.6999999999999993</v>
      </c>
      <c r="L3979">
        <v>0</v>
      </c>
      <c r="M3979" t="s">
        <v>18</v>
      </c>
      <c r="N3979">
        <v>0</v>
      </c>
      <c r="O3979">
        <v>0</v>
      </c>
    </row>
    <row r="3980" spans="1:15" x14ac:dyDescent="0.2">
      <c r="A3980" s="6">
        <v>45818</v>
      </c>
      <c r="B3980" t="s">
        <v>15</v>
      </c>
      <c r="C3980" t="s">
        <v>16</v>
      </c>
      <c r="D3980" s="1">
        <v>45855</v>
      </c>
      <c r="E3980" t="s">
        <v>19</v>
      </c>
      <c r="F3980">
        <v>3950</v>
      </c>
      <c r="J3980">
        <v>0.1</v>
      </c>
      <c r="K3980">
        <v>0.1</v>
      </c>
      <c r="L3980">
        <v>0</v>
      </c>
      <c r="M3980" t="s">
        <v>18</v>
      </c>
      <c r="N3980">
        <v>0</v>
      </c>
      <c r="O3980">
        <v>0</v>
      </c>
    </row>
    <row r="3981" spans="1:15" x14ac:dyDescent="0.2">
      <c r="A3981" s="6">
        <v>45818</v>
      </c>
      <c r="B3981" t="s">
        <v>15</v>
      </c>
      <c r="C3981" t="s">
        <v>16</v>
      </c>
      <c r="D3981" s="1">
        <v>45855</v>
      </c>
      <c r="E3981" t="s">
        <v>17</v>
      </c>
      <c r="F3981">
        <v>5550</v>
      </c>
      <c r="J3981">
        <v>164.6</v>
      </c>
      <c r="K3981">
        <v>167.7</v>
      </c>
      <c r="L3981">
        <v>0</v>
      </c>
      <c r="M3981" t="s">
        <v>18</v>
      </c>
      <c r="N3981">
        <v>0</v>
      </c>
      <c r="O3981">
        <v>0</v>
      </c>
    </row>
    <row r="3982" spans="1:15" x14ac:dyDescent="0.2">
      <c r="A3982" s="6">
        <v>45817</v>
      </c>
      <c r="B3982" t="s">
        <v>15</v>
      </c>
      <c r="C3982" t="s">
        <v>16</v>
      </c>
      <c r="D3982" s="1">
        <v>45855</v>
      </c>
      <c r="E3982" t="s">
        <v>17</v>
      </c>
      <c r="F3982">
        <v>4500</v>
      </c>
      <c r="J3982">
        <v>995.4</v>
      </c>
      <c r="K3982">
        <v>966.1</v>
      </c>
      <c r="L3982">
        <v>0</v>
      </c>
      <c r="M3982" t="s">
        <v>18</v>
      </c>
      <c r="N3982">
        <v>0</v>
      </c>
      <c r="O3982">
        <v>0</v>
      </c>
    </row>
    <row r="3983" spans="1:15" x14ac:dyDescent="0.2">
      <c r="A3983" s="6">
        <v>45817</v>
      </c>
      <c r="B3983" t="s">
        <v>15</v>
      </c>
      <c r="C3983" t="s">
        <v>16</v>
      </c>
      <c r="D3983" s="1">
        <v>45855</v>
      </c>
      <c r="E3983" t="s">
        <v>19</v>
      </c>
      <c r="F3983">
        <v>6150</v>
      </c>
      <c r="J3983">
        <v>670.1</v>
      </c>
      <c r="K3983">
        <v>702.1</v>
      </c>
      <c r="L3983">
        <v>0</v>
      </c>
      <c r="M3983" t="s">
        <v>18</v>
      </c>
      <c r="N3983">
        <v>0</v>
      </c>
      <c r="O3983">
        <v>0</v>
      </c>
    </row>
    <row r="3984" spans="1:15" x14ac:dyDescent="0.2">
      <c r="A3984" s="6">
        <v>45817</v>
      </c>
      <c r="B3984" t="s">
        <v>15</v>
      </c>
      <c r="C3984" t="s">
        <v>16</v>
      </c>
      <c r="D3984" s="1">
        <v>45855</v>
      </c>
      <c r="E3984" t="s">
        <v>17</v>
      </c>
      <c r="F3984">
        <v>5950</v>
      </c>
      <c r="J3984">
        <v>50</v>
      </c>
      <c r="K3984">
        <v>53.1</v>
      </c>
      <c r="L3984">
        <v>0</v>
      </c>
      <c r="M3984" t="s">
        <v>18</v>
      </c>
      <c r="N3984">
        <v>0</v>
      </c>
      <c r="O3984">
        <v>0</v>
      </c>
    </row>
    <row r="3985" spans="1:15" x14ac:dyDescent="0.2">
      <c r="A3985" s="6">
        <v>45817</v>
      </c>
      <c r="B3985" t="s">
        <v>15</v>
      </c>
      <c r="C3985" t="s">
        <v>16</v>
      </c>
      <c r="D3985" s="1">
        <v>45855</v>
      </c>
      <c r="E3985" t="s">
        <v>17</v>
      </c>
      <c r="F3985">
        <v>5150</v>
      </c>
      <c r="G3985">
        <v>350</v>
      </c>
      <c r="H3985">
        <v>350</v>
      </c>
      <c r="I3985">
        <v>350</v>
      </c>
      <c r="J3985">
        <v>350</v>
      </c>
      <c r="K3985">
        <v>394.8</v>
      </c>
      <c r="L3985">
        <v>2</v>
      </c>
      <c r="M3985" t="s">
        <v>28</v>
      </c>
      <c r="N3985">
        <v>11</v>
      </c>
      <c r="O3985">
        <v>2</v>
      </c>
    </row>
    <row r="3986" spans="1:15" x14ac:dyDescent="0.2">
      <c r="A3986" s="6">
        <v>45817</v>
      </c>
      <c r="B3986" t="s">
        <v>15</v>
      </c>
      <c r="C3986" t="s">
        <v>16</v>
      </c>
      <c r="D3986" s="1">
        <v>45855</v>
      </c>
      <c r="E3986" t="s">
        <v>17</v>
      </c>
      <c r="F3986">
        <v>4350</v>
      </c>
      <c r="J3986">
        <v>1143.3</v>
      </c>
      <c r="K3986">
        <v>1113</v>
      </c>
      <c r="L3986">
        <v>0</v>
      </c>
      <c r="M3986" t="s">
        <v>18</v>
      </c>
      <c r="N3986">
        <v>0</v>
      </c>
      <c r="O3986">
        <v>0</v>
      </c>
    </row>
    <row r="3987" spans="1:15" x14ac:dyDescent="0.2">
      <c r="A3987" s="6">
        <v>45817</v>
      </c>
      <c r="B3987" t="s">
        <v>15</v>
      </c>
      <c r="C3987" t="s">
        <v>16</v>
      </c>
      <c r="D3987" s="1">
        <v>45855</v>
      </c>
      <c r="E3987" t="s">
        <v>17</v>
      </c>
      <c r="F3987">
        <v>3700</v>
      </c>
      <c r="J3987">
        <v>1788.8</v>
      </c>
      <c r="K3987">
        <v>1757.3</v>
      </c>
      <c r="L3987">
        <v>0</v>
      </c>
      <c r="M3987" t="s">
        <v>18</v>
      </c>
      <c r="N3987">
        <v>0</v>
      </c>
      <c r="O3987">
        <v>0</v>
      </c>
    </row>
    <row r="3988" spans="1:15" x14ac:dyDescent="0.2">
      <c r="A3988" s="6">
        <v>45817</v>
      </c>
      <c r="B3988" t="s">
        <v>15</v>
      </c>
      <c r="C3988" t="s">
        <v>16</v>
      </c>
      <c r="D3988" s="1">
        <v>45855</v>
      </c>
      <c r="E3988" t="s">
        <v>17</v>
      </c>
      <c r="F3988">
        <v>5000</v>
      </c>
      <c r="J3988">
        <v>528.79999999999995</v>
      </c>
      <c r="K3988">
        <v>510.1</v>
      </c>
      <c r="L3988">
        <v>0</v>
      </c>
      <c r="M3988" t="s">
        <v>18</v>
      </c>
      <c r="N3988">
        <v>0</v>
      </c>
      <c r="O3988">
        <v>6</v>
      </c>
    </row>
    <row r="3989" spans="1:15" x14ac:dyDescent="0.2">
      <c r="A3989" s="6">
        <v>45817</v>
      </c>
      <c r="B3989" t="s">
        <v>15</v>
      </c>
      <c r="C3989" t="s">
        <v>16</v>
      </c>
      <c r="D3989" s="1">
        <v>45855</v>
      </c>
      <c r="E3989" t="s">
        <v>17</v>
      </c>
      <c r="F3989">
        <v>4100</v>
      </c>
      <c r="J3989">
        <v>1391.4</v>
      </c>
      <c r="K3989">
        <v>1360.3</v>
      </c>
      <c r="L3989">
        <v>0</v>
      </c>
      <c r="M3989" t="s">
        <v>18</v>
      </c>
      <c r="N3989">
        <v>0</v>
      </c>
      <c r="O3989">
        <v>0</v>
      </c>
    </row>
    <row r="3990" spans="1:15" x14ac:dyDescent="0.2">
      <c r="A3990" s="6">
        <v>45817</v>
      </c>
      <c r="B3990" t="s">
        <v>15</v>
      </c>
      <c r="C3990" t="s">
        <v>16</v>
      </c>
      <c r="D3990" s="1">
        <v>45855</v>
      </c>
      <c r="E3990" t="s">
        <v>17</v>
      </c>
      <c r="F3990">
        <v>4400</v>
      </c>
      <c r="J3990">
        <v>1093.9000000000001</v>
      </c>
      <c r="K3990">
        <v>1063.9000000000001</v>
      </c>
      <c r="L3990">
        <v>0</v>
      </c>
      <c r="M3990" t="s">
        <v>18</v>
      </c>
      <c r="N3990">
        <v>0</v>
      </c>
      <c r="O3990">
        <v>0</v>
      </c>
    </row>
    <row r="3991" spans="1:15" x14ac:dyDescent="0.2">
      <c r="A3991" s="6">
        <v>45817</v>
      </c>
      <c r="B3991" t="s">
        <v>15</v>
      </c>
      <c r="C3991" t="s">
        <v>16</v>
      </c>
      <c r="D3991" s="1">
        <v>45855</v>
      </c>
      <c r="E3991" t="s">
        <v>19</v>
      </c>
      <c r="F3991">
        <v>4900</v>
      </c>
      <c r="J3991">
        <v>19.7</v>
      </c>
      <c r="K3991">
        <v>28.2</v>
      </c>
      <c r="L3991">
        <v>0</v>
      </c>
      <c r="M3991" t="s">
        <v>18</v>
      </c>
      <c r="N3991">
        <v>0</v>
      </c>
      <c r="O3991">
        <v>0</v>
      </c>
    </row>
    <row r="3992" spans="1:15" x14ac:dyDescent="0.2">
      <c r="A3992" s="6">
        <v>45817</v>
      </c>
      <c r="B3992" t="s">
        <v>15</v>
      </c>
      <c r="C3992" t="s">
        <v>16</v>
      </c>
      <c r="D3992" s="1">
        <v>45855</v>
      </c>
      <c r="E3992" t="s">
        <v>19</v>
      </c>
      <c r="F3992">
        <v>3600</v>
      </c>
      <c r="J3992">
        <v>0.1</v>
      </c>
      <c r="K3992">
        <v>0.1</v>
      </c>
      <c r="L3992">
        <v>0</v>
      </c>
      <c r="M3992" t="s">
        <v>18</v>
      </c>
      <c r="N3992">
        <v>0</v>
      </c>
      <c r="O3992">
        <v>0</v>
      </c>
    </row>
    <row r="3993" spans="1:15" x14ac:dyDescent="0.2">
      <c r="A3993" s="6">
        <v>45817</v>
      </c>
      <c r="B3993" t="s">
        <v>15</v>
      </c>
      <c r="C3993" t="s">
        <v>16</v>
      </c>
      <c r="D3993" s="1">
        <v>45855</v>
      </c>
      <c r="E3993" t="s">
        <v>17</v>
      </c>
      <c r="F3993">
        <v>5200</v>
      </c>
      <c r="G3993">
        <v>386.6</v>
      </c>
      <c r="H3993">
        <v>430.1</v>
      </c>
      <c r="I3993">
        <v>382</v>
      </c>
      <c r="J3993">
        <v>407.6</v>
      </c>
      <c r="K3993">
        <v>359.7</v>
      </c>
      <c r="L3993">
        <v>12</v>
      </c>
      <c r="M3993" t="s">
        <v>180</v>
      </c>
      <c r="N3993">
        <v>67.27</v>
      </c>
      <c r="O3993">
        <v>8</v>
      </c>
    </row>
    <row r="3994" spans="1:15" x14ac:dyDescent="0.2">
      <c r="A3994" s="6">
        <v>45817</v>
      </c>
      <c r="B3994" t="s">
        <v>15</v>
      </c>
      <c r="C3994" t="s">
        <v>16</v>
      </c>
      <c r="D3994" s="1">
        <v>45855</v>
      </c>
      <c r="E3994" t="s">
        <v>17</v>
      </c>
      <c r="F3994">
        <v>4750</v>
      </c>
      <c r="J3994">
        <v>754</v>
      </c>
      <c r="K3994">
        <v>728.4</v>
      </c>
      <c r="L3994">
        <v>0</v>
      </c>
      <c r="M3994" t="s">
        <v>18</v>
      </c>
      <c r="N3994">
        <v>0</v>
      </c>
      <c r="O3994">
        <v>0</v>
      </c>
    </row>
    <row r="3995" spans="1:15" x14ac:dyDescent="0.2">
      <c r="A3995" s="6">
        <v>45817</v>
      </c>
      <c r="B3995" t="s">
        <v>15</v>
      </c>
      <c r="C3995" t="s">
        <v>16</v>
      </c>
      <c r="D3995" s="1">
        <v>45855</v>
      </c>
      <c r="E3995" t="s">
        <v>19</v>
      </c>
      <c r="F3995">
        <v>5250</v>
      </c>
      <c r="J3995">
        <v>87.8</v>
      </c>
      <c r="K3995">
        <v>107.9</v>
      </c>
      <c r="L3995">
        <v>0</v>
      </c>
      <c r="M3995" t="s">
        <v>18</v>
      </c>
      <c r="N3995">
        <v>0</v>
      </c>
      <c r="O3995">
        <v>0</v>
      </c>
    </row>
    <row r="3996" spans="1:15" x14ac:dyDescent="0.2">
      <c r="A3996" s="6">
        <v>45817</v>
      </c>
      <c r="B3996" t="s">
        <v>15</v>
      </c>
      <c r="C3996" t="s">
        <v>16</v>
      </c>
      <c r="D3996" s="1">
        <v>45855</v>
      </c>
      <c r="E3996" t="s">
        <v>17</v>
      </c>
      <c r="F3996">
        <v>4450</v>
      </c>
      <c r="J3996">
        <v>1044.5999999999999</v>
      </c>
      <c r="K3996">
        <v>1014.9</v>
      </c>
      <c r="L3996">
        <v>0</v>
      </c>
      <c r="M3996" t="s">
        <v>18</v>
      </c>
      <c r="N3996">
        <v>0</v>
      </c>
      <c r="O3996">
        <v>0</v>
      </c>
    </row>
    <row r="3997" spans="1:15" x14ac:dyDescent="0.2">
      <c r="A3997" s="6">
        <v>45817</v>
      </c>
      <c r="B3997" t="s">
        <v>15</v>
      </c>
      <c r="C3997" t="s">
        <v>16</v>
      </c>
      <c r="D3997" s="1">
        <v>45855</v>
      </c>
      <c r="E3997" t="s">
        <v>17</v>
      </c>
      <c r="F3997">
        <v>5300</v>
      </c>
      <c r="G3997">
        <v>349</v>
      </c>
      <c r="H3997">
        <v>349</v>
      </c>
      <c r="I3997">
        <v>339.3</v>
      </c>
      <c r="J3997">
        <v>344.2</v>
      </c>
      <c r="K3997">
        <v>345.6</v>
      </c>
      <c r="L3997">
        <v>4</v>
      </c>
      <c r="M3997" t="s">
        <v>78</v>
      </c>
      <c r="N3997">
        <v>22.58</v>
      </c>
      <c r="O3997">
        <v>7</v>
      </c>
    </row>
    <row r="3998" spans="1:15" x14ac:dyDescent="0.2">
      <c r="A3998" s="6">
        <v>45817</v>
      </c>
      <c r="B3998" t="s">
        <v>15</v>
      </c>
      <c r="C3998" t="s">
        <v>16</v>
      </c>
      <c r="D3998" s="1">
        <v>45855</v>
      </c>
      <c r="E3998" t="s">
        <v>17</v>
      </c>
      <c r="F3998">
        <v>4950</v>
      </c>
      <c r="J3998">
        <v>571.79999999999995</v>
      </c>
      <c r="K3998">
        <v>551.5</v>
      </c>
      <c r="L3998">
        <v>0</v>
      </c>
      <c r="M3998" t="s">
        <v>18</v>
      </c>
      <c r="N3998">
        <v>0</v>
      </c>
      <c r="O3998">
        <v>0</v>
      </c>
    </row>
    <row r="3999" spans="1:15" x14ac:dyDescent="0.2">
      <c r="A3999" s="6">
        <v>45817</v>
      </c>
      <c r="B3999" t="s">
        <v>15</v>
      </c>
      <c r="C3999" t="s">
        <v>16</v>
      </c>
      <c r="D3999" s="1">
        <v>45855</v>
      </c>
      <c r="E3999" t="s">
        <v>17</v>
      </c>
      <c r="F3999">
        <v>4800</v>
      </c>
      <c r="J3999">
        <v>707.1</v>
      </c>
      <c r="K3999">
        <v>682.7</v>
      </c>
      <c r="L3999">
        <v>0</v>
      </c>
      <c r="M3999" t="s">
        <v>18</v>
      </c>
      <c r="N3999">
        <v>0</v>
      </c>
      <c r="O3999">
        <v>0</v>
      </c>
    </row>
    <row r="4000" spans="1:15" x14ac:dyDescent="0.2">
      <c r="A4000" s="6">
        <v>45817</v>
      </c>
      <c r="B4000" t="s">
        <v>15</v>
      </c>
      <c r="C4000" t="s">
        <v>16</v>
      </c>
      <c r="D4000" s="1">
        <v>45855</v>
      </c>
      <c r="E4000" t="s">
        <v>19</v>
      </c>
      <c r="F4000">
        <v>4200</v>
      </c>
      <c r="J4000">
        <v>0.1</v>
      </c>
      <c r="K4000">
        <v>0.3</v>
      </c>
      <c r="L4000">
        <v>0</v>
      </c>
      <c r="M4000" t="s">
        <v>18</v>
      </c>
      <c r="N4000">
        <v>0</v>
      </c>
      <c r="O4000">
        <v>0</v>
      </c>
    </row>
    <row r="4001" spans="1:15" x14ac:dyDescent="0.2">
      <c r="A4001" s="6">
        <v>45817</v>
      </c>
      <c r="B4001" t="s">
        <v>15</v>
      </c>
      <c r="C4001" t="s">
        <v>16</v>
      </c>
      <c r="D4001" s="1">
        <v>45855</v>
      </c>
      <c r="E4001" t="s">
        <v>17</v>
      </c>
      <c r="F4001">
        <v>4900</v>
      </c>
      <c r="J4001">
        <v>615.9</v>
      </c>
      <c r="K4001">
        <v>594.1</v>
      </c>
      <c r="L4001">
        <v>0</v>
      </c>
      <c r="M4001" t="s">
        <v>18</v>
      </c>
      <c r="N4001">
        <v>0</v>
      </c>
      <c r="O4001">
        <v>0</v>
      </c>
    </row>
    <row r="4002" spans="1:15" x14ac:dyDescent="0.2">
      <c r="A4002" s="6">
        <v>45817</v>
      </c>
      <c r="B4002" t="s">
        <v>15</v>
      </c>
      <c r="C4002" t="s">
        <v>16</v>
      </c>
      <c r="D4002" s="1">
        <v>45855</v>
      </c>
      <c r="E4002" t="s">
        <v>17</v>
      </c>
      <c r="F4002">
        <v>5700</v>
      </c>
      <c r="G4002">
        <v>139.69999999999999</v>
      </c>
      <c r="H4002">
        <v>164</v>
      </c>
      <c r="I4002">
        <v>139.69999999999999</v>
      </c>
      <c r="J4002">
        <v>155.69999999999999</v>
      </c>
      <c r="K4002">
        <v>149</v>
      </c>
      <c r="L4002">
        <v>19</v>
      </c>
      <c r="M4002" t="s">
        <v>550</v>
      </c>
      <c r="N4002">
        <v>111.3</v>
      </c>
      <c r="O4002">
        <v>36</v>
      </c>
    </row>
    <row r="4003" spans="1:15" x14ac:dyDescent="0.2">
      <c r="A4003" s="6">
        <v>45817</v>
      </c>
      <c r="B4003" t="s">
        <v>15</v>
      </c>
      <c r="C4003" t="s">
        <v>16</v>
      </c>
      <c r="D4003" s="1">
        <v>45855</v>
      </c>
      <c r="E4003" t="s">
        <v>17</v>
      </c>
      <c r="F4003">
        <v>4200</v>
      </c>
      <c r="J4003">
        <v>1292.0999999999999</v>
      </c>
      <c r="K4003">
        <v>1261.2</v>
      </c>
      <c r="L4003">
        <v>0</v>
      </c>
      <c r="M4003" t="s">
        <v>18</v>
      </c>
      <c r="N4003">
        <v>0</v>
      </c>
      <c r="O4003">
        <v>0</v>
      </c>
    </row>
    <row r="4004" spans="1:15" x14ac:dyDescent="0.2">
      <c r="A4004" s="6">
        <v>45817</v>
      </c>
      <c r="B4004" t="s">
        <v>15</v>
      </c>
      <c r="C4004" t="s">
        <v>16</v>
      </c>
      <c r="D4004" s="1">
        <v>45855</v>
      </c>
      <c r="E4004" t="s">
        <v>17</v>
      </c>
      <c r="F4004">
        <v>5250</v>
      </c>
      <c r="J4004">
        <v>336.3</v>
      </c>
      <c r="K4004">
        <v>326.39999999999998</v>
      </c>
      <c r="L4004">
        <v>0</v>
      </c>
      <c r="M4004" t="s">
        <v>18</v>
      </c>
      <c r="N4004">
        <v>0</v>
      </c>
      <c r="O4004">
        <v>0</v>
      </c>
    </row>
    <row r="4005" spans="1:15" x14ac:dyDescent="0.2">
      <c r="A4005" s="6">
        <v>45817</v>
      </c>
      <c r="B4005" t="s">
        <v>15</v>
      </c>
      <c r="C4005" t="s">
        <v>16</v>
      </c>
      <c r="D4005" s="1">
        <v>45855</v>
      </c>
      <c r="E4005" t="s">
        <v>19</v>
      </c>
      <c r="F4005">
        <v>5100</v>
      </c>
      <c r="G4005">
        <v>101</v>
      </c>
      <c r="H4005">
        <v>101</v>
      </c>
      <c r="I4005">
        <v>82.9</v>
      </c>
      <c r="J4005">
        <v>91.6</v>
      </c>
      <c r="K4005">
        <v>101</v>
      </c>
      <c r="L4005">
        <v>6</v>
      </c>
      <c r="M4005" t="s">
        <v>132</v>
      </c>
      <c r="N4005">
        <v>31.15</v>
      </c>
      <c r="O4005">
        <v>3</v>
      </c>
    </row>
    <row r="4006" spans="1:15" x14ac:dyDescent="0.2">
      <c r="A4006" s="6">
        <v>45817</v>
      </c>
      <c r="B4006" t="s">
        <v>15</v>
      </c>
      <c r="C4006" t="s">
        <v>16</v>
      </c>
      <c r="D4006" s="1">
        <v>45855</v>
      </c>
      <c r="E4006" t="s">
        <v>17</v>
      </c>
      <c r="F4006">
        <v>4650</v>
      </c>
      <c r="J4006">
        <v>849.3</v>
      </c>
      <c r="K4006">
        <v>821.9</v>
      </c>
      <c r="L4006">
        <v>0</v>
      </c>
      <c r="M4006" t="s">
        <v>18</v>
      </c>
      <c r="N4006">
        <v>0</v>
      </c>
      <c r="O4006">
        <v>0</v>
      </c>
    </row>
    <row r="4007" spans="1:15" x14ac:dyDescent="0.2">
      <c r="A4007" s="6">
        <v>45817</v>
      </c>
      <c r="B4007" t="s">
        <v>15</v>
      </c>
      <c r="C4007" t="s">
        <v>16</v>
      </c>
      <c r="D4007" s="1">
        <v>45855</v>
      </c>
      <c r="E4007" t="s">
        <v>19</v>
      </c>
      <c r="F4007">
        <v>6050</v>
      </c>
      <c r="J4007">
        <v>581.70000000000005</v>
      </c>
      <c r="K4007">
        <v>614</v>
      </c>
      <c r="L4007">
        <v>0</v>
      </c>
      <c r="M4007" t="s">
        <v>18</v>
      </c>
      <c r="N4007">
        <v>0</v>
      </c>
      <c r="O4007">
        <v>0</v>
      </c>
    </row>
    <row r="4008" spans="1:15" x14ac:dyDescent="0.2">
      <c r="A4008" s="6">
        <v>45817</v>
      </c>
      <c r="B4008" t="s">
        <v>15</v>
      </c>
      <c r="C4008" t="s">
        <v>16</v>
      </c>
      <c r="D4008" s="1">
        <v>45855</v>
      </c>
      <c r="E4008" t="s">
        <v>19</v>
      </c>
      <c r="F4008">
        <v>6650</v>
      </c>
      <c r="J4008">
        <v>1145.7</v>
      </c>
      <c r="K4008">
        <v>1175.3</v>
      </c>
      <c r="L4008">
        <v>0</v>
      </c>
      <c r="M4008" t="s">
        <v>18</v>
      </c>
      <c r="N4008">
        <v>0</v>
      </c>
      <c r="O4008">
        <v>0</v>
      </c>
    </row>
    <row r="4009" spans="1:15" x14ac:dyDescent="0.2">
      <c r="A4009" s="6">
        <v>45817</v>
      </c>
      <c r="B4009" t="s">
        <v>15</v>
      </c>
      <c r="C4009" t="s">
        <v>16</v>
      </c>
      <c r="D4009" s="1">
        <v>45855</v>
      </c>
      <c r="E4009" t="s">
        <v>17</v>
      </c>
      <c r="F4009">
        <v>5100</v>
      </c>
      <c r="G4009">
        <v>486.9</v>
      </c>
      <c r="H4009">
        <v>486.9</v>
      </c>
      <c r="I4009">
        <v>485.2</v>
      </c>
      <c r="J4009">
        <v>486.1</v>
      </c>
      <c r="K4009">
        <v>431.7</v>
      </c>
      <c r="L4009">
        <v>2</v>
      </c>
      <c r="M4009" t="s">
        <v>28</v>
      </c>
      <c r="N4009">
        <v>11.17</v>
      </c>
      <c r="O4009">
        <v>5</v>
      </c>
    </row>
    <row r="4010" spans="1:15" x14ac:dyDescent="0.2">
      <c r="A4010" s="6">
        <v>45817</v>
      </c>
      <c r="B4010" t="s">
        <v>15</v>
      </c>
      <c r="C4010" t="s">
        <v>16</v>
      </c>
      <c r="D4010" s="1">
        <v>45855</v>
      </c>
      <c r="E4010" t="s">
        <v>17</v>
      </c>
      <c r="F4010">
        <v>6700</v>
      </c>
      <c r="J4010">
        <v>2.2000000000000002</v>
      </c>
      <c r="K4010">
        <v>3</v>
      </c>
      <c r="L4010">
        <v>0</v>
      </c>
      <c r="M4010" t="s">
        <v>18</v>
      </c>
      <c r="N4010">
        <v>0</v>
      </c>
      <c r="O4010">
        <v>0</v>
      </c>
    </row>
    <row r="4011" spans="1:15" x14ac:dyDescent="0.2">
      <c r="A4011" s="6">
        <v>45817</v>
      </c>
      <c r="B4011" t="s">
        <v>15</v>
      </c>
      <c r="C4011" t="s">
        <v>16</v>
      </c>
      <c r="D4011" s="1">
        <v>45855</v>
      </c>
      <c r="E4011" t="s">
        <v>19</v>
      </c>
      <c r="F4011">
        <v>4550</v>
      </c>
      <c r="J4011">
        <v>2.2999999999999998</v>
      </c>
      <c r="K4011">
        <v>4.2</v>
      </c>
      <c r="L4011">
        <v>0</v>
      </c>
      <c r="M4011" t="s">
        <v>18</v>
      </c>
      <c r="N4011">
        <v>0</v>
      </c>
      <c r="O4011">
        <v>0</v>
      </c>
    </row>
    <row r="4012" spans="1:15" x14ac:dyDescent="0.2">
      <c r="A4012" s="6">
        <v>45817</v>
      </c>
      <c r="B4012" t="s">
        <v>15</v>
      </c>
      <c r="C4012" t="s">
        <v>16</v>
      </c>
      <c r="D4012" s="1">
        <v>45855</v>
      </c>
      <c r="E4012" t="s">
        <v>19</v>
      </c>
      <c r="F4012">
        <v>3750</v>
      </c>
      <c r="J4012">
        <v>0.1</v>
      </c>
      <c r="K4012">
        <v>0.1</v>
      </c>
      <c r="L4012">
        <v>0</v>
      </c>
      <c r="M4012" t="s">
        <v>18</v>
      </c>
      <c r="N4012">
        <v>0</v>
      </c>
      <c r="O4012">
        <v>0</v>
      </c>
    </row>
    <row r="4013" spans="1:15" x14ac:dyDescent="0.2">
      <c r="A4013" s="6">
        <v>45817</v>
      </c>
      <c r="B4013" t="s">
        <v>15</v>
      </c>
      <c r="C4013" t="s">
        <v>16</v>
      </c>
      <c r="D4013" s="1">
        <v>45855</v>
      </c>
      <c r="E4013" t="s">
        <v>19</v>
      </c>
      <c r="F4013">
        <v>4700</v>
      </c>
      <c r="J4013">
        <v>6.4</v>
      </c>
      <c r="K4013">
        <v>10.3</v>
      </c>
      <c r="L4013">
        <v>0</v>
      </c>
      <c r="M4013" t="s">
        <v>18</v>
      </c>
      <c r="N4013">
        <v>0</v>
      </c>
      <c r="O4013">
        <v>0</v>
      </c>
    </row>
    <row r="4014" spans="1:15" x14ac:dyDescent="0.2">
      <c r="A4014" s="6">
        <v>45817</v>
      </c>
      <c r="B4014" t="s">
        <v>15</v>
      </c>
      <c r="C4014" t="s">
        <v>16</v>
      </c>
      <c r="D4014" s="1">
        <v>45855</v>
      </c>
      <c r="E4014" t="s">
        <v>17</v>
      </c>
      <c r="F4014">
        <v>6650</v>
      </c>
      <c r="J4014">
        <v>2.8</v>
      </c>
      <c r="K4014">
        <v>3.7</v>
      </c>
      <c r="L4014">
        <v>0</v>
      </c>
      <c r="M4014" t="s">
        <v>18</v>
      </c>
      <c r="N4014">
        <v>0</v>
      </c>
      <c r="O4014">
        <v>0</v>
      </c>
    </row>
    <row r="4015" spans="1:15" x14ac:dyDescent="0.2">
      <c r="A4015" s="6">
        <v>45817</v>
      </c>
      <c r="B4015" t="s">
        <v>15</v>
      </c>
      <c r="C4015" t="s">
        <v>16</v>
      </c>
      <c r="D4015" s="1">
        <v>45855</v>
      </c>
      <c r="E4015" t="s">
        <v>19</v>
      </c>
      <c r="F4015">
        <v>5450</v>
      </c>
      <c r="J4015">
        <v>166</v>
      </c>
      <c r="K4015">
        <v>192.3</v>
      </c>
      <c r="L4015">
        <v>0</v>
      </c>
      <c r="M4015" t="s">
        <v>18</v>
      </c>
      <c r="N4015">
        <v>0</v>
      </c>
      <c r="O4015">
        <v>5</v>
      </c>
    </row>
    <row r="4016" spans="1:15" x14ac:dyDescent="0.2">
      <c r="A4016" s="6">
        <v>45817</v>
      </c>
      <c r="B4016" t="s">
        <v>15</v>
      </c>
      <c r="C4016" t="s">
        <v>16</v>
      </c>
      <c r="D4016" s="1">
        <v>45855</v>
      </c>
      <c r="E4016" t="s">
        <v>17</v>
      </c>
      <c r="F4016">
        <v>6050</v>
      </c>
      <c r="J4016">
        <v>35.1</v>
      </c>
      <c r="K4016">
        <v>38.200000000000003</v>
      </c>
      <c r="L4016">
        <v>0</v>
      </c>
      <c r="M4016" t="s">
        <v>18</v>
      </c>
      <c r="N4016">
        <v>0</v>
      </c>
      <c r="O4016">
        <v>0</v>
      </c>
    </row>
    <row r="4017" spans="1:15" x14ac:dyDescent="0.2">
      <c r="A4017" s="6">
        <v>45817</v>
      </c>
      <c r="B4017" t="s">
        <v>15</v>
      </c>
      <c r="C4017" t="s">
        <v>16</v>
      </c>
      <c r="D4017" s="1">
        <v>45855</v>
      </c>
      <c r="E4017" t="s">
        <v>17</v>
      </c>
      <c r="F4017">
        <v>3750</v>
      </c>
      <c r="J4017">
        <v>1739.1</v>
      </c>
      <c r="K4017">
        <v>1707.7</v>
      </c>
      <c r="L4017">
        <v>0</v>
      </c>
      <c r="M4017" t="s">
        <v>18</v>
      </c>
      <c r="N4017">
        <v>0</v>
      </c>
      <c r="O4017">
        <v>0</v>
      </c>
    </row>
    <row r="4018" spans="1:15" x14ac:dyDescent="0.2">
      <c r="A4018" s="6">
        <v>45817</v>
      </c>
      <c r="B4018" t="s">
        <v>15</v>
      </c>
      <c r="C4018" t="s">
        <v>16</v>
      </c>
      <c r="D4018" s="1">
        <v>45855</v>
      </c>
      <c r="E4018" t="s">
        <v>17</v>
      </c>
      <c r="F4018">
        <v>6550</v>
      </c>
      <c r="J4018">
        <v>4.5</v>
      </c>
      <c r="K4018">
        <v>5.7</v>
      </c>
      <c r="L4018">
        <v>0</v>
      </c>
      <c r="M4018" t="s">
        <v>18</v>
      </c>
      <c r="N4018">
        <v>0</v>
      </c>
      <c r="O4018">
        <v>0</v>
      </c>
    </row>
    <row r="4019" spans="1:15" x14ac:dyDescent="0.2">
      <c r="A4019" s="6">
        <v>45817</v>
      </c>
      <c r="B4019" t="s">
        <v>15</v>
      </c>
      <c r="C4019" t="s">
        <v>16</v>
      </c>
      <c r="D4019" s="1">
        <v>45855</v>
      </c>
      <c r="E4019" t="s">
        <v>19</v>
      </c>
      <c r="F4019">
        <v>5700</v>
      </c>
      <c r="J4019">
        <v>309.5</v>
      </c>
      <c r="K4019">
        <v>340.6</v>
      </c>
      <c r="L4019">
        <v>0</v>
      </c>
      <c r="M4019" t="s">
        <v>18</v>
      </c>
      <c r="N4019">
        <v>0</v>
      </c>
      <c r="O4019">
        <v>0</v>
      </c>
    </row>
    <row r="4020" spans="1:15" x14ac:dyDescent="0.2">
      <c r="A4020" s="6">
        <v>45817</v>
      </c>
      <c r="B4020" t="s">
        <v>15</v>
      </c>
      <c r="C4020" t="s">
        <v>16</v>
      </c>
      <c r="D4020" s="1">
        <v>45855</v>
      </c>
      <c r="E4020" t="s">
        <v>19</v>
      </c>
      <c r="F4020">
        <v>3700</v>
      </c>
      <c r="J4020">
        <v>0.1</v>
      </c>
      <c r="K4020">
        <v>0.1</v>
      </c>
      <c r="L4020">
        <v>0</v>
      </c>
      <c r="M4020" t="s">
        <v>18</v>
      </c>
      <c r="N4020">
        <v>0</v>
      </c>
      <c r="O4020">
        <v>0</v>
      </c>
    </row>
    <row r="4021" spans="1:15" x14ac:dyDescent="0.2">
      <c r="A4021" s="6">
        <v>45817</v>
      </c>
      <c r="B4021" t="s">
        <v>15</v>
      </c>
      <c r="C4021" t="s">
        <v>16</v>
      </c>
      <c r="D4021" s="1">
        <v>45855</v>
      </c>
      <c r="E4021" t="s">
        <v>19</v>
      </c>
      <c r="F4021">
        <v>5300</v>
      </c>
      <c r="G4021">
        <v>174.8</v>
      </c>
      <c r="H4021">
        <v>174.8</v>
      </c>
      <c r="I4021">
        <v>144</v>
      </c>
      <c r="J4021">
        <v>149.1</v>
      </c>
      <c r="K4021">
        <v>187.3</v>
      </c>
      <c r="L4021">
        <v>43</v>
      </c>
      <c r="M4021" t="s">
        <v>250</v>
      </c>
      <c r="N4021">
        <v>234.48</v>
      </c>
      <c r="O4021">
        <v>34</v>
      </c>
    </row>
    <row r="4022" spans="1:15" x14ac:dyDescent="0.2">
      <c r="A4022" s="6">
        <v>45817</v>
      </c>
      <c r="B4022" t="s">
        <v>15</v>
      </c>
      <c r="C4022" t="s">
        <v>16</v>
      </c>
      <c r="D4022" s="1">
        <v>45855</v>
      </c>
      <c r="E4022" t="s">
        <v>19</v>
      </c>
      <c r="F4022">
        <v>6400</v>
      </c>
      <c r="J4022">
        <v>903.1</v>
      </c>
      <c r="K4022">
        <v>933.9</v>
      </c>
      <c r="L4022">
        <v>0</v>
      </c>
      <c r="M4022" t="s">
        <v>18</v>
      </c>
      <c r="N4022">
        <v>0</v>
      </c>
      <c r="O4022">
        <v>0</v>
      </c>
    </row>
    <row r="4023" spans="1:15" x14ac:dyDescent="0.2">
      <c r="A4023" s="6">
        <v>45817</v>
      </c>
      <c r="B4023" t="s">
        <v>15</v>
      </c>
      <c r="C4023" t="s">
        <v>16</v>
      </c>
      <c r="D4023" s="1">
        <v>45855</v>
      </c>
      <c r="E4023" t="s">
        <v>19</v>
      </c>
      <c r="F4023">
        <v>5400</v>
      </c>
      <c r="G4023">
        <v>212</v>
      </c>
      <c r="H4023">
        <v>218.4</v>
      </c>
      <c r="I4023">
        <v>179.2</v>
      </c>
      <c r="J4023">
        <v>195.7</v>
      </c>
      <c r="K4023">
        <v>214.8</v>
      </c>
      <c r="L4023">
        <v>148</v>
      </c>
      <c r="M4023" t="s">
        <v>322</v>
      </c>
      <c r="N4023">
        <v>827.63</v>
      </c>
      <c r="O4023">
        <v>81</v>
      </c>
    </row>
    <row r="4024" spans="1:15" x14ac:dyDescent="0.2">
      <c r="A4024" s="6">
        <v>45817</v>
      </c>
      <c r="B4024" t="s">
        <v>15</v>
      </c>
      <c r="C4024" t="s">
        <v>16</v>
      </c>
      <c r="D4024" s="1">
        <v>45855</v>
      </c>
      <c r="E4024" t="s">
        <v>19</v>
      </c>
      <c r="F4024">
        <v>4450</v>
      </c>
      <c r="J4024">
        <v>1.1000000000000001</v>
      </c>
      <c r="K4024">
        <v>2.2000000000000002</v>
      </c>
      <c r="L4024">
        <v>0</v>
      </c>
      <c r="M4024" t="s">
        <v>18</v>
      </c>
      <c r="N4024">
        <v>0</v>
      </c>
      <c r="O4024">
        <v>0</v>
      </c>
    </row>
    <row r="4025" spans="1:15" x14ac:dyDescent="0.2">
      <c r="A4025" s="6">
        <v>45817</v>
      </c>
      <c r="B4025" t="s">
        <v>15</v>
      </c>
      <c r="C4025" t="s">
        <v>16</v>
      </c>
      <c r="D4025" s="1">
        <v>45855</v>
      </c>
      <c r="E4025" t="s">
        <v>19</v>
      </c>
      <c r="F4025">
        <v>4600</v>
      </c>
      <c r="J4025">
        <v>3.3</v>
      </c>
      <c r="K4025">
        <v>5.8</v>
      </c>
      <c r="L4025">
        <v>0</v>
      </c>
      <c r="M4025" t="s">
        <v>18</v>
      </c>
      <c r="N4025">
        <v>0</v>
      </c>
      <c r="O4025">
        <v>0</v>
      </c>
    </row>
    <row r="4026" spans="1:15" x14ac:dyDescent="0.2">
      <c r="A4026" s="6">
        <v>45817</v>
      </c>
      <c r="B4026" t="s">
        <v>15</v>
      </c>
      <c r="C4026" t="s">
        <v>16</v>
      </c>
      <c r="D4026" s="1">
        <v>45855</v>
      </c>
      <c r="E4026" t="s">
        <v>19</v>
      </c>
      <c r="F4026">
        <v>5900</v>
      </c>
      <c r="J4026">
        <v>456.7</v>
      </c>
      <c r="K4026">
        <v>489.2</v>
      </c>
      <c r="L4026">
        <v>0</v>
      </c>
      <c r="M4026" t="s">
        <v>18</v>
      </c>
      <c r="N4026">
        <v>0</v>
      </c>
      <c r="O4026">
        <v>0</v>
      </c>
    </row>
    <row r="4027" spans="1:15" x14ac:dyDescent="0.2">
      <c r="A4027" s="6">
        <v>45817</v>
      </c>
      <c r="B4027" t="s">
        <v>15</v>
      </c>
      <c r="C4027" t="s">
        <v>16</v>
      </c>
      <c r="D4027" s="1">
        <v>45855</v>
      </c>
      <c r="E4027" t="s">
        <v>19</v>
      </c>
      <c r="F4027">
        <v>5050</v>
      </c>
      <c r="J4027">
        <v>39.9</v>
      </c>
      <c r="K4027">
        <v>53.1</v>
      </c>
      <c r="L4027">
        <v>0</v>
      </c>
      <c r="M4027" t="s">
        <v>18</v>
      </c>
      <c r="N4027">
        <v>0</v>
      </c>
      <c r="O4027">
        <v>0</v>
      </c>
    </row>
    <row r="4028" spans="1:15" x14ac:dyDescent="0.2">
      <c r="A4028" s="6">
        <v>45817</v>
      </c>
      <c r="B4028" t="s">
        <v>15</v>
      </c>
      <c r="C4028" t="s">
        <v>16</v>
      </c>
      <c r="D4028" s="1">
        <v>45855</v>
      </c>
      <c r="E4028" t="s">
        <v>17</v>
      </c>
      <c r="F4028">
        <v>5600</v>
      </c>
      <c r="G4028">
        <v>188.5</v>
      </c>
      <c r="H4028">
        <v>209.8</v>
      </c>
      <c r="I4028">
        <v>179.1</v>
      </c>
      <c r="J4028">
        <v>192.3</v>
      </c>
      <c r="K4028">
        <v>179.5</v>
      </c>
      <c r="L4028">
        <v>166</v>
      </c>
      <c r="M4028" t="s">
        <v>1611</v>
      </c>
      <c r="N4028">
        <v>962.35</v>
      </c>
      <c r="O4028">
        <v>78</v>
      </c>
    </row>
    <row r="4029" spans="1:15" x14ac:dyDescent="0.2">
      <c r="A4029" s="6">
        <v>45817</v>
      </c>
      <c r="B4029" t="s">
        <v>15</v>
      </c>
      <c r="C4029" t="s">
        <v>16</v>
      </c>
      <c r="D4029" s="1">
        <v>45855</v>
      </c>
      <c r="E4029" t="s">
        <v>19</v>
      </c>
      <c r="F4029">
        <v>4950</v>
      </c>
      <c r="J4029">
        <v>25.2</v>
      </c>
      <c r="K4029">
        <v>35.200000000000003</v>
      </c>
      <c r="L4029">
        <v>0</v>
      </c>
      <c r="M4029" t="s">
        <v>18</v>
      </c>
      <c r="N4029">
        <v>0</v>
      </c>
      <c r="O4029">
        <v>0</v>
      </c>
    </row>
    <row r="4030" spans="1:15" x14ac:dyDescent="0.2">
      <c r="A4030" s="6">
        <v>45817</v>
      </c>
      <c r="B4030" t="s">
        <v>15</v>
      </c>
      <c r="C4030" t="s">
        <v>16</v>
      </c>
      <c r="D4030" s="1">
        <v>45855</v>
      </c>
      <c r="E4030" t="s">
        <v>19</v>
      </c>
      <c r="F4030">
        <v>4250</v>
      </c>
      <c r="J4030">
        <v>0.2</v>
      </c>
      <c r="K4030">
        <v>0.5</v>
      </c>
      <c r="L4030">
        <v>0</v>
      </c>
      <c r="M4030" t="s">
        <v>18</v>
      </c>
      <c r="N4030">
        <v>0</v>
      </c>
      <c r="O4030">
        <v>0</v>
      </c>
    </row>
    <row r="4031" spans="1:15" x14ac:dyDescent="0.2">
      <c r="A4031" s="6">
        <v>45817</v>
      </c>
      <c r="B4031" t="s">
        <v>15</v>
      </c>
      <c r="C4031" t="s">
        <v>16</v>
      </c>
      <c r="D4031" s="1">
        <v>45855</v>
      </c>
      <c r="E4031" t="s">
        <v>17</v>
      </c>
      <c r="F4031">
        <v>5750</v>
      </c>
      <c r="G4031">
        <v>100.1</v>
      </c>
      <c r="H4031">
        <v>100.1</v>
      </c>
      <c r="I4031">
        <v>100.1</v>
      </c>
      <c r="J4031">
        <v>100.1</v>
      </c>
      <c r="K4031">
        <v>97.5</v>
      </c>
      <c r="L4031">
        <v>2</v>
      </c>
      <c r="M4031" t="s">
        <v>28</v>
      </c>
      <c r="N4031">
        <v>11.7</v>
      </c>
      <c r="O4031">
        <v>2</v>
      </c>
    </row>
    <row r="4032" spans="1:15" x14ac:dyDescent="0.2">
      <c r="A4032" s="6">
        <v>45817</v>
      </c>
      <c r="B4032" t="s">
        <v>15</v>
      </c>
      <c r="C4032" t="s">
        <v>16</v>
      </c>
      <c r="D4032" s="1">
        <v>45855</v>
      </c>
      <c r="E4032" t="s">
        <v>19</v>
      </c>
      <c r="F4032">
        <v>6200</v>
      </c>
      <c r="J4032">
        <v>715.5</v>
      </c>
      <c r="K4032">
        <v>747.3</v>
      </c>
      <c r="L4032">
        <v>0</v>
      </c>
      <c r="M4032" t="s">
        <v>18</v>
      </c>
      <c r="N4032">
        <v>0</v>
      </c>
      <c r="O4032">
        <v>0</v>
      </c>
    </row>
    <row r="4033" spans="1:15" x14ac:dyDescent="0.2">
      <c r="A4033" s="6">
        <v>45817</v>
      </c>
      <c r="B4033" t="s">
        <v>15</v>
      </c>
      <c r="C4033" t="s">
        <v>16</v>
      </c>
      <c r="D4033" s="1">
        <v>45855</v>
      </c>
      <c r="E4033" t="s">
        <v>17</v>
      </c>
      <c r="F4033">
        <v>6400</v>
      </c>
      <c r="J4033">
        <v>8.6999999999999993</v>
      </c>
      <c r="K4033">
        <v>10.5</v>
      </c>
      <c r="L4033">
        <v>0</v>
      </c>
      <c r="M4033" t="s">
        <v>18</v>
      </c>
      <c r="N4033">
        <v>0</v>
      </c>
      <c r="O4033">
        <v>0</v>
      </c>
    </row>
    <row r="4034" spans="1:15" x14ac:dyDescent="0.2">
      <c r="A4034" s="6">
        <v>45817</v>
      </c>
      <c r="B4034" t="s">
        <v>15</v>
      </c>
      <c r="C4034" t="s">
        <v>16</v>
      </c>
      <c r="D4034" s="1">
        <v>45855</v>
      </c>
      <c r="E4034" t="s">
        <v>17</v>
      </c>
      <c r="F4034">
        <v>3800</v>
      </c>
      <c r="J4034">
        <v>1689.5</v>
      </c>
      <c r="K4034">
        <v>1658.1</v>
      </c>
      <c r="L4034">
        <v>0</v>
      </c>
      <c r="M4034" t="s">
        <v>18</v>
      </c>
      <c r="N4034">
        <v>0</v>
      </c>
      <c r="O4034">
        <v>0</v>
      </c>
    </row>
    <row r="4035" spans="1:15" x14ac:dyDescent="0.2">
      <c r="A4035" s="6">
        <v>45817</v>
      </c>
      <c r="B4035" t="s">
        <v>15</v>
      </c>
      <c r="C4035" t="s">
        <v>16</v>
      </c>
      <c r="D4035" s="1">
        <v>45855</v>
      </c>
      <c r="E4035" t="s">
        <v>17</v>
      </c>
      <c r="F4035">
        <v>3850</v>
      </c>
      <c r="J4035">
        <v>1639.8</v>
      </c>
      <c r="K4035">
        <v>1608.4</v>
      </c>
      <c r="L4035">
        <v>0</v>
      </c>
      <c r="M4035" t="s">
        <v>18</v>
      </c>
      <c r="N4035">
        <v>0</v>
      </c>
      <c r="O4035">
        <v>0</v>
      </c>
    </row>
    <row r="4036" spans="1:15" x14ac:dyDescent="0.2">
      <c r="A4036" s="6">
        <v>45817</v>
      </c>
      <c r="B4036" t="s">
        <v>15</v>
      </c>
      <c r="C4036" t="s">
        <v>16</v>
      </c>
      <c r="D4036" s="1">
        <v>45855</v>
      </c>
      <c r="E4036" t="s">
        <v>17</v>
      </c>
      <c r="F4036">
        <v>5650</v>
      </c>
      <c r="J4036">
        <v>127.8</v>
      </c>
      <c r="K4036">
        <v>128.6</v>
      </c>
      <c r="L4036">
        <v>0</v>
      </c>
      <c r="M4036" t="s">
        <v>18</v>
      </c>
      <c r="N4036">
        <v>0</v>
      </c>
      <c r="O4036">
        <v>0</v>
      </c>
    </row>
    <row r="4037" spans="1:15" x14ac:dyDescent="0.2">
      <c r="A4037" s="6">
        <v>45817</v>
      </c>
      <c r="B4037" t="s">
        <v>15</v>
      </c>
      <c r="C4037" t="s">
        <v>16</v>
      </c>
      <c r="D4037" s="1">
        <v>45855</v>
      </c>
      <c r="E4037" t="s">
        <v>17</v>
      </c>
      <c r="F4037">
        <v>6450</v>
      </c>
      <c r="J4037">
        <v>7</v>
      </c>
      <c r="K4037">
        <v>8.6</v>
      </c>
      <c r="L4037">
        <v>0</v>
      </c>
      <c r="M4037" t="s">
        <v>18</v>
      </c>
      <c r="N4037">
        <v>0</v>
      </c>
      <c r="O4037">
        <v>0</v>
      </c>
    </row>
    <row r="4038" spans="1:15" x14ac:dyDescent="0.2">
      <c r="A4038" s="6">
        <v>45817</v>
      </c>
      <c r="B4038" t="s">
        <v>15</v>
      </c>
      <c r="C4038" t="s">
        <v>16</v>
      </c>
      <c r="D4038" s="1">
        <v>45855</v>
      </c>
      <c r="E4038" t="s">
        <v>19</v>
      </c>
      <c r="F4038">
        <v>5950</v>
      </c>
      <c r="J4038">
        <v>497.2</v>
      </c>
      <c r="K4038">
        <v>529.70000000000005</v>
      </c>
      <c r="L4038">
        <v>0</v>
      </c>
      <c r="M4038" t="s">
        <v>18</v>
      </c>
      <c r="N4038">
        <v>0</v>
      </c>
      <c r="O4038">
        <v>0</v>
      </c>
    </row>
    <row r="4039" spans="1:15" x14ac:dyDescent="0.2">
      <c r="A4039" s="6">
        <v>45817</v>
      </c>
      <c r="B4039" t="s">
        <v>15</v>
      </c>
      <c r="C4039" t="s">
        <v>16</v>
      </c>
      <c r="D4039" s="1">
        <v>45855</v>
      </c>
      <c r="E4039" t="s">
        <v>17</v>
      </c>
      <c r="F4039">
        <v>6300</v>
      </c>
      <c r="J4039">
        <v>13.3</v>
      </c>
      <c r="K4039">
        <v>15.5</v>
      </c>
      <c r="L4039">
        <v>0</v>
      </c>
      <c r="M4039" t="s">
        <v>18</v>
      </c>
      <c r="N4039">
        <v>0</v>
      </c>
      <c r="O4039">
        <v>0</v>
      </c>
    </row>
    <row r="4040" spans="1:15" x14ac:dyDescent="0.2">
      <c r="A4040" s="6">
        <v>45817</v>
      </c>
      <c r="B4040" t="s">
        <v>15</v>
      </c>
      <c r="C4040" t="s">
        <v>16</v>
      </c>
      <c r="D4040" s="1">
        <v>45855</v>
      </c>
      <c r="E4040" t="s">
        <v>19</v>
      </c>
      <c r="F4040">
        <v>4050</v>
      </c>
      <c r="J4040">
        <v>0.1</v>
      </c>
      <c r="K4040">
        <v>0.1</v>
      </c>
      <c r="L4040">
        <v>0</v>
      </c>
      <c r="M4040" t="s">
        <v>18</v>
      </c>
      <c r="N4040">
        <v>0</v>
      </c>
      <c r="O4040">
        <v>0</v>
      </c>
    </row>
    <row r="4041" spans="1:15" x14ac:dyDescent="0.2">
      <c r="A4041" s="6">
        <v>45817</v>
      </c>
      <c r="B4041" t="s">
        <v>15</v>
      </c>
      <c r="C4041" t="s">
        <v>16</v>
      </c>
      <c r="D4041" s="1">
        <v>45855</v>
      </c>
      <c r="E4041" t="s">
        <v>19</v>
      </c>
      <c r="F4041">
        <v>4100</v>
      </c>
      <c r="J4041">
        <v>0.1</v>
      </c>
      <c r="K4041">
        <v>0.1</v>
      </c>
      <c r="L4041">
        <v>0</v>
      </c>
      <c r="M4041" t="s">
        <v>18</v>
      </c>
      <c r="N4041">
        <v>0</v>
      </c>
      <c r="O4041">
        <v>0</v>
      </c>
    </row>
    <row r="4042" spans="1:15" x14ac:dyDescent="0.2">
      <c r="A4042" s="6">
        <v>45817</v>
      </c>
      <c r="B4042" t="s">
        <v>15</v>
      </c>
      <c r="C4042" t="s">
        <v>16</v>
      </c>
      <c r="D4042" s="1">
        <v>45855</v>
      </c>
      <c r="E4042" t="s">
        <v>17</v>
      </c>
      <c r="F4042">
        <v>6000</v>
      </c>
      <c r="G4042">
        <v>73</v>
      </c>
      <c r="H4042">
        <v>81.900000000000006</v>
      </c>
      <c r="I4042">
        <v>65</v>
      </c>
      <c r="J4042">
        <v>71.900000000000006</v>
      </c>
      <c r="K4042">
        <v>76.5</v>
      </c>
      <c r="L4042">
        <v>498</v>
      </c>
      <c r="M4042" t="s">
        <v>1612</v>
      </c>
      <c r="N4042">
        <v>3024.62</v>
      </c>
      <c r="O4042">
        <v>270</v>
      </c>
    </row>
    <row r="4043" spans="1:15" x14ac:dyDescent="0.2">
      <c r="A4043" s="6">
        <v>45817</v>
      </c>
      <c r="B4043" t="s">
        <v>15</v>
      </c>
      <c r="C4043" t="s">
        <v>16</v>
      </c>
      <c r="D4043" s="1">
        <v>45855</v>
      </c>
      <c r="E4043" t="s">
        <v>17</v>
      </c>
      <c r="F4043">
        <v>5500</v>
      </c>
      <c r="G4043">
        <v>237</v>
      </c>
      <c r="H4043">
        <v>254.9</v>
      </c>
      <c r="I4043">
        <v>216.4</v>
      </c>
      <c r="J4043">
        <v>238.7</v>
      </c>
      <c r="K4043">
        <v>237</v>
      </c>
      <c r="L4043">
        <v>438</v>
      </c>
      <c r="M4043" t="s">
        <v>467</v>
      </c>
      <c r="N4043">
        <v>2513.73</v>
      </c>
      <c r="O4043">
        <v>193</v>
      </c>
    </row>
    <row r="4044" spans="1:15" x14ac:dyDescent="0.2">
      <c r="A4044" s="6">
        <v>45817</v>
      </c>
      <c r="B4044" t="s">
        <v>15</v>
      </c>
      <c r="C4044" t="s">
        <v>16</v>
      </c>
      <c r="D4044" s="1">
        <v>45855</v>
      </c>
      <c r="E4044" t="s">
        <v>17</v>
      </c>
      <c r="F4044">
        <v>4550</v>
      </c>
      <c r="J4044">
        <v>946.4</v>
      </c>
      <c r="K4044">
        <v>917.7</v>
      </c>
      <c r="L4044">
        <v>0</v>
      </c>
      <c r="M4044" t="s">
        <v>18</v>
      </c>
      <c r="N4044">
        <v>0</v>
      </c>
      <c r="O4044">
        <v>0</v>
      </c>
    </row>
    <row r="4045" spans="1:15" x14ac:dyDescent="0.2">
      <c r="A4045" s="6">
        <v>45817</v>
      </c>
      <c r="B4045" t="s">
        <v>15</v>
      </c>
      <c r="C4045" t="s">
        <v>16</v>
      </c>
      <c r="D4045" s="1">
        <v>45855</v>
      </c>
      <c r="E4045" t="s">
        <v>17</v>
      </c>
      <c r="F4045">
        <v>4000</v>
      </c>
      <c r="J4045">
        <v>1490.7</v>
      </c>
      <c r="K4045">
        <v>1459.5</v>
      </c>
      <c r="L4045">
        <v>0</v>
      </c>
      <c r="M4045" t="s">
        <v>18</v>
      </c>
      <c r="N4045">
        <v>0</v>
      </c>
      <c r="O4045">
        <v>0</v>
      </c>
    </row>
    <row r="4046" spans="1:15" x14ac:dyDescent="0.2">
      <c r="A4046" s="6">
        <v>45817</v>
      </c>
      <c r="B4046" t="s">
        <v>15</v>
      </c>
      <c r="C4046" t="s">
        <v>16</v>
      </c>
      <c r="D4046" s="1">
        <v>45855</v>
      </c>
      <c r="E4046" t="s">
        <v>17</v>
      </c>
      <c r="F4046">
        <v>4250</v>
      </c>
      <c r="J4046">
        <v>1242.4000000000001</v>
      </c>
      <c r="K4046">
        <v>1211.7</v>
      </c>
      <c r="L4046">
        <v>0</v>
      </c>
      <c r="M4046" t="s">
        <v>18</v>
      </c>
      <c r="N4046">
        <v>0</v>
      </c>
      <c r="O4046">
        <v>0</v>
      </c>
    </row>
    <row r="4047" spans="1:15" x14ac:dyDescent="0.2">
      <c r="A4047" s="6">
        <v>45817</v>
      </c>
      <c r="B4047" t="s">
        <v>15</v>
      </c>
      <c r="C4047" t="s">
        <v>16</v>
      </c>
      <c r="D4047" s="1">
        <v>45855</v>
      </c>
      <c r="E4047" t="s">
        <v>19</v>
      </c>
      <c r="F4047">
        <v>5000</v>
      </c>
      <c r="G4047">
        <v>66.900000000000006</v>
      </c>
      <c r="H4047">
        <v>77.3</v>
      </c>
      <c r="I4047">
        <v>66.900000000000006</v>
      </c>
      <c r="J4047">
        <v>72.599999999999994</v>
      </c>
      <c r="K4047">
        <v>79.599999999999994</v>
      </c>
      <c r="L4047">
        <v>942</v>
      </c>
      <c r="M4047" t="s">
        <v>570</v>
      </c>
      <c r="N4047">
        <v>4776.71</v>
      </c>
      <c r="O4047">
        <v>65</v>
      </c>
    </row>
    <row r="4048" spans="1:15" x14ac:dyDescent="0.2">
      <c r="A4048" s="6">
        <v>45817</v>
      </c>
      <c r="B4048" t="s">
        <v>15</v>
      </c>
      <c r="C4048" t="s">
        <v>16</v>
      </c>
      <c r="D4048" s="1">
        <v>45855</v>
      </c>
      <c r="E4048" t="s">
        <v>19</v>
      </c>
      <c r="F4048">
        <v>5350</v>
      </c>
      <c r="J4048">
        <v>122.9</v>
      </c>
      <c r="K4048">
        <v>146.19999999999999</v>
      </c>
      <c r="L4048">
        <v>0</v>
      </c>
      <c r="M4048" t="s">
        <v>18</v>
      </c>
      <c r="N4048">
        <v>0</v>
      </c>
      <c r="O4048">
        <v>1</v>
      </c>
    </row>
    <row r="4049" spans="1:15" x14ac:dyDescent="0.2">
      <c r="A4049" s="6">
        <v>45817</v>
      </c>
      <c r="B4049" t="s">
        <v>15</v>
      </c>
      <c r="C4049" t="s">
        <v>16</v>
      </c>
      <c r="D4049" s="1">
        <v>45855</v>
      </c>
      <c r="E4049" t="s">
        <v>17</v>
      </c>
      <c r="F4049">
        <v>4850</v>
      </c>
      <c r="J4049">
        <v>661.1</v>
      </c>
      <c r="K4049">
        <v>637.9</v>
      </c>
      <c r="L4049">
        <v>0</v>
      </c>
      <c r="M4049" t="s">
        <v>18</v>
      </c>
      <c r="N4049">
        <v>0</v>
      </c>
      <c r="O4049">
        <v>0</v>
      </c>
    </row>
    <row r="4050" spans="1:15" x14ac:dyDescent="0.2">
      <c r="A4050" s="6">
        <v>45817</v>
      </c>
      <c r="B4050" t="s">
        <v>15</v>
      </c>
      <c r="C4050" t="s">
        <v>16</v>
      </c>
      <c r="D4050" s="1">
        <v>45855</v>
      </c>
      <c r="E4050" t="s">
        <v>19</v>
      </c>
      <c r="F4050">
        <v>4400</v>
      </c>
      <c r="J4050">
        <v>0.7</v>
      </c>
      <c r="K4050">
        <v>1.5</v>
      </c>
      <c r="L4050">
        <v>0</v>
      </c>
      <c r="M4050" t="s">
        <v>18</v>
      </c>
      <c r="N4050">
        <v>0</v>
      </c>
      <c r="O4050">
        <v>0</v>
      </c>
    </row>
    <row r="4051" spans="1:15" x14ac:dyDescent="0.2">
      <c r="A4051" s="6">
        <v>45817</v>
      </c>
      <c r="B4051" t="s">
        <v>15</v>
      </c>
      <c r="C4051" t="s">
        <v>16</v>
      </c>
      <c r="D4051" s="1">
        <v>45855</v>
      </c>
      <c r="E4051" t="s">
        <v>19</v>
      </c>
      <c r="F4051">
        <v>4500</v>
      </c>
      <c r="J4051">
        <v>1.6</v>
      </c>
      <c r="K4051">
        <v>3.1</v>
      </c>
      <c r="L4051">
        <v>0</v>
      </c>
      <c r="M4051" t="s">
        <v>18</v>
      </c>
      <c r="N4051">
        <v>0</v>
      </c>
      <c r="O4051">
        <v>5</v>
      </c>
    </row>
    <row r="4052" spans="1:15" x14ac:dyDescent="0.2">
      <c r="A4052" s="6">
        <v>45817</v>
      </c>
      <c r="B4052" t="s">
        <v>15</v>
      </c>
      <c r="C4052" t="s">
        <v>16</v>
      </c>
      <c r="D4052" s="1">
        <v>45855</v>
      </c>
      <c r="E4052" t="s">
        <v>17</v>
      </c>
      <c r="F4052">
        <v>5450</v>
      </c>
      <c r="J4052">
        <v>215.7</v>
      </c>
      <c r="K4052">
        <v>212.1</v>
      </c>
      <c r="L4052">
        <v>0</v>
      </c>
      <c r="M4052" t="s">
        <v>18</v>
      </c>
      <c r="N4052">
        <v>0</v>
      </c>
      <c r="O4052">
        <v>2</v>
      </c>
    </row>
    <row r="4053" spans="1:15" x14ac:dyDescent="0.2">
      <c r="A4053" s="6">
        <v>45817</v>
      </c>
      <c r="B4053" t="s">
        <v>15</v>
      </c>
      <c r="C4053" t="s">
        <v>16</v>
      </c>
      <c r="D4053" s="1">
        <v>45855</v>
      </c>
      <c r="E4053" t="s">
        <v>17</v>
      </c>
      <c r="F4053">
        <v>5800</v>
      </c>
      <c r="G4053">
        <v>100</v>
      </c>
      <c r="H4053">
        <v>129.80000000000001</v>
      </c>
      <c r="I4053">
        <v>100</v>
      </c>
      <c r="J4053">
        <v>123.5</v>
      </c>
      <c r="K4053">
        <v>108</v>
      </c>
      <c r="L4053">
        <v>57</v>
      </c>
      <c r="M4053" t="s">
        <v>663</v>
      </c>
      <c r="N4053">
        <v>337.32</v>
      </c>
      <c r="O4053">
        <v>36</v>
      </c>
    </row>
    <row r="4054" spans="1:15" x14ac:dyDescent="0.2">
      <c r="A4054" s="6">
        <v>45817</v>
      </c>
      <c r="B4054" t="s">
        <v>15</v>
      </c>
      <c r="C4054" t="s">
        <v>16</v>
      </c>
      <c r="D4054" s="1">
        <v>45855</v>
      </c>
      <c r="E4054" t="s">
        <v>19</v>
      </c>
      <c r="F4054">
        <v>6550</v>
      </c>
      <c r="J4054">
        <v>1047.9000000000001</v>
      </c>
      <c r="K4054">
        <v>1078</v>
      </c>
      <c r="L4054">
        <v>0</v>
      </c>
      <c r="M4054" t="s">
        <v>18</v>
      </c>
      <c r="N4054">
        <v>0</v>
      </c>
      <c r="O4054">
        <v>0</v>
      </c>
    </row>
    <row r="4055" spans="1:15" x14ac:dyDescent="0.2">
      <c r="A4055" s="6">
        <v>45817</v>
      </c>
      <c r="B4055" t="s">
        <v>15</v>
      </c>
      <c r="C4055" t="s">
        <v>16</v>
      </c>
      <c r="D4055" s="1">
        <v>45855</v>
      </c>
      <c r="E4055" t="s">
        <v>17</v>
      </c>
      <c r="F4055">
        <v>6350</v>
      </c>
      <c r="J4055">
        <v>10.8</v>
      </c>
      <c r="K4055">
        <v>12.8</v>
      </c>
      <c r="L4055">
        <v>0</v>
      </c>
      <c r="M4055" t="s">
        <v>18</v>
      </c>
      <c r="N4055">
        <v>0</v>
      </c>
      <c r="O4055">
        <v>0</v>
      </c>
    </row>
    <row r="4056" spans="1:15" x14ac:dyDescent="0.2">
      <c r="A4056" s="6">
        <v>45817</v>
      </c>
      <c r="B4056" t="s">
        <v>15</v>
      </c>
      <c r="C4056" t="s">
        <v>16</v>
      </c>
      <c r="D4056" s="1">
        <v>45855</v>
      </c>
      <c r="E4056" t="s">
        <v>17</v>
      </c>
      <c r="F4056">
        <v>4150</v>
      </c>
      <c r="J4056">
        <v>1341.7</v>
      </c>
      <c r="K4056">
        <v>1310.8</v>
      </c>
      <c r="L4056">
        <v>0</v>
      </c>
      <c r="M4056" t="s">
        <v>18</v>
      </c>
      <c r="N4056">
        <v>0</v>
      </c>
      <c r="O4056">
        <v>0</v>
      </c>
    </row>
    <row r="4057" spans="1:15" x14ac:dyDescent="0.2">
      <c r="A4057" s="6">
        <v>45817</v>
      </c>
      <c r="B4057" t="s">
        <v>15</v>
      </c>
      <c r="C4057" t="s">
        <v>16</v>
      </c>
      <c r="D4057" s="1">
        <v>45855</v>
      </c>
      <c r="E4057" t="s">
        <v>19</v>
      </c>
      <c r="F4057">
        <v>4650</v>
      </c>
      <c r="J4057">
        <v>4.5999999999999996</v>
      </c>
      <c r="K4057">
        <v>7.8</v>
      </c>
      <c r="L4057">
        <v>0</v>
      </c>
      <c r="M4057" t="s">
        <v>18</v>
      </c>
      <c r="N4057">
        <v>0</v>
      </c>
      <c r="O4057">
        <v>0</v>
      </c>
    </row>
    <row r="4058" spans="1:15" x14ac:dyDescent="0.2">
      <c r="A4058" s="6">
        <v>45817</v>
      </c>
      <c r="B4058" t="s">
        <v>15</v>
      </c>
      <c r="C4058" t="s">
        <v>16</v>
      </c>
      <c r="D4058" s="1">
        <v>45855</v>
      </c>
      <c r="E4058" t="s">
        <v>19</v>
      </c>
      <c r="F4058">
        <v>5150</v>
      </c>
      <c r="G4058">
        <v>127.8</v>
      </c>
      <c r="H4058">
        <v>127.8</v>
      </c>
      <c r="I4058">
        <v>127.8</v>
      </c>
      <c r="J4058">
        <v>127.8</v>
      </c>
      <c r="K4058">
        <v>127.9</v>
      </c>
      <c r="L4058">
        <v>1</v>
      </c>
      <c r="M4058" t="s">
        <v>155</v>
      </c>
      <c r="N4058">
        <v>5.28</v>
      </c>
      <c r="O4058">
        <v>2</v>
      </c>
    </row>
    <row r="4059" spans="1:15" x14ac:dyDescent="0.2">
      <c r="A4059" s="6">
        <v>45817</v>
      </c>
      <c r="B4059" t="s">
        <v>15</v>
      </c>
      <c r="C4059" t="s">
        <v>16</v>
      </c>
      <c r="D4059" s="1">
        <v>45855</v>
      </c>
      <c r="E4059" t="s">
        <v>17</v>
      </c>
      <c r="F4059">
        <v>4600</v>
      </c>
      <c r="J4059">
        <v>897.7</v>
      </c>
      <c r="K4059">
        <v>869.6</v>
      </c>
      <c r="L4059">
        <v>0</v>
      </c>
      <c r="M4059" t="s">
        <v>18</v>
      </c>
      <c r="N4059">
        <v>0</v>
      </c>
      <c r="O4059">
        <v>0</v>
      </c>
    </row>
    <row r="4060" spans="1:15" x14ac:dyDescent="0.2">
      <c r="A4060" s="6">
        <v>45817</v>
      </c>
      <c r="B4060" t="s">
        <v>15</v>
      </c>
      <c r="C4060" t="s">
        <v>16</v>
      </c>
      <c r="D4060" s="1">
        <v>45855</v>
      </c>
      <c r="E4060" t="s">
        <v>17</v>
      </c>
      <c r="F4060">
        <v>5900</v>
      </c>
      <c r="G4060">
        <v>87</v>
      </c>
      <c r="H4060">
        <v>99</v>
      </c>
      <c r="I4060">
        <v>87</v>
      </c>
      <c r="J4060">
        <v>96.9</v>
      </c>
      <c r="K4060">
        <v>62.2</v>
      </c>
      <c r="L4060">
        <v>11</v>
      </c>
      <c r="M4060" t="s">
        <v>236</v>
      </c>
      <c r="N4060">
        <v>65.97</v>
      </c>
      <c r="O4060">
        <v>8</v>
      </c>
    </row>
    <row r="4061" spans="1:15" x14ac:dyDescent="0.2">
      <c r="A4061" s="6">
        <v>45817</v>
      </c>
      <c r="B4061" t="s">
        <v>15</v>
      </c>
      <c r="C4061" t="s">
        <v>16</v>
      </c>
      <c r="D4061" s="1">
        <v>45855</v>
      </c>
      <c r="E4061" t="s">
        <v>17</v>
      </c>
      <c r="F4061">
        <v>6500</v>
      </c>
      <c r="J4061">
        <v>5.6</v>
      </c>
      <c r="K4061">
        <v>7</v>
      </c>
      <c r="L4061">
        <v>0</v>
      </c>
      <c r="M4061" t="s">
        <v>18</v>
      </c>
      <c r="N4061">
        <v>0</v>
      </c>
      <c r="O4061">
        <v>0</v>
      </c>
    </row>
    <row r="4062" spans="1:15" x14ac:dyDescent="0.2">
      <c r="A4062" s="6">
        <v>45817</v>
      </c>
      <c r="B4062" t="s">
        <v>15</v>
      </c>
      <c r="C4062" t="s">
        <v>16</v>
      </c>
      <c r="D4062" s="1">
        <v>45855</v>
      </c>
      <c r="E4062" t="s">
        <v>19</v>
      </c>
      <c r="F4062">
        <v>3900</v>
      </c>
      <c r="J4062">
        <v>0.1</v>
      </c>
      <c r="K4062">
        <v>0.1</v>
      </c>
      <c r="L4062">
        <v>0</v>
      </c>
      <c r="M4062" t="s">
        <v>18</v>
      </c>
      <c r="N4062">
        <v>0</v>
      </c>
      <c r="O4062">
        <v>0</v>
      </c>
    </row>
    <row r="4063" spans="1:15" x14ac:dyDescent="0.2">
      <c r="A4063" s="6">
        <v>45817</v>
      </c>
      <c r="B4063" t="s">
        <v>15</v>
      </c>
      <c r="C4063" t="s">
        <v>16</v>
      </c>
      <c r="D4063" s="1">
        <v>45855</v>
      </c>
      <c r="E4063" t="s">
        <v>17</v>
      </c>
      <c r="F4063">
        <v>6250</v>
      </c>
      <c r="J4063">
        <v>16.3</v>
      </c>
      <c r="K4063">
        <v>18.7</v>
      </c>
      <c r="L4063">
        <v>0</v>
      </c>
      <c r="M4063" t="s">
        <v>18</v>
      </c>
      <c r="N4063">
        <v>0</v>
      </c>
      <c r="O4063">
        <v>0</v>
      </c>
    </row>
    <row r="4064" spans="1:15" x14ac:dyDescent="0.2">
      <c r="A4064" s="6">
        <v>45817</v>
      </c>
      <c r="B4064" t="s">
        <v>15</v>
      </c>
      <c r="C4064" t="s">
        <v>16</v>
      </c>
      <c r="D4064" s="1">
        <v>45855</v>
      </c>
      <c r="E4064" t="s">
        <v>17</v>
      </c>
      <c r="F4064">
        <v>5050</v>
      </c>
      <c r="J4064">
        <v>487.1</v>
      </c>
      <c r="K4064">
        <v>470.1</v>
      </c>
      <c r="L4064">
        <v>0</v>
      </c>
      <c r="M4064" t="s">
        <v>18</v>
      </c>
      <c r="N4064">
        <v>0</v>
      </c>
      <c r="O4064">
        <v>0</v>
      </c>
    </row>
    <row r="4065" spans="1:15" x14ac:dyDescent="0.2">
      <c r="A4065" s="6">
        <v>45817</v>
      </c>
      <c r="B4065" t="s">
        <v>15</v>
      </c>
      <c r="C4065" t="s">
        <v>16</v>
      </c>
      <c r="D4065" s="1">
        <v>45855</v>
      </c>
      <c r="E4065" t="s">
        <v>17</v>
      </c>
      <c r="F4065">
        <v>6200</v>
      </c>
      <c r="J4065">
        <v>19.899999999999999</v>
      </c>
      <c r="K4065">
        <v>22.5</v>
      </c>
      <c r="L4065">
        <v>0</v>
      </c>
      <c r="M4065" t="s">
        <v>18</v>
      </c>
      <c r="N4065">
        <v>0</v>
      </c>
      <c r="O4065">
        <v>0</v>
      </c>
    </row>
    <row r="4066" spans="1:15" x14ac:dyDescent="0.2">
      <c r="A4066" s="6">
        <v>45817</v>
      </c>
      <c r="B4066" t="s">
        <v>15</v>
      </c>
      <c r="C4066" t="s">
        <v>16</v>
      </c>
      <c r="D4066" s="1">
        <v>45855</v>
      </c>
      <c r="E4066" t="s">
        <v>19</v>
      </c>
      <c r="F4066">
        <v>5200</v>
      </c>
      <c r="G4066">
        <v>131.1</v>
      </c>
      <c r="H4066">
        <v>135</v>
      </c>
      <c r="I4066">
        <v>117.8</v>
      </c>
      <c r="J4066">
        <v>123.3</v>
      </c>
      <c r="K4066">
        <v>134.5</v>
      </c>
      <c r="L4066">
        <v>126</v>
      </c>
      <c r="M4066" t="s">
        <v>966</v>
      </c>
      <c r="N4066">
        <v>670.8</v>
      </c>
      <c r="O4066">
        <v>114</v>
      </c>
    </row>
    <row r="4067" spans="1:15" x14ac:dyDescent="0.2">
      <c r="A4067" s="6">
        <v>45817</v>
      </c>
      <c r="B4067" t="s">
        <v>15</v>
      </c>
      <c r="C4067" t="s">
        <v>16</v>
      </c>
      <c r="D4067" s="1">
        <v>45855</v>
      </c>
      <c r="E4067" t="s">
        <v>19</v>
      </c>
      <c r="F4067">
        <v>6250</v>
      </c>
      <c r="J4067">
        <v>761.6</v>
      </c>
      <c r="K4067">
        <v>793.2</v>
      </c>
      <c r="L4067">
        <v>0</v>
      </c>
      <c r="M4067" t="s">
        <v>18</v>
      </c>
      <c r="N4067">
        <v>0</v>
      </c>
      <c r="O4067">
        <v>0</v>
      </c>
    </row>
    <row r="4068" spans="1:15" x14ac:dyDescent="0.2">
      <c r="A4068" s="6">
        <v>45817</v>
      </c>
      <c r="B4068" t="s">
        <v>15</v>
      </c>
      <c r="C4068" t="s">
        <v>16</v>
      </c>
      <c r="D4068" s="1">
        <v>45855</v>
      </c>
      <c r="E4068" t="s">
        <v>17</v>
      </c>
      <c r="F4068">
        <v>3950</v>
      </c>
      <c r="J4068">
        <v>1540.4</v>
      </c>
      <c r="K4068">
        <v>1509.2</v>
      </c>
      <c r="L4068">
        <v>0</v>
      </c>
      <c r="M4068" t="s">
        <v>18</v>
      </c>
      <c r="N4068">
        <v>0</v>
      </c>
      <c r="O4068">
        <v>0</v>
      </c>
    </row>
    <row r="4069" spans="1:15" x14ac:dyDescent="0.2">
      <c r="A4069" s="6">
        <v>45817</v>
      </c>
      <c r="B4069" t="s">
        <v>15</v>
      </c>
      <c r="C4069" t="s">
        <v>16</v>
      </c>
      <c r="D4069" s="1">
        <v>45855</v>
      </c>
      <c r="E4069" t="s">
        <v>19</v>
      </c>
      <c r="F4069">
        <v>6350</v>
      </c>
      <c r="J4069">
        <v>855.5</v>
      </c>
      <c r="K4069">
        <v>886.5</v>
      </c>
      <c r="L4069">
        <v>0</v>
      </c>
      <c r="M4069" t="s">
        <v>18</v>
      </c>
      <c r="N4069">
        <v>0</v>
      </c>
      <c r="O4069">
        <v>0</v>
      </c>
    </row>
    <row r="4070" spans="1:15" x14ac:dyDescent="0.2">
      <c r="A4070" s="6">
        <v>45817</v>
      </c>
      <c r="B4070" t="s">
        <v>15</v>
      </c>
      <c r="C4070" t="s">
        <v>16</v>
      </c>
      <c r="D4070" s="1">
        <v>45855</v>
      </c>
      <c r="E4070" t="s">
        <v>19</v>
      </c>
      <c r="F4070">
        <v>5650</v>
      </c>
      <c r="J4070">
        <v>276.89999999999998</v>
      </c>
      <c r="K4070">
        <v>307.3</v>
      </c>
      <c r="L4070">
        <v>0</v>
      </c>
      <c r="M4070" t="s">
        <v>18</v>
      </c>
      <c r="N4070">
        <v>0</v>
      </c>
      <c r="O4070">
        <v>0</v>
      </c>
    </row>
    <row r="4071" spans="1:15" x14ac:dyDescent="0.2">
      <c r="A4071" s="6">
        <v>45817</v>
      </c>
      <c r="B4071" t="s">
        <v>15</v>
      </c>
      <c r="C4071" t="s">
        <v>16</v>
      </c>
      <c r="D4071" s="1">
        <v>45855</v>
      </c>
      <c r="E4071" t="s">
        <v>19</v>
      </c>
      <c r="F4071">
        <v>5600</v>
      </c>
      <c r="G4071">
        <v>330.6</v>
      </c>
      <c r="H4071">
        <v>330.6</v>
      </c>
      <c r="I4071">
        <v>279.89999999999998</v>
      </c>
      <c r="J4071">
        <v>291.5</v>
      </c>
      <c r="K4071">
        <v>345.1</v>
      </c>
      <c r="L4071">
        <v>12</v>
      </c>
      <c r="M4071" t="s">
        <v>180</v>
      </c>
      <c r="N4071">
        <v>70.739999999999995</v>
      </c>
      <c r="O4071">
        <v>9</v>
      </c>
    </row>
    <row r="4072" spans="1:15" x14ac:dyDescent="0.2">
      <c r="A4072" s="6">
        <v>45817</v>
      </c>
      <c r="B4072" t="s">
        <v>15</v>
      </c>
      <c r="C4072" t="s">
        <v>16</v>
      </c>
      <c r="D4072" s="1">
        <v>45855</v>
      </c>
      <c r="E4072" t="s">
        <v>19</v>
      </c>
      <c r="F4072">
        <v>4000</v>
      </c>
      <c r="J4072">
        <v>0.1</v>
      </c>
      <c r="K4072">
        <v>0.1</v>
      </c>
      <c r="L4072">
        <v>0</v>
      </c>
      <c r="M4072" t="s">
        <v>18</v>
      </c>
      <c r="N4072">
        <v>0</v>
      </c>
      <c r="O4072">
        <v>0</v>
      </c>
    </row>
    <row r="4073" spans="1:15" x14ac:dyDescent="0.2">
      <c r="A4073" s="6">
        <v>45817</v>
      </c>
      <c r="B4073" t="s">
        <v>15</v>
      </c>
      <c r="C4073" t="s">
        <v>16</v>
      </c>
      <c r="D4073" s="1">
        <v>45855</v>
      </c>
      <c r="E4073" t="s">
        <v>19</v>
      </c>
      <c r="F4073">
        <v>4850</v>
      </c>
      <c r="J4073">
        <v>15.1</v>
      </c>
      <c r="K4073">
        <v>22.3</v>
      </c>
      <c r="L4073">
        <v>0</v>
      </c>
      <c r="M4073" t="s">
        <v>18</v>
      </c>
      <c r="N4073">
        <v>0</v>
      </c>
      <c r="O4073">
        <v>0</v>
      </c>
    </row>
    <row r="4074" spans="1:15" x14ac:dyDescent="0.2">
      <c r="A4074" s="6">
        <v>45817</v>
      </c>
      <c r="B4074" t="s">
        <v>15</v>
      </c>
      <c r="C4074" t="s">
        <v>16</v>
      </c>
      <c r="D4074" s="1">
        <v>45855</v>
      </c>
      <c r="E4074" t="s">
        <v>17</v>
      </c>
      <c r="F4074">
        <v>6100</v>
      </c>
      <c r="J4074">
        <v>29.2</v>
      </c>
      <c r="K4074">
        <v>32.200000000000003</v>
      </c>
      <c r="L4074">
        <v>0</v>
      </c>
      <c r="M4074" t="s">
        <v>18</v>
      </c>
      <c r="N4074">
        <v>0</v>
      </c>
      <c r="O4074">
        <v>0</v>
      </c>
    </row>
    <row r="4075" spans="1:15" x14ac:dyDescent="0.2">
      <c r="A4075" s="6">
        <v>45817</v>
      </c>
      <c r="B4075" t="s">
        <v>15</v>
      </c>
      <c r="C4075" t="s">
        <v>16</v>
      </c>
      <c r="D4075" s="1">
        <v>45855</v>
      </c>
      <c r="E4075" t="s">
        <v>17</v>
      </c>
      <c r="F4075">
        <v>5350</v>
      </c>
      <c r="J4075">
        <v>271.89999999999998</v>
      </c>
      <c r="K4075">
        <v>290</v>
      </c>
      <c r="L4075">
        <v>0</v>
      </c>
      <c r="M4075" t="s">
        <v>18</v>
      </c>
      <c r="N4075">
        <v>0</v>
      </c>
      <c r="O4075">
        <v>1</v>
      </c>
    </row>
    <row r="4076" spans="1:15" x14ac:dyDescent="0.2">
      <c r="A4076" s="6">
        <v>45817</v>
      </c>
      <c r="B4076" t="s">
        <v>15</v>
      </c>
      <c r="C4076" t="s">
        <v>16</v>
      </c>
      <c r="D4076" s="1">
        <v>45855</v>
      </c>
      <c r="E4076" t="s">
        <v>19</v>
      </c>
      <c r="F4076">
        <v>3650</v>
      </c>
      <c r="J4076">
        <v>0.1</v>
      </c>
      <c r="K4076">
        <v>0.1</v>
      </c>
      <c r="L4076">
        <v>0</v>
      </c>
      <c r="M4076" t="s">
        <v>18</v>
      </c>
      <c r="N4076">
        <v>0</v>
      </c>
      <c r="O4076">
        <v>0</v>
      </c>
    </row>
    <row r="4077" spans="1:15" x14ac:dyDescent="0.2">
      <c r="A4077" s="6">
        <v>45817</v>
      </c>
      <c r="B4077" t="s">
        <v>15</v>
      </c>
      <c r="C4077" t="s">
        <v>16</v>
      </c>
      <c r="D4077" s="1">
        <v>45855</v>
      </c>
      <c r="E4077" t="s">
        <v>17</v>
      </c>
      <c r="F4077">
        <v>3650</v>
      </c>
      <c r="J4077">
        <v>1838.5</v>
      </c>
      <c r="K4077">
        <v>1807</v>
      </c>
      <c r="L4077">
        <v>0</v>
      </c>
      <c r="M4077" t="s">
        <v>18</v>
      </c>
      <c r="N4077">
        <v>0</v>
      </c>
      <c r="O4077">
        <v>0</v>
      </c>
    </row>
    <row r="4078" spans="1:15" x14ac:dyDescent="0.2">
      <c r="A4078" s="6">
        <v>45817</v>
      </c>
      <c r="B4078" t="s">
        <v>15</v>
      </c>
      <c r="C4078" t="s">
        <v>16</v>
      </c>
      <c r="D4078" s="1">
        <v>45855</v>
      </c>
      <c r="E4078" t="s">
        <v>17</v>
      </c>
      <c r="F4078">
        <v>3600</v>
      </c>
      <c r="J4078">
        <v>1888.2</v>
      </c>
      <c r="K4078">
        <v>1856.6</v>
      </c>
      <c r="L4078">
        <v>0</v>
      </c>
      <c r="M4078" t="s">
        <v>18</v>
      </c>
      <c r="N4078">
        <v>0</v>
      </c>
      <c r="O4078">
        <v>0</v>
      </c>
    </row>
    <row r="4079" spans="1:15" x14ac:dyDescent="0.2">
      <c r="A4079" s="6">
        <v>45817</v>
      </c>
      <c r="B4079" t="s">
        <v>15</v>
      </c>
      <c r="C4079" t="s">
        <v>16</v>
      </c>
      <c r="D4079" s="1">
        <v>45855</v>
      </c>
      <c r="E4079" t="s">
        <v>19</v>
      </c>
      <c r="F4079">
        <v>6700</v>
      </c>
      <c r="J4079">
        <v>1194.7</v>
      </c>
      <c r="K4079">
        <v>1224.2</v>
      </c>
      <c r="L4079">
        <v>0</v>
      </c>
      <c r="M4079" t="s">
        <v>18</v>
      </c>
      <c r="N4079">
        <v>0</v>
      </c>
      <c r="O4079">
        <v>0</v>
      </c>
    </row>
    <row r="4080" spans="1:15" x14ac:dyDescent="0.2">
      <c r="A4080" s="6">
        <v>45817</v>
      </c>
      <c r="B4080" t="s">
        <v>15</v>
      </c>
      <c r="C4080" t="s">
        <v>16</v>
      </c>
      <c r="D4080" s="1">
        <v>45855</v>
      </c>
      <c r="E4080" t="s">
        <v>19</v>
      </c>
      <c r="F4080">
        <v>5800</v>
      </c>
      <c r="J4080">
        <v>380</v>
      </c>
      <c r="K4080">
        <v>412</v>
      </c>
      <c r="L4080">
        <v>0</v>
      </c>
      <c r="M4080" t="s">
        <v>18</v>
      </c>
      <c r="N4080">
        <v>0</v>
      </c>
      <c r="O4080">
        <v>0</v>
      </c>
    </row>
    <row r="4081" spans="1:15" x14ac:dyDescent="0.2">
      <c r="A4081" s="6">
        <v>45817</v>
      </c>
      <c r="B4081" t="s">
        <v>15</v>
      </c>
      <c r="C4081" t="s">
        <v>16</v>
      </c>
      <c r="D4081" s="1">
        <v>45855</v>
      </c>
      <c r="E4081" t="s">
        <v>17</v>
      </c>
      <c r="F4081">
        <v>5550</v>
      </c>
      <c r="J4081">
        <v>167.7</v>
      </c>
      <c r="K4081">
        <v>166.6</v>
      </c>
      <c r="L4081">
        <v>0</v>
      </c>
      <c r="M4081" t="s">
        <v>18</v>
      </c>
      <c r="N4081">
        <v>0</v>
      </c>
      <c r="O4081">
        <v>0</v>
      </c>
    </row>
    <row r="4082" spans="1:15" x14ac:dyDescent="0.2">
      <c r="A4082" s="6">
        <v>45817</v>
      </c>
      <c r="B4082" t="s">
        <v>15</v>
      </c>
      <c r="C4082" t="s">
        <v>16</v>
      </c>
      <c r="D4082" s="1">
        <v>45855</v>
      </c>
      <c r="E4082" t="s">
        <v>19</v>
      </c>
      <c r="F4082">
        <v>6000</v>
      </c>
      <c r="G4082">
        <v>567.20000000000005</v>
      </c>
      <c r="H4082">
        <v>567.20000000000005</v>
      </c>
      <c r="I4082">
        <v>560</v>
      </c>
      <c r="J4082">
        <v>562.29999999999995</v>
      </c>
      <c r="K4082">
        <v>659.4</v>
      </c>
      <c r="L4082">
        <v>10</v>
      </c>
      <c r="M4082" t="s">
        <v>69</v>
      </c>
      <c r="N4082">
        <v>65.62</v>
      </c>
      <c r="O4082">
        <v>103</v>
      </c>
    </row>
    <row r="4083" spans="1:15" x14ac:dyDescent="0.2">
      <c r="A4083" s="6">
        <v>45817</v>
      </c>
      <c r="B4083" t="s">
        <v>15</v>
      </c>
      <c r="C4083" t="s">
        <v>16</v>
      </c>
      <c r="D4083" s="1">
        <v>45855</v>
      </c>
      <c r="E4083" t="s">
        <v>19</v>
      </c>
      <c r="F4083">
        <v>3850</v>
      </c>
      <c r="J4083">
        <v>0.1</v>
      </c>
      <c r="K4083">
        <v>0.1</v>
      </c>
      <c r="L4083">
        <v>0</v>
      </c>
      <c r="M4083" t="s">
        <v>18</v>
      </c>
      <c r="N4083">
        <v>0</v>
      </c>
      <c r="O4083">
        <v>0</v>
      </c>
    </row>
    <row r="4084" spans="1:15" x14ac:dyDescent="0.2">
      <c r="A4084" s="6">
        <v>45817</v>
      </c>
      <c r="B4084" t="s">
        <v>15</v>
      </c>
      <c r="C4084" t="s">
        <v>16</v>
      </c>
      <c r="D4084" s="1">
        <v>45855</v>
      </c>
      <c r="E4084" t="s">
        <v>17</v>
      </c>
      <c r="F4084">
        <v>6600</v>
      </c>
      <c r="J4084">
        <v>3.5</v>
      </c>
      <c r="K4084">
        <v>4.5999999999999996</v>
      </c>
      <c r="L4084">
        <v>0</v>
      </c>
      <c r="M4084" t="s">
        <v>18</v>
      </c>
      <c r="N4084">
        <v>0</v>
      </c>
      <c r="O4084">
        <v>0</v>
      </c>
    </row>
    <row r="4085" spans="1:15" x14ac:dyDescent="0.2">
      <c r="A4085" s="6">
        <v>45817</v>
      </c>
      <c r="B4085" t="s">
        <v>15</v>
      </c>
      <c r="C4085" t="s">
        <v>16</v>
      </c>
      <c r="D4085" s="1">
        <v>45855</v>
      </c>
      <c r="E4085" t="s">
        <v>19</v>
      </c>
      <c r="F4085">
        <v>4800</v>
      </c>
      <c r="G4085">
        <v>26.3</v>
      </c>
      <c r="H4085">
        <v>36</v>
      </c>
      <c r="I4085">
        <v>26.3</v>
      </c>
      <c r="J4085">
        <v>31.5</v>
      </c>
      <c r="K4085">
        <v>17.5</v>
      </c>
      <c r="L4085">
        <v>3</v>
      </c>
      <c r="M4085" t="s">
        <v>34</v>
      </c>
      <c r="N4085">
        <v>14.49</v>
      </c>
      <c r="O4085">
        <v>8</v>
      </c>
    </row>
    <row r="4086" spans="1:15" x14ac:dyDescent="0.2">
      <c r="A4086" s="6">
        <v>45817</v>
      </c>
      <c r="B4086" t="s">
        <v>15</v>
      </c>
      <c r="C4086" t="s">
        <v>16</v>
      </c>
      <c r="D4086" s="1">
        <v>45855</v>
      </c>
      <c r="E4086" t="s">
        <v>19</v>
      </c>
      <c r="F4086">
        <v>4300</v>
      </c>
      <c r="J4086">
        <v>0.3</v>
      </c>
      <c r="K4086">
        <v>0.7</v>
      </c>
      <c r="L4086">
        <v>0</v>
      </c>
      <c r="M4086" t="s">
        <v>18</v>
      </c>
      <c r="N4086">
        <v>0</v>
      </c>
      <c r="O4086">
        <v>0</v>
      </c>
    </row>
    <row r="4087" spans="1:15" x14ac:dyDescent="0.2">
      <c r="A4087" s="6">
        <v>45817</v>
      </c>
      <c r="B4087" t="s">
        <v>15</v>
      </c>
      <c r="C4087" t="s">
        <v>16</v>
      </c>
      <c r="D4087" s="1">
        <v>45855</v>
      </c>
      <c r="E4087" t="s">
        <v>19</v>
      </c>
      <c r="F4087">
        <v>6500</v>
      </c>
      <c r="J4087">
        <v>999.4</v>
      </c>
      <c r="K4087">
        <v>1029.7</v>
      </c>
      <c r="L4087">
        <v>0</v>
      </c>
      <c r="M4087" t="s">
        <v>18</v>
      </c>
      <c r="N4087">
        <v>0</v>
      </c>
      <c r="O4087">
        <v>0</v>
      </c>
    </row>
    <row r="4088" spans="1:15" x14ac:dyDescent="0.2">
      <c r="A4088" s="6">
        <v>45817</v>
      </c>
      <c r="B4088" t="s">
        <v>15</v>
      </c>
      <c r="C4088" t="s">
        <v>16</v>
      </c>
      <c r="D4088" s="1">
        <v>45855</v>
      </c>
      <c r="E4088" t="s">
        <v>19</v>
      </c>
      <c r="F4088">
        <v>5850</v>
      </c>
      <c r="J4088">
        <v>417.6</v>
      </c>
      <c r="K4088">
        <v>449.9</v>
      </c>
      <c r="L4088">
        <v>0</v>
      </c>
      <c r="M4088" t="s">
        <v>18</v>
      </c>
      <c r="N4088">
        <v>0</v>
      </c>
      <c r="O4088">
        <v>0</v>
      </c>
    </row>
    <row r="4089" spans="1:15" x14ac:dyDescent="0.2">
      <c r="A4089" s="6">
        <v>45817</v>
      </c>
      <c r="B4089" t="s">
        <v>15</v>
      </c>
      <c r="C4089" t="s">
        <v>16</v>
      </c>
      <c r="D4089" s="1">
        <v>45855</v>
      </c>
      <c r="E4089" t="s">
        <v>19</v>
      </c>
      <c r="F4089">
        <v>6300</v>
      </c>
      <c r="J4089">
        <v>808.3</v>
      </c>
      <c r="K4089">
        <v>839.6</v>
      </c>
      <c r="L4089">
        <v>0</v>
      </c>
      <c r="M4089" t="s">
        <v>18</v>
      </c>
      <c r="N4089">
        <v>0</v>
      </c>
      <c r="O4089">
        <v>0</v>
      </c>
    </row>
    <row r="4090" spans="1:15" x14ac:dyDescent="0.2">
      <c r="A4090" s="6">
        <v>45817</v>
      </c>
      <c r="B4090" t="s">
        <v>15</v>
      </c>
      <c r="C4090" t="s">
        <v>16</v>
      </c>
      <c r="D4090" s="1">
        <v>45855</v>
      </c>
      <c r="E4090" t="s">
        <v>17</v>
      </c>
      <c r="F4090">
        <v>3900</v>
      </c>
      <c r="J4090">
        <v>1590.1</v>
      </c>
      <c r="K4090">
        <v>1558.8</v>
      </c>
      <c r="L4090">
        <v>0</v>
      </c>
      <c r="M4090" t="s">
        <v>18</v>
      </c>
      <c r="N4090">
        <v>0</v>
      </c>
      <c r="O4090">
        <v>0</v>
      </c>
    </row>
    <row r="4091" spans="1:15" x14ac:dyDescent="0.2">
      <c r="A4091" s="6">
        <v>45817</v>
      </c>
      <c r="B4091" t="s">
        <v>15</v>
      </c>
      <c r="C4091" t="s">
        <v>16</v>
      </c>
      <c r="D4091" s="1">
        <v>45855</v>
      </c>
      <c r="E4091" t="s">
        <v>17</v>
      </c>
      <c r="F4091">
        <v>5850</v>
      </c>
      <c r="J4091">
        <v>69.8</v>
      </c>
      <c r="K4091">
        <v>72.599999999999994</v>
      </c>
      <c r="L4091">
        <v>0</v>
      </c>
      <c r="M4091" t="s">
        <v>18</v>
      </c>
      <c r="N4091">
        <v>0</v>
      </c>
      <c r="O4091">
        <v>0</v>
      </c>
    </row>
    <row r="4092" spans="1:15" x14ac:dyDescent="0.2">
      <c r="A4092" s="6">
        <v>45817</v>
      </c>
      <c r="B4092" t="s">
        <v>15</v>
      </c>
      <c r="C4092" t="s">
        <v>16</v>
      </c>
      <c r="D4092" s="1">
        <v>45855</v>
      </c>
      <c r="E4092" t="s">
        <v>17</v>
      </c>
      <c r="F4092">
        <v>5400</v>
      </c>
      <c r="G4092">
        <v>290</v>
      </c>
      <c r="H4092">
        <v>308.8</v>
      </c>
      <c r="I4092">
        <v>264.7</v>
      </c>
      <c r="J4092">
        <v>291.10000000000002</v>
      </c>
      <c r="K4092">
        <v>293.10000000000002</v>
      </c>
      <c r="L4092">
        <v>293</v>
      </c>
      <c r="M4092" t="s">
        <v>1613</v>
      </c>
      <c r="N4092">
        <v>1667.21</v>
      </c>
      <c r="O4092">
        <v>172</v>
      </c>
    </row>
    <row r="4093" spans="1:15" x14ac:dyDescent="0.2">
      <c r="A4093" s="6">
        <v>45817</v>
      </c>
      <c r="B4093" t="s">
        <v>15</v>
      </c>
      <c r="C4093" t="s">
        <v>16</v>
      </c>
      <c r="D4093" s="1">
        <v>45855</v>
      </c>
      <c r="E4093" t="s">
        <v>19</v>
      </c>
      <c r="F4093">
        <v>3950</v>
      </c>
      <c r="J4093">
        <v>0.1</v>
      </c>
      <c r="K4093">
        <v>0.1</v>
      </c>
      <c r="L4093">
        <v>0</v>
      </c>
      <c r="M4093" t="s">
        <v>18</v>
      </c>
      <c r="N4093">
        <v>0</v>
      </c>
      <c r="O4093">
        <v>0</v>
      </c>
    </row>
    <row r="4094" spans="1:15" x14ac:dyDescent="0.2">
      <c r="A4094" s="6">
        <v>45817</v>
      </c>
      <c r="B4094" t="s">
        <v>15</v>
      </c>
      <c r="C4094" t="s">
        <v>16</v>
      </c>
      <c r="D4094" s="1">
        <v>45855</v>
      </c>
      <c r="E4094" t="s">
        <v>19</v>
      </c>
      <c r="F4094">
        <v>4150</v>
      </c>
      <c r="J4094">
        <v>0.1</v>
      </c>
      <c r="K4094">
        <v>0.2</v>
      </c>
      <c r="L4094">
        <v>0</v>
      </c>
      <c r="M4094" t="s">
        <v>18</v>
      </c>
      <c r="N4094">
        <v>0</v>
      </c>
      <c r="O4094">
        <v>0</v>
      </c>
    </row>
    <row r="4095" spans="1:15" x14ac:dyDescent="0.2">
      <c r="A4095" s="6">
        <v>45817</v>
      </c>
      <c r="B4095" t="s">
        <v>15</v>
      </c>
      <c r="C4095" t="s">
        <v>16</v>
      </c>
      <c r="D4095" s="1">
        <v>45855</v>
      </c>
      <c r="E4095" t="s">
        <v>17</v>
      </c>
      <c r="F4095">
        <v>4050</v>
      </c>
      <c r="J4095">
        <v>1441</v>
      </c>
      <c r="K4095">
        <v>1409.9</v>
      </c>
      <c r="L4095">
        <v>0</v>
      </c>
      <c r="M4095" t="s">
        <v>18</v>
      </c>
      <c r="N4095">
        <v>0</v>
      </c>
      <c r="O4095">
        <v>0</v>
      </c>
    </row>
    <row r="4096" spans="1:15" x14ac:dyDescent="0.2">
      <c r="A4096" s="6">
        <v>45817</v>
      </c>
      <c r="B4096" t="s">
        <v>15</v>
      </c>
      <c r="C4096" t="s">
        <v>16</v>
      </c>
      <c r="D4096" s="1">
        <v>45855</v>
      </c>
      <c r="E4096" t="s">
        <v>19</v>
      </c>
      <c r="F4096">
        <v>4750</v>
      </c>
      <c r="J4096">
        <v>8.6</v>
      </c>
      <c r="K4096">
        <v>13.5</v>
      </c>
      <c r="L4096">
        <v>0</v>
      </c>
      <c r="M4096" t="s">
        <v>18</v>
      </c>
      <c r="N4096">
        <v>0</v>
      </c>
      <c r="O4096">
        <v>0</v>
      </c>
    </row>
    <row r="4097" spans="1:15" x14ac:dyDescent="0.2">
      <c r="A4097" s="6">
        <v>45817</v>
      </c>
      <c r="B4097" t="s">
        <v>15</v>
      </c>
      <c r="C4097" t="s">
        <v>16</v>
      </c>
      <c r="D4097" s="1">
        <v>45855</v>
      </c>
      <c r="E4097" t="s">
        <v>19</v>
      </c>
      <c r="F4097">
        <v>4350</v>
      </c>
      <c r="J4097">
        <v>0.5</v>
      </c>
      <c r="K4097">
        <v>1.1000000000000001</v>
      </c>
      <c r="L4097">
        <v>0</v>
      </c>
      <c r="M4097" t="s">
        <v>18</v>
      </c>
      <c r="N4097">
        <v>0</v>
      </c>
      <c r="O4097">
        <v>0</v>
      </c>
    </row>
    <row r="4098" spans="1:15" x14ac:dyDescent="0.2">
      <c r="A4098" s="6">
        <v>45817</v>
      </c>
      <c r="B4098" t="s">
        <v>15</v>
      </c>
      <c r="C4098" t="s">
        <v>16</v>
      </c>
      <c r="D4098" s="1">
        <v>45855</v>
      </c>
      <c r="E4098" t="s">
        <v>19</v>
      </c>
      <c r="F4098">
        <v>6600</v>
      </c>
      <c r="J4098">
        <v>1096.7</v>
      </c>
      <c r="K4098">
        <v>1126.5</v>
      </c>
      <c r="L4098">
        <v>0</v>
      </c>
      <c r="M4098" t="s">
        <v>18</v>
      </c>
      <c r="N4098">
        <v>0</v>
      </c>
      <c r="O4098">
        <v>0</v>
      </c>
    </row>
    <row r="4099" spans="1:15" x14ac:dyDescent="0.2">
      <c r="A4099" s="6">
        <v>45817</v>
      </c>
      <c r="B4099" t="s">
        <v>15</v>
      </c>
      <c r="C4099" t="s">
        <v>16</v>
      </c>
      <c r="D4099" s="1">
        <v>45855</v>
      </c>
      <c r="E4099" t="s">
        <v>19</v>
      </c>
      <c r="F4099">
        <v>5550</v>
      </c>
      <c r="G4099">
        <v>293.39999999999998</v>
      </c>
      <c r="H4099">
        <v>293.39999999999998</v>
      </c>
      <c r="I4099">
        <v>293.39999999999998</v>
      </c>
      <c r="J4099">
        <v>293.39999999999998</v>
      </c>
      <c r="K4099">
        <v>246</v>
      </c>
      <c r="L4099">
        <v>1</v>
      </c>
      <c r="M4099" t="s">
        <v>155</v>
      </c>
      <c r="N4099">
        <v>5.84</v>
      </c>
      <c r="O4099">
        <v>1</v>
      </c>
    </row>
    <row r="4100" spans="1:15" x14ac:dyDescent="0.2">
      <c r="A4100" s="6">
        <v>45817</v>
      </c>
      <c r="B4100" t="s">
        <v>15</v>
      </c>
      <c r="C4100" t="s">
        <v>16</v>
      </c>
      <c r="D4100" s="1">
        <v>45855</v>
      </c>
      <c r="E4100" t="s">
        <v>17</v>
      </c>
      <c r="F4100">
        <v>6150</v>
      </c>
      <c r="J4100">
        <v>24.2</v>
      </c>
      <c r="K4100">
        <v>27</v>
      </c>
      <c r="L4100">
        <v>0</v>
      </c>
      <c r="M4100" t="s">
        <v>18</v>
      </c>
      <c r="N4100">
        <v>0</v>
      </c>
      <c r="O4100">
        <v>0</v>
      </c>
    </row>
    <row r="4101" spans="1:15" x14ac:dyDescent="0.2">
      <c r="A4101" s="6">
        <v>45817</v>
      </c>
      <c r="B4101" t="s">
        <v>15</v>
      </c>
      <c r="C4101" t="s">
        <v>16</v>
      </c>
      <c r="D4101" s="1">
        <v>45855</v>
      </c>
      <c r="E4101" t="s">
        <v>19</v>
      </c>
      <c r="F4101">
        <v>3800</v>
      </c>
      <c r="J4101">
        <v>0.1</v>
      </c>
      <c r="K4101">
        <v>0.1</v>
      </c>
      <c r="L4101">
        <v>0</v>
      </c>
      <c r="M4101" t="s">
        <v>18</v>
      </c>
      <c r="N4101">
        <v>0</v>
      </c>
      <c r="O4101">
        <v>0</v>
      </c>
    </row>
    <row r="4102" spans="1:15" x14ac:dyDescent="0.2">
      <c r="A4102" s="6">
        <v>45817</v>
      </c>
      <c r="B4102" t="s">
        <v>15</v>
      </c>
      <c r="C4102" t="s">
        <v>16</v>
      </c>
      <c r="D4102" s="1">
        <v>45855</v>
      </c>
      <c r="E4102" t="s">
        <v>19</v>
      </c>
      <c r="F4102">
        <v>6450</v>
      </c>
      <c r="J4102">
        <v>951.1</v>
      </c>
      <c r="K4102">
        <v>981.6</v>
      </c>
      <c r="L4102">
        <v>0</v>
      </c>
      <c r="M4102" t="s">
        <v>18</v>
      </c>
      <c r="N4102">
        <v>0</v>
      </c>
      <c r="O4102">
        <v>0</v>
      </c>
    </row>
    <row r="4103" spans="1:15" x14ac:dyDescent="0.2">
      <c r="A4103" s="6">
        <v>45817</v>
      </c>
      <c r="B4103" t="s">
        <v>15</v>
      </c>
      <c r="C4103" t="s">
        <v>16</v>
      </c>
      <c r="D4103" s="1">
        <v>45855</v>
      </c>
      <c r="E4103" t="s">
        <v>19</v>
      </c>
      <c r="F4103">
        <v>5500</v>
      </c>
      <c r="G4103">
        <v>261.3</v>
      </c>
      <c r="H4103">
        <v>273.7</v>
      </c>
      <c r="I4103">
        <v>226.3</v>
      </c>
      <c r="J4103">
        <v>240.2</v>
      </c>
      <c r="K4103">
        <v>262.8</v>
      </c>
      <c r="L4103">
        <v>371</v>
      </c>
      <c r="M4103" t="s">
        <v>1614</v>
      </c>
      <c r="N4103">
        <v>2131.34</v>
      </c>
      <c r="O4103">
        <v>173</v>
      </c>
    </row>
    <row r="4104" spans="1:15" x14ac:dyDescent="0.2">
      <c r="A4104" s="6">
        <v>45817</v>
      </c>
      <c r="B4104" t="s">
        <v>15</v>
      </c>
      <c r="C4104" t="s">
        <v>16</v>
      </c>
      <c r="D4104" s="1">
        <v>45855</v>
      </c>
      <c r="E4104" t="s">
        <v>19</v>
      </c>
      <c r="F4104">
        <v>6100</v>
      </c>
      <c r="J4104">
        <v>625.5</v>
      </c>
      <c r="K4104">
        <v>657.7</v>
      </c>
      <c r="L4104">
        <v>0</v>
      </c>
      <c r="M4104" t="s">
        <v>18</v>
      </c>
      <c r="N4104">
        <v>0</v>
      </c>
      <c r="O4104">
        <v>0</v>
      </c>
    </row>
    <row r="4105" spans="1:15" x14ac:dyDescent="0.2">
      <c r="A4105" s="6">
        <v>45817</v>
      </c>
      <c r="B4105" t="s">
        <v>15</v>
      </c>
      <c r="C4105" t="s">
        <v>16</v>
      </c>
      <c r="D4105" s="1">
        <v>45855</v>
      </c>
      <c r="E4105" t="s">
        <v>17</v>
      </c>
      <c r="F4105">
        <v>4300</v>
      </c>
      <c r="J4105">
        <v>1192.9000000000001</v>
      </c>
      <c r="K4105">
        <v>1162.3</v>
      </c>
      <c r="L4105">
        <v>0</v>
      </c>
      <c r="M4105" t="s">
        <v>18</v>
      </c>
      <c r="N4105">
        <v>0</v>
      </c>
      <c r="O4105">
        <v>0</v>
      </c>
    </row>
    <row r="4106" spans="1:15" x14ac:dyDescent="0.2">
      <c r="A4106" s="6">
        <v>45817</v>
      </c>
      <c r="B4106" t="s">
        <v>15</v>
      </c>
      <c r="C4106" t="s">
        <v>16</v>
      </c>
      <c r="D4106" s="1">
        <v>45855</v>
      </c>
      <c r="E4106" t="s">
        <v>19</v>
      </c>
      <c r="F4106">
        <v>5750</v>
      </c>
      <c r="J4106">
        <v>343.9</v>
      </c>
      <c r="K4106">
        <v>375.5</v>
      </c>
      <c r="L4106">
        <v>0</v>
      </c>
      <c r="M4106" t="s">
        <v>18</v>
      </c>
      <c r="N4106">
        <v>0</v>
      </c>
      <c r="O4106">
        <v>0</v>
      </c>
    </row>
    <row r="4107" spans="1:15" x14ac:dyDescent="0.2">
      <c r="A4107" s="6">
        <v>45817</v>
      </c>
      <c r="B4107" t="s">
        <v>15</v>
      </c>
      <c r="C4107" t="s">
        <v>16</v>
      </c>
      <c r="D4107" s="1">
        <v>45855</v>
      </c>
      <c r="E4107" t="s">
        <v>17</v>
      </c>
      <c r="F4107">
        <v>4700</v>
      </c>
      <c r="J4107">
        <v>801.4</v>
      </c>
      <c r="K4107">
        <v>774.8</v>
      </c>
      <c r="L4107">
        <v>0</v>
      </c>
      <c r="M4107" t="s">
        <v>18</v>
      </c>
      <c r="N4107">
        <v>0</v>
      </c>
      <c r="O4107">
        <v>0</v>
      </c>
    </row>
    <row r="4108" spans="1:15" x14ac:dyDescent="0.2">
      <c r="A4108" s="6">
        <v>45814</v>
      </c>
      <c r="B4108" t="s">
        <v>15</v>
      </c>
      <c r="C4108" t="s">
        <v>16</v>
      </c>
      <c r="D4108" s="1">
        <v>45855</v>
      </c>
      <c r="E4108" t="s">
        <v>17</v>
      </c>
      <c r="F4108">
        <v>5100</v>
      </c>
      <c r="J4108">
        <v>431.7</v>
      </c>
      <c r="K4108">
        <v>372.8</v>
      </c>
      <c r="L4108">
        <v>0</v>
      </c>
      <c r="M4108" t="s">
        <v>18</v>
      </c>
      <c r="N4108">
        <v>0</v>
      </c>
      <c r="O4108">
        <v>3</v>
      </c>
    </row>
    <row r="4109" spans="1:15" x14ac:dyDescent="0.2">
      <c r="A4109" s="6">
        <v>45814</v>
      </c>
      <c r="B4109" t="s">
        <v>15</v>
      </c>
      <c r="C4109" t="s">
        <v>16</v>
      </c>
      <c r="D4109" s="1">
        <v>45855</v>
      </c>
      <c r="E4109" t="s">
        <v>19</v>
      </c>
      <c r="F4109">
        <v>6650</v>
      </c>
      <c r="J4109">
        <v>1175.3</v>
      </c>
      <c r="K4109">
        <v>1255.4000000000001</v>
      </c>
      <c r="L4109">
        <v>0</v>
      </c>
      <c r="M4109" t="s">
        <v>18</v>
      </c>
      <c r="N4109">
        <v>0</v>
      </c>
      <c r="O4109">
        <v>0</v>
      </c>
    </row>
    <row r="4110" spans="1:15" x14ac:dyDescent="0.2">
      <c r="A4110" s="6">
        <v>45814</v>
      </c>
      <c r="B4110" t="s">
        <v>15</v>
      </c>
      <c r="C4110" t="s">
        <v>16</v>
      </c>
      <c r="D4110" s="1">
        <v>45855</v>
      </c>
      <c r="E4110" t="s">
        <v>19</v>
      </c>
      <c r="F4110">
        <v>6050</v>
      </c>
      <c r="J4110">
        <v>614</v>
      </c>
      <c r="K4110">
        <v>686.5</v>
      </c>
      <c r="L4110">
        <v>0</v>
      </c>
      <c r="M4110" t="s">
        <v>18</v>
      </c>
      <c r="N4110">
        <v>0</v>
      </c>
      <c r="O4110">
        <v>0</v>
      </c>
    </row>
    <row r="4111" spans="1:15" x14ac:dyDescent="0.2">
      <c r="A4111" s="6">
        <v>45814</v>
      </c>
      <c r="B4111" t="s">
        <v>15</v>
      </c>
      <c r="C4111" t="s">
        <v>16</v>
      </c>
      <c r="D4111" s="1">
        <v>45855</v>
      </c>
      <c r="E4111" t="s">
        <v>17</v>
      </c>
      <c r="F4111">
        <v>4650</v>
      </c>
      <c r="J4111">
        <v>821.9</v>
      </c>
      <c r="K4111">
        <v>745.1</v>
      </c>
      <c r="L4111">
        <v>0</v>
      </c>
      <c r="M4111" t="s">
        <v>18</v>
      </c>
      <c r="N4111">
        <v>0</v>
      </c>
      <c r="O4111">
        <v>0</v>
      </c>
    </row>
    <row r="4112" spans="1:15" x14ac:dyDescent="0.2">
      <c r="A4112" s="6">
        <v>45814</v>
      </c>
      <c r="B4112" t="s">
        <v>15</v>
      </c>
      <c r="C4112" t="s">
        <v>16</v>
      </c>
      <c r="D4112" s="1">
        <v>45855</v>
      </c>
      <c r="E4112" t="s">
        <v>19</v>
      </c>
      <c r="F4112">
        <v>5100</v>
      </c>
      <c r="G4112">
        <v>101</v>
      </c>
      <c r="H4112">
        <v>101</v>
      </c>
      <c r="I4112">
        <v>101</v>
      </c>
      <c r="J4112">
        <v>101</v>
      </c>
      <c r="K4112">
        <v>122</v>
      </c>
      <c r="L4112">
        <v>1</v>
      </c>
      <c r="M4112" t="s">
        <v>155</v>
      </c>
      <c r="N4112">
        <v>5.2</v>
      </c>
      <c r="O4112">
        <v>2</v>
      </c>
    </row>
    <row r="4113" spans="1:15" x14ac:dyDescent="0.2">
      <c r="A4113" s="6">
        <v>45814</v>
      </c>
      <c r="B4113" t="s">
        <v>15</v>
      </c>
      <c r="C4113" t="s">
        <v>16</v>
      </c>
      <c r="D4113" s="1">
        <v>45855</v>
      </c>
      <c r="E4113" t="s">
        <v>17</v>
      </c>
      <c r="F4113">
        <v>5250</v>
      </c>
      <c r="J4113">
        <v>326.39999999999998</v>
      </c>
      <c r="K4113">
        <v>276.60000000000002</v>
      </c>
      <c r="L4113">
        <v>0</v>
      </c>
      <c r="M4113" t="s">
        <v>18</v>
      </c>
      <c r="N4113">
        <v>0</v>
      </c>
      <c r="O4113">
        <v>0</v>
      </c>
    </row>
    <row r="4114" spans="1:15" x14ac:dyDescent="0.2">
      <c r="A4114" s="6">
        <v>45814</v>
      </c>
      <c r="B4114" t="s">
        <v>15</v>
      </c>
      <c r="C4114" t="s">
        <v>16</v>
      </c>
      <c r="D4114" s="1">
        <v>45855</v>
      </c>
      <c r="E4114" t="s">
        <v>17</v>
      </c>
      <c r="F4114">
        <v>4200</v>
      </c>
      <c r="J4114">
        <v>1261.2</v>
      </c>
      <c r="K4114">
        <v>1179.9000000000001</v>
      </c>
      <c r="L4114">
        <v>0</v>
      </c>
      <c r="M4114" t="s">
        <v>18</v>
      </c>
      <c r="N4114">
        <v>0</v>
      </c>
      <c r="O4114">
        <v>0</v>
      </c>
    </row>
    <row r="4115" spans="1:15" x14ac:dyDescent="0.2">
      <c r="A4115" s="6">
        <v>45814</v>
      </c>
      <c r="B4115" t="s">
        <v>15</v>
      </c>
      <c r="C4115" t="s">
        <v>16</v>
      </c>
      <c r="D4115" s="1">
        <v>45855</v>
      </c>
      <c r="E4115" t="s">
        <v>17</v>
      </c>
      <c r="F4115">
        <v>5700</v>
      </c>
      <c r="G4115">
        <v>125</v>
      </c>
      <c r="H4115">
        <v>152</v>
      </c>
      <c r="I4115">
        <v>124.9</v>
      </c>
      <c r="J4115">
        <v>149</v>
      </c>
      <c r="K4115">
        <v>127</v>
      </c>
      <c r="L4115">
        <v>29</v>
      </c>
      <c r="M4115" t="s">
        <v>297</v>
      </c>
      <c r="N4115">
        <v>169.28</v>
      </c>
      <c r="O4115">
        <v>35</v>
      </c>
    </row>
    <row r="4116" spans="1:15" x14ac:dyDescent="0.2">
      <c r="A4116" s="6">
        <v>45814</v>
      </c>
      <c r="B4116" t="s">
        <v>15</v>
      </c>
      <c r="C4116" t="s">
        <v>16</v>
      </c>
      <c r="D4116" s="1">
        <v>45855</v>
      </c>
      <c r="E4116" t="s">
        <v>17</v>
      </c>
      <c r="F4116">
        <v>4900</v>
      </c>
      <c r="J4116">
        <v>594.1</v>
      </c>
      <c r="K4116">
        <v>525.20000000000005</v>
      </c>
      <c r="L4116">
        <v>0</v>
      </c>
      <c r="M4116" t="s">
        <v>18</v>
      </c>
      <c r="N4116">
        <v>0</v>
      </c>
      <c r="O4116">
        <v>0</v>
      </c>
    </row>
    <row r="4117" spans="1:15" x14ac:dyDescent="0.2">
      <c r="A4117" s="6">
        <v>45814</v>
      </c>
      <c r="B4117" t="s">
        <v>15</v>
      </c>
      <c r="C4117" t="s">
        <v>16</v>
      </c>
      <c r="D4117" s="1">
        <v>45855</v>
      </c>
      <c r="E4117" t="s">
        <v>17</v>
      </c>
      <c r="F4117">
        <v>4800</v>
      </c>
      <c r="J4117">
        <v>682.7</v>
      </c>
      <c r="K4117">
        <v>610</v>
      </c>
      <c r="L4117">
        <v>0</v>
      </c>
      <c r="M4117" t="s">
        <v>18</v>
      </c>
      <c r="N4117">
        <v>0</v>
      </c>
      <c r="O4117">
        <v>0</v>
      </c>
    </row>
    <row r="4118" spans="1:15" x14ac:dyDescent="0.2">
      <c r="A4118" s="6">
        <v>45814</v>
      </c>
      <c r="B4118" t="s">
        <v>15</v>
      </c>
      <c r="C4118" t="s">
        <v>16</v>
      </c>
      <c r="D4118" s="1">
        <v>45855</v>
      </c>
      <c r="E4118" t="s">
        <v>19</v>
      </c>
      <c r="F4118">
        <v>4200</v>
      </c>
      <c r="J4118">
        <v>0.3</v>
      </c>
      <c r="K4118">
        <v>0.6</v>
      </c>
      <c r="L4118">
        <v>0</v>
      </c>
      <c r="M4118" t="s">
        <v>18</v>
      </c>
      <c r="N4118">
        <v>0</v>
      </c>
      <c r="O4118">
        <v>0</v>
      </c>
    </row>
    <row r="4119" spans="1:15" x14ac:dyDescent="0.2">
      <c r="A4119" s="6">
        <v>45814</v>
      </c>
      <c r="B4119" t="s">
        <v>15</v>
      </c>
      <c r="C4119" t="s">
        <v>16</v>
      </c>
      <c r="D4119" s="1">
        <v>45855</v>
      </c>
      <c r="E4119" t="s">
        <v>17</v>
      </c>
      <c r="F4119">
        <v>4950</v>
      </c>
      <c r="J4119">
        <v>551.5</v>
      </c>
      <c r="K4119">
        <v>484.8</v>
      </c>
      <c r="L4119">
        <v>0</v>
      </c>
      <c r="M4119" t="s">
        <v>18</v>
      </c>
      <c r="N4119">
        <v>0</v>
      </c>
      <c r="O4119">
        <v>0</v>
      </c>
    </row>
    <row r="4120" spans="1:15" x14ac:dyDescent="0.2">
      <c r="A4120" s="6">
        <v>45814</v>
      </c>
      <c r="B4120" t="s">
        <v>15</v>
      </c>
      <c r="C4120" t="s">
        <v>16</v>
      </c>
      <c r="D4120" s="1">
        <v>45855</v>
      </c>
      <c r="E4120" t="s">
        <v>17</v>
      </c>
      <c r="F4120">
        <v>5300</v>
      </c>
      <c r="G4120">
        <v>345.6</v>
      </c>
      <c r="H4120">
        <v>345.6</v>
      </c>
      <c r="I4120">
        <v>345.6</v>
      </c>
      <c r="J4120">
        <v>345.6</v>
      </c>
      <c r="K4120">
        <v>248.4</v>
      </c>
      <c r="L4120">
        <v>1</v>
      </c>
      <c r="M4120" t="s">
        <v>155</v>
      </c>
      <c r="N4120">
        <v>5.65</v>
      </c>
      <c r="O4120">
        <v>4</v>
      </c>
    </row>
    <row r="4121" spans="1:15" x14ac:dyDescent="0.2">
      <c r="A4121" s="6">
        <v>45814</v>
      </c>
      <c r="B4121" t="s">
        <v>15</v>
      </c>
      <c r="C4121" t="s">
        <v>16</v>
      </c>
      <c r="D4121" s="1">
        <v>45855</v>
      </c>
      <c r="E4121" t="s">
        <v>17</v>
      </c>
      <c r="F4121">
        <v>4450</v>
      </c>
      <c r="J4121">
        <v>1014.9</v>
      </c>
      <c r="K4121">
        <v>935</v>
      </c>
      <c r="L4121">
        <v>0</v>
      </c>
      <c r="M4121" t="s">
        <v>18</v>
      </c>
      <c r="N4121">
        <v>0</v>
      </c>
      <c r="O4121">
        <v>0</v>
      </c>
    </row>
    <row r="4122" spans="1:15" x14ac:dyDescent="0.2">
      <c r="A4122" s="6">
        <v>45814</v>
      </c>
      <c r="B4122" t="s">
        <v>15</v>
      </c>
      <c r="C4122" t="s">
        <v>16</v>
      </c>
      <c r="D4122" s="1">
        <v>45855</v>
      </c>
      <c r="E4122" t="s">
        <v>19</v>
      </c>
      <c r="F4122">
        <v>5250</v>
      </c>
      <c r="J4122">
        <v>107.9</v>
      </c>
      <c r="K4122">
        <v>139.6</v>
      </c>
      <c r="L4122">
        <v>0</v>
      </c>
      <c r="M4122" t="s">
        <v>18</v>
      </c>
      <c r="N4122">
        <v>0</v>
      </c>
      <c r="O4122">
        <v>0</v>
      </c>
    </row>
    <row r="4123" spans="1:15" x14ac:dyDescent="0.2">
      <c r="A4123" s="6">
        <v>45814</v>
      </c>
      <c r="B4123" t="s">
        <v>15</v>
      </c>
      <c r="C4123" t="s">
        <v>16</v>
      </c>
      <c r="D4123" s="1">
        <v>45855</v>
      </c>
      <c r="E4123" t="s">
        <v>17</v>
      </c>
      <c r="F4123">
        <v>4750</v>
      </c>
      <c r="J4123">
        <v>728.4</v>
      </c>
      <c r="K4123">
        <v>654.1</v>
      </c>
      <c r="L4123">
        <v>0</v>
      </c>
      <c r="M4123" t="s">
        <v>18</v>
      </c>
      <c r="N4123">
        <v>0</v>
      </c>
      <c r="O4123">
        <v>0</v>
      </c>
    </row>
    <row r="4124" spans="1:15" x14ac:dyDescent="0.2">
      <c r="A4124" s="6">
        <v>45814</v>
      </c>
      <c r="B4124" t="s">
        <v>15</v>
      </c>
      <c r="C4124" t="s">
        <v>16</v>
      </c>
      <c r="D4124" s="1">
        <v>45855</v>
      </c>
      <c r="E4124" t="s">
        <v>17</v>
      </c>
      <c r="F4124">
        <v>5200</v>
      </c>
      <c r="J4124">
        <v>359.7</v>
      </c>
      <c r="K4124">
        <v>306.8</v>
      </c>
      <c r="L4124">
        <v>0</v>
      </c>
      <c r="M4124" t="s">
        <v>18</v>
      </c>
      <c r="N4124">
        <v>0</v>
      </c>
      <c r="O4124">
        <v>7</v>
      </c>
    </row>
    <row r="4125" spans="1:15" x14ac:dyDescent="0.2">
      <c r="A4125" s="6">
        <v>45814</v>
      </c>
      <c r="B4125" t="s">
        <v>15</v>
      </c>
      <c r="C4125" t="s">
        <v>16</v>
      </c>
      <c r="D4125" s="1">
        <v>45855</v>
      </c>
      <c r="E4125" t="s">
        <v>19</v>
      </c>
      <c r="F4125">
        <v>3600</v>
      </c>
      <c r="J4125">
        <v>0.1</v>
      </c>
      <c r="K4125">
        <v>0.1</v>
      </c>
      <c r="L4125">
        <v>0</v>
      </c>
      <c r="M4125" t="s">
        <v>18</v>
      </c>
      <c r="N4125">
        <v>0</v>
      </c>
      <c r="O4125">
        <v>0</v>
      </c>
    </row>
    <row r="4126" spans="1:15" x14ac:dyDescent="0.2">
      <c r="A4126" s="6">
        <v>45814</v>
      </c>
      <c r="B4126" t="s">
        <v>15</v>
      </c>
      <c r="C4126" t="s">
        <v>16</v>
      </c>
      <c r="D4126" s="1">
        <v>45855</v>
      </c>
      <c r="E4126" t="s">
        <v>19</v>
      </c>
      <c r="F4126">
        <v>4900</v>
      </c>
      <c r="J4126">
        <v>28.2</v>
      </c>
      <c r="K4126">
        <v>40.799999999999997</v>
      </c>
      <c r="L4126">
        <v>0</v>
      </c>
      <c r="M4126" t="s">
        <v>18</v>
      </c>
      <c r="N4126">
        <v>0</v>
      </c>
      <c r="O4126">
        <v>0</v>
      </c>
    </row>
    <row r="4127" spans="1:15" x14ac:dyDescent="0.2">
      <c r="A4127" s="6">
        <v>45814</v>
      </c>
      <c r="B4127" t="s">
        <v>15</v>
      </c>
      <c r="C4127" t="s">
        <v>16</v>
      </c>
      <c r="D4127" s="1">
        <v>45855</v>
      </c>
      <c r="E4127" t="s">
        <v>17</v>
      </c>
      <c r="F4127">
        <v>4400</v>
      </c>
      <c r="J4127">
        <v>1063.9000000000001</v>
      </c>
      <c r="K4127">
        <v>983.5</v>
      </c>
      <c r="L4127">
        <v>0</v>
      </c>
      <c r="M4127" t="s">
        <v>18</v>
      </c>
      <c r="N4127">
        <v>0</v>
      </c>
      <c r="O4127">
        <v>0</v>
      </c>
    </row>
    <row r="4128" spans="1:15" x14ac:dyDescent="0.2">
      <c r="A4128" s="6">
        <v>45814</v>
      </c>
      <c r="B4128" t="s">
        <v>15</v>
      </c>
      <c r="C4128" t="s">
        <v>16</v>
      </c>
      <c r="D4128" s="1">
        <v>45855</v>
      </c>
      <c r="E4128" t="s">
        <v>17</v>
      </c>
      <c r="F4128">
        <v>4100</v>
      </c>
      <c r="J4128">
        <v>1360.3</v>
      </c>
      <c r="K4128">
        <v>1278.8</v>
      </c>
      <c r="L4128">
        <v>0</v>
      </c>
      <c r="M4128" t="s">
        <v>18</v>
      </c>
      <c r="N4128">
        <v>0</v>
      </c>
      <c r="O4128">
        <v>0</v>
      </c>
    </row>
    <row r="4129" spans="1:15" x14ac:dyDescent="0.2">
      <c r="A4129" s="6">
        <v>45814</v>
      </c>
      <c r="B4129" t="s">
        <v>15</v>
      </c>
      <c r="C4129" t="s">
        <v>16</v>
      </c>
      <c r="D4129" s="1">
        <v>45855</v>
      </c>
      <c r="E4129" t="s">
        <v>17</v>
      </c>
      <c r="F4129">
        <v>5000</v>
      </c>
      <c r="J4129">
        <v>510.1</v>
      </c>
      <c r="K4129">
        <v>480.9</v>
      </c>
      <c r="L4129">
        <v>0</v>
      </c>
      <c r="M4129" t="s">
        <v>18</v>
      </c>
      <c r="N4129">
        <v>0</v>
      </c>
      <c r="O4129">
        <v>6</v>
      </c>
    </row>
    <row r="4130" spans="1:15" x14ac:dyDescent="0.2">
      <c r="A4130" s="6">
        <v>45814</v>
      </c>
      <c r="B4130" t="s">
        <v>15</v>
      </c>
      <c r="C4130" t="s">
        <v>16</v>
      </c>
      <c r="D4130" s="1">
        <v>45855</v>
      </c>
      <c r="E4130" t="s">
        <v>17</v>
      </c>
      <c r="F4130">
        <v>4350</v>
      </c>
      <c r="J4130">
        <v>1113</v>
      </c>
      <c r="K4130">
        <v>1032.4000000000001</v>
      </c>
      <c r="L4130">
        <v>0</v>
      </c>
      <c r="M4130" t="s">
        <v>18</v>
      </c>
      <c r="N4130">
        <v>0</v>
      </c>
      <c r="O4130">
        <v>0</v>
      </c>
    </row>
    <row r="4131" spans="1:15" x14ac:dyDescent="0.2">
      <c r="A4131" s="6">
        <v>45814</v>
      </c>
      <c r="B4131" t="s">
        <v>15</v>
      </c>
      <c r="C4131" t="s">
        <v>16</v>
      </c>
      <c r="D4131" s="1">
        <v>45855</v>
      </c>
      <c r="E4131" t="s">
        <v>17</v>
      </c>
      <c r="F4131">
        <v>3700</v>
      </c>
      <c r="J4131">
        <v>1757.3</v>
      </c>
      <c r="K4131">
        <v>1675.6</v>
      </c>
      <c r="L4131">
        <v>0</v>
      </c>
      <c r="M4131" t="s">
        <v>18</v>
      </c>
      <c r="N4131">
        <v>0</v>
      </c>
      <c r="O4131">
        <v>0</v>
      </c>
    </row>
    <row r="4132" spans="1:15" x14ac:dyDescent="0.2">
      <c r="A4132" s="6">
        <v>45814</v>
      </c>
      <c r="B4132" t="s">
        <v>15</v>
      </c>
      <c r="C4132" t="s">
        <v>16</v>
      </c>
      <c r="D4132" s="1">
        <v>45855</v>
      </c>
      <c r="E4132" t="s">
        <v>17</v>
      </c>
      <c r="F4132">
        <v>5150</v>
      </c>
      <c r="J4132">
        <v>394.8</v>
      </c>
      <c r="K4132">
        <v>338.9</v>
      </c>
      <c r="L4132">
        <v>0</v>
      </c>
      <c r="M4132" t="s">
        <v>18</v>
      </c>
      <c r="N4132">
        <v>0</v>
      </c>
      <c r="O4132">
        <v>2</v>
      </c>
    </row>
    <row r="4133" spans="1:15" x14ac:dyDescent="0.2">
      <c r="A4133" s="6">
        <v>45814</v>
      </c>
      <c r="B4133" t="s">
        <v>15</v>
      </c>
      <c r="C4133" t="s">
        <v>16</v>
      </c>
      <c r="D4133" s="1">
        <v>45855</v>
      </c>
      <c r="E4133" t="s">
        <v>17</v>
      </c>
      <c r="F4133">
        <v>5950</v>
      </c>
      <c r="J4133">
        <v>53.1</v>
      </c>
      <c r="K4133">
        <v>41.3</v>
      </c>
      <c r="L4133">
        <v>0</v>
      </c>
      <c r="M4133" t="s">
        <v>18</v>
      </c>
      <c r="N4133">
        <v>0</v>
      </c>
      <c r="O4133">
        <v>0</v>
      </c>
    </row>
    <row r="4134" spans="1:15" x14ac:dyDescent="0.2">
      <c r="A4134" s="6">
        <v>45814</v>
      </c>
      <c r="B4134" t="s">
        <v>15</v>
      </c>
      <c r="C4134" t="s">
        <v>16</v>
      </c>
      <c r="D4134" s="1">
        <v>45855</v>
      </c>
      <c r="E4134" t="s">
        <v>19</v>
      </c>
      <c r="F4134">
        <v>6150</v>
      </c>
      <c r="J4134">
        <v>702.1</v>
      </c>
      <c r="K4134">
        <v>776.9</v>
      </c>
      <c r="L4134">
        <v>0</v>
      </c>
      <c r="M4134" t="s">
        <v>18</v>
      </c>
      <c r="N4134">
        <v>0</v>
      </c>
      <c r="O4134">
        <v>0</v>
      </c>
    </row>
    <row r="4135" spans="1:15" x14ac:dyDescent="0.2">
      <c r="A4135" s="6">
        <v>45814</v>
      </c>
      <c r="B4135" t="s">
        <v>15</v>
      </c>
      <c r="C4135" t="s">
        <v>16</v>
      </c>
      <c r="D4135" s="1">
        <v>45855</v>
      </c>
      <c r="E4135" t="s">
        <v>17</v>
      </c>
      <c r="F4135">
        <v>4500</v>
      </c>
      <c r="J4135">
        <v>966.1</v>
      </c>
      <c r="K4135">
        <v>886.8</v>
      </c>
      <c r="L4135">
        <v>0</v>
      </c>
      <c r="M4135" t="s">
        <v>18</v>
      </c>
      <c r="N4135">
        <v>0</v>
      </c>
      <c r="O4135">
        <v>0</v>
      </c>
    </row>
    <row r="4136" spans="1:15" x14ac:dyDescent="0.2">
      <c r="A4136" s="6">
        <v>45814</v>
      </c>
      <c r="B4136" t="s">
        <v>15</v>
      </c>
      <c r="C4136" t="s">
        <v>16</v>
      </c>
      <c r="D4136" s="1">
        <v>45855</v>
      </c>
      <c r="E4136" t="s">
        <v>17</v>
      </c>
      <c r="F4136">
        <v>3850</v>
      </c>
      <c r="J4136">
        <v>1608.4</v>
      </c>
      <c r="K4136">
        <v>1526.7</v>
      </c>
      <c r="L4136">
        <v>0</v>
      </c>
      <c r="M4136" t="s">
        <v>18</v>
      </c>
      <c r="N4136">
        <v>0</v>
      </c>
      <c r="O4136">
        <v>0</v>
      </c>
    </row>
    <row r="4137" spans="1:15" x14ac:dyDescent="0.2">
      <c r="A4137" s="6">
        <v>45814</v>
      </c>
      <c r="B4137" t="s">
        <v>15</v>
      </c>
      <c r="C4137" t="s">
        <v>16</v>
      </c>
      <c r="D4137" s="1">
        <v>45855</v>
      </c>
      <c r="E4137" t="s">
        <v>17</v>
      </c>
      <c r="F4137">
        <v>6600</v>
      </c>
      <c r="J4137">
        <v>4.5999999999999996</v>
      </c>
      <c r="K4137">
        <v>3.4</v>
      </c>
      <c r="L4137">
        <v>0</v>
      </c>
      <c r="M4137" t="s">
        <v>18</v>
      </c>
      <c r="N4137">
        <v>0</v>
      </c>
      <c r="O4137">
        <v>0</v>
      </c>
    </row>
    <row r="4138" spans="1:15" x14ac:dyDescent="0.2">
      <c r="A4138" s="6">
        <v>45814</v>
      </c>
      <c r="B4138" t="s">
        <v>15</v>
      </c>
      <c r="C4138" t="s">
        <v>16</v>
      </c>
      <c r="D4138" s="1">
        <v>45855</v>
      </c>
      <c r="E4138" t="s">
        <v>17</v>
      </c>
      <c r="F4138">
        <v>6400</v>
      </c>
      <c r="J4138">
        <v>10.5</v>
      </c>
      <c r="K4138">
        <v>7.8</v>
      </c>
      <c r="L4138">
        <v>0</v>
      </c>
      <c r="M4138" t="s">
        <v>18</v>
      </c>
      <c r="N4138">
        <v>0</v>
      </c>
      <c r="O4138">
        <v>0</v>
      </c>
    </row>
    <row r="4139" spans="1:15" x14ac:dyDescent="0.2">
      <c r="A4139" s="6">
        <v>45814</v>
      </c>
      <c r="B4139" t="s">
        <v>15</v>
      </c>
      <c r="C4139" t="s">
        <v>16</v>
      </c>
      <c r="D4139" s="1">
        <v>45855</v>
      </c>
      <c r="E4139" t="s">
        <v>19</v>
      </c>
      <c r="F4139">
        <v>6200</v>
      </c>
      <c r="J4139">
        <v>747.3</v>
      </c>
      <c r="K4139">
        <v>823.1</v>
      </c>
      <c r="L4139">
        <v>0</v>
      </c>
      <c r="M4139" t="s">
        <v>18</v>
      </c>
      <c r="N4139">
        <v>0</v>
      </c>
      <c r="O4139">
        <v>0</v>
      </c>
    </row>
    <row r="4140" spans="1:15" x14ac:dyDescent="0.2">
      <c r="A4140" s="6">
        <v>45814</v>
      </c>
      <c r="B4140" t="s">
        <v>15</v>
      </c>
      <c r="C4140" t="s">
        <v>16</v>
      </c>
      <c r="D4140" s="1">
        <v>45855</v>
      </c>
      <c r="E4140" t="s">
        <v>17</v>
      </c>
      <c r="F4140">
        <v>5750</v>
      </c>
      <c r="J4140">
        <v>97.5</v>
      </c>
      <c r="K4140">
        <v>77.5</v>
      </c>
      <c r="L4140">
        <v>0</v>
      </c>
      <c r="M4140" t="s">
        <v>18</v>
      </c>
      <c r="N4140">
        <v>0</v>
      </c>
      <c r="O4140">
        <v>0</v>
      </c>
    </row>
    <row r="4141" spans="1:15" x14ac:dyDescent="0.2">
      <c r="A4141" s="6">
        <v>45814</v>
      </c>
      <c r="B4141" t="s">
        <v>15</v>
      </c>
      <c r="C4141" t="s">
        <v>16</v>
      </c>
      <c r="D4141" s="1">
        <v>45855</v>
      </c>
      <c r="E4141" t="s">
        <v>19</v>
      </c>
      <c r="F4141">
        <v>4250</v>
      </c>
      <c r="J4141">
        <v>0.5</v>
      </c>
      <c r="K4141">
        <v>0.9</v>
      </c>
      <c r="L4141">
        <v>0</v>
      </c>
      <c r="M4141" t="s">
        <v>18</v>
      </c>
      <c r="N4141">
        <v>0</v>
      </c>
      <c r="O4141">
        <v>0</v>
      </c>
    </row>
    <row r="4142" spans="1:15" x14ac:dyDescent="0.2">
      <c r="A4142" s="6">
        <v>45814</v>
      </c>
      <c r="B4142" t="s">
        <v>15</v>
      </c>
      <c r="C4142" t="s">
        <v>16</v>
      </c>
      <c r="D4142" s="1">
        <v>45855</v>
      </c>
      <c r="E4142" t="s">
        <v>19</v>
      </c>
      <c r="F4142">
        <v>4950</v>
      </c>
      <c r="J4142">
        <v>35.200000000000003</v>
      </c>
      <c r="K4142">
        <v>50</v>
      </c>
      <c r="L4142">
        <v>0</v>
      </c>
      <c r="M4142" t="s">
        <v>18</v>
      </c>
      <c r="N4142">
        <v>0</v>
      </c>
      <c r="O4142">
        <v>0</v>
      </c>
    </row>
    <row r="4143" spans="1:15" x14ac:dyDescent="0.2">
      <c r="A4143" s="6">
        <v>45814</v>
      </c>
      <c r="B4143" t="s">
        <v>15</v>
      </c>
      <c r="C4143" t="s">
        <v>16</v>
      </c>
      <c r="D4143" s="1">
        <v>45855</v>
      </c>
      <c r="E4143" t="s">
        <v>19</v>
      </c>
      <c r="F4143">
        <v>5050</v>
      </c>
      <c r="J4143">
        <v>53.1</v>
      </c>
      <c r="K4143">
        <v>73</v>
      </c>
      <c r="L4143">
        <v>0</v>
      </c>
      <c r="M4143" t="s">
        <v>18</v>
      </c>
      <c r="N4143">
        <v>0</v>
      </c>
      <c r="O4143">
        <v>0</v>
      </c>
    </row>
    <row r="4144" spans="1:15" x14ac:dyDescent="0.2">
      <c r="A4144" s="6">
        <v>45814</v>
      </c>
      <c r="B4144" t="s">
        <v>15</v>
      </c>
      <c r="C4144" t="s">
        <v>16</v>
      </c>
      <c r="D4144" s="1">
        <v>45855</v>
      </c>
      <c r="E4144" t="s">
        <v>19</v>
      </c>
      <c r="F4144">
        <v>5900</v>
      </c>
      <c r="J4144">
        <v>489.2</v>
      </c>
      <c r="K4144">
        <v>556.9</v>
      </c>
      <c r="L4144">
        <v>0</v>
      </c>
      <c r="M4144" t="s">
        <v>18</v>
      </c>
      <c r="N4144">
        <v>0</v>
      </c>
      <c r="O4144">
        <v>0</v>
      </c>
    </row>
    <row r="4145" spans="1:15" x14ac:dyDescent="0.2">
      <c r="A4145" s="6">
        <v>45814</v>
      </c>
      <c r="B4145" t="s">
        <v>15</v>
      </c>
      <c r="C4145" t="s">
        <v>16</v>
      </c>
      <c r="D4145" s="1">
        <v>45855</v>
      </c>
      <c r="E4145" t="s">
        <v>19</v>
      </c>
      <c r="F4145">
        <v>4600</v>
      </c>
      <c r="J4145">
        <v>5.8</v>
      </c>
      <c r="K4145">
        <v>9.5</v>
      </c>
      <c r="L4145">
        <v>0</v>
      </c>
      <c r="M4145" t="s">
        <v>18</v>
      </c>
      <c r="N4145">
        <v>0</v>
      </c>
      <c r="O4145">
        <v>0</v>
      </c>
    </row>
    <row r="4146" spans="1:15" x14ac:dyDescent="0.2">
      <c r="A4146" s="6">
        <v>45814</v>
      </c>
      <c r="B4146" t="s">
        <v>15</v>
      </c>
      <c r="C4146" t="s">
        <v>16</v>
      </c>
      <c r="D4146" s="1">
        <v>45855</v>
      </c>
      <c r="E4146" t="s">
        <v>19</v>
      </c>
      <c r="F4146">
        <v>4450</v>
      </c>
      <c r="J4146">
        <v>2.2000000000000002</v>
      </c>
      <c r="K4146">
        <v>3.9</v>
      </c>
      <c r="L4146">
        <v>0</v>
      </c>
      <c r="M4146" t="s">
        <v>18</v>
      </c>
      <c r="N4146">
        <v>0</v>
      </c>
      <c r="O4146">
        <v>0</v>
      </c>
    </row>
    <row r="4147" spans="1:15" x14ac:dyDescent="0.2">
      <c r="A4147" s="6">
        <v>45814</v>
      </c>
      <c r="B4147" t="s">
        <v>15</v>
      </c>
      <c r="C4147" t="s">
        <v>16</v>
      </c>
      <c r="D4147" s="1">
        <v>45855</v>
      </c>
      <c r="E4147" t="s">
        <v>19</v>
      </c>
      <c r="F4147">
        <v>5400</v>
      </c>
      <c r="G4147">
        <v>218.2</v>
      </c>
      <c r="H4147">
        <v>218.5</v>
      </c>
      <c r="I4147">
        <v>207.7</v>
      </c>
      <c r="J4147">
        <v>214.8</v>
      </c>
      <c r="K4147">
        <v>209.6</v>
      </c>
      <c r="L4147">
        <v>3</v>
      </c>
      <c r="M4147" t="s">
        <v>34</v>
      </c>
      <c r="N4147">
        <v>16.84</v>
      </c>
      <c r="O4147">
        <v>10</v>
      </c>
    </row>
    <row r="4148" spans="1:15" x14ac:dyDescent="0.2">
      <c r="A4148" s="6">
        <v>45814</v>
      </c>
      <c r="B4148" t="s">
        <v>15</v>
      </c>
      <c r="C4148" t="s">
        <v>16</v>
      </c>
      <c r="D4148" s="1">
        <v>45855</v>
      </c>
      <c r="E4148" t="s">
        <v>17</v>
      </c>
      <c r="F4148">
        <v>3750</v>
      </c>
      <c r="J4148">
        <v>1707.7</v>
      </c>
      <c r="K4148">
        <v>1626</v>
      </c>
      <c r="L4148">
        <v>0</v>
      </c>
      <c r="M4148" t="s">
        <v>18</v>
      </c>
      <c r="N4148">
        <v>0</v>
      </c>
      <c r="O4148">
        <v>0</v>
      </c>
    </row>
    <row r="4149" spans="1:15" x14ac:dyDescent="0.2">
      <c r="A4149" s="6">
        <v>45814</v>
      </c>
      <c r="B4149" t="s">
        <v>15</v>
      </c>
      <c r="C4149" t="s">
        <v>16</v>
      </c>
      <c r="D4149" s="1">
        <v>45855</v>
      </c>
      <c r="E4149" t="s">
        <v>19</v>
      </c>
      <c r="F4149">
        <v>6400</v>
      </c>
      <c r="J4149">
        <v>933.9</v>
      </c>
      <c r="K4149">
        <v>1012.4</v>
      </c>
      <c r="L4149">
        <v>0</v>
      </c>
      <c r="M4149" t="s">
        <v>18</v>
      </c>
      <c r="N4149">
        <v>0</v>
      </c>
      <c r="O4149">
        <v>0</v>
      </c>
    </row>
    <row r="4150" spans="1:15" x14ac:dyDescent="0.2">
      <c r="A4150" s="6">
        <v>45814</v>
      </c>
      <c r="B4150" t="s">
        <v>15</v>
      </c>
      <c r="C4150" t="s">
        <v>16</v>
      </c>
      <c r="D4150" s="1">
        <v>45855</v>
      </c>
      <c r="E4150" t="s">
        <v>19</v>
      </c>
      <c r="F4150">
        <v>5300</v>
      </c>
      <c r="G4150">
        <v>206.5</v>
      </c>
      <c r="H4150">
        <v>206.5</v>
      </c>
      <c r="I4150">
        <v>179.9</v>
      </c>
      <c r="J4150">
        <v>187.3</v>
      </c>
      <c r="K4150">
        <v>196.6</v>
      </c>
      <c r="L4150">
        <v>4</v>
      </c>
      <c r="M4150" t="s">
        <v>78</v>
      </c>
      <c r="N4150">
        <v>21.95</v>
      </c>
      <c r="O4150">
        <v>11</v>
      </c>
    </row>
    <row r="4151" spans="1:15" x14ac:dyDescent="0.2">
      <c r="A4151" s="6">
        <v>45814</v>
      </c>
      <c r="B4151" t="s">
        <v>15</v>
      </c>
      <c r="C4151" t="s">
        <v>16</v>
      </c>
      <c r="D4151" s="1">
        <v>45855</v>
      </c>
      <c r="E4151" t="s">
        <v>19</v>
      </c>
      <c r="F4151">
        <v>3700</v>
      </c>
      <c r="J4151">
        <v>0.1</v>
      </c>
      <c r="K4151">
        <v>0.1</v>
      </c>
      <c r="L4151">
        <v>0</v>
      </c>
      <c r="M4151" t="s">
        <v>18</v>
      </c>
      <c r="N4151">
        <v>0</v>
      </c>
      <c r="O4151">
        <v>0</v>
      </c>
    </row>
    <row r="4152" spans="1:15" x14ac:dyDescent="0.2">
      <c r="A4152" s="6">
        <v>45814</v>
      </c>
      <c r="B4152" t="s">
        <v>15</v>
      </c>
      <c r="C4152" t="s">
        <v>16</v>
      </c>
      <c r="D4152" s="1">
        <v>45855</v>
      </c>
      <c r="E4152" t="s">
        <v>17</v>
      </c>
      <c r="F4152">
        <v>5600</v>
      </c>
      <c r="G4152">
        <v>175</v>
      </c>
      <c r="H4152">
        <v>198</v>
      </c>
      <c r="I4152">
        <v>175</v>
      </c>
      <c r="J4152">
        <v>179.5</v>
      </c>
      <c r="K4152">
        <v>163.1</v>
      </c>
      <c r="L4152">
        <v>13</v>
      </c>
      <c r="M4152" t="s">
        <v>121</v>
      </c>
      <c r="N4152">
        <v>75.13</v>
      </c>
      <c r="O4152">
        <v>41</v>
      </c>
    </row>
    <row r="4153" spans="1:15" x14ac:dyDescent="0.2">
      <c r="A4153" s="6">
        <v>45814</v>
      </c>
      <c r="B4153" t="s">
        <v>15</v>
      </c>
      <c r="C4153" t="s">
        <v>16</v>
      </c>
      <c r="D4153" s="1">
        <v>45855</v>
      </c>
      <c r="E4153" t="s">
        <v>17</v>
      </c>
      <c r="F4153">
        <v>6550</v>
      </c>
      <c r="J4153">
        <v>5.7</v>
      </c>
      <c r="K4153">
        <v>4.2</v>
      </c>
      <c r="L4153">
        <v>0</v>
      </c>
      <c r="M4153" t="s">
        <v>18</v>
      </c>
      <c r="N4153">
        <v>0</v>
      </c>
      <c r="O4153">
        <v>0</v>
      </c>
    </row>
    <row r="4154" spans="1:15" x14ac:dyDescent="0.2">
      <c r="A4154" s="6">
        <v>45814</v>
      </c>
      <c r="B4154" t="s">
        <v>15</v>
      </c>
      <c r="C4154" t="s">
        <v>16</v>
      </c>
      <c r="D4154" s="1">
        <v>45855</v>
      </c>
      <c r="E4154" t="s">
        <v>17</v>
      </c>
      <c r="F4154">
        <v>6050</v>
      </c>
      <c r="J4154">
        <v>38.200000000000003</v>
      </c>
      <c r="K4154">
        <v>29.3</v>
      </c>
      <c r="L4154">
        <v>0</v>
      </c>
      <c r="M4154" t="s">
        <v>18</v>
      </c>
      <c r="N4154">
        <v>0</v>
      </c>
      <c r="O4154">
        <v>0</v>
      </c>
    </row>
    <row r="4155" spans="1:15" x14ac:dyDescent="0.2">
      <c r="A4155" s="6">
        <v>45814</v>
      </c>
      <c r="B4155" t="s">
        <v>15</v>
      </c>
      <c r="C4155" t="s">
        <v>16</v>
      </c>
      <c r="D4155" s="1">
        <v>45855</v>
      </c>
      <c r="E4155" t="s">
        <v>19</v>
      </c>
      <c r="F4155">
        <v>5450</v>
      </c>
      <c r="J4155">
        <v>192.3</v>
      </c>
      <c r="K4155">
        <v>236.8</v>
      </c>
      <c r="L4155">
        <v>0</v>
      </c>
      <c r="M4155" t="s">
        <v>18</v>
      </c>
      <c r="N4155">
        <v>0</v>
      </c>
      <c r="O4155">
        <v>5</v>
      </c>
    </row>
    <row r="4156" spans="1:15" x14ac:dyDescent="0.2">
      <c r="A4156" s="6">
        <v>45814</v>
      </c>
      <c r="B4156" t="s">
        <v>15</v>
      </c>
      <c r="C4156" t="s">
        <v>16</v>
      </c>
      <c r="D4156" s="1">
        <v>45855</v>
      </c>
      <c r="E4156" t="s">
        <v>17</v>
      </c>
      <c r="F4156">
        <v>6650</v>
      </c>
      <c r="J4156">
        <v>3.7</v>
      </c>
      <c r="K4156">
        <v>2.7</v>
      </c>
      <c r="L4156">
        <v>0</v>
      </c>
      <c r="M4156" t="s">
        <v>18</v>
      </c>
      <c r="N4156">
        <v>0</v>
      </c>
      <c r="O4156">
        <v>0</v>
      </c>
    </row>
    <row r="4157" spans="1:15" x14ac:dyDescent="0.2">
      <c r="A4157" s="6">
        <v>45814</v>
      </c>
      <c r="B4157" t="s">
        <v>15</v>
      </c>
      <c r="C4157" t="s">
        <v>16</v>
      </c>
      <c r="D4157" s="1">
        <v>45855</v>
      </c>
      <c r="E4157" t="s">
        <v>19</v>
      </c>
      <c r="F4157">
        <v>4700</v>
      </c>
      <c r="J4157">
        <v>10.3</v>
      </c>
      <c r="K4157">
        <v>16.2</v>
      </c>
      <c r="L4157">
        <v>0</v>
      </c>
      <c r="M4157" t="s">
        <v>18</v>
      </c>
      <c r="N4157">
        <v>0</v>
      </c>
      <c r="O4157">
        <v>0</v>
      </c>
    </row>
    <row r="4158" spans="1:15" x14ac:dyDescent="0.2">
      <c r="A4158" s="6">
        <v>45814</v>
      </c>
      <c r="B4158" t="s">
        <v>15</v>
      </c>
      <c r="C4158" t="s">
        <v>16</v>
      </c>
      <c r="D4158" s="1">
        <v>45855</v>
      </c>
      <c r="E4158" t="s">
        <v>19</v>
      </c>
      <c r="F4158">
        <v>3750</v>
      </c>
      <c r="J4158">
        <v>0.1</v>
      </c>
      <c r="K4158">
        <v>0.1</v>
      </c>
      <c r="L4158">
        <v>0</v>
      </c>
      <c r="M4158" t="s">
        <v>18</v>
      </c>
      <c r="N4158">
        <v>0</v>
      </c>
      <c r="O4158">
        <v>0</v>
      </c>
    </row>
    <row r="4159" spans="1:15" x14ac:dyDescent="0.2">
      <c r="A4159" s="6">
        <v>45814</v>
      </c>
      <c r="B4159" t="s">
        <v>15</v>
      </c>
      <c r="C4159" t="s">
        <v>16</v>
      </c>
      <c r="D4159" s="1">
        <v>45855</v>
      </c>
      <c r="E4159" t="s">
        <v>19</v>
      </c>
      <c r="F4159">
        <v>5700</v>
      </c>
      <c r="J4159">
        <v>340.6</v>
      </c>
      <c r="K4159">
        <v>399.5</v>
      </c>
      <c r="L4159">
        <v>0</v>
      </c>
      <c r="M4159" t="s">
        <v>18</v>
      </c>
      <c r="N4159">
        <v>0</v>
      </c>
      <c r="O4159">
        <v>0</v>
      </c>
    </row>
    <row r="4160" spans="1:15" x14ac:dyDescent="0.2">
      <c r="A4160" s="6">
        <v>45814</v>
      </c>
      <c r="B4160" t="s">
        <v>15</v>
      </c>
      <c r="C4160" t="s">
        <v>16</v>
      </c>
      <c r="D4160" s="1">
        <v>45855</v>
      </c>
      <c r="E4160" t="s">
        <v>19</v>
      </c>
      <c r="F4160">
        <v>4550</v>
      </c>
      <c r="J4160">
        <v>4.2</v>
      </c>
      <c r="K4160">
        <v>7.2</v>
      </c>
      <c r="L4160">
        <v>0</v>
      </c>
      <c r="M4160" t="s">
        <v>18</v>
      </c>
      <c r="N4160">
        <v>0</v>
      </c>
      <c r="O4160">
        <v>0</v>
      </c>
    </row>
    <row r="4161" spans="1:15" x14ac:dyDescent="0.2">
      <c r="A4161" s="6">
        <v>45814</v>
      </c>
      <c r="B4161" t="s">
        <v>15</v>
      </c>
      <c r="C4161" t="s">
        <v>16</v>
      </c>
      <c r="D4161" s="1">
        <v>45855</v>
      </c>
      <c r="E4161" t="s">
        <v>19</v>
      </c>
      <c r="F4161">
        <v>6250</v>
      </c>
      <c r="J4161">
        <v>793.2</v>
      </c>
      <c r="K4161">
        <v>869.8</v>
      </c>
      <c r="L4161">
        <v>0</v>
      </c>
      <c r="M4161" t="s">
        <v>18</v>
      </c>
      <c r="N4161">
        <v>0</v>
      </c>
      <c r="O4161">
        <v>0</v>
      </c>
    </row>
    <row r="4162" spans="1:15" x14ac:dyDescent="0.2">
      <c r="A4162" s="6">
        <v>45814</v>
      </c>
      <c r="B4162" t="s">
        <v>15</v>
      </c>
      <c r="C4162" t="s">
        <v>16</v>
      </c>
      <c r="D4162" s="1">
        <v>45855</v>
      </c>
      <c r="E4162" t="s">
        <v>19</v>
      </c>
      <c r="F4162">
        <v>5200</v>
      </c>
      <c r="G4162">
        <v>155</v>
      </c>
      <c r="H4162">
        <v>155</v>
      </c>
      <c r="I4162">
        <v>120.1</v>
      </c>
      <c r="J4162">
        <v>134.5</v>
      </c>
      <c r="K4162">
        <v>157.80000000000001</v>
      </c>
      <c r="L4162">
        <v>22</v>
      </c>
      <c r="M4162" t="s">
        <v>935</v>
      </c>
      <c r="N4162">
        <v>117.5</v>
      </c>
      <c r="O4162">
        <v>50</v>
      </c>
    </row>
    <row r="4163" spans="1:15" x14ac:dyDescent="0.2">
      <c r="A4163" s="6">
        <v>45814</v>
      </c>
      <c r="B4163" t="s">
        <v>15</v>
      </c>
      <c r="C4163" t="s">
        <v>16</v>
      </c>
      <c r="D4163" s="1">
        <v>45855</v>
      </c>
      <c r="E4163" t="s">
        <v>17</v>
      </c>
      <c r="F4163">
        <v>6200</v>
      </c>
      <c r="J4163">
        <v>22.5</v>
      </c>
      <c r="K4163">
        <v>17.100000000000001</v>
      </c>
      <c r="L4163">
        <v>0</v>
      </c>
      <c r="M4163" t="s">
        <v>18</v>
      </c>
      <c r="N4163">
        <v>0</v>
      </c>
      <c r="O4163">
        <v>0</v>
      </c>
    </row>
    <row r="4164" spans="1:15" x14ac:dyDescent="0.2">
      <c r="A4164" s="6">
        <v>45814</v>
      </c>
      <c r="B4164" t="s">
        <v>15</v>
      </c>
      <c r="C4164" t="s">
        <v>16</v>
      </c>
      <c r="D4164" s="1">
        <v>45855</v>
      </c>
      <c r="E4164" t="s">
        <v>17</v>
      </c>
      <c r="F4164">
        <v>5050</v>
      </c>
      <c r="J4164">
        <v>470.1</v>
      </c>
      <c r="K4164">
        <v>408.5</v>
      </c>
      <c r="L4164">
        <v>0</v>
      </c>
      <c r="M4164" t="s">
        <v>18</v>
      </c>
      <c r="N4164">
        <v>0</v>
      </c>
      <c r="O4164">
        <v>0</v>
      </c>
    </row>
    <row r="4165" spans="1:15" x14ac:dyDescent="0.2">
      <c r="A4165" s="6">
        <v>45814</v>
      </c>
      <c r="B4165" t="s">
        <v>15</v>
      </c>
      <c r="C4165" t="s">
        <v>16</v>
      </c>
      <c r="D4165" s="1">
        <v>45855</v>
      </c>
      <c r="E4165" t="s">
        <v>17</v>
      </c>
      <c r="F4165">
        <v>6250</v>
      </c>
      <c r="J4165">
        <v>18.7</v>
      </c>
      <c r="K4165">
        <v>14.1</v>
      </c>
      <c r="L4165">
        <v>0</v>
      </c>
      <c r="M4165" t="s">
        <v>18</v>
      </c>
      <c r="N4165">
        <v>0</v>
      </c>
      <c r="O4165">
        <v>0</v>
      </c>
    </row>
    <row r="4166" spans="1:15" x14ac:dyDescent="0.2">
      <c r="A4166" s="6">
        <v>45814</v>
      </c>
      <c r="B4166" t="s">
        <v>15</v>
      </c>
      <c r="C4166" t="s">
        <v>16</v>
      </c>
      <c r="D4166" s="1">
        <v>45855</v>
      </c>
      <c r="E4166" t="s">
        <v>19</v>
      </c>
      <c r="F4166">
        <v>3900</v>
      </c>
      <c r="J4166">
        <v>0.1</v>
      </c>
      <c r="K4166">
        <v>0.1</v>
      </c>
      <c r="L4166">
        <v>0</v>
      </c>
      <c r="M4166" t="s">
        <v>18</v>
      </c>
      <c r="N4166">
        <v>0</v>
      </c>
      <c r="O4166">
        <v>0</v>
      </c>
    </row>
    <row r="4167" spans="1:15" x14ac:dyDescent="0.2">
      <c r="A4167" s="6">
        <v>45814</v>
      </c>
      <c r="B4167" t="s">
        <v>15</v>
      </c>
      <c r="C4167" t="s">
        <v>16</v>
      </c>
      <c r="D4167" s="1">
        <v>45855</v>
      </c>
      <c r="E4167" t="s">
        <v>17</v>
      </c>
      <c r="F4167">
        <v>6500</v>
      </c>
      <c r="J4167">
        <v>7</v>
      </c>
      <c r="K4167">
        <v>5.2</v>
      </c>
      <c r="L4167">
        <v>0</v>
      </c>
      <c r="M4167" t="s">
        <v>18</v>
      </c>
      <c r="N4167">
        <v>0</v>
      </c>
      <c r="O4167">
        <v>0</v>
      </c>
    </row>
    <row r="4168" spans="1:15" x14ac:dyDescent="0.2">
      <c r="A4168" s="6">
        <v>45814</v>
      </c>
      <c r="B4168" t="s">
        <v>15</v>
      </c>
      <c r="C4168" t="s">
        <v>16</v>
      </c>
      <c r="D4168" s="1">
        <v>45855</v>
      </c>
      <c r="E4168" t="s">
        <v>17</v>
      </c>
      <c r="F4168">
        <v>5900</v>
      </c>
      <c r="J4168">
        <v>62.2</v>
      </c>
      <c r="K4168">
        <v>48.6</v>
      </c>
      <c r="L4168">
        <v>0</v>
      </c>
      <c r="M4168" t="s">
        <v>18</v>
      </c>
      <c r="N4168">
        <v>0</v>
      </c>
      <c r="O4168">
        <v>0</v>
      </c>
    </row>
    <row r="4169" spans="1:15" x14ac:dyDescent="0.2">
      <c r="A4169" s="6">
        <v>45814</v>
      </c>
      <c r="B4169" t="s">
        <v>15</v>
      </c>
      <c r="C4169" t="s">
        <v>16</v>
      </c>
      <c r="D4169" s="1">
        <v>45855</v>
      </c>
      <c r="E4169" t="s">
        <v>17</v>
      </c>
      <c r="F4169">
        <v>4600</v>
      </c>
      <c r="J4169">
        <v>869.6</v>
      </c>
      <c r="K4169">
        <v>791.7</v>
      </c>
      <c r="L4169">
        <v>0</v>
      </c>
      <c r="M4169" t="s">
        <v>18</v>
      </c>
      <c r="N4169">
        <v>0</v>
      </c>
      <c r="O4169">
        <v>0</v>
      </c>
    </row>
    <row r="4170" spans="1:15" x14ac:dyDescent="0.2">
      <c r="A4170" s="6">
        <v>45814</v>
      </c>
      <c r="B4170" t="s">
        <v>15</v>
      </c>
      <c r="C4170" t="s">
        <v>16</v>
      </c>
      <c r="D4170" s="1">
        <v>45855</v>
      </c>
      <c r="E4170" t="s">
        <v>19</v>
      </c>
      <c r="F4170">
        <v>5150</v>
      </c>
      <c r="G4170">
        <v>127.9</v>
      </c>
      <c r="H4170">
        <v>127.9</v>
      </c>
      <c r="I4170">
        <v>127.9</v>
      </c>
      <c r="J4170">
        <v>127.9</v>
      </c>
      <c r="K4170">
        <v>102.6</v>
      </c>
      <c r="L4170">
        <v>1</v>
      </c>
      <c r="M4170" t="s">
        <v>155</v>
      </c>
      <c r="N4170">
        <v>5.28</v>
      </c>
      <c r="O4170">
        <v>1</v>
      </c>
    </row>
    <row r="4171" spans="1:15" x14ac:dyDescent="0.2">
      <c r="A4171" s="6">
        <v>45814</v>
      </c>
      <c r="B4171" t="s">
        <v>15</v>
      </c>
      <c r="C4171" t="s">
        <v>16</v>
      </c>
      <c r="D4171" s="1">
        <v>45855</v>
      </c>
      <c r="E4171" t="s">
        <v>19</v>
      </c>
      <c r="F4171">
        <v>4650</v>
      </c>
      <c r="J4171">
        <v>7.8</v>
      </c>
      <c r="K4171">
        <v>12.5</v>
      </c>
      <c r="L4171">
        <v>0</v>
      </c>
      <c r="M4171" t="s">
        <v>18</v>
      </c>
      <c r="N4171">
        <v>0</v>
      </c>
      <c r="O4171">
        <v>0</v>
      </c>
    </row>
    <row r="4172" spans="1:15" x14ac:dyDescent="0.2">
      <c r="A4172" s="6">
        <v>45814</v>
      </c>
      <c r="B4172" t="s">
        <v>15</v>
      </c>
      <c r="C4172" t="s">
        <v>16</v>
      </c>
      <c r="D4172" s="1">
        <v>45855</v>
      </c>
      <c r="E4172" t="s">
        <v>17</v>
      </c>
      <c r="F4172">
        <v>4150</v>
      </c>
      <c r="J4172">
        <v>1310.8</v>
      </c>
      <c r="K4172">
        <v>1229.3</v>
      </c>
      <c r="L4172">
        <v>0</v>
      </c>
      <c r="M4172" t="s">
        <v>18</v>
      </c>
      <c r="N4172">
        <v>0</v>
      </c>
      <c r="O4172">
        <v>0</v>
      </c>
    </row>
    <row r="4173" spans="1:15" x14ac:dyDescent="0.2">
      <c r="A4173" s="6">
        <v>45814</v>
      </c>
      <c r="B4173" t="s">
        <v>15</v>
      </c>
      <c r="C4173" t="s">
        <v>16</v>
      </c>
      <c r="D4173" s="1">
        <v>45855</v>
      </c>
      <c r="E4173" t="s">
        <v>19</v>
      </c>
      <c r="F4173">
        <v>6550</v>
      </c>
      <c r="J4173">
        <v>1078</v>
      </c>
      <c r="K4173">
        <v>1157.7</v>
      </c>
      <c r="L4173">
        <v>0</v>
      </c>
      <c r="M4173" t="s">
        <v>18</v>
      </c>
      <c r="N4173">
        <v>0</v>
      </c>
      <c r="O4173">
        <v>0</v>
      </c>
    </row>
    <row r="4174" spans="1:15" x14ac:dyDescent="0.2">
      <c r="A4174" s="6">
        <v>45814</v>
      </c>
      <c r="B4174" t="s">
        <v>15</v>
      </c>
      <c r="C4174" t="s">
        <v>16</v>
      </c>
      <c r="D4174" s="1">
        <v>45855</v>
      </c>
      <c r="E4174" t="s">
        <v>17</v>
      </c>
      <c r="F4174">
        <v>5450</v>
      </c>
      <c r="J4174">
        <v>212.1</v>
      </c>
      <c r="K4174">
        <v>175.2</v>
      </c>
      <c r="L4174">
        <v>0</v>
      </c>
      <c r="M4174" t="s">
        <v>18</v>
      </c>
      <c r="N4174">
        <v>0</v>
      </c>
      <c r="O4174">
        <v>2</v>
      </c>
    </row>
    <row r="4175" spans="1:15" x14ac:dyDescent="0.2">
      <c r="A4175" s="6">
        <v>45814</v>
      </c>
      <c r="B4175" t="s">
        <v>15</v>
      </c>
      <c r="C4175" t="s">
        <v>16</v>
      </c>
      <c r="D4175" s="1">
        <v>45855</v>
      </c>
      <c r="E4175" t="s">
        <v>17</v>
      </c>
      <c r="F4175">
        <v>6350</v>
      </c>
      <c r="J4175">
        <v>12.8</v>
      </c>
      <c r="K4175">
        <v>9.6</v>
      </c>
      <c r="L4175">
        <v>0</v>
      </c>
      <c r="M4175" t="s">
        <v>18</v>
      </c>
      <c r="N4175">
        <v>0</v>
      </c>
      <c r="O4175">
        <v>0</v>
      </c>
    </row>
    <row r="4176" spans="1:15" x14ac:dyDescent="0.2">
      <c r="A4176" s="6">
        <v>45814</v>
      </c>
      <c r="B4176" t="s">
        <v>15</v>
      </c>
      <c r="C4176" t="s">
        <v>16</v>
      </c>
      <c r="D4176" s="1">
        <v>45855</v>
      </c>
      <c r="E4176" t="s">
        <v>19</v>
      </c>
      <c r="F4176">
        <v>4500</v>
      </c>
      <c r="J4176">
        <v>3.1</v>
      </c>
      <c r="K4176">
        <v>5.3</v>
      </c>
      <c r="L4176">
        <v>0</v>
      </c>
      <c r="M4176" t="s">
        <v>18</v>
      </c>
      <c r="N4176">
        <v>0</v>
      </c>
      <c r="O4176">
        <v>5</v>
      </c>
    </row>
    <row r="4177" spans="1:15" x14ac:dyDescent="0.2">
      <c r="A4177" s="6">
        <v>45814</v>
      </c>
      <c r="B4177" t="s">
        <v>15</v>
      </c>
      <c r="C4177" t="s">
        <v>16</v>
      </c>
      <c r="D4177" s="1">
        <v>45855</v>
      </c>
      <c r="E4177" t="s">
        <v>19</v>
      </c>
      <c r="F4177">
        <v>4400</v>
      </c>
      <c r="J4177">
        <v>1.5</v>
      </c>
      <c r="K4177">
        <v>2.8</v>
      </c>
      <c r="L4177">
        <v>0</v>
      </c>
      <c r="M4177" t="s">
        <v>18</v>
      </c>
      <c r="N4177">
        <v>0</v>
      </c>
      <c r="O4177">
        <v>0</v>
      </c>
    </row>
    <row r="4178" spans="1:15" x14ac:dyDescent="0.2">
      <c r="A4178" s="6">
        <v>45814</v>
      </c>
      <c r="B4178" t="s">
        <v>15</v>
      </c>
      <c r="C4178" t="s">
        <v>16</v>
      </c>
      <c r="D4178" s="1">
        <v>45855</v>
      </c>
      <c r="E4178" t="s">
        <v>19</v>
      </c>
      <c r="F4178">
        <v>5350</v>
      </c>
      <c r="J4178">
        <v>146.19999999999999</v>
      </c>
      <c r="K4178">
        <v>184.3</v>
      </c>
      <c r="L4178">
        <v>0</v>
      </c>
      <c r="M4178" t="s">
        <v>18</v>
      </c>
      <c r="N4178">
        <v>0</v>
      </c>
      <c r="O4178">
        <v>1</v>
      </c>
    </row>
    <row r="4179" spans="1:15" x14ac:dyDescent="0.2">
      <c r="A4179" s="6">
        <v>45814</v>
      </c>
      <c r="B4179" t="s">
        <v>15</v>
      </c>
      <c r="C4179" t="s">
        <v>16</v>
      </c>
      <c r="D4179" s="1">
        <v>45855</v>
      </c>
      <c r="E4179" t="s">
        <v>19</v>
      </c>
      <c r="F4179">
        <v>5000</v>
      </c>
      <c r="G4179">
        <v>99</v>
      </c>
      <c r="H4179">
        <v>99</v>
      </c>
      <c r="I4179">
        <v>73.099999999999994</v>
      </c>
      <c r="J4179">
        <v>79.599999999999994</v>
      </c>
      <c r="K4179">
        <v>89.2</v>
      </c>
      <c r="L4179">
        <v>13</v>
      </c>
      <c r="M4179" t="s">
        <v>121</v>
      </c>
      <c r="N4179">
        <v>66.09</v>
      </c>
      <c r="O4179">
        <v>34</v>
      </c>
    </row>
    <row r="4180" spans="1:15" x14ac:dyDescent="0.2">
      <c r="A4180" s="6">
        <v>45814</v>
      </c>
      <c r="B4180" t="s">
        <v>15</v>
      </c>
      <c r="C4180" t="s">
        <v>16</v>
      </c>
      <c r="D4180" s="1">
        <v>45855</v>
      </c>
      <c r="E4180" t="s">
        <v>17</v>
      </c>
      <c r="F4180">
        <v>4250</v>
      </c>
      <c r="J4180">
        <v>1211.7</v>
      </c>
      <c r="K4180">
        <v>1130.5999999999999</v>
      </c>
      <c r="L4180">
        <v>0</v>
      </c>
      <c r="M4180" t="s">
        <v>18</v>
      </c>
      <c r="N4180">
        <v>0</v>
      </c>
      <c r="O4180">
        <v>0</v>
      </c>
    </row>
    <row r="4181" spans="1:15" x14ac:dyDescent="0.2">
      <c r="A4181" s="6">
        <v>45814</v>
      </c>
      <c r="B4181" t="s">
        <v>15</v>
      </c>
      <c r="C4181" t="s">
        <v>16</v>
      </c>
      <c r="D4181" s="1">
        <v>45855</v>
      </c>
      <c r="E4181" t="s">
        <v>17</v>
      </c>
      <c r="F4181">
        <v>4000</v>
      </c>
      <c r="J4181">
        <v>1459.5</v>
      </c>
      <c r="K4181">
        <v>1377.9</v>
      </c>
      <c r="L4181">
        <v>0</v>
      </c>
      <c r="M4181" t="s">
        <v>18</v>
      </c>
      <c r="N4181">
        <v>0</v>
      </c>
      <c r="O4181">
        <v>0</v>
      </c>
    </row>
    <row r="4182" spans="1:15" x14ac:dyDescent="0.2">
      <c r="A4182" s="6">
        <v>45814</v>
      </c>
      <c r="B4182" t="s">
        <v>15</v>
      </c>
      <c r="C4182" t="s">
        <v>16</v>
      </c>
      <c r="D4182" s="1">
        <v>45855</v>
      </c>
      <c r="E4182" t="s">
        <v>17</v>
      </c>
      <c r="F4182">
        <v>5800</v>
      </c>
      <c r="G4182">
        <v>106</v>
      </c>
      <c r="H4182">
        <v>112</v>
      </c>
      <c r="I4182">
        <v>106</v>
      </c>
      <c r="J4182">
        <v>108</v>
      </c>
      <c r="K4182">
        <v>66.7</v>
      </c>
      <c r="L4182">
        <v>3</v>
      </c>
      <c r="M4182" t="s">
        <v>34</v>
      </c>
      <c r="N4182">
        <v>17.72</v>
      </c>
      <c r="O4182">
        <v>5</v>
      </c>
    </row>
    <row r="4183" spans="1:15" x14ac:dyDescent="0.2">
      <c r="A4183" s="6">
        <v>45814</v>
      </c>
      <c r="B4183" t="s">
        <v>15</v>
      </c>
      <c r="C4183" t="s">
        <v>16</v>
      </c>
      <c r="D4183" s="1">
        <v>45855</v>
      </c>
      <c r="E4183" t="s">
        <v>17</v>
      </c>
      <c r="F4183">
        <v>4550</v>
      </c>
      <c r="J4183">
        <v>917.7</v>
      </c>
      <c r="K4183">
        <v>839</v>
      </c>
      <c r="L4183">
        <v>0</v>
      </c>
      <c r="M4183" t="s">
        <v>18</v>
      </c>
      <c r="N4183">
        <v>0</v>
      </c>
      <c r="O4183">
        <v>0</v>
      </c>
    </row>
    <row r="4184" spans="1:15" x14ac:dyDescent="0.2">
      <c r="A4184" s="6">
        <v>45814</v>
      </c>
      <c r="B4184" t="s">
        <v>15</v>
      </c>
      <c r="C4184" t="s">
        <v>16</v>
      </c>
      <c r="D4184" s="1">
        <v>45855</v>
      </c>
      <c r="E4184" t="s">
        <v>17</v>
      </c>
      <c r="F4184">
        <v>4850</v>
      </c>
      <c r="J4184">
        <v>637.9</v>
      </c>
      <c r="K4184">
        <v>567</v>
      </c>
      <c r="L4184">
        <v>0</v>
      </c>
      <c r="M4184" t="s">
        <v>18</v>
      </c>
      <c r="N4184">
        <v>0</v>
      </c>
      <c r="O4184">
        <v>0</v>
      </c>
    </row>
    <row r="4185" spans="1:15" x14ac:dyDescent="0.2">
      <c r="A4185" s="6">
        <v>45814</v>
      </c>
      <c r="B4185" t="s">
        <v>15</v>
      </c>
      <c r="C4185" t="s">
        <v>16</v>
      </c>
      <c r="D4185" s="1">
        <v>45855</v>
      </c>
      <c r="E4185" t="s">
        <v>17</v>
      </c>
      <c r="F4185">
        <v>6000</v>
      </c>
      <c r="G4185">
        <v>53.6</v>
      </c>
      <c r="H4185">
        <v>79.900000000000006</v>
      </c>
      <c r="I4185">
        <v>53</v>
      </c>
      <c r="J4185">
        <v>76.5</v>
      </c>
      <c r="K4185">
        <v>60.8</v>
      </c>
      <c r="L4185">
        <v>189</v>
      </c>
      <c r="M4185" t="s">
        <v>323</v>
      </c>
      <c r="N4185">
        <v>1146.97</v>
      </c>
      <c r="O4185">
        <v>117</v>
      </c>
    </row>
    <row r="4186" spans="1:15" x14ac:dyDescent="0.2">
      <c r="A4186" s="6">
        <v>45814</v>
      </c>
      <c r="B4186" t="s">
        <v>15</v>
      </c>
      <c r="C4186" t="s">
        <v>16</v>
      </c>
      <c r="D4186" s="1">
        <v>45855</v>
      </c>
      <c r="E4186" t="s">
        <v>19</v>
      </c>
      <c r="F4186">
        <v>4100</v>
      </c>
      <c r="J4186">
        <v>0.1</v>
      </c>
      <c r="K4186">
        <v>0.3</v>
      </c>
      <c r="L4186">
        <v>0</v>
      </c>
      <c r="M4186" t="s">
        <v>18</v>
      </c>
      <c r="N4186">
        <v>0</v>
      </c>
      <c r="O4186">
        <v>0</v>
      </c>
    </row>
    <row r="4187" spans="1:15" x14ac:dyDescent="0.2">
      <c r="A4187" s="6">
        <v>45814</v>
      </c>
      <c r="B4187" t="s">
        <v>15</v>
      </c>
      <c r="C4187" t="s">
        <v>16</v>
      </c>
      <c r="D4187" s="1">
        <v>45855</v>
      </c>
      <c r="E4187" t="s">
        <v>17</v>
      </c>
      <c r="F4187">
        <v>5500</v>
      </c>
      <c r="G4187">
        <v>190</v>
      </c>
      <c r="H4187">
        <v>246.9</v>
      </c>
      <c r="I4187">
        <v>181</v>
      </c>
      <c r="J4187">
        <v>237</v>
      </c>
      <c r="K4187">
        <v>204.3</v>
      </c>
      <c r="L4187">
        <v>58</v>
      </c>
      <c r="M4187" t="s">
        <v>1594</v>
      </c>
      <c r="N4187">
        <v>332.34</v>
      </c>
      <c r="O4187">
        <v>27</v>
      </c>
    </row>
    <row r="4188" spans="1:15" x14ac:dyDescent="0.2">
      <c r="A4188" s="6">
        <v>45814</v>
      </c>
      <c r="B4188" t="s">
        <v>15</v>
      </c>
      <c r="C4188" t="s">
        <v>16</v>
      </c>
      <c r="D4188" s="1">
        <v>45855</v>
      </c>
      <c r="E4188" t="s">
        <v>19</v>
      </c>
      <c r="F4188">
        <v>4050</v>
      </c>
      <c r="J4188">
        <v>0.1</v>
      </c>
      <c r="K4188">
        <v>0.2</v>
      </c>
      <c r="L4188">
        <v>0</v>
      </c>
      <c r="M4188" t="s">
        <v>18</v>
      </c>
      <c r="N4188">
        <v>0</v>
      </c>
      <c r="O4188">
        <v>0</v>
      </c>
    </row>
    <row r="4189" spans="1:15" x14ac:dyDescent="0.2">
      <c r="A4189" s="6">
        <v>45814</v>
      </c>
      <c r="B4189" t="s">
        <v>15</v>
      </c>
      <c r="C4189" t="s">
        <v>16</v>
      </c>
      <c r="D4189" s="1">
        <v>45855</v>
      </c>
      <c r="E4189" t="s">
        <v>17</v>
      </c>
      <c r="F4189">
        <v>6300</v>
      </c>
      <c r="J4189">
        <v>15.5</v>
      </c>
      <c r="K4189">
        <v>11.6</v>
      </c>
      <c r="L4189">
        <v>0</v>
      </c>
      <c r="M4189" t="s">
        <v>18</v>
      </c>
      <c r="N4189">
        <v>0</v>
      </c>
      <c r="O4189">
        <v>0</v>
      </c>
    </row>
    <row r="4190" spans="1:15" x14ac:dyDescent="0.2">
      <c r="A4190" s="6">
        <v>45814</v>
      </c>
      <c r="B4190" t="s">
        <v>15</v>
      </c>
      <c r="C4190" t="s">
        <v>16</v>
      </c>
      <c r="D4190" s="1">
        <v>45855</v>
      </c>
      <c r="E4190" t="s">
        <v>19</v>
      </c>
      <c r="F4190">
        <v>5950</v>
      </c>
      <c r="J4190">
        <v>529.70000000000005</v>
      </c>
      <c r="K4190">
        <v>599.1</v>
      </c>
      <c r="L4190">
        <v>0</v>
      </c>
      <c r="M4190" t="s">
        <v>18</v>
      </c>
      <c r="N4190">
        <v>0</v>
      </c>
      <c r="O4190">
        <v>0</v>
      </c>
    </row>
    <row r="4191" spans="1:15" x14ac:dyDescent="0.2">
      <c r="A4191" s="6">
        <v>45814</v>
      </c>
      <c r="B4191" t="s">
        <v>15</v>
      </c>
      <c r="C4191" t="s">
        <v>16</v>
      </c>
      <c r="D4191" s="1">
        <v>45855</v>
      </c>
      <c r="E4191" t="s">
        <v>17</v>
      </c>
      <c r="F4191">
        <v>6450</v>
      </c>
      <c r="J4191">
        <v>8.6</v>
      </c>
      <c r="K4191">
        <v>6.4</v>
      </c>
      <c r="L4191">
        <v>0</v>
      </c>
      <c r="M4191" t="s">
        <v>18</v>
      </c>
      <c r="N4191">
        <v>0</v>
      </c>
      <c r="O4191">
        <v>0</v>
      </c>
    </row>
    <row r="4192" spans="1:15" x14ac:dyDescent="0.2">
      <c r="A4192" s="6">
        <v>45814</v>
      </c>
      <c r="B4192" t="s">
        <v>15</v>
      </c>
      <c r="C4192" t="s">
        <v>16</v>
      </c>
      <c r="D4192" s="1">
        <v>45855</v>
      </c>
      <c r="E4192" t="s">
        <v>17</v>
      </c>
      <c r="F4192">
        <v>5650</v>
      </c>
      <c r="J4192">
        <v>128.6</v>
      </c>
      <c r="K4192">
        <v>103.5</v>
      </c>
      <c r="L4192">
        <v>0</v>
      </c>
      <c r="M4192" t="s">
        <v>18</v>
      </c>
      <c r="N4192">
        <v>0</v>
      </c>
      <c r="O4192">
        <v>0</v>
      </c>
    </row>
    <row r="4193" spans="1:15" x14ac:dyDescent="0.2">
      <c r="A4193" s="6">
        <v>45814</v>
      </c>
      <c r="B4193" t="s">
        <v>15</v>
      </c>
      <c r="C4193" t="s">
        <v>16</v>
      </c>
      <c r="D4193" s="1">
        <v>45855</v>
      </c>
      <c r="E4193" t="s">
        <v>19</v>
      </c>
      <c r="F4193">
        <v>5800</v>
      </c>
      <c r="J4193">
        <v>412</v>
      </c>
      <c r="K4193">
        <v>475.6</v>
      </c>
      <c r="L4193">
        <v>0</v>
      </c>
      <c r="M4193" t="s">
        <v>18</v>
      </c>
      <c r="N4193">
        <v>0</v>
      </c>
      <c r="O4193">
        <v>0</v>
      </c>
    </row>
    <row r="4194" spans="1:15" x14ac:dyDescent="0.2">
      <c r="A4194" s="6">
        <v>45814</v>
      </c>
      <c r="B4194" t="s">
        <v>15</v>
      </c>
      <c r="C4194" t="s">
        <v>16</v>
      </c>
      <c r="D4194" s="1">
        <v>45855</v>
      </c>
      <c r="E4194" t="s">
        <v>17</v>
      </c>
      <c r="F4194">
        <v>3600</v>
      </c>
      <c r="J4194">
        <v>1856.6</v>
      </c>
      <c r="K4194">
        <v>1774.9</v>
      </c>
      <c r="L4194">
        <v>0</v>
      </c>
      <c r="M4194" t="s">
        <v>18</v>
      </c>
      <c r="N4194">
        <v>0</v>
      </c>
      <c r="O4194">
        <v>0</v>
      </c>
    </row>
    <row r="4195" spans="1:15" x14ac:dyDescent="0.2">
      <c r="A4195" s="6">
        <v>45814</v>
      </c>
      <c r="B4195" t="s">
        <v>15</v>
      </c>
      <c r="C4195" t="s">
        <v>16</v>
      </c>
      <c r="D4195" s="1">
        <v>45855</v>
      </c>
      <c r="E4195" t="s">
        <v>17</v>
      </c>
      <c r="F4195">
        <v>3650</v>
      </c>
      <c r="J4195">
        <v>1807</v>
      </c>
      <c r="K4195">
        <v>1725.2</v>
      </c>
      <c r="L4195">
        <v>0</v>
      </c>
      <c r="M4195" t="s">
        <v>18</v>
      </c>
      <c r="N4195">
        <v>0</v>
      </c>
      <c r="O4195">
        <v>0</v>
      </c>
    </row>
    <row r="4196" spans="1:15" x14ac:dyDescent="0.2">
      <c r="A4196" s="6">
        <v>45814</v>
      </c>
      <c r="B4196" t="s">
        <v>15</v>
      </c>
      <c r="C4196" t="s">
        <v>16</v>
      </c>
      <c r="D4196" s="1">
        <v>45855</v>
      </c>
      <c r="E4196" t="s">
        <v>19</v>
      </c>
      <c r="F4196">
        <v>3650</v>
      </c>
      <c r="J4196">
        <v>0.1</v>
      </c>
      <c r="K4196">
        <v>0.1</v>
      </c>
      <c r="L4196">
        <v>0</v>
      </c>
      <c r="M4196" t="s">
        <v>18</v>
      </c>
      <c r="N4196">
        <v>0</v>
      </c>
      <c r="O4196">
        <v>0</v>
      </c>
    </row>
    <row r="4197" spans="1:15" x14ac:dyDescent="0.2">
      <c r="A4197" s="6">
        <v>45814</v>
      </c>
      <c r="B4197" t="s">
        <v>15</v>
      </c>
      <c r="C4197" t="s">
        <v>16</v>
      </c>
      <c r="D4197" s="1">
        <v>45855</v>
      </c>
      <c r="E4197" t="s">
        <v>17</v>
      </c>
      <c r="F4197">
        <v>5350</v>
      </c>
      <c r="G4197">
        <v>290</v>
      </c>
      <c r="H4197">
        <v>290</v>
      </c>
      <c r="I4197">
        <v>290</v>
      </c>
      <c r="J4197">
        <v>290</v>
      </c>
      <c r="K4197">
        <v>222.1</v>
      </c>
      <c r="L4197">
        <v>1</v>
      </c>
      <c r="M4197" t="s">
        <v>155</v>
      </c>
      <c r="N4197">
        <v>5.64</v>
      </c>
      <c r="O4197">
        <v>1</v>
      </c>
    </row>
    <row r="4198" spans="1:15" x14ac:dyDescent="0.2">
      <c r="A4198" s="6">
        <v>45814</v>
      </c>
      <c r="B4198" t="s">
        <v>15</v>
      </c>
      <c r="C4198" t="s">
        <v>16</v>
      </c>
      <c r="D4198" s="1">
        <v>45855</v>
      </c>
      <c r="E4198" t="s">
        <v>17</v>
      </c>
      <c r="F4198">
        <v>6100</v>
      </c>
      <c r="J4198">
        <v>32.200000000000003</v>
      </c>
      <c r="K4198">
        <v>24.6</v>
      </c>
      <c r="L4198">
        <v>0</v>
      </c>
      <c r="M4198" t="s">
        <v>18</v>
      </c>
      <c r="N4198">
        <v>0</v>
      </c>
      <c r="O4198">
        <v>0</v>
      </c>
    </row>
    <row r="4199" spans="1:15" x14ac:dyDescent="0.2">
      <c r="A4199" s="6">
        <v>45814</v>
      </c>
      <c r="B4199" t="s">
        <v>15</v>
      </c>
      <c r="C4199" t="s">
        <v>16</v>
      </c>
      <c r="D4199" s="1">
        <v>45855</v>
      </c>
      <c r="E4199" t="s">
        <v>19</v>
      </c>
      <c r="F4199">
        <v>4850</v>
      </c>
      <c r="J4199">
        <v>22.3</v>
      </c>
      <c r="K4199">
        <v>33</v>
      </c>
      <c r="L4199">
        <v>0</v>
      </c>
      <c r="M4199" t="s">
        <v>18</v>
      </c>
      <c r="N4199">
        <v>0</v>
      </c>
      <c r="O4199">
        <v>0</v>
      </c>
    </row>
    <row r="4200" spans="1:15" x14ac:dyDescent="0.2">
      <c r="A4200" s="6">
        <v>45814</v>
      </c>
      <c r="B4200" t="s">
        <v>15</v>
      </c>
      <c r="C4200" t="s">
        <v>16</v>
      </c>
      <c r="D4200" s="1">
        <v>45855</v>
      </c>
      <c r="E4200" t="s">
        <v>19</v>
      </c>
      <c r="F4200">
        <v>4000</v>
      </c>
      <c r="J4200">
        <v>0.1</v>
      </c>
      <c r="K4200">
        <v>0.1</v>
      </c>
      <c r="L4200">
        <v>0</v>
      </c>
      <c r="M4200" t="s">
        <v>18</v>
      </c>
      <c r="N4200">
        <v>0</v>
      </c>
      <c r="O4200">
        <v>0</v>
      </c>
    </row>
    <row r="4201" spans="1:15" x14ac:dyDescent="0.2">
      <c r="A4201" s="6">
        <v>45814</v>
      </c>
      <c r="B4201" t="s">
        <v>15</v>
      </c>
      <c r="C4201" t="s">
        <v>16</v>
      </c>
      <c r="D4201" s="1">
        <v>45855</v>
      </c>
      <c r="E4201" t="s">
        <v>19</v>
      </c>
      <c r="F4201">
        <v>5600</v>
      </c>
      <c r="G4201">
        <v>345.1</v>
      </c>
      <c r="H4201">
        <v>345.1</v>
      </c>
      <c r="I4201">
        <v>345.1</v>
      </c>
      <c r="J4201">
        <v>345.1</v>
      </c>
      <c r="K4201">
        <v>329.3</v>
      </c>
      <c r="L4201">
        <v>1</v>
      </c>
      <c r="M4201" t="s">
        <v>155</v>
      </c>
      <c r="N4201">
        <v>5.95</v>
      </c>
      <c r="O4201">
        <v>1</v>
      </c>
    </row>
    <row r="4202" spans="1:15" x14ac:dyDescent="0.2">
      <c r="A4202" s="6">
        <v>45814</v>
      </c>
      <c r="B4202" t="s">
        <v>15</v>
      </c>
      <c r="C4202" t="s">
        <v>16</v>
      </c>
      <c r="D4202" s="1">
        <v>45855</v>
      </c>
      <c r="E4202" t="s">
        <v>19</v>
      </c>
      <c r="F4202">
        <v>5650</v>
      </c>
      <c r="J4202">
        <v>307.3</v>
      </c>
      <c r="K4202">
        <v>363.6</v>
      </c>
      <c r="L4202">
        <v>0</v>
      </c>
      <c r="M4202" t="s">
        <v>18</v>
      </c>
      <c r="N4202">
        <v>0</v>
      </c>
      <c r="O4202">
        <v>0</v>
      </c>
    </row>
    <row r="4203" spans="1:15" x14ac:dyDescent="0.2">
      <c r="A4203" s="6">
        <v>45814</v>
      </c>
      <c r="B4203" t="s">
        <v>15</v>
      </c>
      <c r="C4203" t="s">
        <v>16</v>
      </c>
      <c r="D4203" s="1">
        <v>45855</v>
      </c>
      <c r="E4203" t="s">
        <v>19</v>
      </c>
      <c r="F4203">
        <v>6350</v>
      </c>
      <c r="J4203">
        <v>886.5</v>
      </c>
      <c r="K4203">
        <v>964.5</v>
      </c>
      <c r="L4203">
        <v>0</v>
      </c>
      <c r="M4203" t="s">
        <v>18</v>
      </c>
      <c r="N4203">
        <v>0</v>
      </c>
      <c r="O4203">
        <v>0</v>
      </c>
    </row>
    <row r="4204" spans="1:15" x14ac:dyDescent="0.2">
      <c r="A4204" s="6">
        <v>45814</v>
      </c>
      <c r="B4204" t="s">
        <v>15</v>
      </c>
      <c r="C4204" t="s">
        <v>16</v>
      </c>
      <c r="D4204" s="1">
        <v>45855</v>
      </c>
      <c r="E4204" t="s">
        <v>17</v>
      </c>
      <c r="F4204">
        <v>3950</v>
      </c>
      <c r="J4204">
        <v>1509.2</v>
      </c>
      <c r="K4204">
        <v>1427.5</v>
      </c>
      <c r="L4204">
        <v>0</v>
      </c>
      <c r="M4204" t="s">
        <v>18</v>
      </c>
      <c r="N4204">
        <v>0</v>
      </c>
      <c r="O4204">
        <v>0</v>
      </c>
    </row>
    <row r="4205" spans="1:15" x14ac:dyDescent="0.2">
      <c r="A4205" s="6">
        <v>45814</v>
      </c>
      <c r="B4205" t="s">
        <v>15</v>
      </c>
      <c r="C4205" t="s">
        <v>16</v>
      </c>
      <c r="D4205" s="1">
        <v>45855</v>
      </c>
      <c r="E4205" t="s">
        <v>17</v>
      </c>
      <c r="F4205">
        <v>4700</v>
      </c>
      <c r="J4205">
        <v>774.8</v>
      </c>
      <c r="K4205">
        <v>699.2</v>
      </c>
      <c r="L4205">
        <v>0</v>
      </c>
      <c r="M4205" t="s">
        <v>18</v>
      </c>
      <c r="N4205">
        <v>0</v>
      </c>
      <c r="O4205">
        <v>0</v>
      </c>
    </row>
    <row r="4206" spans="1:15" x14ac:dyDescent="0.2">
      <c r="A4206" s="6">
        <v>45814</v>
      </c>
      <c r="B4206" t="s">
        <v>15</v>
      </c>
      <c r="C4206" t="s">
        <v>16</v>
      </c>
      <c r="D4206" s="1">
        <v>45855</v>
      </c>
      <c r="E4206" t="s">
        <v>19</v>
      </c>
      <c r="F4206">
        <v>5750</v>
      </c>
      <c r="J4206">
        <v>375.5</v>
      </c>
      <c r="K4206">
        <v>436.9</v>
      </c>
      <c r="L4206">
        <v>0</v>
      </c>
      <c r="M4206" t="s">
        <v>18</v>
      </c>
      <c r="N4206">
        <v>0</v>
      </c>
      <c r="O4206">
        <v>0</v>
      </c>
    </row>
    <row r="4207" spans="1:15" x14ac:dyDescent="0.2">
      <c r="A4207" s="6">
        <v>45814</v>
      </c>
      <c r="B4207" t="s">
        <v>15</v>
      </c>
      <c r="C4207" t="s">
        <v>16</v>
      </c>
      <c r="D4207" s="1">
        <v>45855</v>
      </c>
      <c r="E4207" t="s">
        <v>17</v>
      </c>
      <c r="F4207">
        <v>4300</v>
      </c>
      <c r="J4207">
        <v>1162.3</v>
      </c>
      <c r="K4207">
        <v>1081.4000000000001</v>
      </c>
      <c r="L4207">
        <v>0</v>
      </c>
      <c r="M4207" t="s">
        <v>18</v>
      </c>
      <c r="N4207">
        <v>0</v>
      </c>
      <c r="O4207">
        <v>0</v>
      </c>
    </row>
    <row r="4208" spans="1:15" x14ac:dyDescent="0.2">
      <c r="A4208" s="6">
        <v>45814</v>
      </c>
      <c r="B4208" t="s">
        <v>15</v>
      </c>
      <c r="C4208" t="s">
        <v>16</v>
      </c>
      <c r="D4208" s="1">
        <v>45855</v>
      </c>
      <c r="E4208" t="s">
        <v>19</v>
      </c>
      <c r="F4208">
        <v>6100</v>
      </c>
      <c r="J4208">
        <v>657.7</v>
      </c>
      <c r="K4208">
        <v>731.4</v>
      </c>
      <c r="L4208">
        <v>0</v>
      </c>
      <c r="M4208" t="s">
        <v>18</v>
      </c>
      <c r="N4208">
        <v>0</v>
      </c>
      <c r="O4208">
        <v>0</v>
      </c>
    </row>
    <row r="4209" spans="1:15" x14ac:dyDescent="0.2">
      <c r="A4209" s="6">
        <v>45814</v>
      </c>
      <c r="B4209" t="s">
        <v>15</v>
      </c>
      <c r="C4209" t="s">
        <v>16</v>
      </c>
      <c r="D4209" s="1">
        <v>45855</v>
      </c>
      <c r="E4209" t="s">
        <v>19</v>
      </c>
      <c r="F4209">
        <v>5500</v>
      </c>
      <c r="G4209">
        <v>310</v>
      </c>
      <c r="H4209">
        <v>316</v>
      </c>
      <c r="I4209">
        <v>253</v>
      </c>
      <c r="J4209">
        <v>262.8</v>
      </c>
      <c r="K4209">
        <v>325.3</v>
      </c>
      <c r="L4209">
        <v>41</v>
      </c>
      <c r="M4209" t="s">
        <v>272</v>
      </c>
      <c r="N4209">
        <v>236.45</v>
      </c>
      <c r="O4209">
        <v>31</v>
      </c>
    </row>
    <row r="4210" spans="1:15" x14ac:dyDescent="0.2">
      <c r="A4210" s="6">
        <v>45814</v>
      </c>
      <c r="B4210" t="s">
        <v>15</v>
      </c>
      <c r="C4210" t="s">
        <v>16</v>
      </c>
      <c r="D4210" s="1">
        <v>45855</v>
      </c>
      <c r="E4210" t="s">
        <v>19</v>
      </c>
      <c r="F4210">
        <v>6450</v>
      </c>
      <c r="J4210">
        <v>981.6</v>
      </c>
      <c r="K4210">
        <v>1060.5999999999999</v>
      </c>
      <c r="L4210">
        <v>0</v>
      </c>
      <c r="M4210" t="s">
        <v>18</v>
      </c>
      <c r="N4210">
        <v>0</v>
      </c>
      <c r="O4210">
        <v>0</v>
      </c>
    </row>
    <row r="4211" spans="1:15" x14ac:dyDescent="0.2">
      <c r="A4211" s="6">
        <v>45814</v>
      </c>
      <c r="B4211" t="s">
        <v>15</v>
      </c>
      <c r="C4211" t="s">
        <v>16</v>
      </c>
      <c r="D4211" s="1">
        <v>45855</v>
      </c>
      <c r="E4211" t="s">
        <v>19</v>
      </c>
      <c r="F4211">
        <v>3800</v>
      </c>
      <c r="J4211">
        <v>0.1</v>
      </c>
      <c r="K4211">
        <v>0.1</v>
      </c>
      <c r="L4211">
        <v>0</v>
      </c>
      <c r="M4211" t="s">
        <v>18</v>
      </c>
      <c r="N4211">
        <v>0</v>
      </c>
      <c r="O4211">
        <v>0</v>
      </c>
    </row>
    <row r="4212" spans="1:15" x14ac:dyDescent="0.2">
      <c r="A4212" s="6">
        <v>45814</v>
      </c>
      <c r="B4212" t="s">
        <v>15</v>
      </c>
      <c r="C4212" t="s">
        <v>16</v>
      </c>
      <c r="D4212" s="1">
        <v>45855</v>
      </c>
      <c r="E4212" t="s">
        <v>17</v>
      </c>
      <c r="F4212">
        <v>6150</v>
      </c>
      <c r="J4212">
        <v>27</v>
      </c>
      <c r="K4212">
        <v>20.5</v>
      </c>
      <c r="L4212">
        <v>0</v>
      </c>
      <c r="M4212" t="s">
        <v>18</v>
      </c>
      <c r="N4212">
        <v>0</v>
      </c>
      <c r="O4212">
        <v>0</v>
      </c>
    </row>
    <row r="4213" spans="1:15" x14ac:dyDescent="0.2">
      <c r="A4213" s="6">
        <v>45814</v>
      </c>
      <c r="B4213" t="s">
        <v>15</v>
      </c>
      <c r="C4213" t="s">
        <v>16</v>
      </c>
      <c r="D4213" s="1">
        <v>45855</v>
      </c>
      <c r="E4213" t="s">
        <v>19</v>
      </c>
      <c r="F4213">
        <v>5550</v>
      </c>
      <c r="J4213">
        <v>246</v>
      </c>
      <c r="K4213">
        <v>296.7</v>
      </c>
      <c r="L4213">
        <v>0</v>
      </c>
      <c r="M4213" t="s">
        <v>18</v>
      </c>
      <c r="N4213">
        <v>0</v>
      </c>
      <c r="O4213">
        <v>0</v>
      </c>
    </row>
    <row r="4214" spans="1:15" x14ac:dyDescent="0.2">
      <c r="A4214" s="6">
        <v>45814</v>
      </c>
      <c r="B4214" t="s">
        <v>15</v>
      </c>
      <c r="C4214" t="s">
        <v>16</v>
      </c>
      <c r="D4214" s="1">
        <v>45855</v>
      </c>
      <c r="E4214" t="s">
        <v>19</v>
      </c>
      <c r="F4214">
        <v>6500</v>
      </c>
      <c r="J4214">
        <v>1029.7</v>
      </c>
      <c r="K4214">
        <v>1109</v>
      </c>
      <c r="L4214">
        <v>0</v>
      </c>
      <c r="M4214" t="s">
        <v>18</v>
      </c>
      <c r="N4214">
        <v>0</v>
      </c>
      <c r="O4214">
        <v>0</v>
      </c>
    </row>
    <row r="4215" spans="1:15" x14ac:dyDescent="0.2">
      <c r="A4215" s="6">
        <v>45814</v>
      </c>
      <c r="B4215" t="s">
        <v>15</v>
      </c>
      <c r="C4215" t="s">
        <v>16</v>
      </c>
      <c r="D4215" s="1">
        <v>45855</v>
      </c>
      <c r="E4215" t="s">
        <v>19</v>
      </c>
      <c r="F4215">
        <v>6600</v>
      </c>
      <c r="J4215">
        <v>1126.5</v>
      </c>
      <c r="K4215">
        <v>1206.5</v>
      </c>
      <c r="L4215">
        <v>0</v>
      </c>
      <c r="M4215" t="s">
        <v>18</v>
      </c>
      <c r="N4215">
        <v>0</v>
      </c>
      <c r="O4215">
        <v>0</v>
      </c>
    </row>
    <row r="4216" spans="1:15" x14ac:dyDescent="0.2">
      <c r="A4216" s="6">
        <v>45814</v>
      </c>
      <c r="B4216" t="s">
        <v>15</v>
      </c>
      <c r="C4216" t="s">
        <v>16</v>
      </c>
      <c r="D4216" s="1">
        <v>45855</v>
      </c>
      <c r="E4216" t="s">
        <v>19</v>
      </c>
      <c r="F4216">
        <v>4350</v>
      </c>
      <c r="J4216">
        <v>1.1000000000000001</v>
      </c>
      <c r="K4216">
        <v>2</v>
      </c>
      <c r="L4216">
        <v>0</v>
      </c>
      <c r="M4216" t="s">
        <v>18</v>
      </c>
      <c r="N4216">
        <v>0</v>
      </c>
      <c r="O4216">
        <v>0</v>
      </c>
    </row>
    <row r="4217" spans="1:15" x14ac:dyDescent="0.2">
      <c r="A4217" s="6">
        <v>45814</v>
      </c>
      <c r="B4217" t="s">
        <v>15</v>
      </c>
      <c r="C4217" t="s">
        <v>16</v>
      </c>
      <c r="D4217" s="1">
        <v>45855</v>
      </c>
      <c r="E4217" t="s">
        <v>17</v>
      </c>
      <c r="F4217">
        <v>4050</v>
      </c>
      <c r="J4217">
        <v>1409.9</v>
      </c>
      <c r="K4217">
        <v>1328.4</v>
      </c>
      <c r="L4217">
        <v>0</v>
      </c>
      <c r="M4217" t="s">
        <v>18</v>
      </c>
      <c r="N4217">
        <v>0</v>
      </c>
      <c r="O4217">
        <v>0</v>
      </c>
    </row>
    <row r="4218" spans="1:15" x14ac:dyDescent="0.2">
      <c r="A4218" s="6">
        <v>45814</v>
      </c>
      <c r="B4218" t="s">
        <v>15</v>
      </c>
      <c r="C4218" t="s">
        <v>16</v>
      </c>
      <c r="D4218" s="1">
        <v>45855</v>
      </c>
      <c r="E4218" t="s">
        <v>19</v>
      </c>
      <c r="F4218">
        <v>4150</v>
      </c>
      <c r="J4218">
        <v>0.2</v>
      </c>
      <c r="K4218">
        <v>0.4</v>
      </c>
      <c r="L4218">
        <v>0</v>
      </c>
      <c r="M4218" t="s">
        <v>18</v>
      </c>
      <c r="N4218">
        <v>0</v>
      </c>
      <c r="O4218">
        <v>0</v>
      </c>
    </row>
    <row r="4219" spans="1:15" x14ac:dyDescent="0.2">
      <c r="A4219" s="6">
        <v>45814</v>
      </c>
      <c r="B4219" t="s">
        <v>15</v>
      </c>
      <c r="C4219" t="s">
        <v>16</v>
      </c>
      <c r="D4219" s="1">
        <v>45855</v>
      </c>
      <c r="E4219" t="s">
        <v>19</v>
      </c>
      <c r="F4219">
        <v>3950</v>
      </c>
      <c r="J4219">
        <v>0.1</v>
      </c>
      <c r="K4219">
        <v>0.1</v>
      </c>
      <c r="L4219">
        <v>0</v>
      </c>
      <c r="M4219" t="s">
        <v>18</v>
      </c>
      <c r="N4219">
        <v>0</v>
      </c>
      <c r="O4219">
        <v>0</v>
      </c>
    </row>
    <row r="4220" spans="1:15" x14ac:dyDescent="0.2">
      <c r="A4220" s="6">
        <v>45814</v>
      </c>
      <c r="B4220" t="s">
        <v>15</v>
      </c>
      <c r="C4220" t="s">
        <v>16</v>
      </c>
      <c r="D4220" s="1">
        <v>45855</v>
      </c>
      <c r="E4220" t="s">
        <v>17</v>
      </c>
      <c r="F4220">
        <v>3900</v>
      </c>
      <c r="J4220">
        <v>1558.8</v>
      </c>
      <c r="K4220">
        <v>1477.1</v>
      </c>
      <c r="L4220">
        <v>0</v>
      </c>
      <c r="M4220" t="s">
        <v>18</v>
      </c>
      <c r="N4220">
        <v>0</v>
      </c>
      <c r="O4220">
        <v>0</v>
      </c>
    </row>
    <row r="4221" spans="1:15" x14ac:dyDescent="0.2">
      <c r="A4221" s="6">
        <v>45814</v>
      </c>
      <c r="B4221" t="s">
        <v>15</v>
      </c>
      <c r="C4221" t="s">
        <v>16</v>
      </c>
      <c r="D4221" s="1">
        <v>45855</v>
      </c>
      <c r="E4221" t="s">
        <v>17</v>
      </c>
      <c r="F4221">
        <v>5400</v>
      </c>
      <c r="G4221">
        <v>260</v>
      </c>
      <c r="H4221">
        <v>298.89999999999998</v>
      </c>
      <c r="I4221">
        <v>217.4</v>
      </c>
      <c r="J4221">
        <v>293.10000000000002</v>
      </c>
      <c r="K4221">
        <v>253.7</v>
      </c>
      <c r="L4221">
        <v>278</v>
      </c>
      <c r="M4221" t="s">
        <v>945</v>
      </c>
      <c r="N4221">
        <v>1574.71</v>
      </c>
      <c r="O4221">
        <v>143</v>
      </c>
    </row>
    <row r="4222" spans="1:15" x14ac:dyDescent="0.2">
      <c r="A4222" s="6">
        <v>45814</v>
      </c>
      <c r="B4222" t="s">
        <v>15</v>
      </c>
      <c r="C4222" t="s">
        <v>16</v>
      </c>
      <c r="D4222" s="1">
        <v>45855</v>
      </c>
      <c r="E4222" t="s">
        <v>17</v>
      </c>
      <c r="F4222">
        <v>5850</v>
      </c>
      <c r="J4222">
        <v>72.599999999999994</v>
      </c>
      <c r="K4222">
        <v>57.1</v>
      </c>
      <c r="L4222">
        <v>0</v>
      </c>
      <c r="M4222" t="s">
        <v>18</v>
      </c>
      <c r="N4222">
        <v>0</v>
      </c>
      <c r="O4222">
        <v>0</v>
      </c>
    </row>
    <row r="4223" spans="1:15" x14ac:dyDescent="0.2">
      <c r="A4223" s="6">
        <v>45814</v>
      </c>
      <c r="B4223" t="s">
        <v>15</v>
      </c>
      <c r="C4223" t="s">
        <v>16</v>
      </c>
      <c r="D4223" s="1">
        <v>45855</v>
      </c>
      <c r="E4223" t="s">
        <v>19</v>
      </c>
      <c r="F4223">
        <v>6300</v>
      </c>
      <c r="J4223">
        <v>839.6</v>
      </c>
      <c r="K4223">
        <v>916.9</v>
      </c>
      <c r="L4223">
        <v>0</v>
      </c>
      <c r="M4223" t="s">
        <v>18</v>
      </c>
      <c r="N4223">
        <v>0</v>
      </c>
      <c r="O4223">
        <v>0</v>
      </c>
    </row>
    <row r="4224" spans="1:15" x14ac:dyDescent="0.2">
      <c r="A4224" s="6">
        <v>45814</v>
      </c>
      <c r="B4224" t="s">
        <v>15</v>
      </c>
      <c r="C4224" t="s">
        <v>16</v>
      </c>
      <c r="D4224" s="1">
        <v>45855</v>
      </c>
      <c r="E4224" t="s">
        <v>19</v>
      </c>
      <c r="F4224">
        <v>5850</v>
      </c>
      <c r="J4224">
        <v>449.9</v>
      </c>
      <c r="K4224">
        <v>515.70000000000005</v>
      </c>
      <c r="L4224">
        <v>0</v>
      </c>
      <c r="M4224" t="s">
        <v>18</v>
      </c>
      <c r="N4224">
        <v>0</v>
      </c>
      <c r="O4224">
        <v>0</v>
      </c>
    </row>
    <row r="4225" spans="1:15" x14ac:dyDescent="0.2">
      <c r="A4225" s="6">
        <v>45814</v>
      </c>
      <c r="B4225" t="s">
        <v>15</v>
      </c>
      <c r="C4225" t="s">
        <v>16</v>
      </c>
      <c r="D4225" s="1">
        <v>45855</v>
      </c>
      <c r="E4225" t="s">
        <v>19</v>
      </c>
      <c r="F4225">
        <v>4300</v>
      </c>
      <c r="J4225">
        <v>0.7</v>
      </c>
      <c r="K4225">
        <v>1.4</v>
      </c>
      <c r="L4225">
        <v>0</v>
      </c>
      <c r="M4225" t="s">
        <v>18</v>
      </c>
      <c r="N4225">
        <v>0</v>
      </c>
      <c r="O4225">
        <v>0</v>
      </c>
    </row>
    <row r="4226" spans="1:15" x14ac:dyDescent="0.2">
      <c r="A4226" s="6">
        <v>45814</v>
      </c>
      <c r="B4226" t="s">
        <v>15</v>
      </c>
      <c r="C4226" t="s">
        <v>16</v>
      </c>
      <c r="D4226" s="1">
        <v>45855</v>
      </c>
      <c r="E4226" t="s">
        <v>19</v>
      </c>
      <c r="F4226">
        <v>4800</v>
      </c>
      <c r="J4226">
        <v>17.5</v>
      </c>
      <c r="K4226">
        <v>26.3</v>
      </c>
      <c r="L4226">
        <v>0</v>
      </c>
      <c r="M4226" t="s">
        <v>18</v>
      </c>
      <c r="N4226">
        <v>0</v>
      </c>
      <c r="O4226">
        <v>5</v>
      </c>
    </row>
    <row r="4227" spans="1:15" x14ac:dyDescent="0.2">
      <c r="A4227" s="6">
        <v>45814</v>
      </c>
      <c r="B4227" t="s">
        <v>15</v>
      </c>
      <c r="C4227" t="s">
        <v>16</v>
      </c>
      <c r="D4227" s="1">
        <v>45855</v>
      </c>
      <c r="E4227" t="s">
        <v>19</v>
      </c>
      <c r="F4227">
        <v>4750</v>
      </c>
      <c r="J4227">
        <v>13.5</v>
      </c>
      <c r="K4227">
        <v>20.8</v>
      </c>
      <c r="L4227">
        <v>0</v>
      </c>
      <c r="M4227" t="s">
        <v>18</v>
      </c>
      <c r="N4227">
        <v>0</v>
      </c>
      <c r="O4227">
        <v>0</v>
      </c>
    </row>
    <row r="4228" spans="1:15" x14ac:dyDescent="0.2">
      <c r="A4228" s="6">
        <v>45814</v>
      </c>
      <c r="B4228" t="s">
        <v>15</v>
      </c>
      <c r="C4228" t="s">
        <v>16</v>
      </c>
      <c r="D4228" s="1">
        <v>45855</v>
      </c>
      <c r="E4228" t="s">
        <v>19</v>
      </c>
      <c r="F4228">
        <v>3850</v>
      </c>
      <c r="J4228">
        <v>0.1</v>
      </c>
      <c r="K4228">
        <v>0.1</v>
      </c>
      <c r="L4228">
        <v>0</v>
      </c>
      <c r="M4228" t="s">
        <v>18</v>
      </c>
      <c r="N4228">
        <v>0</v>
      </c>
      <c r="O4228">
        <v>0</v>
      </c>
    </row>
    <row r="4229" spans="1:15" x14ac:dyDescent="0.2">
      <c r="A4229" s="6">
        <v>45814</v>
      </c>
      <c r="B4229" t="s">
        <v>15</v>
      </c>
      <c r="C4229" t="s">
        <v>16</v>
      </c>
      <c r="D4229" s="1">
        <v>45855</v>
      </c>
      <c r="E4229" t="s">
        <v>17</v>
      </c>
      <c r="F4229">
        <v>5550</v>
      </c>
      <c r="J4229">
        <v>166.6</v>
      </c>
      <c r="K4229">
        <v>135.9</v>
      </c>
      <c r="L4229">
        <v>0</v>
      </c>
      <c r="M4229" t="s">
        <v>18</v>
      </c>
      <c r="N4229">
        <v>0</v>
      </c>
      <c r="O4229">
        <v>0</v>
      </c>
    </row>
    <row r="4230" spans="1:15" x14ac:dyDescent="0.2">
      <c r="A4230" s="6">
        <v>45814</v>
      </c>
      <c r="B4230" t="s">
        <v>15</v>
      </c>
      <c r="C4230" t="s">
        <v>16</v>
      </c>
      <c r="D4230" s="1">
        <v>45855</v>
      </c>
      <c r="E4230" t="s">
        <v>17</v>
      </c>
      <c r="F4230">
        <v>3800</v>
      </c>
      <c r="J4230">
        <v>1658.1</v>
      </c>
      <c r="K4230">
        <v>1576.4</v>
      </c>
      <c r="L4230">
        <v>0</v>
      </c>
      <c r="M4230" t="s">
        <v>18</v>
      </c>
      <c r="N4230">
        <v>0</v>
      </c>
      <c r="O4230">
        <v>0</v>
      </c>
    </row>
    <row r="4231" spans="1:15" x14ac:dyDescent="0.2">
      <c r="A4231" s="6">
        <v>45814</v>
      </c>
      <c r="B4231" t="s">
        <v>15</v>
      </c>
      <c r="C4231" t="s">
        <v>16</v>
      </c>
      <c r="D4231" s="1">
        <v>45855</v>
      </c>
      <c r="E4231" t="s">
        <v>19</v>
      </c>
      <c r="F4231">
        <v>6000</v>
      </c>
      <c r="G4231">
        <v>665.5</v>
      </c>
      <c r="H4231">
        <v>681.2</v>
      </c>
      <c r="I4231">
        <v>600</v>
      </c>
      <c r="J4231">
        <v>659.4</v>
      </c>
      <c r="K4231">
        <v>657.1</v>
      </c>
      <c r="L4231">
        <v>15</v>
      </c>
      <c r="M4231" t="s">
        <v>278</v>
      </c>
      <c r="N4231">
        <v>99.93</v>
      </c>
      <c r="O4231">
        <v>93</v>
      </c>
    </row>
    <row r="4232" spans="1:15" x14ac:dyDescent="0.2">
      <c r="A4232" s="6">
        <v>45813</v>
      </c>
      <c r="B4232" t="s">
        <v>15</v>
      </c>
      <c r="C4232" t="s">
        <v>16</v>
      </c>
      <c r="D4232" s="1">
        <v>45855</v>
      </c>
      <c r="E4232" t="s">
        <v>17</v>
      </c>
      <c r="F4232">
        <v>4500</v>
      </c>
      <c r="J4232">
        <v>886.8</v>
      </c>
      <c r="K4232">
        <v>829.2</v>
      </c>
      <c r="L4232">
        <v>0</v>
      </c>
      <c r="M4232" t="s">
        <v>18</v>
      </c>
      <c r="N4232">
        <v>0</v>
      </c>
      <c r="O4232">
        <v>0</v>
      </c>
    </row>
    <row r="4233" spans="1:15" x14ac:dyDescent="0.2">
      <c r="A4233" s="6">
        <v>45813</v>
      </c>
      <c r="B4233" t="s">
        <v>15</v>
      </c>
      <c r="C4233" t="s">
        <v>16</v>
      </c>
      <c r="D4233" s="1">
        <v>45855</v>
      </c>
      <c r="E4233" t="s">
        <v>19</v>
      </c>
      <c r="F4233">
        <v>6150</v>
      </c>
      <c r="J4233">
        <v>776.9</v>
      </c>
      <c r="K4233">
        <v>834.7</v>
      </c>
      <c r="L4233">
        <v>0</v>
      </c>
      <c r="M4233" t="s">
        <v>18</v>
      </c>
      <c r="N4233">
        <v>0</v>
      </c>
      <c r="O4233">
        <v>0</v>
      </c>
    </row>
    <row r="4234" spans="1:15" x14ac:dyDescent="0.2">
      <c r="A4234" s="6">
        <v>45813</v>
      </c>
      <c r="B4234" t="s">
        <v>15</v>
      </c>
      <c r="C4234" t="s">
        <v>16</v>
      </c>
      <c r="D4234" s="1">
        <v>45855</v>
      </c>
      <c r="E4234" t="s">
        <v>17</v>
      </c>
      <c r="F4234">
        <v>5950</v>
      </c>
      <c r="J4234">
        <v>41.3</v>
      </c>
      <c r="K4234">
        <v>35.799999999999997</v>
      </c>
      <c r="L4234">
        <v>0</v>
      </c>
      <c r="M4234" t="s">
        <v>18</v>
      </c>
      <c r="N4234">
        <v>0</v>
      </c>
      <c r="O4234">
        <v>0</v>
      </c>
    </row>
    <row r="4235" spans="1:15" x14ac:dyDescent="0.2">
      <c r="A4235" s="6">
        <v>45813</v>
      </c>
      <c r="B4235" t="s">
        <v>15</v>
      </c>
      <c r="C4235" t="s">
        <v>16</v>
      </c>
      <c r="D4235" s="1">
        <v>45855</v>
      </c>
      <c r="E4235" t="s">
        <v>17</v>
      </c>
      <c r="F4235">
        <v>5150</v>
      </c>
      <c r="J4235">
        <v>338.9</v>
      </c>
      <c r="K4235">
        <v>303.5</v>
      </c>
      <c r="L4235">
        <v>0</v>
      </c>
      <c r="M4235" t="s">
        <v>18</v>
      </c>
      <c r="N4235">
        <v>0</v>
      </c>
      <c r="O4235">
        <v>2</v>
      </c>
    </row>
    <row r="4236" spans="1:15" x14ac:dyDescent="0.2">
      <c r="A4236" s="6">
        <v>45813</v>
      </c>
      <c r="B4236" t="s">
        <v>15</v>
      </c>
      <c r="C4236" t="s">
        <v>16</v>
      </c>
      <c r="D4236" s="1">
        <v>45855</v>
      </c>
      <c r="E4236" t="s">
        <v>17</v>
      </c>
      <c r="F4236">
        <v>4350</v>
      </c>
      <c r="J4236">
        <v>1032.4000000000001</v>
      </c>
      <c r="K4236">
        <v>973</v>
      </c>
      <c r="L4236">
        <v>0</v>
      </c>
      <c r="M4236" t="s">
        <v>18</v>
      </c>
      <c r="N4236">
        <v>0</v>
      </c>
      <c r="O4236">
        <v>0</v>
      </c>
    </row>
    <row r="4237" spans="1:15" x14ac:dyDescent="0.2">
      <c r="A4237" s="6">
        <v>45813</v>
      </c>
      <c r="B4237" t="s">
        <v>15</v>
      </c>
      <c r="C4237" t="s">
        <v>16</v>
      </c>
      <c r="D4237" s="1">
        <v>45855</v>
      </c>
      <c r="E4237" t="s">
        <v>17</v>
      </c>
      <c r="F4237">
        <v>3700</v>
      </c>
      <c r="J4237">
        <v>1675.6</v>
      </c>
      <c r="K4237">
        <v>1614.8</v>
      </c>
      <c r="L4237">
        <v>0</v>
      </c>
      <c r="M4237" t="s">
        <v>18</v>
      </c>
      <c r="N4237">
        <v>0</v>
      </c>
      <c r="O4237">
        <v>0</v>
      </c>
    </row>
    <row r="4238" spans="1:15" x14ac:dyDescent="0.2">
      <c r="A4238" s="6">
        <v>45813</v>
      </c>
      <c r="B4238" t="s">
        <v>15</v>
      </c>
      <c r="C4238" t="s">
        <v>16</v>
      </c>
      <c r="D4238" s="1">
        <v>45855</v>
      </c>
      <c r="E4238" t="s">
        <v>17</v>
      </c>
      <c r="F4238">
        <v>5000</v>
      </c>
      <c r="G4238">
        <v>479.6</v>
      </c>
      <c r="H4238">
        <v>482.1</v>
      </c>
      <c r="I4238">
        <v>479.6</v>
      </c>
      <c r="J4238">
        <v>480.9</v>
      </c>
      <c r="K4238">
        <v>482.1</v>
      </c>
      <c r="L4238">
        <v>2</v>
      </c>
      <c r="M4238" t="s">
        <v>28</v>
      </c>
      <c r="N4238">
        <v>10.96</v>
      </c>
      <c r="O4238">
        <v>6</v>
      </c>
    </row>
    <row r="4239" spans="1:15" x14ac:dyDescent="0.2">
      <c r="A4239" s="6">
        <v>45813</v>
      </c>
      <c r="B4239" t="s">
        <v>15</v>
      </c>
      <c r="C4239" t="s">
        <v>16</v>
      </c>
      <c r="D4239" s="1">
        <v>45855</v>
      </c>
      <c r="E4239" t="s">
        <v>17</v>
      </c>
      <c r="F4239">
        <v>4100</v>
      </c>
      <c r="J4239">
        <v>1278.8</v>
      </c>
      <c r="K4239">
        <v>1218.3</v>
      </c>
      <c r="L4239">
        <v>0</v>
      </c>
      <c r="M4239" t="s">
        <v>18</v>
      </c>
      <c r="N4239">
        <v>0</v>
      </c>
      <c r="O4239">
        <v>0</v>
      </c>
    </row>
    <row r="4240" spans="1:15" x14ac:dyDescent="0.2">
      <c r="A4240" s="6">
        <v>45813</v>
      </c>
      <c r="B4240" t="s">
        <v>15</v>
      </c>
      <c r="C4240" t="s">
        <v>16</v>
      </c>
      <c r="D4240" s="1">
        <v>45855</v>
      </c>
      <c r="E4240" t="s">
        <v>17</v>
      </c>
      <c r="F4240">
        <v>4400</v>
      </c>
      <c r="J4240">
        <v>983.5</v>
      </c>
      <c r="K4240">
        <v>924.7</v>
      </c>
      <c r="L4240">
        <v>0</v>
      </c>
      <c r="M4240" t="s">
        <v>18</v>
      </c>
      <c r="N4240">
        <v>0</v>
      </c>
      <c r="O4240">
        <v>0</v>
      </c>
    </row>
    <row r="4241" spans="1:15" x14ac:dyDescent="0.2">
      <c r="A4241" s="6">
        <v>45813</v>
      </c>
      <c r="B4241" t="s">
        <v>15</v>
      </c>
      <c r="C4241" t="s">
        <v>16</v>
      </c>
      <c r="D4241" s="1">
        <v>45855</v>
      </c>
      <c r="E4241" t="s">
        <v>19</v>
      </c>
      <c r="F4241">
        <v>4900</v>
      </c>
      <c r="J4241">
        <v>40.799999999999997</v>
      </c>
      <c r="K4241">
        <v>54.8</v>
      </c>
      <c r="L4241">
        <v>0</v>
      </c>
      <c r="M4241" t="s">
        <v>18</v>
      </c>
      <c r="N4241">
        <v>0</v>
      </c>
      <c r="O4241">
        <v>0</v>
      </c>
    </row>
    <row r="4242" spans="1:15" x14ac:dyDescent="0.2">
      <c r="A4242" s="6">
        <v>45813</v>
      </c>
      <c r="B4242" t="s">
        <v>15</v>
      </c>
      <c r="C4242" t="s">
        <v>16</v>
      </c>
      <c r="D4242" s="1">
        <v>45855</v>
      </c>
      <c r="E4242" t="s">
        <v>19</v>
      </c>
      <c r="F4242">
        <v>3600</v>
      </c>
      <c r="J4242">
        <v>0.1</v>
      </c>
      <c r="K4242">
        <v>0.1</v>
      </c>
      <c r="L4242">
        <v>0</v>
      </c>
      <c r="M4242" t="s">
        <v>18</v>
      </c>
      <c r="N4242">
        <v>0</v>
      </c>
      <c r="O4242">
        <v>0</v>
      </c>
    </row>
    <row r="4243" spans="1:15" x14ac:dyDescent="0.2">
      <c r="A4243" s="6">
        <v>45813</v>
      </c>
      <c r="B4243" t="s">
        <v>15</v>
      </c>
      <c r="C4243" t="s">
        <v>16</v>
      </c>
      <c r="D4243" s="1">
        <v>45855</v>
      </c>
      <c r="E4243" t="s">
        <v>17</v>
      </c>
      <c r="F4243">
        <v>5200</v>
      </c>
      <c r="J4243">
        <v>306.8</v>
      </c>
      <c r="K4243">
        <v>330.4</v>
      </c>
      <c r="L4243">
        <v>0</v>
      </c>
      <c r="M4243" t="s">
        <v>18</v>
      </c>
      <c r="N4243">
        <v>0</v>
      </c>
      <c r="O4243">
        <v>7</v>
      </c>
    </row>
    <row r="4244" spans="1:15" x14ac:dyDescent="0.2">
      <c r="A4244" s="6">
        <v>45813</v>
      </c>
      <c r="B4244" t="s">
        <v>15</v>
      </c>
      <c r="C4244" t="s">
        <v>16</v>
      </c>
      <c r="D4244" s="1">
        <v>45855</v>
      </c>
      <c r="E4244" t="s">
        <v>17</v>
      </c>
      <c r="F4244">
        <v>4750</v>
      </c>
      <c r="J4244">
        <v>654.1</v>
      </c>
      <c r="K4244">
        <v>602.1</v>
      </c>
      <c r="L4244">
        <v>0</v>
      </c>
      <c r="M4244" t="s">
        <v>18</v>
      </c>
      <c r="N4244">
        <v>0</v>
      </c>
      <c r="O4244">
        <v>0</v>
      </c>
    </row>
    <row r="4245" spans="1:15" x14ac:dyDescent="0.2">
      <c r="A4245" s="6">
        <v>45813</v>
      </c>
      <c r="B4245" t="s">
        <v>15</v>
      </c>
      <c r="C4245" t="s">
        <v>16</v>
      </c>
      <c r="D4245" s="1">
        <v>45855</v>
      </c>
      <c r="E4245" t="s">
        <v>19</v>
      </c>
      <c r="F4245">
        <v>5250</v>
      </c>
      <c r="J4245">
        <v>139.6</v>
      </c>
      <c r="K4245">
        <v>169.8</v>
      </c>
      <c r="L4245">
        <v>0</v>
      </c>
      <c r="M4245" t="s">
        <v>18</v>
      </c>
      <c r="N4245">
        <v>0</v>
      </c>
      <c r="O4245">
        <v>0</v>
      </c>
    </row>
    <row r="4246" spans="1:15" x14ac:dyDescent="0.2">
      <c r="A4246" s="6">
        <v>45813</v>
      </c>
      <c r="B4246" t="s">
        <v>15</v>
      </c>
      <c r="C4246" t="s">
        <v>16</v>
      </c>
      <c r="D4246" s="1">
        <v>45855</v>
      </c>
      <c r="E4246" t="s">
        <v>17</v>
      </c>
      <c r="F4246">
        <v>4450</v>
      </c>
      <c r="J4246">
        <v>935</v>
      </c>
      <c r="K4246">
        <v>876.7</v>
      </c>
      <c r="L4246">
        <v>0</v>
      </c>
      <c r="M4246" t="s">
        <v>18</v>
      </c>
      <c r="N4246">
        <v>0</v>
      </c>
      <c r="O4246">
        <v>0</v>
      </c>
    </row>
    <row r="4247" spans="1:15" x14ac:dyDescent="0.2">
      <c r="A4247" s="6">
        <v>45813</v>
      </c>
      <c r="B4247" t="s">
        <v>15</v>
      </c>
      <c r="C4247" t="s">
        <v>16</v>
      </c>
      <c r="D4247" s="1">
        <v>45855</v>
      </c>
      <c r="E4247" t="s">
        <v>17</v>
      </c>
      <c r="F4247">
        <v>5300</v>
      </c>
      <c r="J4247">
        <v>248.4</v>
      </c>
      <c r="K4247">
        <v>304</v>
      </c>
      <c r="L4247">
        <v>0</v>
      </c>
      <c r="M4247" t="s">
        <v>18</v>
      </c>
      <c r="N4247">
        <v>0</v>
      </c>
      <c r="O4247">
        <v>4</v>
      </c>
    </row>
    <row r="4248" spans="1:15" x14ac:dyDescent="0.2">
      <c r="A4248" s="6">
        <v>45813</v>
      </c>
      <c r="B4248" t="s">
        <v>15</v>
      </c>
      <c r="C4248" t="s">
        <v>16</v>
      </c>
      <c r="D4248" s="1">
        <v>45855</v>
      </c>
      <c r="E4248" t="s">
        <v>17</v>
      </c>
      <c r="F4248">
        <v>4950</v>
      </c>
      <c r="J4248">
        <v>484.8</v>
      </c>
      <c r="K4248">
        <v>440.2</v>
      </c>
      <c r="L4248">
        <v>0</v>
      </c>
      <c r="M4248" t="s">
        <v>18</v>
      </c>
      <c r="N4248">
        <v>0</v>
      </c>
      <c r="O4248">
        <v>0</v>
      </c>
    </row>
    <row r="4249" spans="1:15" x14ac:dyDescent="0.2">
      <c r="A4249" s="6">
        <v>45813</v>
      </c>
      <c r="B4249" t="s">
        <v>15</v>
      </c>
      <c r="C4249" t="s">
        <v>16</v>
      </c>
      <c r="D4249" s="1">
        <v>45855</v>
      </c>
      <c r="E4249" t="s">
        <v>19</v>
      </c>
      <c r="F4249">
        <v>4200</v>
      </c>
      <c r="J4249">
        <v>0.6</v>
      </c>
      <c r="K4249">
        <v>1.2</v>
      </c>
      <c r="L4249">
        <v>0</v>
      </c>
      <c r="M4249" t="s">
        <v>18</v>
      </c>
      <c r="N4249">
        <v>0</v>
      </c>
      <c r="O4249">
        <v>0</v>
      </c>
    </row>
    <row r="4250" spans="1:15" x14ac:dyDescent="0.2">
      <c r="A4250" s="6">
        <v>45813</v>
      </c>
      <c r="B4250" t="s">
        <v>15</v>
      </c>
      <c r="C4250" t="s">
        <v>16</v>
      </c>
      <c r="D4250" s="1">
        <v>45855</v>
      </c>
      <c r="E4250" t="s">
        <v>17</v>
      </c>
      <c r="F4250">
        <v>4800</v>
      </c>
      <c r="J4250">
        <v>610</v>
      </c>
      <c r="K4250">
        <v>559.6</v>
      </c>
      <c r="L4250">
        <v>0</v>
      </c>
      <c r="M4250" t="s">
        <v>18</v>
      </c>
      <c r="N4250">
        <v>0</v>
      </c>
      <c r="O4250">
        <v>0</v>
      </c>
    </row>
    <row r="4251" spans="1:15" x14ac:dyDescent="0.2">
      <c r="A4251" s="6">
        <v>45813</v>
      </c>
      <c r="B4251" t="s">
        <v>15</v>
      </c>
      <c r="C4251" t="s">
        <v>16</v>
      </c>
      <c r="D4251" s="1">
        <v>45855</v>
      </c>
      <c r="E4251" t="s">
        <v>17</v>
      </c>
      <c r="F4251">
        <v>4900</v>
      </c>
      <c r="J4251">
        <v>525.20000000000005</v>
      </c>
      <c r="K4251">
        <v>478.6</v>
      </c>
      <c r="L4251">
        <v>0</v>
      </c>
      <c r="M4251" t="s">
        <v>18</v>
      </c>
      <c r="N4251">
        <v>0</v>
      </c>
      <c r="O4251">
        <v>0</v>
      </c>
    </row>
    <row r="4252" spans="1:15" x14ac:dyDescent="0.2">
      <c r="A4252" s="6">
        <v>45813</v>
      </c>
      <c r="B4252" t="s">
        <v>15</v>
      </c>
      <c r="C4252" t="s">
        <v>16</v>
      </c>
      <c r="D4252" s="1">
        <v>45855</v>
      </c>
      <c r="E4252" t="s">
        <v>17</v>
      </c>
      <c r="F4252">
        <v>5700</v>
      </c>
      <c r="G4252">
        <v>127</v>
      </c>
      <c r="H4252">
        <v>127</v>
      </c>
      <c r="I4252">
        <v>127</v>
      </c>
      <c r="J4252">
        <v>127</v>
      </c>
      <c r="K4252">
        <v>119.6</v>
      </c>
      <c r="L4252">
        <v>2</v>
      </c>
      <c r="M4252" t="s">
        <v>28</v>
      </c>
      <c r="N4252">
        <v>11.65</v>
      </c>
      <c r="O4252">
        <v>12</v>
      </c>
    </row>
    <row r="4253" spans="1:15" x14ac:dyDescent="0.2">
      <c r="A4253" s="6">
        <v>45813</v>
      </c>
      <c r="B4253" t="s">
        <v>15</v>
      </c>
      <c r="C4253" t="s">
        <v>16</v>
      </c>
      <c r="D4253" s="1">
        <v>45855</v>
      </c>
      <c r="E4253" t="s">
        <v>17</v>
      </c>
      <c r="F4253">
        <v>4200</v>
      </c>
      <c r="J4253">
        <v>1179.9000000000001</v>
      </c>
      <c r="K4253">
        <v>1119.7</v>
      </c>
      <c r="L4253">
        <v>0</v>
      </c>
      <c r="M4253" t="s">
        <v>18</v>
      </c>
      <c r="N4253">
        <v>0</v>
      </c>
      <c r="O4253">
        <v>0</v>
      </c>
    </row>
    <row r="4254" spans="1:15" x14ac:dyDescent="0.2">
      <c r="A4254" s="6">
        <v>45813</v>
      </c>
      <c r="B4254" t="s">
        <v>15</v>
      </c>
      <c r="C4254" t="s">
        <v>16</v>
      </c>
      <c r="D4254" s="1">
        <v>45855</v>
      </c>
      <c r="E4254" t="s">
        <v>17</v>
      </c>
      <c r="F4254">
        <v>5250</v>
      </c>
      <c r="J4254">
        <v>276.60000000000002</v>
      </c>
      <c r="K4254">
        <v>246.2</v>
      </c>
      <c r="L4254">
        <v>0</v>
      </c>
      <c r="M4254" t="s">
        <v>18</v>
      </c>
      <c r="N4254">
        <v>0</v>
      </c>
      <c r="O4254">
        <v>0</v>
      </c>
    </row>
    <row r="4255" spans="1:15" x14ac:dyDescent="0.2">
      <c r="A4255" s="6">
        <v>45813</v>
      </c>
      <c r="B4255" t="s">
        <v>15</v>
      </c>
      <c r="C4255" t="s">
        <v>16</v>
      </c>
      <c r="D4255" s="1">
        <v>45855</v>
      </c>
      <c r="E4255" t="s">
        <v>19</v>
      </c>
      <c r="F4255">
        <v>5100</v>
      </c>
      <c r="G4255">
        <v>122</v>
      </c>
      <c r="H4255">
        <v>122</v>
      </c>
      <c r="I4255">
        <v>122</v>
      </c>
      <c r="J4255">
        <v>122</v>
      </c>
      <c r="K4255">
        <v>109.7</v>
      </c>
      <c r="L4255">
        <v>1</v>
      </c>
      <c r="M4255" t="s">
        <v>155</v>
      </c>
      <c r="N4255">
        <v>5.22</v>
      </c>
      <c r="O4255">
        <v>1</v>
      </c>
    </row>
    <row r="4256" spans="1:15" x14ac:dyDescent="0.2">
      <c r="A4256" s="6">
        <v>45813</v>
      </c>
      <c r="B4256" t="s">
        <v>15</v>
      </c>
      <c r="C4256" t="s">
        <v>16</v>
      </c>
      <c r="D4256" s="1">
        <v>45855</v>
      </c>
      <c r="E4256" t="s">
        <v>17</v>
      </c>
      <c r="F4256">
        <v>4650</v>
      </c>
      <c r="J4256">
        <v>745.1</v>
      </c>
      <c r="K4256">
        <v>690.4</v>
      </c>
      <c r="L4256">
        <v>0</v>
      </c>
      <c r="M4256" t="s">
        <v>18</v>
      </c>
      <c r="N4256">
        <v>0</v>
      </c>
      <c r="O4256">
        <v>0</v>
      </c>
    </row>
    <row r="4257" spans="1:15" x14ac:dyDescent="0.2">
      <c r="A4257" s="6">
        <v>45813</v>
      </c>
      <c r="B4257" t="s">
        <v>15</v>
      </c>
      <c r="C4257" t="s">
        <v>16</v>
      </c>
      <c r="D4257" s="1">
        <v>45855</v>
      </c>
      <c r="E4257" t="s">
        <v>19</v>
      </c>
      <c r="F4257">
        <v>6050</v>
      </c>
      <c r="J4257">
        <v>686.5</v>
      </c>
      <c r="K4257">
        <v>743</v>
      </c>
      <c r="L4257">
        <v>0</v>
      </c>
      <c r="M4257" t="s">
        <v>18</v>
      </c>
      <c r="N4257">
        <v>0</v>
      </c>
      <c r="O4257">
        <v>0</v>
      </c>
    </row>
    <row r="4258" spans="1:15" x14ac:dyDescent="0.2">
      <c r="A4258" s="6">
        <v>45813</v>
      </c>
      <c r="B4258" t="s">
        <v>15</v>
      </c>
      <c r="C4258" t="s">
        <v>16</v>
      </c>
      <c r="D4258" s="1">
        <v>45855</v>
      </c>
      <c r="E4258" t="s">
        <v>19</v>
      </c>
      <c r="F4258">
        <v>6650</v>
      </c>
      <c r="J4258">
        <v>1255.4000000000001</v>
      </c>
      <c r="K4258">
        <v>1315.5</v>
      </c>
      <c r="L4258">
        <v>0</v>
      </c>
      <c r="M4258" t="s">
        <v>18</v>
      </c>
      <c r="N4258">
        <v>0</v>
      </c>
      <c r="O4258">
        <v>0</v>
      </c>
    </row>
    <row r="4259" spans="1:15" x14ac:dyDescent="0.2">
      <c r="A4259" s="6">
        <v>45813</v>
      </c>
      <c r="B4259" t="s">
        <v>15</v>
      </c>
      <c r="C4259" t="s">
        <v>16</v>
      </c>
      <c r="D4259" s="1">
        <v>45855</v>
      </c>
      <c r="E4259" t="s">
        <v>17</v>
      </c>
      <c r="F4259">
        <v>5100</v>
      </c>
      <c r="J4259">
        <v>372.8</v>
      </c>
      <c r="K4259">
        <v>335</v>
      </c>
      <c r="L4259">
        <v>0</v>
      </c>
      <c r="M4259" t="s">
        <v>18</v>
      </c>
      <c r="N4259">
        <v>0</v>
      </c>
      <c r="O4259">
        <v>3</v>
      </c>
    </row>
    <row r="4260" spans="1:15" x14ac:dyDescent="0.2">
      <c r="A4260" s="6">
        <v>45813</v>
      </c>
      <c r="B4260" t="s">
        <v>15</v>
      </c>
      <c r="C4260" t="s">
        <v>16</v>
      </c>
      <c r="D4260" s="1">
        <v>45855</v>
      </c>
      <c r="E4260" t="s">
        <v>19</v>
      </c>
      <c r="F4260">
        <v>5700</v>
      </c>
      <c r="J4260">
        <v>399.5</v>
      </c>
      <c r="K4260">
        <v>448.4</v>
      </c>
      <c r="L4260">
        <v>0</v>
      </c>
      <c r="M4260" t="s">
        <v>18</v>
      </c>
      <c r="N4260">
        <v>0</v>
      </c>
      <c r="O4260">
        <v>0</v>
      </c>
    </row>
    <row r="4261" spans="1:15" x14ac:dyDescent="0.2">
      <c r="A4261" s="6">
        <v>45813</v>
      </c>
      <c r="B4261" t="s">
        <v>15</v>
      </c>
      <c r="C4261" t="s">
        <v>16</v>
      </c>
      <c r="D4261" s="1">
        <v>45855</v>
      </c>
      <c r="E4261" t="s">
        <v>19</v>
      </c>
      <c r="F4261">
        <v>4700</v>
      </c>
      <c r="J4261">
        <v>16.2</v>
      </c>
      <c r="K4261">
        <v>23.5</v>
      </c>
      <c r="L4261">
        <v>0</v>
      </c>
      <c r="M4261" t="s">
        <v>18</v>
      </c>
      <c r="N4261">
        <v>0</v>
      </c>
      <c r="O4261">
        <v>0</v>
      </c>
    </row>
    <row r="4262" spans="1:15" x14ac:dyDescent="0.2">
      <c r="A4262" s="6">
        <v>45813</v>
      </c>
      <c r="B4262" t="s">
        <v>15</v>
      </c>
      <c r="C4262" t="s">
        <v>16</v>
      </c>
      <c r="D4262" s="1">
        <v>45855</v>
      </c>
      <c r="E4262" t="s">
        <v>19</v>
      </c>
      <c r="F4262">
        <v>4550</v>
      </c>
      <c r="J4262">
        <v>7.2</v>
      </c>
      <c r="K4262">
        <v>11</v>
      </c>
      <c r="L4262">
        <v>0</v>
      </c>
      <c r="M4262" t="s">
        <v>18</v>
      </c>
      <c r="N4262">
        <v>0</v>
      </c>
      <c r="O4262">
        <v>0</v>
      </c>
    </row>
    <row r="4263" spans="1:15" x14ac:dyDescent="0.2">
      <c r="A4263" s="6">
        <v>45813</v>
      </c>
      <c r="B4263" t="s">
        <v>15</v>
      </c>
      <c r="C4263" t="s">
        <v>16</v>
      </c>
      <c r="D4263" s="1">
        <v>45855</v>
      </c>
      <c r="E4263" t="s">
        <v>19</v>
      </c>
      <c r="F4263">
        <v>3750</v>
      </c>
      <c r="J4263">
        <v>0.1</v>
      </c>
      <c r="K4263">
        <v>0.1</v>
      </c>
      <c r="L4263">
        <v>0</v>
      </c>
      <c r="M4263" t="s">
        <v>18</v>
      </c>
      <c r="N4263">
        <v>0</v>
      </c>
      <c r="O4263">
        <v>0</v>
      </c>
    </row>
    <row r="4264" spans="1:15" x14ac:dyDescent="0.2">
      <c r="A4264" s="6">
        <v>45813</v>
      </c>
      <c r="B4264" t="s">
        <v>15</v>
      </c>
      <c r="C4264" t="s">
        <v>16</v>
      </c>
      <c r="D4264" s="1">
        <v>45855</v>
      </c>
      <c r="E4264" t="s">
        <v>19</v>
      </c>
      <c r="F4264">
        <v>5450</v>
      </c>
      <c r="J4264">
        <v>236.8</v>
      </c>
      <c r="K4264">
        <v>305</v>
      </c>
      <c r="L4264">
        <v>0</v>
      </c>
      <c r="M4264" t="s">
        <v>18</v>
      </c>
      <c r="N4264">
        <v>0</v>
      </c>
      <c r="O4264">
        <v>5</v>
      </c>
    </row>
    <row r="4265" spans="1:15" x14ac:dyDescent="0.2">
      <c r="A4265" s="6">
        <v>45813</v>
      </c>
      <c r="B4265" t="s">
        <v>15</v>
      </c>
      <c r="C4265" t="s">
        <v>16</v>
      </c>
      <c r="D4265" s="1">
        <v>45855</v>
      </c>
      <c r="E4265" t="s">
        <v>17</v>
      </c>
      <c r="F4265">
        <v>6550</v>
      </c>
      <c r="J4265">
        <v>4.2</v>
      </c>
      <c r="K4265">
        <v>3.7</v>
      </c>
      <c r="L4265">
        <v>0</v>
      </c>
      <c r="M4265" t="s">
        <v>18</v>
      </c>
      <c r="N4265">
        <v>0</v>
      </c>
      <c r="O4265">
        <v>0</v>
      </c>
    </row>
    <row r="4266" spans="1:15" x14ac:dyDescent="0.2">
      <c r="A4266" s="6">
        <v>45813</v>
      </c>
      <c r="B4266" t="s">
        <v>15</v>
      </c>
      <c r="C4266" t="s">
        <v>16</v>
      </c>
      <c r="D4266" s="1">
        <v>45855</v>
      </c>
      <c r="E4266" t="s">
        <v>17</v>
      </c>
      <c r="F4266">
        <v>6650</v>
      </c>
      <c r="J4266">
        <v>2.7</v>
      </c>
      <c r="K4266">
        <v>2.4</v>
      </c>
      <c r="L4266">
        <v>0</v>
      </c>
      <c r="M4266" t="s">
        <v>18</v>
      </c>
      <c r="N4266">
        <v>0</v>
      </c>
      <c r="O4266">
        <v>0</v>
      </c>
    </row>
    <row r="4267" spans="1:15" x14ac:dyDescent="0.2">
      <c r="A4267" s="6">
        <v>45813</v>
      </c>
      <c r="B4267" t="s">
        <v>15</v>
      </c>
      <c r="C4267" t="s">
        <v>16</v>
      </c>
      <c r="D4267" s="1">
        <v>45855</v>
      </c>
      <c r="E4267" t="s">
        <v>19</v>
      </c>
      <c r="F4267">
        <v>3700</v>
      </c>
      <c r="J4267">
        <v>0.1</v>
      </c>
      <c r="K4267">
        <v>0.1</v>
      </c>
      <c r="L4267">
        <v>0</v>
      </c>
      <c r="M4267" t="s">
        <v>18</v>
      </c>
      <c r="N4267">
        <v>0</v>
      </c>
      <c r="O4267">
        <v>0</v>
      </c>
    </row>
    <row r="4268" spans="1:15" x14ac:dyDescent="0.2">
      <c r="A4268" s="6">
        <v>45813</v>
      </c>
      <c r="B4268" t="s">
        <v>15</v>
      </c>
      <c r="C4268" t="s">
        <v>16</v>
      </c>
      <c r="D4268" s="1">
        <v>45855</v>
      </c>
      <c r="E4268" t="s">
        <v>17</v>
      </c>
      <c r="F4268">
        <v>5600</v>
      </c>
      <c r="G4268">
        <v>145.69999999999999</v>
      </c>
      <c r="H4268">
        <v>169</v>
      </c>
      <c r="I4268">
        <v>145.69999999999999</v>
      </c>
      <c r="J4268">
        <v>163.1</v>
      </c>
      <c r="K4268">
        <v>163.30000000000001</v>
      </c>
      <c r="L4268">
        <v>6</v>
      </c>
      <c r="M4268" t="s">
        <v>132</v>
      </c>
      <c r="N4268">
        <v>34.58</v>
      </c>
      <c r="O4268">
        <v>32</v>
      </c>
    </row>
    <row r="4269" spans="1:15" x14ac:dyDescent="0.2">
      <c r="A4269" s="6">
        <v>45813</v>
      </c>
      <c r="B4269" t="s">
        <v>15</v>
      </c>
      <c r="C4269" t="s">
        <v>16</v>
      </c>
      <c r="D4269" s="1">
        <v>45855</v>
      </c>
      <c r="E4269" t="s">
        <v>17</v>
      </c>
      <c r="F4269">
        <v>6050</v>
      </c>
      <c r="J4269">
        <v>29.3</v>
      </c>
      <c r="K4269">
        <v>25.5</v>
      </c>
      <c r="L4269">
        <v>0</v>
      </c>
      <c r="M4269" t="s">
        <v>18</v>
      </c>
      <c r="N4269">
        <v>0</v>
      </c>
      <c r="O4269">
        <v>0</v>
      </c>
    </row>
    <row r="4270" spans="1:15" x14ac:dyDescent="0.2">
      <c r="A4270" s="6">
        <v>45813</v>
      </c>
      <c r="B4270" t="s">
        <v>15</v>
      </c>
      <c r="C4270" t="s">
        <v>16</v>
      </c>
      <c r="D4270" s="1">
        <v>45855</v>
      </c>
      <c r="E4270" t="s">
        <v>19</v>
      </c>
      <c r="F4270">
        <v>6400</v>
      </c>
      <c r="J4270">
        <v>1012.4</v>
      </c>
      <c r="K4270">
        <v>1071.8</v>
      </c>
      <c r="L4270">
        <v>0</v>
      </c>
      <c r="M4270" t="s">
        <v>18</v>
      </c>
      <c r="N4270">
        <v>0</v>
      </c>
      <c r="O4270">
        <v>0</v>
      </c>
    </row>
    <row r="4271" spans="1:15" x14ac:dyDescent="0.2">
      <c r="A4271" s="6">
        <v>45813</v>
      </c>
      <c r="B4271" t="s">
        <v>15</v>
      </c>
      <c r="C4271" t="s">
        <v>16</v>
      </c>
      <c r="D4271" s="1">
        <v>45855</v>
      </c>
      <c r="E4271" t="s">
        <v>17</v>
      </c>
      <c r="F4271">
        <v>3750</v>
      </c>
      <c r="J4271">
        <v>1626</v>
      </c>
      <c r="K4271">
        <v>1565.2</v>
      </c>
      <c r="L4271">
        <v>0</v>
      </c>
      <c r="M4271" t="s">
        <v>18</v>
      </c>
      <c r="N4271">
        <v>0</v>
      </c>
      <c r="O4271">
        <v>0</v>
      </c>
    </row>
    <row r="4272" spans="1:15" x14ac:dyDescent="0.2">
      <c r="A4272" s="6">
        <v>45813</v>
      </c>
      <c r="B4272" t="s">
        <v>15</v>
      </c>
      <c r="C4272" t="s">
        <v>16</v>
      </c>
      <c r="D4272" s="1">
        <v>45855</v>
      </c>
      <c r="E4272" t="s">
        <v>19</v>
      </c>
      <c r="F4272">
        <v>5400</v>
      </c>
      <c r="J4272">
        <v>209.6</v>
      </c>
      <c r="K4272">
        <v>253.8</v>
      </c>
      <c r="L4272">
        <v>0</v>
      </c>
      <c r="M4272" t="s">
        <v>18</v>
      </c>
      <c r="N4272">
        <v>0</v>
      </c>
      <c r="O4272">
        <v>10</v>
      </c>
    </row>
    <row r="4273" spans="1:15" x14ac:dyDescent="0.2">
      <c r="A4273" s="6">
        <v>45813</v>
      </c>
      <c r="B4273" t="s">
        <v>15</v>
      </c>
      <c r="C4273" t="s">
        <v>16</v>
      </c>
      <c r="D4273" s="1">
        <v>45855</v>
      </c>
      <c r="E4273" t="s">
        <v>19</v>
      </c>
      <c r="F4273">
        <v>4450</v>
      </c>
      <c r="J4273">
        <v>3.9</v>
      </c>
      <c r="K4273">
        <v>6.3</v>
      </c>
      <c r="L4273">
        <v>0</v>
      </c>
      <c r="M4273" t="s">
        <v>18</v>
      </c>
      <c r="N4273">
        <v>0</v>
      </c>
      <c r="O4273">
        <v>0</v>
      </c>
    </row>
    <row r="4274" spans="1:15" x14ac:dyDescent="0.2">
      <c r="A4274" s="6">
        <v>45813</v>
      </c>
      <c r="B4274" t="s">
        <v>15</v>
      </c>
      <c r="C4274" t="s">
        <v>16</v>
      </c>
      <c r="D4274" s="1">
        <v>45855</v>
      </c>
      <c r="E4274" t="s">
        <v>19</v>
      </c>
      <c r="F4274">
        <v>4600</v>
      </c>
      <c r="J4274">
        <v>9.5</v>
      </c>
      <c r="K4274">
        <v>14.4</v>
      </c>
      <c r="L4274">
        <v>0</v>
      </c>
      <c r="M4274" t="s">
        <v>18</v>
      </c>
      <c r="N4274">
        <v>0</v>
      </c>
      <c r="O4274">
        <v>0</v>
      </c>
    </row>
    <row r="4275" spans="1:15" x14ac:dyDescent="0.2">
      <c r="A4275" s="6">
        <v>45813</v>
      </c>
      <c r="B4275" t="s">
        <v>15</v>
      </c>
      <c r="C4275" t="s">
        <v>16</v>
      </c>
      <c r="D4275" s="1">
        <v>45855</v>
      </c>
      <c r="E4275" t="s">
        <v>19</v>
      </c>
      <c r="F4275">
        <v>5300</v>
      </c>
      <c r="G4275">
        <v>200</v>
      </c>
      <c r="H4275">
        <v>200</v>
      </c>
      <c r="I4275">
        <v>193.1</v>
      </c>
      <c r="J4275">
        <v>196.6</v>
      </c>
      <c r="K4275">
        <v>201.6</v>
      </c>
      <c r="L4275">
        <v>2</v>
      </c>
      <c r="M4275" t="s">
        <v>28</v>
      </c>
      <c r="N4275">
        <v>10.99</v>
      </c>
      <c r="O4275">
        <v>10</v>
      </c>
    </row>
    <row r="4276" spans="1:15" x14ac:dyDescent="0.2">
      <c r="A4276" s="6">
        <v>45813</v>
      </c>
      <c r="B4276" t="s">
        <v>15</v>
      </c>
      <c r="C4276" t="s">
        <v>16</v>
      </c>
      <c r="D4276" s="1">
        <v>45855</v>
      </c>
      <c r="E4276" t="s">
        <v>19</v>
      </c>
      <c r="F4276">
        <v>5900</v>
      </c>
      <c r="J4276">
        <v>556.9</v>
      </c>
      <c r="K4276">
        <v>610.9</v>
      </c>
      <c r="L4276">
        <v>0</v>
      </c>
      <c r="M4276" t="s">
        <v>18</v>
      </c>
      <c r="N4276">
        <v>0</v>
      </c>
      <c r="O4276">
        <v>0</v>
      </c>
    </row>
    <row r="4277" spans="1:15" x14ac:dyDescent="0.2">
      <c r="A4277" s="6">
        <v>45813</v>
      </c>
      <c r="B4277" t="s">
        <v>15</v>
      </c>
      <c r="C4277" t="s">
        <v>16</v>
      </c>
      <c r="D4277" s="1">
        <v>45855</v>
      </c>
      <c r="E4277" t="s">
        <v>19</v>
      </c>
      <c r="F4277">
        <v>5050</v>
      </c>
      <c r="J4277">
        <v>73</v>
      </c>
      <c r="K4277">
        <v>93.4</v>
      </c>
      <c r="L4277">
        <v>0</v>
      </c>
      <c r="M4277" t="s">
        <v>18</v>
      </c>
      <c r="N4277">
        <v>0</v>
      </c>
      <c r="O4277">
        <v>0</v>
      </c>
    </row>
    <row r="4278" spans="1:15" x14ac:dyDescent="0.2">
      <c r="A4278" s="6">
        <v>45813</v>
      </c>
      <c r="B4278" t="s">
        <v>15</v>
      </c>
      <c r="C4278" t="s">
        <v>16</v>
      </c>
      <c r="D4278" s="1">
        <v>45855</v>
      </c>
      <c r="E4278" t="s">
        <v>19</v>
      </c>
      <c r="F4278">
        <v>4250</v>
      </c>
      <c r="J4278">
        <v>0.9</v>
      </c>
      <c r="K4278">
        <v>1.7</v>
      </c>
      <c r="L4278">
        <v>0</v>
      </c>
      <c r="M4278" t="s">
        <v>18</v>
      </c>
      <c r="N4278">
        <v>0</v>
      </c>
      <c r="O4278">
        <v>0</v>
      </c>
    </row>
    <row r="4279" spans="1:15" x14ac:dyDescent="0.2">
      <c r="A4279" s="6">
        <v>45813</v>
      </c>
      <c r="B4279" t="s">
        <v>15</v>
      </c>
      <c r="C4279" t="s">
        <v>16</v>
      </c>
      <c r="D4279" s="1">
        <v>45855</v>
      </c>
      <c r="E4279" t="s">
        <v>19</v>
      </c>
      <c r="F4279">
        <v>4950</v>
      </c>
      <c r="J4279">
        <v>50</v>
      </c>
      <c r="K4279">
        <v>66</v>
      </c>
      <c r="L4279">
        <v>0</v>
      </c>
      <c r="M4279" t="s">
        <v>18</v>
      </c>
      <c r="N4279">
        <v>0</v>
      </c>
      <c r="O4279">
        <v>0</v>
      </c>
    </row>
    <row r="4280" spans="1:15" x14ac:dyDescent="0.2">
      <c r="A4280" s="6">
        <v>45813</v>
      </c>
      <c r="B4280" t="s">
        <v>15</v>
      </c>
      <c r="C4280" t="s">
        <v>16</v>
      </c>
      <c r="D4280" s="1">
        <v>45855</v>
      </c>
      <c r="E4280" t="s">
        <v>17</v>
      </c>
      <c r="F4280">
        <v>5750</v>
      </c>
      <c r="J4280">
        <v>77.5</v>
      </c>
      <c r="K4280">
        <v>67.5</v>
      </c>
      <c r="L4280">
        <v>0</v>
      </c>
      <c r="M4280" t="s">
        <v>18</v>
      </c>
      <c r="N4280">
        <v>0</v>
      </c>
      <c r="O4280">
        <v>0</v>
      </c>
    </row>
    <row r="4281" spans="1:15" x14ac:dyDescent="0.2">
      <c r="A4281" s="6">
        <v>45813</v>
      </c>
      <c r="B4281" t="s">
        <v>15</v>
      </c>
      <c r="C4281" t="s">
        <v>16</v>
      </c>
      <c r="D4281" s="1">
        <v>45855</v>
      </c>
      <c r="E4281" t="s">
        <v>19</v>
      </c>
      <c r="F4281">
        <v>6200</v>
      </c>
      <c r="J4281">
        <v>823.1</v>
      </c>
      <c r="K4281">
        <v>881.3</v>
      </c>
      <c r="L4281">
        <v>0</v>
      </c>
      <c r="M4281" t="s">
        <v>18</v>
      </c>
      <c r="N4281">
        <v>0</v>
      </c>
      <c r="O4281">
        <v>0</v>
      </c>
    </row>
    <row r="4282" spans="1:15" x14ac:dyDescent="0.2">
      <c r="A4282" s="6">
        <v>45813</v>
      </c>
      <c r="B4282" t="s">
        <v>15</v>
      </c>
      <c r="C4282" t="s">
        <v>16</v>
      </c>
      <c r="D4282" s="1">
        <v>45855</v>
      </c>
      <c r="E4282" t="s">
        <v>17</v>
      </c>
      <c r="F4282">
        <v>6400</v>
      </c>
      <c r="J4282">
        <v>7.8</v>
      </c>
      <c r="K4282">
        <v>6.8</v>
      </c>
      <c r="L4282">
        <v>0</v>
      </c>
      <c r="M4282" t="s">
        <v>18</v>
      </c>
      <c r="N4282">
        <v>0</v>
      </c>
      <c r="O4282">
        <v>0</v>
      </c>
    </row>
    <row r="4283" spans="1:15" x14ac:dyDescent="0.2">
      <c r="A4283" s="6">
        <v>45813</v>
      </c>
      <c r="B4283" t="s">
        <v>15</v>
      </c>
      <c r="C4283" t="s">
        <v>16</v>
      </c>
      <c r="D4283" s="1">
        <v>45855</v>
      </c>
      <c r="E4283" t="s">
        <v>17</v>
      </c>
      <c r="F4283">
        <v>3850</v>
      </c>
      <c r="J4283">
        <v>1526.7</v>
      </c>
      <c r="K4283">
        <v>1466</v>
      </c>
      <c r="L4283">
        <v>0</v>
      </c>
      <c r="M4283" t="s">
        <v>18</v>
      </c>
      <c r="N4283">
        <v>0</v>
      </c>
      <c r="O4283">
        <v>0</v>
      </c>
    </row>
    <row r="4284" spans="1:15" x14ac:dyDescent="0.2">
      <c r="A4284" s="6">
        <v>45813</v>
      </c>
      <c r="B4284" t="s">
        <v>15</v>
      </c>
      <c r="C4284" t="s">
        <v>16</v>
      </c>
      <c r="D4284" s="1">
        <v>45855</v>
      </c>
      <c r="E4284" t="s">
        <v>17</v>
      </c>
      <c r="F4284">
        <v>6600</v>
      </c>
      <c r="J4284">
        <v>3.4</v>
      </c>
      <c r="K4284">
        <v>3</v>
      </c>
      <c r="L4284">
        <v>0</v>
      </c>
      <c r="M4284" t="s">
        <v>18</v>
      </c>
      <c r="N4284">
        <v>0</v>
      </c>
      <c r="O4284">
        <v>0</v>
      </c>
    </row>
    <row r="4285" spans="1:15" x14ac:dyDescent="0.2">
      <c r="A4285" s="6">
        <v>45813</v>
      </c>
      <c r="B4285" t="s">
        <v>15</v>
      </c>
      <c r="C4285" t="s">
        <v>16</v>
      </c>
      <c r="D4285" s="1">
        <v>45855</v>
      </c>
      <c r="E4285" t="s">
        <v>19</v>
      </c>
      <c r="F4285">
        <v>3850</v>
      </c>
      <c r="J4285">
        <v>0.1</v>
      </c>
      <c r="K4285">
        <v>0.1</v>
      </c>
      <c r="L4285">
        <v>0</v>
      </c>
      <c r="M4285" t="s">
        <v>18</v>
      </c>
      <c r="N4285">
        <v>0</v>
      </c>
      <c r="O4285">
        <v>0</v>
      </c>
    </row>
    <row r="4286" spans="1:15" x14ac:dyDescent="0.2">
      <c r="A4286" s="6">
        <v>45813</v>
      </c>
      <c r="B4286" t="s">
        <v>15</v>
      </c>
      <c r="C4286" t="s">
        <v>16</v>
      </c>
      <c r="D4286" s="1">
        <v>45855</v>
      </c>
      <c r="E4286" t="s">
        <v>17</v>
      </c>
      <c r="F4286">
        <v>5650</v>
      </c>
      <c r="J4286">
        <v>103.5</v>
      </c>
      <c r="K4286">
        <v>90.4</v>
      </c>
      <c r="L4286">
        <v>0</v>
      </c>
      <c r="M4286" t="s">
        <v>18</v>
      </c>
      <c r="N4286">
        <v>0</v>
      </c>
      <c r="O4286">
        <v>0</v>
      </c>
    </row>
    <row r="4287" spans="1:15" x14ac:dyDescent="0.2">
      <c r="A4287" s="6">
        <v>45813</v>
      </c>
      <c r="B4287" t="s">
        <v>15</v>
      </c>
      <c r="C4287" t="s">
        <v>16</v>
      </c>
      <c r="D4287" s="1">
        <v>45855</v>
      </c>
      <c r="E4287" t="s">
        <v>17</v>
      </c>
      <c r="F4287">
        <v>6450</v>
      </c>
      <c r="J4287">
        <v>6.4</v>
      </c>
      <c r="K4287">
        <v>5.6</v>
      </c>
      <c r="L4287">
        <v>0</v>
      </c>
      <c r="M4287" t="s">
        <v>18</v>
      </c>
      <c r="N4287">
        <v>0</v>
      </c>
      <c r="O4287">
        <v>0</v>
      </c>
    </row>
    <row r="4288" spans="1:15" x14ac:dyDescent="0.2">
      <c r="A4288" s="6">
        <v>45813</v>
      </c>
      <c r="B4288" t="s">
        <v>15</v>
      </c>
      <c r="C4288" t="s">
        <v>16</v>
      </c>
      <c r="D4288" s="1">
        <v>45855</v>
      </c>
      <c r="E4288" t="s">
        <v>19</v>
      </c>
      <c r="F4288">
        <v>5950</v>
      </c>
      <c r="J4288">
        <v>599.1</v>
      </c>
      <c r="K4288">
        <v>654.1</v>
      </c>
      <c r="L4288">
        <v>0</v>
      </c>
      <c r="M4288" t="s">
        <v>18</v>
      </c>
      <c r="N4288">
        <v>0</v>
      </c>
      <c r="O4288">
        <v>0</v>
      </c>
    </row>
    <row r="4289" spans="1:15" x14ac:dyDescent="0.2">
      <c r="A4289" s="6">
        <v>45813</v>
      </c>
      <c r="B4289" t="s">
        <v>15</v>
      </c>
      <c r="C4289" t="s">
        <v>16</v>
      </c>
      <c r="D4289" s="1">
        <v>45855</v>
      </c>
      <c r="E4289" t="s">
        <v>17</v>
      </c>
      <c r="F4289">
        <v>6300</v>
      </c>
      <c r="J4289">
        <v>11.6</v>
      </c>
      <c r="K4289">
        <v>10.199999999999999</v>
      </c>
      <c r="L4289">
        <v>0</v>
      </c>
      <c r="M4289" t="s">
        <v>18</v>
      </c>
      <c r="N4289">
        <v>0</v>
      </c>
      <c r="O4289">
        <v>0</v>
      </c>
    </row>
    <row r="4290" spans="1:15" x14ac:dyDescent="0.2">
      <c r="A4290" s="6">
        <v>45813</v>
      </c>
      <c r="B4290" t="s">
        <v>15</v>
      </c>
      <c r="C4290" t="s">
        <v>16</v>
      </c>
      <c r="D4290" s="1">
        <v>45855</v>
      </c>
      <c r="E4290" t="s">
        <v>19</v>
      </c>
      <c r="F4290">
        <v>4050</v>
      </c>
      <c r="J4290">
        <v>0.2</v>
      </c>
      <c r="K4290">
        <v>0.4</v>
      </c>
      <c r="L4290">
        <v>0</v>
      </c>
      <c r="M4290" t="s">
        <v>18</v>
      </c>
      <c r="N4290">
        <v>0</v>
      </c>
      <c r="O4290">
        <v>0</v>
      </c>
    </row>
    <row r="4291" spans="1:15" x14ac:dyDescent="0.2">
      <c r="A4291" s="6">
        <v>45813</v>
      </c>
      <c r="B4291" t="s">
        <v>15</v>
      </c>
      <c r="C4291" t="s">
        <v>16</v>
      </c>
      <c r="D4291" s="1">
        <v>45855</v>
      </c>
      <c r="E4291" t="s">
        <v>17</v>
      </c>
      <c r="F4291">
        <v>5500</v>
      </c>
      <c r="G4291">
        <v>196</v>
      </c>
      <c r="H4291">
        <v>212</v>
      </c>
      <c r="I4291">
        <v>190.1</v>
      </c>
      <c r="J4291">
        <v>204.3</v>
      </c>
      <c r="K4291">
        <v>204.7</v>
      </c>
      <c r="L4291">
        <v>9</v>
      </c>
      <c r="M4291" t="s">
        <v>343</v>
      </c>
      <c r="N4291">
        <v>51.34</v>
      </c>
      <c r="O4291">
        <v>9</v>
      </c>
    </row>
    <row r="4292" spans="1:15" x14ac:dyDescent="0.2">
      <c r="A4292" s="6">
        <v>45813</v>
      </c>
      <c r="B4292" t="s">
        <v>15</v>
      </c>
      <c r="C4292" t="s">
        <v>16</v>
      </c>
      <c r="D4292" s="1">
        <v>45855</v>
      </c>
      <c r="E4292" t="s">
        <v>19</v>
      </c>
      <c r="F4292">
        <v>4100</v>
      </c>
      <c r="J4292">
        <v>0.3</v>
      </c>
      <c r="K4292">
        <v>0.5</v>
      </c>
      <c r="L4292">
        <v>0</v>
      </c>
      <c r="M4292" t="s">
        <v>18</v>
      </c>
      <c r="N4292">
        <v>0</v>
      </c>
      <c r="O4292">
        <v>0</v>
      </c>
    </row>
    <row r="4293" spans="1:15" x14ac:dyDescent="0.2">
      <c r="A4293" s="6">
        <v>45813</v>
      </c>
      <c r="B4293" t="s">
        <v>15</v>
      </c>
      <c r="C4293" t="s">
        <v>16</v>
      </c>
      <c r="D4293" s="1">
        <v>45855</v>
      </c>
      <c r="E4293" t="s">
        <v>17</v>
      </c>
      <c r="F4293">
        <v>6000</v>
      </c>
      <c r="G4293">
        <v>59.6</v>
      </c>
      <c r="H4293">
        <v>72.599999999999994</v>
      </c>
      <c r="I4293">
        <v>46.6</v>
      </c>
      <c r="J4293">
        <v>60.8</v>
      </c>
      <c r="K4293">
        <v>64.099999999999994</v>
      </c>
      <c r="L4293">
        <v>133</v>
      </c>
      <c r="M4293" t="s">
        <v>596</v>
      </c>
      <c r="N4293">
        <v>805.65</v>
      </c>
      <c r="O4293">
        <v>93</v>
      </c>
    </row>
    <row r="4294" spans="1:15" x14ac:dyDescent="0.2">
      <c r="A4294" s="6">
        <v>45813</v>
      </c>
      <c r="B4294" t="s">
        <v>15</v>
      </c>
      <c r="C4294" t="s">
        <v>16</v>
      </c>
      <c r="D4294" s="1">
        <v>45855</v>
      </c>
      <c r="E4294" t="s">
        <v>17</v>
      </c>
      <c r="F4294">
        <v>4850</v>
      </c>
      <c r="J4294">
        <v>567</v>
      </c>
      <c r="K4294">
        <v>518.4</v>
      </c>
      <c r="L4294">
        <v>0</v>
      </c>
      <c r="M4294" t="s">
        <v>18</v>
      </c>
      <c r="N4294">
        <v>0</v>
      </c>
      <c r="O4294">
        <v>0</v>
      </c>
    </row>
    <row r="4295" spans="1:15" x14ac:dyDescent="0.2">
      <c r="A4295" s="6">
        <v>45813</v>
      </c>
      <c r="B4295" t="s">
        <v>15</v>
      </c>
      <c r="C4295" t="s">
        <v>16</v>
      </c>
      <c r="D4295" s="1">
        <v>45855</v>
      </c>
      <c r="E4295" t="s">
        <v>17</v>
      </c>
      <c r="F4295">
        <v>4550</v>
      </c>
      <c r="J4295">
        <v>839</v>
      </c>
      <c r="K4295">
        <v>782.2</v>
      </c>
      <c r="L4295">
        <v>0</v>
      </c>
      <c r="M4295" t="s">
        <v>18</v>
      </c>
      <c r="N4295">
        <v>0</v>
      </c>
      <c r="O4295">
        <v>0</v>
      </c>
    </row>
    <row r="4296" spans="1:15" x14ac:dyDescent="0.2">
      <c r="A4296" s="6">
        <v>45813</v>
      </c>
      <c r="B4296" t="s">
        <v>15</v>
      </c>
      <c r="C4296" t="s">
        <v>16</v>
      </c>
      <c r="D4296" s="1">
        <v>45855</v>
      </c>
      <c r="E4296" t="s">
        <v>17</v>
      </c>
      <c r="F4296">
        <v>5800</v>
      </c>
      <c r="J4296">
        <v>66.7</v>
      </c>
      <c r="K4296">
        <v>57.9</v>
      </c>
      <c r="L4296">
        <v>0</v>
      </c>
      <c r="M4296" t="s">
        <v>18</v>
      </c>
      <c r="N4296">
        <v>0</v>
      </c>
      <c r="O4296">
        <v>2</v>
      </c>
    </row>
    <row r="4297" spans="1:15" x14ac:dyDescent="0.2">
      <c r="A4297" s="6">
        <v>45813</v>
      </c>
      <c r="B4297" t="s">
        <v>15</v>
      </c>
      <c r="C4297" t="s">
        <v>16</v>
      </c>
      <c r="D4297" s="1">
        <v>45855</v>
      </c>
      <c r="E4297" t="s">
        <v>17</v>
      </c>
      <c r="F4297">
        <v>4000</v>
      </c>
      <c r="J4297">
        <v>1377.9</v>
      </c>
      <c r="K4297">
        <v>1317.3</v>
      </c>
      <c r="L4297">
        <v>0</v>
      </c>
      <c r="M4297" t="s">
        <v>18</v>
      </c>
      <c r="N4297">
        <v>0</v>
      </c>
      <c r="O4297">
        <v>0</v>
      </c>
    </row>
    <row r="4298" spans="1:15" x14ac:dyDescent="0.2">
      <c r="A4298" s="6">
        <v>45813</v>
      </c>
      <c r="B4298" t="s">
        <v>15</v>
      </c>
      <c r="C4298" t="s">
        <v>16</v>
      </c>
      <c r="D4298" s="1">
        <v>45855</v>
      </c>
      <c r="E4298" t="s">
        <v>17</v>
      </c>
      <c r="F4298">
        <v>4250</v>
      </c>
      <c r="J4298">
        <v>1130.5999999999999</v>
      </c>
      <c r="K4298">
        <v>1070.5999999999999</v>
      </c>
      <c r="L4298">
        <v>0</v>
      </c>
      <c r="M4298" t="s">
        <v>18</v>
      </c>
      <c r="N4298">
        <v>0</v>
      </c>
      <c r="O4298">
        <v>0</v>
      </c>
    </row>
    <row r="4299" spans="1:15" x14ac:dyDescent="0.2">
      <c r="A4299" s="6">
        <v>45813</v>
      </c>
      <c r="B4299" t="s">
        <v>15</v>
      </c>
      <c r="C4299" t="s">
        <v>16</v>
      </c>
      <c r="D4299" s="1">
        <v>45855</v>
      </c>
      <c r="E4299" t="s">
        <v>19</v>
      </c>
      <c r="F4299">
        <v>5000</v>
      </c>
      <c r="G4299">
        <v>110</v>
      </c>
      <c r="H4299">
        <v>115</v>
      </c>
      <c r="I4299">
        <v>85</v>
      </c>
      <c r="J4299">
        <v>89.2</v>
      </c>
      <c r="K4299">
        <v>106.6</v>
      </c>
      <c r="L4299">
        <v>25</v>
      </c>
      <c r="M4299" t="s">
        <v>465</v>
      </c>
      <c r="N4299">
        <v>127.41</v>
      </c>
      <c r="O4299">
        <v>28</v>
      </c>
    </row>
    <row r="4300" spans="1:15" x14ac:dyDescent="0.2">
      <c r="A4300" s="6">
        <v>45813</v>
      </c>
      <c r="B4300" t="s">
        <v>15</v>
      </c>
      <c r="C4300" t="s">
        <v>16</v>
      </c>
      <c r="D4300" s="1">
        <v>45855</v>
      </c>
      <c r="E4300" t="s">
        <v>19</v>
      </c>
      <c r="F4300">
        <v>5350</v>
      </c>
      <c r="J4300">
        <v>184.3</v>
      </c>
      <c r="K4300">
        <v>219.3</v>
      </c>
      <c r="L4300">
        <v>0</v>
      </c>
      <c r="M4300" t="s">
        <v>18</v>
      </c>
      <c r="N4300">
        <v>0</v>
      </c>
      <c r="O4300">
        <v>1</v>
      </c>
    </row>
    <row r="4301" spans="1:15" x14ac:dyDescent="0.2">
      <c r="A4301" s="6">
        <v>45813</v>
      </c>
      <c r="B4301" t="s">
        <v>15</v>
      </c>
      <c r="C4301" t="s">
        <v>16</v>
      </c>
      <c r="D4301" s="1">
        <v>45855</v>
      </c>
      <c r="E4301" t="s">
        <v>19</v>
      </c>
      <c r="F4301">
        <v>4400</v>
      </c>
      <c r="J4301">
        <v>2.8</v>
      </c>
      <c r="K4301">
        <v>4.5999999999999996</v>
      </c>
      <c r="L4301">
        <v>0</v>
      </c>
      <c r="M4301" t="s">
        <v>18</v>
      </c>
      <c r="N4301">
        <v>0</v>
      </c>
      <c r="O4301">
        <v>0</v>
      </c>
    </row>
    <row r="4302" spans="1:15" x14ac:dyDescent="0.2">
      <c r="A4302" s="6">
        <v>45813</v>
      </c>
      <c r="B4302" t="s">
        <v>15</v>
      </c>
      <c r="C4302" t="s">
        <v>16</v>
      </c>
      <c r="D4302" s="1">
        <v>45855</v>
      </c>
      <c r="E4302" t="s">
        <v>19</v>
      </c>
      <c r="F4302">
        <v>4500</v>
      </c>
      <c r="J4302">
        <v>5.3</v>
      </c>
      <c r="K4302">
        <v>8.4</v>
      </c>
      <c r="L4302">
        <v>0</v>
      </c>
      <c r="M4302" t="s">
        <v>18</v>
      </c>
      <c r="N4302">
        <v>0</v>
      </c>
      <c r="O4302">
        <v>5</v>
      </c>
    </row>
    <row r="4303" spans="1:15" x14ac:dyDescent="0.2">
      <c r="A4303" s="6">
        <v>45813</v>
      </c>
      <c r="B4303" t="s">
        <v>15</v>
      </c>
      <c r="C4303" t="s">
        <v>16</v>
      </c>
      <c r="D4303" s="1">
        <v>45855</v>
      </c>
      <c r="E4303" t="s">
        <v>17</v>
      </c>
      <c r="F4303">
        <v>6350</v>
      </c>
      <c r="J4303">
        <v>9.6</v>
      </c>
      <c r="K4303">
        <v>8.4</v>
      </c>
      <c r="L4303">
        <v>0</v>
      </c>
      <c r="M4303" t="s">
        <v>18</v>
      </c>
      <c r="N4303">
        <v>0</v>
      </c>
      <c r="O4303">
        <v>0</v>
      </c>
    </row>
    <row r="4304" spans="1:15" x14ac:dyDescent="0.2">
      <c r="A4304" s="6">
        <v>45813</v>
      </c>
      <c r="B4304" t="s">
        <v>15</v>
      </c>
      <c r="C4304" t="s">
        <v>16</v>
      </c>
      <c r="D4304" s="1">
        <v>45855</v>
      </c>
      <c r="E4304" t="s">
        <v>17</v>
      </c>
      <c r="F4304">
        <v>5450</v>
      </c>
      <c r="J4304">
        <v>175.2</v>
      </c>
      <c r="K4304">
        <v>154.19999999999999</v>
      </c>
      <c r="L4304">
        <v>0</v>
      </c>
      <c r="M4304" t="s">
        <v>18</v>
      </c>
      <c r="N4304">
        <v>0</v>
      </c>
      <c r="O4304">
        <v>2</v>
      </c>
    </row>
    <row r="4305" spans="1:15" x14ac:dyDescent="0.2">
      <c r="A4305" s="6">
        <v>45813</v>
      </c>
      <c r="B4305" t="s">
        <v>15</v>
      </c>
      <c r="C4305" t="s">
        <v>16</v>
      </c>
      <c r="D4305" s="1">
        <v>45855</v>
      </c>
      <c r="E4305" t="s">
        <v>19</v>
      </c>
      <c r="F4305">
        <v>6550</v>
      </c>
      <c r="J4305">
        <v>1157.7</v>
      </c>
      <c r="K4305">
        <v>1217.5</v>
      </c>
      <c r="L4305">
        <v>0</v>
      </c>
      <c r="M4305" t="s">
        <v>18</v>
      </c>
      <c r="N4305">
        <v>0</v>
      </c>
      <c r="O4305">
        <v>0</v>
      </c>
    </row>
    <row r="4306" spans="1:15" x14ac:dyDescent="0.2">
      <c r="A4306" s="6">
        <v>45813</v>
      </c>
      <c r="B4306" t="s">
        <v>15</v>
      </c>
      <c r="C4306" t="s">
        <v>16</v>
      </c>
      <c r="D4306" s="1">
        <v>45855</v>
      </c>
      <c r="E4306" t="s">
        <v>17</v>
      </c>
      <c r="F4306">
        <v>4150</v>
      </c>
      <c r="J4306">
        <v>1229.3</v>
      </c>
      <c r="K4306">
        <v>1169</v>
      </c>
      <c r="L4306">
        <v>0</v>
      </c>
      <c r="M4306" t="s">
        <v>18</v>
      </c>
      <c r="N4306">
        <v>0</v>
      </c>
      <c r="O4306">
        <v>0</v>
      </c>
    </row>
    <row r="4307" spans="1:15" x14ac:dyDescent="0.2">
      <c r="A4307" s="6">
        <v>45813</v>
      </c>
      <c r="B4307" t="s">
        <v>15</v>
      </c>
      <c r="C4307" t="s">
        <v>16</v>
      </c>
      <c r="D4307" s="1">
        <v>45855</v>
      </c>
      <c r="E4307" t="s">
        <v>19</v>
      </c>
      <c r="F4307">
        <v>4650</v>
      </c>
      <c r="J4307">
        <v>12.5</v>
      </c>
      <c r="K4307">
        <v>18.5</v>
      </c>
      <c r="L4307">
        <v>0</v>
      </c>
      <c r="M4307" t="s">
        <v>18</v>
      </c>
      <c r="N4307">
        <v>0</v>
      </c>
      <c r="O4307">
        <v>0</v>
      </c>
    </row>
    <row r="4308" spans="1:15" x14ac:dyDescent="0.2">
      <c r="A4308" s="6">
        <v>45813</v>
      </c>
      <c r="B4308" t="s">
        <v>15</v>
      </c>
      <c r="C4308" t="s">
        <v>16</v>
      </c>
      <c r="D4308" s="1">
        <v>45855</v>
      </c>
      <c r="E4308" t="s">
        <v>19</v>
      </c>
      <c r="F4308">
        <v>5150</v>
      </c>
      <c r="J4308">
        <v>102.6</v>
      </c>
      <c r="K4308">
        <v>127.9</v>
      </c>
      <c r="L4308">
        <v>0</v>
      </c>
      <c r="M4308" t="s">
        <v>18</v>
      </c>
      <c r="N4308">
        <v>0</v>
      </c>
      <c r="O4308">
        <v>0</v>
      </c>
    </row>
    <row r="4309" spans="1:15" x14ac:dyDescent="0.2">
      <c r="A4309" s="6">
        <v>45813</v>
      </c>
      <c r="B4309" t="s">
        <v>15</v>
      </c>
      <c r="C4309" t="s">
        <v>16</v>
      </c>
      <c r="D4309" s="1">
        <v>45855</v>
      </c>
      <c r="E4309" t="s">
        <v>17</v>
      </c>
      <c r="F4309">
        <v>4600</v>
      </c>
      <c r="J4309">
        <v>791.7</v>
      </c>
      <c r="K4309">
        <v>735.9</v>
      </c>
      <c r="L4309">
        <v>0</v>
      </c>
      <c r="M4309" t="s">
        <v>18</v>
      </c>
      <c r="N4309">
        <v>0</v>
      </c>
      <c r="O4309">
        <v>0</v>
      </c>
    </row>
    <row r="4310" spans="1:15" x14ac:dyDescent="0.2">
      <c r="A4310" s="6">
        <v>45813</v>
      </c>
      <c r="B4310" t="s">
        <v>15</v>
      </c>
      <c r="C4310" t="s">
        <v>16</v>
      </c>
      <c r="D4310" s="1">
        <v>45855</v>
      </c>
      <c r="E4310" t="s">
        <v>17</v>
      </c>
      <c r="F4310">
        <v>5900</v>
      </c>
      <c r="J4310">
        <v>48.6</v>
      </c>
      <c r="K4310">
        <v>42.2</v>
      </c>
      <c r="L4310">
        <v>0</v>
      </c>
      <c r="M4310" t="s">
        <v>18</v>
      </c>
      <c r="N4310">
        <v>0</v>
      </c>
      <c r="O4310">
        <v>0</v>
      </c>
    </row>
    <row r="4311" spans="1:15" x14ac:dyDescent="0.2">
      <c r="A4311" s="6">
        <v>45813</v>
      </c>
      <c r="B4311" t="s">
        <v>15</v>
      </c>
      <c r="C4311" t="s">
        <v>16</v>
      </c>
      <c r="D4311" s="1">
        <v>45855</v>
      </c>
      <c r="E4311" t="s">
        <v>17</v>
      </c>
      <c r="F4311">
        <v>6500</v>
      </c>
      <c r="J4311">
        <v>5.2</v>
      </c>
      <c r="K4311">
        <v>4.5999999999999996</v>
      </c>
      <c r="L4311">
        <v>0</v>
      </c>
      <c r="M4311" t="s">
        <v>18</v>
      </c>
      <c r="N4311">
        <v>0</v>
      </c>
      <c r="O4311">
        <v>0</v>
      </c>
    </row>
    <row r="4312" spans="1:15" x14ac:dyDescent="0.2">
      <c r="A4312" s="6">
        <v>45813</v>
      </c>
      <c r="B4312" t="s">
        <v>15</v>
      </c>
      <c r="C4312" t="s">
        <v>16</v>
      </c>
      <c r="D4312" s="1">
        <v>45855</v>
      </c>
      <c r="E4312" t="s">
        <v>19</v>
      </c>
      <c r="F4312">
        <v>3900</v>
      </c>
      <c r="J4312">
        <v>0.1</v>
      </c>
      <c r="K4312">
        <v>0.1</v>
      </c>
      <c r="L4312">
        <v>0</v>
      </c>
      <c r="M4312" t="s">
        <v>18</v>
      </c>
      <c r="N4312">
        <v>0</v>
      </c>
      <c r="O4312">
        <v>0</v>
      </c>
    </row>
    <row r="4313" spans="1:15" x14ac:dyDescent="0.2">
      <c r="A4313" s="6">
        <v>45813</v>
      </c>
      <c r="B4313" t="s">
        <v>15</v>
      </c>
      <c r="C4313" t="s">
        <v>16</v>
      </c>
      <c r="D4313" s="1">
        <v>45855</v>
      </c>
      <c r="E4313" t="s">
        <v>17</v>
      </c>
      <c r="F4313">
        <v>6250</v>
      </c>
      <c r="J4313">
        <v>14.1</v>
      </c>
      <c r="K4313">
        <v>12.3</v>
      </c>
      <c r="L4313">
        <v>0</v>
      </c>
      <c r="M4313" t="s">
        <v>18</v>
      </c>
      <c r="N4313">
        <v>0</v>
      </c>
      <c r="O4313">
        <v>0</v>
      </c>
    </row>
    <row r="4314" spans="1:15" x14ac:dyDescent="0.2">
      <c r="A4314" s="6">
        <v>45813</v>
      </c>
      <c r="B4314" t="s">
        <v>15</v>
      </c>
      <c r="C4314" t="s">
        <v>16</v>
      </c>
      <c r="D4314" s="1">
        <v>45855</v>
      </c>
      <c r="E4314" t="s">
        <v>17</v>
      </c>
      <c r="F4314">
        <v>5050</v>
      </c>
      <c r="J4314">
        <v>408.5</v>
      </c>
      <c r="K4314">
        <v>368.3</v>
      </c>
      <c r="L4314">
        <v>0</v>
      </c>
      <c r="M4314" t="s">
        <v>18</v>
      </c>
      <c r="N4314">
        <v>0</v>
      </c>
      <c r="O4314">
        <v>0</v>
      </c>
    </row>
    <row r="4315" spans="1:15" x14ac:dyDescent="0.2">
      <c r="A4315" s="6">
        <v>45813</v>
      </c>
      <c r="B4315" t="s">
        <v>15</v>
      </c>
      <c r="C4315" t="s">
        <v>16</v>
      </c>
      <c r="D4315" s="1">
        <v>45855</v>
      </c>
      <c r="E4315" t="s">
        <v>17</v>
      </c>
      <c r="F4315">
        <v>6200</v>
      </c>
      <c r="J4315">
        <v>17.100000000000001</v>
      </c>
      <c r="K4315">
        <v>14.8</v>
      </c>
      <c r="L4315">
        <v>0</v>
      </c>
      <c r="M4315" t="s">
        <v>18</v>
      </c>
      <c r="N4315">
        <v>0</v>
      </c>
      <c r="O4315">
        <v>0</v>
      </c>
    </row>
    <row r="4316" spans="1:15" x14ac:dyDescent="0.2">
      <c r="A4316" s="6">
        <v>45813</v>
      </c>
      <c r="B4316" t="s">
        <v>15</v>
      </c>
      <c r="C4316" t="s">
        <v>16</v>
      </c>
      <c r="D4316" s="1">
        <v>45855</v>
      </c>
      <c r="E4316" t="s">
        <v>19</v>
      </c>
      <c r="F4316">
        <v>5200</v>
      </c>
      <c r="G4316">
        <v>185.1</v>
      </c>
      <c r="H4316">
        <v>190</v>
      </c>
      <c r="I4316">
        <v>150</v>
      </c>
      <c r="J4316">
        <v>157.80000000000001</v>
      </c>
      <c r="K4316">
        <v>180.2</v>
      </c>
      <c r="L4316">
        <v>25</v>
      </c>
      <c r="M4316" t="s">
        <v>465</v>
      </c>
      <c r="N4316">
        <v>134.13999999999999</v>
      </c>
      <c r="O4316">
        <v>51</v>
      </c>
    </row>
    <row r="4317" spans="1:15" x14ac:dyDescent="0.2">
      <c r="A4317" s="6">
        <v>45813</v>
      </c>
      <c r="B4317" t="s">
        <v>15</v>
      </c>
      <c r="C4317" t="s">
        <v>16</v>
      </c>
      <c r="D4317" s="1">
        <v>45855</v>
      </c>
      <c r="E4317" t="s">
        <v>19</v>
      </c>
      <c r="F4317">
        <v>6250</v>
      </c>
      <c r="J4317">
        <v>869.8</v>
      </c>
      <c r="K4317">
        <v>928.4</v>
      </c>
      <c r="L4317">
        <v>0</v>
      </c>
      <c r="M4317" t="s">
        <v>18</v>
      </c>
      <c r="N4317">
        <v>0</v>
      </c>
      <c r="O4317">
        <v>0</v>
      </c>
    </row>
    <row r="4318" spans="1:15" x14ac:dyDescent="0.2">
      <c r="A4318" s="6">
        <v>45813</v>
      </c>
      <c r="B4318" t="s">
        <v>15</v>
      </c>
      <c r="C4318" t="s">
        <v>16</v>
      </c>
      <c r="D4318" s="1">
        <v>45855</v>
      </c>
      <c r="E4318" t="s">
        <v>17</v>
      </c>
      <c r="F4318">
        <v>3950</v>
      </c>
      <c r="J4318">
        <v>1427.5</v>
      </c>
      <c r="K4318">
        <v>1366.8</v>
      </c>
      <c r="L4318">
        <v>0</v>
      </c>
      <c r="M4318" t="s">
        <v>18</v>
      </c>
      <c r="N4318">
        <v>0</v>
      </c>
      <c r="O4318">
        <v>0</v>
      </c>
    </row>
    <row r="4319" spans="1:15" x14ac:dyDescent="0.2">
      <c r="A4319" s="6">
        <v>45813</v>
      </c>
      <c r="B4319" t="s">
        <v>15</v>
      </c>
      <c r="C4319" t="s">
        <v>16</v>
      </c>
      <c r="D4319" s="1">
        <v>45855</v>
      </c>
      <c r="E4319" t="s">
        <v>19</v>
      </c>
      <c r="F4319">
        <v>6350</v>
      </c>
      <c r="J4319">
        <v>964.5</v>
      </c>
      <c r="K4319">
        <v>1023.7</v>
      </c>
      <c r="L4319">
        <v>0</v>
      </c>
      <c r="M4319" t="s">
        <v>18</v>
      </c>
      <c r="N4319">
        <v>0</v>
      </c>
      <c r="O4319">
        <v>0</v>
      </c>
    </row>
    <row r="4320" spans="1:15" x14ac:dyDescent="0.2">
      <c r="A4320" s="6">
        <v>45813</v>
      </c>
      <c r="B4320" t="s">
        <v>15</v>
      </c>
      <c r="C4320" t="s">
        <v>16</v>
      </c>
      <c r="D4320" s="1">
        <v>45855</v>
      </c>
      <c r="E4320" t="s">
        <v>19</v>
      </c>
      <c r="F4320">
        <v>5650</v>
      </c>
      <c r="J4320">
        <v>363.6</v>
      </c>
      <c r="K4320">
        <v>410.9</v>
      </c>
      <c r="L4320">
        <v>0</v>
      </c>
      <c r="M4320" t="s">
        <v>18</v>
      </c>
      <c r="N4320">
        <v>0</v>
      </c>
      <c r="O4320">
        <v>0</v>
      </c>
    </row>
    <row r="4321" spans="1:15" x14ac:dyDescent="0.2">
      <c r="A4321" s="6">
        <v>45813</v>
      </c>
      <c r="B4321" t="s">
        <v>15</v>
      </c>
      <c r="C4321" t="s">
        <v>16</v>
      </c>
      <c r="D4321" s="1">
        <v>45855</v>
      </c>
      <c r="E4321" t="s">
        <v>19</v>
      </c>
      <c r="F4321">
        <v>5600</v>
      </c>
      <c r="J4321">
        <v>329.3</v>
      </c>
      <c r="K4321">
        <v>374.9</v>
      </c>
      <c r="L4321">
        <v>0</v>
      </c>
      <c r="M4321" t="s">
        <v>18</v>
      </c>
      <c r="N4321">
        <v>0</v>
      </c>
      <c r="O4321">
        <v>0</v>
      </c>
    </row>
    <row r="4322" spans="1:15" x14ac:dyDescent="0.2">
      <c r="A4322" s="6">
        <v>45813</v>
      </c>
      <c r="B4322" t="s">
        <v>15</v>
      </c>
      <c r="C4322" t="s">
        <v>16</v>
      </c>
      <c r="D4322" s="1">
        <v>45855</v>
      </c>
      <c r="E4322" t="s">
        <v>19</v>
      </c>
      <c r="F4322">
        <v>4000</v>
      </c>
      <c r="J4322">
        <v>0.1</v>
      </c>
      <c r="K4322">
        <v>0.2</v>
      </c>
      <c r="L4322">
        <v>0</v>
      </c>
      <c r="M4322" t="s">
        <v>18</v>
      </c>
      <c r="N4322">
        <v>0</v>
      </c>
      <c r="O4322">
        <v>0</v>
      </c>
    </row>
    <row r="4323" spans="1:15" x14ac:dyDescent="0.2">
      <c r="A4323" s="6">
        <v>45813</v>
      </c>
      <c r="B4323" t="s">
        <v>15</v>
      </c>
      <c r="C4323" t="s">
        <v>16</v>
      </c>
      <c r="D4323" s="1">
        <v>45855</v>
      </c>
      <c r="E4323" t="s">
        <v>19</v>
      </c>
      <c r="F4323">
        <v>4850</v>
      </c>
      <c r="J4323">
        <v>33</v>
      </c>
      <c r="K4323">
        <v>45</v>
      </c>
      <c r="L4323">
        <v>0</v>
      </c>
      <c r="M4323" t="s">
        <v>18</v>
      </c>
      <c r="N4323">
        <v>0</v>
      </c>
      <c r="O4323">
        <v>0</v>
      </c>
    </row>
    <row r="4324" spans="1:15" x14ac:dyDescent="0.2">
      <c r="A4324" s="6">
        <v>45813</v>
      </c>
      <c r="B4324" t="s">
        <v>15</v>
      </c>
      <c r="C4324" t="s">
        <v>16</v>
      </c>
      <c r="D4324" s="1">
        <v>45855</v>
      </c>
      <c r="E4324" t="s">
        <v>17</v>
      </c>
      <c r="F4324">
        <v>6100</v>
      </c>
      <c r="J4324">
        <v>24.6</v>
      </c>
      <c r="K4324">
        <v>21.4</v>
      </c>
      <c r="L4324">
        <v>0</v>
      </c>
      <c r="M4324" t="s">
        <v>18</v>
      </c>
      <c r="N4324">
        <v>0</v>
      </c>
      <c r="O4324">
        <v>0</v>
      </c>
    </row>
    <row r="4325" spans="1:15" x14ac:dyDescent="0.2">
      <c r="A4325" s="6">
        <v>45813</v>
      </c>
      <c r="B4325" t="s">
        <v>15</v>
      </c>
      <c r="C4325" t="s">
        <v>16</v>
      </c>
      <c r="D4325" s="1">
        <v>45855</v>
      </c>
      <c r="E4325" t="s">
        <v>17</v>
      </c>
      <c r="F4325">
        <v>5350</v>
      </c>
      <c r="J4325">
        <v>222.1</v>
      </c>
      <c r="K4325">
        <v>196.5</v>
      </c>
      <c r="L4325">
        <v>0</v>
      </c>
      <c r="M4325" t="s">
        <v>18</v>
      </c>
      <c r="N4325">
        <v>0</v>
      </c>
      <c r="O4325">
        <v>1</v>
      </c>
    </row>
    <row r="4326" spans="1:15" x14ac:dyDescent="0.2">
      <c r="A4326" s="6">
        <v>45813</v>
      </c>
      <c r="B4326" t="s">
        <v>15</v>
      </c>
      <c r="C4326" t="s">
        <v>16</v>
      </c>
      <c r="D4326" s="1">
        <v>45855</v>
      </c>
      <c r="E4326" t="s">
        <v>19</v>
      </c>
      <c r="F4326">
        <v>3650</v>
      </c>
      <c r="J4326">
        <v>0.1</v>
      </c>
      <c r="K4326">
        <v>0.1</v>
      </c>
      <c r="L4326">
        <v>0</v>
      </c>
      <c r="M4326" t="s">
        <v>18</v>
      </c>
      <c r="N4326">
        <v>0</v>
      </c>
      <c r="O4326">
        <v>0</v>
      </c>
    </row>
    <row r="4327" spans="1:15" x14ac:dyDescent="0.2">
      <c r="A4327" s="6">
        <v>45813</v>
      </c>
      <c r="B4327" t="s">
        <v>15</v>
      </c>
      <c r="C4327" t="s">
        <v>16</v>
      </c>
      <c r="D4327" s="1">
        <v>45855</v>
      </c>
      <c r="E4327" t="s">
        <v>17</v>
      </c>
      <c r="F4327">
        <v>3650</v>
      </c>
      <c r="J4327">
        <v>1725.2</v>
      </c>
      <c r="K4327">
        <v>1664.4</v>
      </c>
      <c r="L4327">
        <v>0</v>
      </c>
      <c r="M4327" t="s">
        <v>18</v>
      </c>
      <c r="N4327">
        <v>0</v>
      </c>
      <c r="O4327">
        <v>0</v>
      </c>
    </row>
    <row r="4328" spans="1:15" x14ac:dyDescent="0.2">
      <c r="A4328" s="6">
        <v>45813</v>
      </c>
      <c r="B4328" t="s">
        <v>15</v>
      </c>
      <c r="C4328" t="s">
        <v>16</v>
      </c>
      <c r="D4328" s="1">
        <v>45855</v>
      </c>
      <c r="E4328" t="s">
        <v>17</v>
      </c>
      <c r="F4328">
        <v>3600</v>
      </c>
      <c r="J4328">
        <v>1774.9</v>
      </c>
      <c r="K4328">
        <v>1714</v>
      </c>
      <c r="L4328">
        <v>0</v>
      </c>
      <c r="M4328" t="s">
        <v>18</v>
      </c>
      <c r="N4328">
        <v>0</v>
      </c>
      <c r="O4328">
        <v>0</v>
      </c>
    </row>
    <row r="4329" spans="1:15" x14ac:dyDescent="0.2">
      <c r="A4329" s="6">
        <v>45813</v>
      </c>
      <c r="B4329" t="s">
        <v>15</v>
      </c>
      <c r="C4329" t="s">
        <v>16</v>
      </c>
      <c r="D4329" s="1">
        <v>45855</v>
      </c>
      <c r="E4329" t="s">
        <v>19</v>
      </c>
      <c r="F4329">
        <v>5800</v>
      </c>
      <c r="J4329">
        <v>475.6</v>
      </c>
      <c r="K4329">
        <v>527.4</v>
      </c>
      <c r="L4329">
        <v>0</v>
      </c>
      <c r="M4329" t="s">
        <v>18</v>
      </c>
      <c r="N4329">
        <v>0</v>
      </c>
      <c r="O4329">
        <v>0</v>
      </c>
    </row>
    <row r="4330" spans="1:15" x14ac:dyDescent="0.2">
      <c r="A4330" s="6">
        <v>45813</v>
      </c>
      <c r="B4330" t="s">
        <v>15</v>
      </c>
      <c r="C4330" t="s">
        <v>16</v>
      </c>
      <c r="D4330" s="1">
        <v>45855</v>
      </c>
      <c r="E4330" t="s">
        <v>19</v>
      </c>
      <c r="F4330">
        <v>6000</v>
      </c>
      <c r="G4330">
        <v>675.3</v>
      </c>
      <c r="H4330">
        <v>686</v>
      </c>
      <c r="I4330">
        <v>625</v>
      </c>
      <c r="J4330">
        <v>657.1</v>
      </c>
      <c r="K4330">
        <v>698.2</v>
      </c>
      <c r="L4330">
        <v>80</v>
      </c>
      <c r="M4330" t="s">
        <v>769</v>
      </c>
      <c r="N4330">
        <v>532.52</v>
      </c>
      <c r="O4330">
        <v>79</v>
      </c>
    </row>
    <row r="4331" spans="1:15" x14ac:dyDescent="0.2">
      <c r="A4331" s="6">
        <v>45813</v>
      </c>
      <c r="B4331" t="s">
        <v>15</v>
      </c>
      <c r="C4331" t="s">
        <v>16</v>
      </c>
      <c r="D4331" s="1">
        <v>45855</v>
      </c>
      <c r="E4331" t="s">
        <v>17</v>
      </c>
      <c r="F4331">
        <v>3800</v>
      </c>
      <c r="J4331">
        <v>1576.4</v>
      </c>
      <c r="K4331">
        <v>1515.6</v>
      </c>
      <c r="L4331">
        <v>0</v>
      </c>
      <c r="M4331" t="s">
        <v>18</v>
      </c>
      <c r="N4331">
        <v>0</v>
      </c>
      <c r="O4331">
        <v>0</v>
      </c>
    </row>
    <row r="4332" spans="1:15" x14ac:dyDescent="0.2">
      <c r="A4332" s="6">
        <v>45813</v>
      </c>
      <c r="B4332" t="s">
        <v>15</v>
      </c>
      <c r="C4332" t="s">
        <v>16</v>
      </c>
      <c r="D4332" s="1">
        <v>45855</v>
      </c>
      <c r="E4332" t="s">
        <v>17</v>
      </c>
      <c r="F4332">
        <v>5550</v>
      </c>
      <c r="J4332">
        <v>135.9</v>
      </c>
      <c r="K4332">
        <v>119</v>
      </c>
      <c r="L4332">
        <v>0</v>
      </c>
      <c r="M4332" t="s">
        <v>18</v>
      </c>
      <c r="N4332">
        <v>0</v>
      </c>
      <c r="O4332">
        <v>0</v>
      </c>
    </row>
    <row r="4333" spans="1:15" x14ac:dyDescent="0.2">
      <c r="A4333" s="6">
        <v>45813</v>
      </c>
      <c r="B4333" t="s">
        <v>15</v>
      </c>
      <c r="C4333" t="s">
        <v>16</v>
      </c>
      <c r="D4333" s="1">
        <v>45855</v>
      </c>
      <c r="E4333" t="s">
        <v>19</v>
      </c>
      <c r="F4333">
        <v>4750</v>
      </c>
      <c r="J4333">
        <v>20.8</v>
      </c>
      <c r="K4333">
        <v>29.5</v>
      </c>
      <c r="L4333">
        <v>0</v>
      </c>
      <c r="M4333" t="s">
        <v>18</v>
      </c>
      <c r="N4333">
        <v>0</v>
      </c>
      <c r="O4333">
        <v>0</v>
      </c>
    </row>
    <row r="4334" spans="1:15" x14ac:dyDescent="0.2">
      <c r="A4334" s="6">
        <v>45813</v>
      </c>
      <c r="B4334" t="s">
        <v>15</v>
      </c>
      <c r="C4334" t="s">
        <v>16</v>
      </c>
      <c r="D4334" s="1">
        <v>45855</v>
      </c>
      <c r="E4334" t="s">
        <v>19</v>
      </c>
      <c r="F4334">
        <v>4800</v>
      </c>
      <c r="J4334">
        <v>26.3</v>
      </c>
      <c r="K4334">
        <v>36.6</v>
      </c>
      <c r="L4334">
        <v>0</v>
      </c>
      <c r="M4334" t="s">
        <v>18</v>
      </c>
      <c r="N4334">
        <v>0</v>
      </c>
      <c r="O4334">
        <v>5</v>
      </c>
    </row>
    <row r="4335" spans="1:15" x14ac:dyDescent="0.2">
      <c r="A4335" s="6">
        <v>45813</v>
      </c>
      <c r="B4335" t="s">
        <v>15</v>
      </c>
      <c r="C4335" t="s">
        <v>16</v>
      </c>
      <c r="D4335" s="1">
        <v>45855</v>
      </c>
      <c r="E4335" t="s">
        <v>19</v>
      </c>
      <c r="F4335">
        <v>4300</v>
      </c>
      <c r="J4335">
        <v>1.4</v>
      </c>
      <c r="K4335">
        <v>2.4</v>
      </c>
      <c r="L4335">
        <v>0</v>
      </c>
      <c r="M4335" t="s">
        <v>18</v>
      </c>
      <c r="N4335">
        <v>0</v>
      </c>
      <c r="O4335">
        <v>0</v>
      </c>
    </row>
    <row r="4336" spans="1:15" x14ac:dyDescent="0.2">
      <c r="A4336" s="6">
        <v>45813</v>
      </c>
      <c r="B4336" t="s">
        <v>15</v>
      </c>
      <c r="C4336" t="s">
        <v>16</v>
      </c>
      <c r="D4336" s="1">
        <v>45855</v>
      </c>
      <c r="E4336" t="s">
        <v>19</v>
      </c>
      <c r="F4336">
        <v>6300</v>
      </c>
      <c r="J4336">
        <v>916.9</v>
      </c>
      <c r="K4336">
        <v>975.8</v>
      </c>
      <c r="L4336">
        <v>0</v>
      </c>
      <c r="M4336" t="s">
        <v>18</v>
      </c>
      <c r="N4336">
        <v>0</v>
      </c>
      <c r="O4336">
        <v>0</v>
      </c>
    </row>
    <row r="4337" spans="1:15" x14ac:dyDescent="0.2">
      <c r="A4337" s="6">
        <v>45813</v>
      </c>
      <c r="B4337" t="s">
        <v>15</v>
      </c>
      <c r="C4337" t="s">
        <v>16</v>
      </c>
      <c r="D4337" s="1">
        <v>45855</v>
      </c>
      <c r="E4337" t="s">
        <v>17</v>
      </c>
      <c r="F4337">
        <v>5850</v>
      </c>
      <c r="J4337">
        <v>57.1</v>
      </c>
      <c r="K4337">
        <v>49.6</v>
      </c>
      <c r="L4337">
        <v>0</v>
      </c>
      <c r="M4337" t="s">
        <v>18</v>
      </c>
      <c r="N4337">
        <v>0</v>
      </c>
      <c r="O4337">
        <v>0</v>
      </c>
    </row>
    <row r="4338" spans="1:15" x14ac:dyDescent="0.2">
      <c r="A4338" s="6">
        <v>45813</v>
      </c>
      <c r="B4338" t="s">
        <v>15</v>
      </c>
      <c r="C4338" t="s">
        <v>16</v>
      </c>
      <c r="D4338" s="1">
        <v>45855</v>
      </c>
      <c r="E4338" t="s">
        <v>17</v>
      </c>
      <c r="F4338">
        <v>5400</v>
      </c>
      <c r="G4338">
        <v>215</v>
      </c>
      <c r="H4338">
        <v>266.89999999999998</v>
      </c>
      <c r="I4338">
        <v>202</v>
      </c>
      <c r="J4338">
        <v>253.7</v>
      </c>
      <c r="K4338">
        <v>226</v>
      </c>
      <c r="L4338">
        <v>86</v>
      </c>
      <c r="M4338" t="s">
        <v>153</v>
      </c>
      <c r="N4338">
        <v>484.98</v>
      </c>
      <c r="O4338">
        <v>70</v>
      </c>
    </row>
    <row r="4339" spans="1:15" x14ac:dyDescent="0.2">
      <c r="A4339" s="6">
        <v>45813</v>
      </c>
      <c r="B4339" t="s">
        <v>15</v>
      </c>
      <c r="C4339" t="s">
        <v>16</v>
      </c>
      <c r="D4339" s="1">
        <v>45855</v>
      </c>
      <c r="E4339" t="s">
        <v>17</v>
      </c>
      <c r="F4339">
        <v>3900</v>
      </c>
      <c r="J4339">
        <v>1477.1</v>
      </c>
      <c r="K4339">
        <v>1416.4</v>
      </c>
      <c r="L4339">
        <v>0</v>
      </c>
      <c r="M4339" t="s">
        <v>18</v>
      </c>
      <c r="N4339">
        <v>0</v>
      </c>
      <c r="O4339">
        <v>0</v>
      </c>
    </row>
    <row r="4340" spans="1:15" x14ac:dyDescent="0.2">
      <c r="A4340" s="6">
        <v>45813</v>
      </c>
      <c r="B4340" t="s">
        <v>15</v>
      </c>
      <c r="C4340" t="s">
        <v>16</v>
      </c>
      <c r="D4340" s="1">
        <v>45855</v>
      </c>
      <c r="E4340" t="s">
        <v>19</v>
      </c>
      <c r="F4340">
        <v>3950</v>
      </c>
      <c r="J4340">
        <v>0.1</v>
      </c>
      <c r="K4340">
        <v>0.1</v>
      </c>
      <c r="L4340">
        <v>0</v>
      </c>
      <c r="M4340" t="s">
        <v>18</v>
      </c>
      <c r="N4340">
        <v>0</v>
      </c>
      <c r="O4340">
        <v>0</v>
      </c>
    </row>
    <row r="4341" spans="1:15" x14ac:dyDescent="0.2">
      <c r="A4341" s="6">
        <v>45813</v>
      </c>
      <c r="B4341" t="s">
        <v>15</v>
      </c>
      <c r="C4341" t="s">
        <v>16</v>
      </c>
      <c r="D4341" s="1">
        <v>45855</v>
      </c>
      <c r="E4341" t="s">
        <v>19</v>
      </c>
      <c r="F4341">
        <v>4150</v>
      </c>
      <c r="J4341">
        <v>0.4</v>
      </c>
      <c r="K4341">
        <v>0.8</v>
      </c>
      <c r="L4341">
        <v>0</v>
      </c>
      <c r="M4341" t="s">
        <v>18</v>
      </c>
      <c r="N4341">
        <v>0</v>
      </c>
      <c r="O4341">
        <v>0</v>
      </c>
    </row>
    <row r="4342" spans="1:15" x14ac:dyDescent="0.2">
      <c r="A4342" s="6">
        <v>45813</v>
      </c>
      <c r="B4342" t="s">
        <v>15</v>
      </c>
      <c r="C4342" t="s">
        <v>16</v>
      </c>
      <c r="D4342" s="1">
        <v>45855</v>
      </c>
      <c r="E4342" t="s">
        <v>17</v>
      </c>
      <c r="F4342">
        <v>4050</v>
      </c>
      <c r="J4342">
        <v>1328.4</v>
      </c>
      <c r="K4342">
        <v>1267.8</v>
      </c>
      <c r="L4342">
        <v>0</v>
      </c>
      <c r="M4342" t="s">
        <v>18</v>
      </c>
      <c r="N4342">
        <v>0</v>
      </c>
      <c r="O4342">
        <v>0</v>
      </c>
    </row>
    <row r="4343" spans="1:15" x14ac:dyDescent="0.2">
      <c r="A4343" s="6">
        <v>45813</v>
      </c>
      <c r="B4343" t="s">
        <v>15</v>
      </c>
      <c r="C4343" t="s">
        <v>16</v>
      </c>
      <c r="D4343" s="1">
        <v>45855</v>
      </c>
      <c r="E4343" t="s">
        <v>19</v>
      </c>
      <c r="F4343">
        <v>4350</v>
      </c>
      <c r="J4343">
        <v>2</v>
      </c>
      <c r="K4343">
        <v>3.4</v>
      </c>
      <c r="L4343">
        <v>0</v>
      </c>
      <c r="M4343" t="s">
        <v>18</v>
      </c>
      <c r="N4343">
        <v>0</v>
      </c>
      <c r="O4343">
        <v>0</v>
      </c>
    </row>
    <row r="4344" spans="1:15" x14ac:dyDescent="0.2">
      <c r="A4344" s="6">
        <v>45813</v>
      </c>
      <c r="B4344" t="s">
        <v>15</v>
      </c>
      <c r="C4344" t="s">
        <v>16</v>
      </c>
      <c r="D4344" s="1">
        <v>45855</v>
      </c>
      <c r="E4344" t="s">
        <v>19</v>
      </c>
      <c r="F4344">
        <v>6600</v>
      </c>
      <c r="J4344">
        <v>1206.5</v>
      </c>
      <c r="K4344">
        <v>1266.4000000000001</v>
      </c>
      <c r="L4344">
        <v>0</v>
      </c>
      <c r="M4344" t="s">
        <v>18</v>
      </c>
      <c r="N4344">
        <v>0</v>
      </c>
      <c r="O4344">
        <v>0</v>
      </c>
    </row>
    <row r="4345" spans="1:15" x14ac:dyDescent="0.2">
      <c r="A4345" s="6">
        <v>45813</v>
      </c>
      <c r="B4345" t="s">
        <v>15</v>
      </c>
      <c r="C4345" t="s">
        <v>16</v>
      </c>
      <c r="D4345" s="1">
        <v>45855</v>
      </c>
      <c r="E4345" t="s">
        <v>19</v>
      </c>
      <c r="F4345">
        <v>6500</v>
      </c>
      <c r="J4345">
        <v>1109</v>
      </c>
      <c r="K4345">
        <v>1168.7</v>
      </c>
      <c r="L4345">
        <v>0</v>
      </c>
      <c r="M4345" t="s">
        <v>18</v>
      </c>
      <c r="N4345">
        <v>0</v>
      </c>
      <c r="O4345">
        <v>0</v>
      </c>
    </row>
    <row r="4346" spans="1:15" x14ac:dyDescent="0.2">
      <c r="A4346" s="6">
        <v>45813</v>
      </c>
      <c r="B4346" t="s">
        <v>15</v>
      </c>
      <c r="C4346" t="s">
        <v>16</v>
      </c>
      <c r="D4346" s="1">
        <v>45855</v>
      </c>
      <c r="E4346" t="s">
        <v>19</v>
      </c>
      <c r="F4346">
        <v>5550</v>
      </c>
      <c r="J4346">
        <v>296.7</v>
      </c>
      <c r="K4346">
        <v>340.4</v>
      </c>
      <c r="L4346">
        <v>0</v>
      </c>
      <c r="M4346" t="s">
        <v>18</v>
      </c>
      <c r="N4346">
        <v>0</v>
      </c>
      <c r="O4346">
        <v>0</v>
      </c>
    </row>
    <row r="4347" spans="1:15" x14ac:dyDescent="0.2">
      <c r="A4347" s="6">
        <v>45813</v>
      </c>
      <c r="B4347" t="s">
        <v>15</v>
      </c>
      <c r="C4347" t="s">
        <v>16</v>
      </c>
      <c r="D4347" s="1">
        <v>45855</v>
      </c>
      <c r="E4347" t="s">
        <v>17</v>
      </c>
      <c r="F4347">
        <v>6150</v>
      </c>
      <c r="J4347">
        <v>20.5</v>
      </c>
      <c r="K4347">
        <v>17.8</v>
      </c>
      <c r="L4347">
        <v>0</v>
      </c>
      <c r="M4347" t="s">
        <v>18</v>
      </c>
      <c r="N4347">
        <v>0</v>
      </c>
      <c r="O4347">
        <v>0</v>
      </c>
    </row>
    <row r="4348" spans="1:15" x14ac:dyDescent="0.2">
      <c r="A4348" s="6">
        <v>45813</v>
      </c>
      <c r="B4348" t="s">
        <v>15</v>
      </c>
      <c r="C4348" t="s">
        <v>16</v>
      </c>
      <c r="D4348" s="1">
        <v>45855</v>
      </c>
      <c r="E4348" t="s">
        <v>19</v>
      </c>
      <c r="F4348">
        <v>3800</v>
      </c>
      <c r="J4348">
        <v>0.1</v>
      </c>
      <c r="K4348">
        <v>0.1</v>
      </c>
      <c r="L4348">
        <v>0</v>
      </c>
      <c r="M4348" t="s">
        <v>18</v>
      </c>
      <c r="N4348">
        <v>0</v>
      </c>
      <c r="O4348">
        <v>0</v>
      </c>
    </row>
    <row r="4349" spans="1:15" x14ac:dyDescent="0.2">
      <c r="A4349" s="6">
        <v>45813</v>
      </c>
      <c r="B4349" t="s">
        <v>15</v>
      </c>
      <c r="C4349" t="s">
        <v>16</v>
      </c>
      <c r="D4349" s="1">
        <v>45855</v>
      </c>
      <c r="E4349" t="s">
        <v>19</v>
      </c>
      <c r="F4349">
        <v>6450</v>
      </c>
      <c r="J4349">
        <v>1060.5999999999999</v>
      </c>
      <c r="K4349">
        <v>1120.2</v>
      </c>
      <c r="L4349">
        <v>0</v>
      </c>
      <c r="M4349" t="s">
        <v>18</v>
      </c>
      <c r="N4349">
        <v>0</v>
      </c>
      <c r="O4349">
        <v>0</v>
      </c>
    </row>
    <row r="4350" spans="1:15" x14ac:dyDescent="0.2">
      <c r="A4350" s="6">
        <v>45813</v>
      </c>
      <c r="B4350" t="s">
        <v>15</v>
      </c>
      <c r="C4350" t="s">
        <v>16</v>
      </c>
      <c r="D4350" s="1">
        <v>45855</v>
      </c>
      <c r="E4350" t="s">
        <v>19</v>
      </c>
      <c r="F4350">
        <v>5850</v>
      </c>
      <c r="J4350">
        <v>515.70000000000005</v>
      </c>
      <c r="K4350">
        <v>568.6</v>
      </c>
      <c r="L4350">
        <v>0</v>
      </c>
      <c r="M4350" t="s">
        <v>18</v>
      </c>
      <c r="N4350">
        <v>0</v>
      </c>
      <c r="O4350">
        <v>0</v>
      </c>
    </row>
    <row r="4351" spans="1:15" x14ac:dyDescent="0.2">
      <c r="A4351" s="6">
        <v>45813</v>
      </c>
      <c r="B4351" t="s">
        <v>15</v>
      </c>
      <c r="C4351" t="s">
        <v>16</v>
      </c>
      <c r="D4351" s="1">
        <v>45855</v>
      </c>
      <c r="E4351" t="s">
        <v>19</v>
      </c>
      <c r="F4351">
        <v>5500</v>
      </c>
      <c r="G4351">
        <v>355</v>
      </c>
      <c r="H4351">
        <v>355.5</v>
      </c>
      <c r="I4351">
        <v>300.5</v>
      </c>
      <c r="J4351">
        <v>325.3</v>
      </c>
      <c r="K4351">
        <v>328</v>
      </c>
      <c r="L4351">
        <v>5</v>
      </c>
      <c r="M4351" t="s">
        <v>26</v>
      </c>
      <c r="N4351">
        <v>29.13</v>
      </c>
      <c r="O4351">
        <v>6</v>
      </c>
    </row>
    <row r="4352" spans="1:15" x14ac:dyDescent="0.2">
      <c r="A4352" s="6">
        <v>45813</v>
      </c>
      <c r="B4352" t="s">
        <v>15</v>
      </c>
      <c r="C4352" t="s">
        <v>16</v>
      </c>
      <c r="D4352" s="1">
        <v>45855</v>
      </c>
      <c r="E4352" t="s">
        <v>19</v>
      </c>
      <c r="F4352">
        <v>6100</v>
      </c>
      <c r="J4352">
        <v>731.4</v>
      </c>
      <c r="K4352">
        <v>788.5</v>
      </c>
      <c r="L4352">
        <v>0</v>
      </c>
      <c r="M4352" t="s">
        <v>18</v>
      </c>
      <c r="N4352">
        <v>0</v>
      </c>
      <c r="O4352">
        <v>0</v>
      </c>
    </row>
    <row r="4353" spans="1:15" x14ac:dyDescent="0.2">
      <c r="A4353" s="6">
        <v>45813</v>
      </c>
      <c r="B4353" t="s">
        <v>15</v>
      </c>
      <c r="C4353" t="s">
        <v>16</v>
      </c>
      <c r="D4353" s="1">
        <v>45855</v>
      </c>
      <c r="E4353" t="s">
        <v>17</v>
      </c>
      <c r="F4353">
        <v>4300</v>
      </c>
      <c r="J4353">
        <v>1081.4000000000001</v>
      </c>
      <c r="K4353">
        <v>1021.7</v>
      </c>
      <c r="L4353">
        <v>0</v>
      </c>
      <c r="M4353" t="s">
        <v>18</v>
      </c>
      <c r="N4353">
        <v>0</v>
      </c>
      <c r="O4353">
        <v>0</v>
      </c>
    </row>
    <row r="4354" spans="1:15" x14ac:dyDescent="0.2">
      <c r="A4354" s="6">
        <v>45813</v>
      </c>
      <c r="B4354" t="s">
        <v>15</v>
      </c>
      <c r="C4354" t="s">
        <v>16</v>
      </c>
      <c r="D4354" s="1">
        <v>45855</v>
      </c>
      <c r="E4354" t="s">
        <v>19</v>
      </c>
      <c r="F4354">
        <v>5750</v>
      </c>
      <c r="J4354">
        <v>436.9</v>
      </c>
      <c r="K4354">
        <v>487.3</v>
      </c>
      <c r="L4354">
        <v>0</v>
      </c>
      <c r="M4354" t="s">
        <v>18</v>
      </c>
      <c r="N4354">
        <v>0</v>
      </c>
      <c r="O4354">
        <v>0</v>
      </c>
    </row>
    <row r="4355" spans="1:15" x14ac:dyDescent="0.2">
      <c r="A4355" s="6">
        <v>45813</v>
      </c>
      <c r="B4355" t="s">
        <v>15</v>
      </c>
      <c r="C4355" t="s">
        <v>16</v>
      </c>
      <c r="D4355" s="1">
        <v>45855</v>
      </c>
      <c r="E4355" t="s">
        <v>17</v>
      </c>
      <c r="F4355">
        <v>4700</v>
      </c>
      <c r="J4355">
        <v>699.2</v>
      </c>
      <c r="K4355">
        <v>645.70000000000005</v>
      </c>
      <c r="L4355">
        <v>0</v>
      </c>
      <c r="M4355" t="s">
        <v>18</v>
      </c>
      <c r="N4355">
        <v>0</v>
      </c>
      <c r="O4355">
        <v>0</v>
      </c>
    </row>
    <row r="4356" spans="1:15" x14ac:dyDescent="0.2">
      <c r="A4356" s="6">
        <v>45812</v>
      </c>
      <c r="B4356" t="s">
        <v>15</v>
      </c>
      <c r="C4356" t="s">
        <v>16</v>
      </c>
      <c r="D4356" s="1">
        <v>45855</v>
      </c>
      <c r="E4356" t="s">
        <v>19</v>
      </c>
      <c r="F4356">
        <v>6050</v>
      </c>
      <c r="J4356">
        <v>743</v>
      </c>
      <c r="K4356">
        <v>686.5</v>
      </c>
      <c r="L4356">
        <v>0</v>
      </c>
      <c r="M4356" t="s">
        <v>18</v>
      </c>
      <c r="N4356">
        <v>0</v>
      </c>
      <c r="O4356">
        <v>0</v>
      </c>
    </row>
    <row r="4357" spans="1:15" x14ac:dyDescent="0.2">
      <c r="A4357" s="6">
        <v>45812</v>
      </c>
      <c r="B4357" t="s">
        <v>15</v>
      </c>
      <c r="C4357" t="s">
        <v>16</v>
      </c>
      <c r="D4357" s="1">
        <v>45855</v>
      </c>
      <c r="E4357" t="s">
        <v>17</v>
      </c>
      <c r="F4357">
        <v>5100</v>
      </c>
      <c r="J4357">
        <v>335</v>
      </c>
      <c r="K4357">
        <v>407.4</v>
      </c>
      <c r="L4357">
        <v>0</v>
      </c>
      <c r="M4357" t="s">
        <v>18</v>
      </c>
      <c r="N4357">
        <v>0</v>
      </c>
      <c r="O4357">
        <v>3</v>
      </c>
    </row>
    <row r="4358" spans="1:15" x14ac:dyDescent="0.2">
      <c r="A4358" s="6">
        <v>45812</v>
      </c>
      <c r="B4358" t="s">
        <v>15</v>
      </c>
      <c r="C4358" t="s">
        <v>16</v>
      </c>
      <c r="D4358" s="1">
        <v>45855</v>
      </c>
      <c r="E4358" t="s">
        <v>17</v>
      </c>
      <c r="F4358">
        <v>4650</v>
      </c>
      <c r="J4358">
        <v>690.4</v>
      </c>
      <c r="K4358">
        <v>754.9</v>
      </c>
      <c r="L4358">
        <v>0</v>
      </c>
      <c r="M4358" t="s">
        <v>18</v>
      </c>
      <c r="N4358">
        <v>0</v>
      </c>
      <c r="O4358">
        <v>0</v>
      </c>
    </row>
    <row r="4359" spans="1:15" x14ac:dyDescent="0.2">
      <c r="A4359" s="6">
        <v>45812</v>
      </c>
      <c r="B4359" t="s">
        <v>15</v>
      </c>
      <c r="C4359" t="s">
        <v>16</v>
      </c>
      <c r="D4359" s="1">
        <v>45855</v>
      </c>
      <c r="E4359" t="s">
        <v>19</v>
      </c>
      <c r="F4359">
        <v>5100</v>
      </c>
      <c r="J4359">
        <v>109.7</v>
      </c>
      <c r="K4359">
        <v>94.9</v>
      </c>
      <c r="L4359">
        <v>0</v>
      </c>
      <c r="M4359" t="s">
        <v>18</v>
      </c>
      <c r="N4359">
        <v>0</v>
      </c>
      <c r="O4359">
        <v>0</v>
      </c>
    </row>
    <row r="4360" spans="1:15" x14ac:dyDescent="0.2">
      <c r="A4360" s="6">
        <v>45812</v>
      </c>
      <c r="B4360" t="s">
        <v>15</v>
      </c>
      <c r="C4360" t="s">
        <v>16</v>
      </c>
      <c r="D4360" s="1">
        <v>45855</v>
      </c>
      <c r="E4360" t="s">
        <v>17</v>
      </c>
      <c r="F4360">
        <v>5250</v>
      </c>
      <c r="J4360">
        <v>246.2</v>
      </c>
      <c r="K4360">
        <v>292.2</v>
      </c>
      <c r="L4360">
        <v>0</v>
      </c>
      <c r="M4360" t="s">
        <v>18</v>
      </c>
      <c r="N4360">
        <v>0</v>
      </c>
      <c r="O4360">
        <v>0</v>
      </c>
    </row>
    <row r="4361" spans="1:15" x14ac:dyDescent="0.2">
      <c r="A4361" s="6">
        <v>45812</v>
      </c>
      <c r="B4361" t="s">
        <v>15</v>
      </c>
      <c r="C4361" t="s">
        <v>16</v>
      </c>
      <c r="D4361" s="1">
        <v>45855</v>
      </c>
      <c r="E4361" t="s">
        <v>17</v>
      </c>
      <c r="F4361">
        <v>4200</v>
      </c>
      <c r="J4361">
        <v>1119.7</v>
      </c>
      <c r="K4361">
        <v>1186.8</v>
      </c>
      <c r="L4361">
        <v>0</v>
      </c>
      <c r="M4361" t="s">
        <v>18</v>
      </c>
      <c r="N4361">
        <v>0</v>
      </c>
      <c r="O4361">
        <v>0</v>
      </c>
    </row>
    <row r="4362" spans="1:15" x14ac:dyDescent="0.2">
      <c r="A4362" s="6">
        <v>45812</v>
      </c>
      <c r="B4362" t="s">
        <v>15</v>
      </c>
      <c r="C4362" t="s">
        <v>16</v>
      </c>
      <c r="D4362" s="1">
        <v>45855</v>
      </c>
      <c r="E4362" t="s">
        <v>19</v>
      </c>
      <c r="F4362">
        <v>6650</v>
      </c>
      <c r="J4362">
        <v>1315.5</v>
      </c>
      <c r="K4362">
        <v>1249.5</v>
      </c>
      <c r="L4362">
        <v>0</v>
      </c>
      <c r="M4362" t="s">
        <v>18</v>
      </c>
      <c r="N4362">
        <v>0</v>
      </c>
      <c r="O4362">
        <v>0</v>
      </c>
    </row>
    <row r="4363" spans="1:15" x14ac:dyDescent="0.2">
      <c r="A4363" s="6">
        <v>45812</v>
      </c>
      <c r="B4363" t="s">
        <v>15</v>
      </c>
      <c r="C4363" t="s">
        <v>16</v>
      </c>
      <c r="D4363" s="1">
        <v>45855</v>
      </c>
      <c r="E4363" t="s">
        <v>17</v>
      </c>
      <c r="F4363">
        <v>5700</v>
      </c>
      <c r="G4363">
        <v>146</v>
      </c>
      <c r="H4363">
        <v>146</v>
      </c>
      <c r="I4363">
        <v>100.1</v>
      </c>
      <c r="J4363">
        <v>119.6</v>
      </c>
      <c r="K4363">
        <v>133.5</v>
      </c>
      <c r="L4363">
        <v>3</v>
      </c>
      <c r="M4363" t="s">
        <v>34</v>
      </c>
      <c r="N4363">
        <v>17.46</v>
      </c>
      <c r="O4363">
        <v>11</v>
      </c>
    </row>
    <row r="4364" spans="1:15" x14ac:dyDescent="0.2">
      <c r="A4364" s="6">
        <v>45812</v>
      </c>
      <c r="B4364" t="s">
        <v>15</v>
      </c>
      <c r="C4364" t="s">
        <v>16</v>
      </c>
      <c r="D4364" s="1">
        <v>45855</v>
      </c>
      <c r="E4364" t="s">
        <v>17</v>
      </c>
      <c r="F4364">
        <v>4900</v>
      </c>
      <c r="J4364">
        <v>478.6</v>
      </c>
      <c r="K4364">
        <v>538</v>
      </c>
      <c r="L4364">
        <v>0</v>
      </c>
      <c r="M4364" t="s">
        <v>18</v>
      </c>
      <c r="N4364">
        <v>0</v>
      </c>
      <c r="O4364">
        <v>0</v>
      </c>
    </row>
    <row r="4365" spans="1:15" x14ac:dyDescent="0.2">
      <c r="A4365" s="6">
        <v>45812</v>
      </c>
      <c r="B4365" t="s">
        <v>15</v>
      </c>
      <c r="C4365" t="s">
        <v>16</v>
      </c>
      <c r="D4365" s="1">
        <v>45855</v>
      </c>
      <c r="E4365" t="s">
        <v>17</v>
      </c>
      <c r="F4365">
        <v>4800</v>
      </c>
      <c r="J4365">
        <v>559.6</v>
      </c>
      <c r="K4365">
        <v>621.5</v>
      </c>
      <c r="L4365">
        <v>0</v>
      </c>
      <c r="M4365" t="s">
        <v>18</v>
      </c>
      <c r="N4365">
        <v>0</v>
      </c>
      <c r="O4365">
        <v>0</v>
      </c>
    </row>
    <row r="4366" spans="1:15" x14ac:dyDescent="0.2">
      <c r="A4366" s="6">
        <v>45812</v>
      </c>
      <c r="B4366" t="s">
        <v>15</v>
      </c>
      <c r="C4366" t="s">
        <v>16</v>
      </c>
      <c r="D4366" s="1">
        <v>45855</v>
      </c>
      <c r="E4366" t="s">
        <v>19</v>
      </c>
      <c r="F4366">
        <v>4200</v>
      </c>
      <c r="J4366">
        <v>1.2</v>
      </c>
      <c r="K4366">
        <v>1</v>
      </c>
      <c r="L4366">
        <v>0</v>
      </c>
      <c r="M4366" t="s">
        <v>18</v>
      </c>
      <c r="N4366">
        <v>0</v>
      </c>
      <c r="O4366">
        <v>0</v>
      </c>
    </row>
    <row r="4367" spans="1:15" x14ac:dyDescent="0.2">
      <c r="A4367" s="6">
        <v>45812</v>
      </c>
      <c r="B4367" t="s">
        <v>15</v>
      </c>
      <c r="C4367" t="s">
        <v>16</v>
      </c>
      <c r="D4367" s="1">
        <v>45855</v>
      </c>
      <c r="E4367" t="s">
        <v>17</v>
      </c>
      <c r="F4367">
        <v>4950</v>
      </c>
      <c r="J4367">
        <v>440.2</v>
      </c>
      <c r="K4367">
        <v>498.1</v>
      </c>
      <c r="L4367">
        <v>0</v>
      </c>
      <c r="M4367" t="s">
        <v>18</v>
      </c>
      <c r="N4367">
        <v>0</v>
      </c>
      <c r="O4367">
        <v>0</v>
      </c>
    </row>
    <row r="4368" spans="1:15" x14ac:dyDescent="0.2">
      <c r="A4368" s="6">
        <v>45812</v>
      </c>
      <c r="B4368" t="s">
        <v>15</v>
      </c>
      <c r="C4368" t="s">
        <v>16</v>
      </c>
      <c r="D4368" s="1">
        <v>45855</v>
      </c>
      <c r="E4368" t="s">
        <v>17</v>
      </c>
      <c r="F4368">
        <v>5300</v>
      </c>
      <c r="G4368">
        <v>304</v>
      </c>
      <c r="H4368">
        <v>304</v>
      </c>
      <c r="I4368">
        <v>304</v>
      </c>
      <c r="J4368">
        <v>304</v>
      </c>
      <c r="K4368">
        <v>291.5</v>
      </c>
      <c r="L4368">
        <v>1</v>
      </c>
      <c r="M4368" t="s">
        <v>155</v>
      </c>
      <c r="N4368">
        <v>5.6</v>
      </c>
      <c r="O4368">
        <v>4</v>
      </c>
    </row>
    <row r="4369" spans="1:15" x14ac:dyDescent="0.2">
      <c r="A4369" s="6">
        <v>45812</v>
      </c>
      <c r="B4369" t="s">
        <v>15</v>
      </c>
      <c r="C4369" t="s">
        <v>16</v>
      </c>
      <c r="D4369" s="1">
        <v>45855</v>
      </c>
      <c r="E4369" t="s">
        <v>17</v>
      </c>
      <c r="F4369">
        <v>4450</v>
      </c>
      <c r="J4369">
        <v>876.7</v>
      </c>
      <c r="K4369">
        <v>943</v>
      </c>
      <c r="L4369">
        <v>0</v>
      </c>
      <c r="M4369" t="s">
        <v>18</v>
      </c>
      <c r="N4369">
        <v>0</v>
      </c>
      <c r="O4369">
        <v>0</v>
      </c>
    </row>
    <row r="4370" spans="1:15" x14ac:dyDescent="0.2">
      <c r="A4370" s="6">
        <v>45812</v>
      </c>
      <c r="B4370" t="s">
        <v>15</v>
      </c>
      <c r="C4370" t="s">
        <v>16</v>
      </c>
      <c r="D4370" s="1">
        <v>45855</v>
      </c>
      <c r="E4370" t="s">
        <v>19</v>
      </c>
      <c r="F4370">
        <v>5250</v>
      </c>
      <c r="J4370">
        <v>169.8</v>
      </c>
      <c r="K4370">
        <v>148.30000000000001</v>
      </c>
      <c r="L4370">
        <v>0</v>
      </c>
      <c r="M4370" t="s">
        <v>18</v>
      </c>
      <c r="N4370">
        <v>0</v>
      </c>
      <c r="O4370">
        <v>0</v>
      </c>
    </row>
    <row r="4371" spans="1:15" x14ac:dyDescent="0.2">
      <c r="A4371" s="6">
        <v>45812</v>
      </c>
      <c r="B4371" t="s">
        <v>15</v>
      </c>
      <c r="C4371" t="s">
        <v>16</v>
      </c>
      <c r="D4371" s="1">
        <v>45855</v>
      </c>
      <c r="E4371" t="s">
        <v>17</v>
      </c>
      <c r="F4371">
        <v>4750</v>
      </c>
      <c r="J4371">
        <v>602.1</v>
      </c>
      <c r="K4371">
        <v>665</v>
      </c>
      <c r="L4371">
        <v>0</v>
      </c>
      <c r="M4371" t="s">
        <v>18</v>
      </c>
      <c r="N4371">
        <v>0</v>
      </c>
      <c r="O4371">
        <v>0</v>
      </c>
    </row>
    <row r="4372" spans="1:15" x14ac:dyDescent="0.2">
      <c r="A4372" s="6">
        <v>45812</v>
      </c>
      <c r="B4372" t="s">
        <v>15</v>
      </c>
      <c r="C4372" t="s">
        <v>16</v>
      </c>
      <c r="D4372" s="1">
        <v>45855</v>
      </c>
      <c r="E4372" t="s">
        <v>17</v>
      </c>
      <c r="F4372">
        <v>5200</v>
      </c>
      <c r="G4372">
        <v>340</v>
      </c>
      <c r="H4372">
        <v>340</v>
      </c>
      <c r="I4372">
        <v>322.3</v>
      </c>
      <c r="J4372">
        <v>330.4</v>
      </c>
      <c r="K4372">
        <v>340</v>
      </c>
      <c r="L4372">
        <v>5</v>
      </c>
      <c r="M4372" t="s">
        <v>26</v>
      </c>
      <c r="N4372">
        <v>27.65</v>
      </c>
      <c r="O4372">
        <v>7</v>
      </c>
    </row>
    <row r="4373" spans="1:15" x14ac:dyDescent="0.2">
      <c r="A4373" s="6">
        <v>45812</v>
      </c>
      <c r="B4373" t="s">
        <v>15</v>
      </c>
      <c r="C4373" t="s">
        <v>16</v>
      </c>
      <c r="D4373" s="1">
        <v>45855</v>
      </c>
      <c r="E4373" t="s">
        <v>19</v>
      </c>
      <c r="F4373">
        <v>3600</v>
      </c>
      <c r="J4373">
        <v>0.1</v>
      </c>
      <c r="K4373">
        <v>0.1</v>
      </c>
      <c r="L4373">
        <v>0</v>
      </c>
      <c r="M4373" t="s">
        <v>18</v>
      </c>
      <c r="N4373">
        <v>0</v>
      </c>
      <c r="O4373">
        <v>0</v>
      </c>
    </row>
    <row r="4374" spans="1:15" x14ac:dyDescent="0.2">
      <c r="A4374" s="6">
        <v>45812</v>
      </c>
      <c r="B4374" t="s">
        <v>15</v>
      </c>
      <c r="C4374" t="s">
        <v>16</v>
      </c>
      <c r="D4374" s="1">
        <v>45855</v>
      </c>
      <c r="E4374" t="s">
        <v>17</v>
      </c>
      <c r="F4374">
        <v>3700</v>
      </c>
      <c r="J4374">
        <v>1614.8</v>
      </c>
      <c r="K4374">
        <v>1682</v>
      </c>
      <c r="L4374">
        <v>0</v>
      </c>
      <c r="M4374" t="s">
        <v>18</v>
      </c>
      <c r="N4374">
        <v>0</v>
      </c>
      <c r="O4374">
        <v>0</v>
      </c>
    </row>
    <row r="4375" spans="1:15" x14ac:dyDescent="0.2">
      <c r="A4375" s="6">
        <v>45812</v>
      </c>
      <c r="B4375" t="s">
        <v>15</v>
      </c>
      <c r="C4375" t="s">
        <v>16</v>
      </c>
      <c r="D4375" s="1">
        <v>45855</v>
      </c>
      <c r="E4375" t="s">
        <v>19</v>
      </c>
      <c r="F4375">
        <v>4900</v>
      </c>
      <c r="J4375">
        <v>54.8</v>
      </c>
      <c r="K4375">
        <v>46.8</v>
      </c>
      <c r="L4375">
        <v>0</v>
      </c>
      <c r="M4375" t="s">
        <v>18</v>
      </c>
      <c r="N4375">
        <v>0</v>
      </c>
      <c r="O4375">
        <v>0</v>
      </c>
    </row>
    <row r="4376" spans="1:15" x14ac:dyDescent="0.2">
      <c r="A4376" s="6">
        <v>45812</v>
      </c>
      <c r="B4376" t="s">
        <v>15</v>
      </c>
      <c r="C4376" t="s">
        <v>16</v>
      </c>
      <c r="D4376" s="1">
        <v>45855</v>
      </c>
      <c r="E4376" t="s">
        <v>17</v>
      </c>
      <c r="F4376">
        <v>4400</v>
      </c>
      <c r="J4376">
        <v>924.7</v>
      </c>
      <c r="K4376">
        <v>991.3</v>
      </c>
      <c r="L4376">
        <v>0</v>
      </c>
      <c r="M4376" t="s">
        <v>18</v>
      </c>
      <c r="N4376">
        <v>0</v>
      </c>
      <c r="O4376">
        <v>0</v>
      </c>
    </row>
    <row r="4377" spans="1:15" x14ac:dyDescent="0.2">
      <c r="A4377" s="6">
        <v>45812</v>
      </c>
      <c r="B4377" t="s">
        <v>15</v>
      </c>
      <c r="C4377" t="s">
        <v>16</v>
      </c>
      <c r="D4377" s="1">
        <v>45855</v>
      </c>
      <c r="E4377" t="s">
        <v>17</v>
      </c>
      <c r="F4377">
        <v>4100</v>
      </c>
      <c r="J4377">
        <v>1218.3</v>
      </c>
      <c r="K4377">
        <v>1285.5</v>
      </c>
      <c r="L4377">
        <v>0</v>
      </c>
      <c r="M4377" t="s">
        <v>18</v>
      </c>
      <c r="N4377">
        <v>0</v>
      </c>
      <c r="O4377">
        <v>0</v>
      </c>
    </row>
    <row r="4378" spans="1:15" x14ac:dyDescent="0.2">
      <c r="A4378" s="6">
        <v>45812</v>
      </c>
      <c r="B4378" t="s">
        <v>15</v>
      </c>
      <c r="C4378" t="s">
        <v>16</v>
      </c>
      <c r="D4378" s="1">
        <v>45855</v>
      </c>
      <c r="E4378" t="s">
        <v>17</v>
      </c>
      <c r="F4378">
        <v>5000</v>
      </c>
      <c r="G4378">
        <v>507.9</v>
      </c>
      <c r="H4378">
        <v>520.5</v>
      </c>
      <c r="I4378">
        <v>430</v>
      </c>
      <c r="J4378">
        <v>482.1</v>
      </c>
      <c r="K4378">
        <v>525.9</v>
      </c>
      <c r="L4378">
        <v>9</v>
      </c>
      <c r="M4378" t="s">
        <v>343</v>
      </c>
      <c r="N4378">
        <v>49.34</v>
      </c>
      <c r="O4378">
        <v>8</v>
      </c>
    </row>
    <row r="4379" spans="1:15" x14ac:dyDescent="0.2">
      <c r="A4379" s="6">
        <v>45812</v>
      </c>
      <c r="B4379" t="s">
        <v>15</v>
      </c>
      <c r="C4379" t="s">
        <v>16</v>
      </c>
      <c r="D4379" s="1">
        <v>45855</v>
      </c>
      <c r="E4379" t="s">
        <v>17</v>
      </c>
      <c r="F4379">
        <v>4350</v>
      </c>
      <c r="J4379">
        <v>973</v>
      </c>
      <c r="K4379">
        <v>1039.8</v>
      </c>
      <c r="L4379">
        <v>0</v>
      </c>
      <c r="M4379" t="s">
        <v>18</v>
      </c>
      <c r="N4379">
        <v>0</v>
      </c>
      <c r="O4379">
        <v>0</v>
      </c>
    </row>
    <row r="4380" spans="1:15" x14ac:dyDescent="0.2">
      <c r="A4380" s="6">
        <v>45812</v>
      </c>
      <c r="B4380" t="s">
        <v>15</v>
      </c>
      <c r="C4380" t="s">
        <v>16</v>
      </c>
      <c r="D4380" s="1">
        <v>45855</v>
      </c>
      <c r="E4380" t="s">
        <v>17</v>
      </c>
      <c r="F4380">
        <v>5150</v>
      </c>
      <c r="J4380">
        <v>303.5</v>
      </c>
      <c r="K4380">
        <v>354</v>
      </c>
      <c r="L4380">
        <v>0</v>
      </c>
      <c r="M4380" t="s">
        <v>18</v>
      </c>
      <c r="N4380">
        <v>0</v>
      </c>
      <c r="O4380">
        <v>2</v>
      </c>
    </row>
    <row r="4381" spans="1:15" x14ac:dyDescent="0.2">
      <c r="A4381" s="6">
        <v>45812</v>
      </c>
      <c r="B4381" t="s">
        <v>15</v>
      </c>
      <c r="C4381" t="s">
        <v>16</v>
      </c>
      <c r="D4381" s="1">
        <v>45855</v>
      </c>
      <c r="E4381" t="s">
        <v>17</v>
      </c>
      <c r="F4381">
        <v>5950</v>
      </c>
      <c r="J4381">
        <v>35.799999999999997</v>
      </c>
      <c r="K4381">
        <v>50</v>
      </c>
      <c r="L4381">
        <v>0</v>
      </c>
      <c r="M4381" t="s">
        <v>18</v>
      </c>
      <c r="N4381">
        <v>0</v>
      </c>
      <c r="O4381">
        <v>0</v>
      </c>
    </row>
    <row r="4382" spans="1:15" x14ac:dyDescent="0.2">
      <c r="A4382" s="6">
        <v>45812</v>
      </c>
      <c r="B4382" t="s">
        <v>15</v>
      </c>
      <c r="C4382" t="s">
        <v>16</v>
      </c>
      <c r="D4382" s="1">
        <v>45855</v>
      </c>
      <c r="E4382" t="s">
        <v>19</v>
      </c>
      <c r="F4382">
        <v>6150</v>
      </c>
      <c r="J4382">
        <v>834.7</v>
      </c>
      <c r="K4382">
        <v>775.6</v>
      </c>
      <c r="L4382">
        <v>0</v>
      </c>
      <c r="M4382" t="s">
        <v>18</v>
      </c>
      <c r="N4382">
        <v>0</v>
      </c>
      <c r="O4382">
        <v>0</v>
      </c>
    </row>
    <row r="4383" spans="1:15" x14ac:dyDescent="0.2">
      <c r="A4383" s="6">
        <v>45812</v>
      </c>
      <c r="B4383" t="s">
        <v>15</v>
      </c>
      <c r="C4383" t="s">
        <v>16</v>
      </c>
      <c r="D4383" s="1">
        <v>45855</v>
      </c>
      <c r="E4383" t="s">
        <v>17</v>
      </c>
      <c r="F4383">
        <v>4500</v>
      </c>
      <c r="J4383">
        <v>829.2</v>
      </c>
      <c r="K4383">
        <v>895.2</v>
      </c>
      <c r="L4383">
        <v>0</v>
      </c>
      <c r="M4383" t="s">
        <v>18</v>
      </c>
      <c r="N4383">
        <v>0</v>
      </c>
      <c r="O4383">
        <v>0</v>
      </c>
    </row>
    <row r="4384" spans="1:15" x14ac:dyDescent="0.2">
      <c r="A4384" s="6">
        <v>45812</v>
      </c>
      <c r="B4384" t="s">
        <v>15</v>
      </c>
      <c r="C4384" t="s">
        <v>16</v>
      </c>
      <c r="D4384" s="1">
        <v>45855</v>
      </c>
      <c r="E4384" t="s">
        <v>19</v>
      </c>
      <c r="F4384">
        <v>3850</v>
      </c>
      <c r="J4384">
        <v>0.1</v>
      </c>
      <c r="K4384">
        <v>0.1</v>
      </c>
      <c r="L4384">
        <v>0</v>
      </c>
      <c r="M4384" t="s">
        <v>18</v>
      </c>
      <c r="N4384">
        <v>0</v>
      </c>
      <c r="O4384">
        <v>0</v>
      </c>
    </row>
    <row r="4385" spans="1:15" x14ac:dyDescent="0.2">
      <c r="A4385" s="6">
        <v>45812</v>
      </c>
      <c r="B4385" t="s">
        <v>15</v>
      </c>
      <c r="C4385" t="s">
        <v>16</v>
      </c>
      <c r="D4385" s="1">
        <v>45855</v>
      </c>
      <c r="E4385" t="s">
        <v>17</v>
      </c>
      <c r="F4385">
        <v>3850</v>
      </c>
      <c r="J4385">
        <v>1466</v>
      </c>
      <c r="K4385">
        <v>1533.2</v>
      </c>
      <c r="L4385">
        <v>0</v>
      </c>
      <c r="M4385" t="s">
        <v>18</v>
      </c>
      <c r="N4385">
        <v>0</v>
      </c>
      <c r="O4385">
        <v>0</v>
      </c>
    </row>
    <row r="4386" spans="1:15" x14ac:dyDescent="0.2">
      <c r="A4386" s="6">
        <v>45812</v>
      </c>
      <c r="B4386" t="s">
        <v>15</v>
      </c>
      <c r="C4386" t="s">
        <v>16</v>
      </c>
      <c r="D4386" s="1">
        <v>45855</v>
      </c>
      <c r="E4386" t="s">
        <v>17</v>
      </c>
      <c r="F4386">
        <v>6600</v>
      </c>
      <c r="J4386">
        <v>3</v>
      </c>
      <c r="K4386">
        <v>5.0999999999999996</v>
      </c>
      <c r="L4386">
        <v>0</v>
      </c>
      <c r="M4386" t="s">
        <v>18</v>
      </c>
      <c r="N4386">
        <v>0</v>
      </c>
      <c r="O4386">
        <v>0</v>
      </c>
    </row>
    <row r="4387" spans="1:15" x14ac:dyDescent="0.2">
      <c r="A4387" s="6">
        <v>45812</v>
      </c>
      <c r="B4387" t="s">
        <v>15</v>
      </c>
      <c r="C4387" t="s">
        <v>16</v>
      </c>
      <c r="D4387" s="1">
        <v>45855</v>
      </c>
      <c r="E4387" t="s">
        <v>17</v>
      </c>
      <c r="F4387">
        <v>6400</v>
      </c>
      <c r="J4387">
        <v>6.8</v>
      </c>
      <c r="K4387">
        <v>10.9</v>
      </c>
      <c r="L4387">
        <v>0</v>
      </c>
      <c r="M4387" t="s">
        <v>18</v>
      </c>
      <c r="N4387">
        <v>0</v>
      </c>
      <c r="O4387">
        <v>0</v>
      </c>
    </row>
    <row r="4388" spans="1:15" x14ac:dyDescent="0.2">
      <c r="A4388" s="6">
        <v>45812</v>
      </c>
      <c r="B4388" t="s">
        <v>15</v>
      </c>
      <c r="C4388" t="s">
        <v>16</v>
      </c>
      <c r="D4388" s="1">
        <v>45855</v>
      </c>
      <c r="E4388" t="s">
        <v>19</v>
      </c>
      <c r="F4388">
        <v>6200</v>
      </c>
      <c r="J4388">
        <v>881.3</v>
      </c>
      <c r="K4388">
        <v>821.1</v>
      </c>
      <c r="L4388">
        <v>0</v>
      </c>
      <c r="M4388" t="s">
        <v>18</v>
      </c>
      <c r="N4388">
        <v>0</v>
      </c>
      <c r="O4388">
        <v>0</v>
      </c>
    </row>
    <row r="4389" spans="1:15" x14ac:dyDescent="0.2">
      <c r="A4389" s="6">
        <v>45812</v>
      </c>
      <c r="B4389" t="s">
        <v>15</v>
      </c>
      <c r="C4389" t="s">
        <v>16</v>
      </c>
      <c r="D4389" s="1">
        <v>45855</v>
      </c>
      <c r="E4389" t="s">
        <v>17</v>
      </c>
      <c r="F4389">
        <v>5750</v>
      </c>
      <c r="J4389">
        <v>67.5</v>
      </c>
      <c r="K4389">
        <v>89.3</v>
      </c>
      <c r="L4389">
        <v>0</v>
      </c>
      <c r="M4389" t="s">
        <v>18</v>
      </c>
      <c r="N4389">
        <v>0</v>
      </c>
      <c r="O4389">
        <v>0</v>
      </c>
    </row>
    <row r="4390" spans="1:15" x14ac:dyDescent="0.2">
      <c r="A4390" s="6">
        <v>45812</v>
      </c>
      <c r="B4390" t="s">
        <v>15</v>
      </c>
      <c r="C4390" t="s">
        <v>16</v>
      </c>
      <c r="D4390" s="1">
        <v>45855</v>
      </c>
      <c r="E4390" t="s">
        <v>19</v>
      </c>
      <c r="F4390">
        <v>4950</v>
      </c>
      <c r="J4390">
        <v>66</v>
      </c>
      <c r="K4390">
        <v>56.6</v>
      </c>
      <c r="L4390">
        <v>0</v>
      </c>
      <c r="M4390" t="s">
        <v>18</v>
      </c>
      <c r="N4390">
        <v>0</v>
      </c>
      <c r="O4390">
        <v>0</v>
      </c>
    </row>
    <row r="4391" spans="1:15" x14ac:dyDescent="0.2">
      <c r="A4391" s="6">
        <v>45812</v>
      </c>
      <c r="B4391" t="s">
        <v>15</v>
      </c>
      <c r="C4391" t="s">
        <v>16</v>
      </c>
      <c r="D4391" s="1">
        <v>45855</v>
      </c>
      <c r="E4391" t="s">
        <v>19</v>
      </c>
      <c r="F4391">
        <v>5050</v>
      </c>
      <c r="J4391">
        <v>93.4</v>
      </c>
      <c r="K4391">
        <v>80.5</v>
      </c>
      <c r="L4391">
        <v>0</v>
      </c>
      <c r="M4391" t="s">
        <v>18</v>
      </c>
      <c r="N4391">
        <v>0</v>
      </c>
      <c r="O4391">
        <v>0</v>
      </c>
    </row>
    <row r="4392" spans="1:15" x14ac:dyDescent="0.2">
      <c r="A4392" s="6">
        <v>45812</v>
      </c>
      <c r="B4392" t="s">
        <v>15</v>
      </c>
      <c r="C4392" t="s">
        <v>16</v>
      </c>
      <c r="D4392" s="1">
        <v>45855</v>
      </c>
      <c r="E4392" t="s">
        <v>19</v>
      </c>
      <c r="F4392">
        <v>5900</v>
      </c>
      <c r="J4392">
        <v>610.9</v>
      </c>
      <c r="K4392">
        <v>559.20000000000005</v>
      </c>
      <c r="L4392">
        <v>0</v>
      </c>
      <c r="M4392" t="s">
        <v>18</v>
      </c>
      <c r="N4392">
        <v>0</v>
      </c>
      <c r="O4392">
        <v>0</v>
      </c>
    </row>
    <row r="4393" spans="1:15" x14ac:dyDescent="0.2">
      <c r="A4393" s="6">
        <v>45812</v>
      </c>
      <c r="B4393" t="s">
        <v>15</v>
      </c>
      <c r="C4393" t="s">
        <v>16</v>
      </c>
      <c r="D4393" s="1">
        <v>45855</v>
      </c>
      <c r="E4393" t="s">
        <v>19</v>
      </c>
      <c r="F4393">
        <v>6400</v>
      </c>
      <c r="J4393">
        <v>1071.8</v>
      </c>
      <c r="K4393">
        <v>1008.2</v>
      </c>
      <c r="L4393">
        <v>0</v>
      </c>
      <c r="M4393" t="s">
        <v>18</v>
      </c>
      <c r="N4393">
        <v>0</v>
      </c>
      <c r="O4393">
        <v>0</v>
      </c>
    </row>
    <row r="4394" spans="1:15" x14ac:dyDescent="0.2">
      <c r="A4394" s="6">
        <v>45812</v>
      </c>
      <c r="B4394" t="s">
        <v>15</v>
      </c>
      <c r="C4394" t="s">
        <v>16</v>
      </c>
      <c r="D4394" s="1">
        <v>45855</v>
      </c>
      <c r="E4394" t="s">
        <v>19</v>
      </c>
      <c r="F4394">
        <v>5300</v>
      </c>
      <c r="G4394">
        <v>200.6</v>
      </c>
      <c r="H4394">
        <v>210</v>
      </c>
      <c r="I4394">
        <v>200.6</v>
      </c>
      <c r="J4394">
        <v>201.6</v>
      </c>
      <c r="K4394">
        <v>207</v>
      </c>
      <c r="L4394">
        <v>9</v>
      </c>
      <c r="M4394" t="s">
        <v>343</v>
      </c>
      <c r="N4394">
        <v>49.51</v>
      </c>
      <c r="O4394">
        <v>11</v>
      </c>
    </row>
    <row r="4395" spans="1:15" x14ac:dyDescent="0.2">
      <c r="A4395" s="6">
        <v>45812</v>
      </c>
      <c r="B4395" t="s">
        <v>15</v>
      </c>
      <c r="C4395" t="s">
        <v>16</v>
      </c>
      <c r="D4395" s="1">
        <v>45855</v>
      </c>
      <c r="E4395" t="s">
        <v>19</v>
      </c>
      <c r="F4395">
        <v>4600</v>
      </c>
      <c r="J4395">
        <v>14.4</v>
      </c>
      <c r="K4395">
        <v>12.2</v>
      </c>
      <c r="L4395">
        <v>0</v>
      </c>
      <c r="M4395" t="s">
        <v>18</v>
      </c>
      <c r="N4395">
        <v>0</v>
      </c>
      <c r="O4395">
        <v>0</v>
      </c>
    </row>
    <row r="4396" spans="1:15" x14ac:dyDescent="0.2">
      <c r="A4396" s="6">
        <v>45812</v>
      </c>
      <c r="B4396" t="s">
        <v>15</v>
      </c>
      <c r="C4396" t="s">
        <v>16</v>
      </c>
      <c r="D4396" s="1">
        <v>45855</v>
      </c>
      <c r="E4396" t="s">
        <v>19</v>
      </c>
      <c r="F4396">
        <v>4450</v>
      </c>
      <c r="J4396">
        <v>6.3</v>
      </c>
      <c r="K4396">
        <v>5.3</v>
      </c>
      <c r="L4396">
        <v>0</v>
      </c>
      <c r="M4396" t="s">
        <v>18</v>
      </c>
      <c r="N4396">
        <v>0</v>
      </c>
      <c r="O4396">
        <v>0</v>
      </c>
    </row>
    <row r="4397" spans="1:15" x14ac:dyDescent="0.2">
      <c r="A4397" s="6">
        <v>45812</v>
      </c>
      <c r="B4397" t="s">
        <v>15</v>
      </c>
      <c r="C4397" t="s">
        <v>16</v>
      </c>
      <c r="D4397" s="1">
        <v>45855</v>
      </c>
      <c r="E4397" t="s">
        <v>19</v>
      </c>
      <c r="F4397">
        <v>5400</v>
      </c>
      <c r="G4397">
        <v>253</v>
      </c>
      <c r="H4397">
        <v>283.89999999999998</v>
      </c>
      <c r="I4397">
        <v>235.1</v>
      </c>
      <c r="J4397">
        <v>253.8</v>
      </c>
      <c r="K4397">
        <v>283.39999999999998</v>
      </c>
      <c r="L4397">
        <v>20</v>
      </c>
      <c r="M4397" t="s">
        <v>258</v>
      </c>
      <c r="N4397">
        <v>113.06</v>
      </c>
      <c r="O4397">
        <v>10</v>
      </c>
    </row>
    <row r="4398" spans="1:15" x14ac:dyDescent="0.2">
      <c r="A4398" s="6">
        <v>45812</v>
      </c>
      <c r="B4398" t="s">
        <v>15</v>
      </c>
      <c r="C4398" t="s">
        <v>16</v>
      </c>
      <c r="D4398" s="1">
        <v>45855</v>
      </c>
      <c r="E4398" t="s">
        <v>17</v>
      </c>
      <c r="F4398">
        <v>3750</v>
      </c>
      <c r="J4398">
        <v>1565.2</v>
      </c>
      <c r="K4398">
        <v>1632.4</v>
      </c>
      <c r="L4398">
        <v>0</v>
      </c>
      <c r="M4398" t="s">
        <v>18</v>
      </c>
      <c r="N4398">
        <v>0</v>
      </c>
      <c r="O4398">
        <v>0</v>
      </c>
    </row>
    <row r="4399" spans="1:15" x14ac:dyDescent="0.2">
      <c r="A4399" s="6">
        <v>45812</v>
      </c>
      <c r="B4399" t="s">
        <v>15</v>
      </c>
      <c r="C4399" t="s">
        <v>16</v>
      </c>
      <c r="D4399" s="1">
        <v>45855</v>
      </c>
      <c r="E4399" t="s">
        <v>17</v>
      </c>
      <c r="F4399">
        <v>6050</v>
      </c>
      <c r="J4399">
        <v>25.5</v>
      </c>
      <c r="K4399">
        <v>36.6</v>
      </c>
      <c r="L4399">
        <v>0</v>
      </c>
      <c r="M4399" t="s">
        <v>18</v>
      </c>
      <c r="N4399">
        <v>0</v>
      </c>
      <c r="O4399">
        <v>0</v>
      </c>
    </row>
    <row r="4400" spans="1:15" x14ac:dyDescent="0.2">
      <c r="A4400" s="6">
        <v>45812</v>
      </c>
      <c r="B4400" t="s">
        <v>15</v>
      </c>
      <c r="C4400" t="s">
        <v>16</v>
      </c>
      <c r="D4400" s="1">
        <v>45855</v>
      </c>
      <c r="E4400" t="s">
        <v>17</v>
      </c>
      <c r="F4400">
        <v>5600</v>
      </c>
      <c r="G4400">
        <v>175</v>
      </c>
      <c r="H4400">
        <v>175</v>
      </c>
      <c r="I4400">
        <v>140</v>
      </c>
      <c r="J4400">
        <v>163.30000000000001</v>
      </c>
      <c r="K4400">
        <v>156.5</v>
      </c>
      <c r="L4400">
        <v>12</v>
      </c>
      <c r="M4400" t="s">
        <v>180</v>
      </c>
      <c r="N4400">
        <v>69.16</v>
      </c>
      <c r="O4400">
        <v>28</v>
      </c>
    </row>
    <row r="4401" spans="1:15" x14ac:dyDescent="0.2">
      <c r="A4401" s="6">
        <v>45812</v>
      </c>
      <c r="B4401" t="s">
        <v>15</v>
      </c>
      <c r="C4401" t="s">
        <v>16</v>
      </c>
      <c r="D4401" s="1">
        <v>45855</v>
      </c>
      <c r="E4401" t="s">
        <v>19</v>
      </c>
      <c r="F4401">
        <v>3700</v>
      </c>
      <c r="J4401">
        <v>0.1</v>
      </c>
      <c r="K4401">
        <v>0.1</v>
      </c>
      <c r="L4401">
        <v>0</v>
      </c>
      <c r="M4401" t="s">
        <v>18</v>
      </c>
      <c r="N4401">
        <v>0</v>
      </c>
      <c r="O4401">
        <v>0</v>
      </c>
    </row>
    <row r="4402" spans="1:15" x14ac:dyDescent="0.2">
      <c r="A4402" s="6">
        <v>45812</v>
      </c>
      <c r="B4402" t="s">
        <v>15</v>
      </c>
      <c r="C4402" t="s">
        <v>16</v>
      </c>
      <c r="D4402" s="1">
        <v>45855</v>
      </c>
      <c r="E4402" t="s">
        <v>17</v>
      </c>
      <c r="F4402">
        <v>6650</v>
      </c>
      <c r="J4402">
        <v>2.4</v>
      </c>
      <c r="K4402">
        <v>4.2</v>
      </c>
      <c r="L4402">
        <v>0</v>
      </c>
      <c r="M4402" t="s">
        <v>18</v>
      </c>
      <c r="N4402">
        <v>0</v>
      </c>
      <c r="O4402">
        <v>0</v>
      </c>
    </row>
    <row r="4403" spans="1:15" x14ac:dyDescent="0.2">
      <c r="A4403" s="6">
        <v>45812</v>
      </c>
      <c r="B4403" t="s">
        <v>15</v>
      </c>
      <c r="C4403" t="s">
        <v>16</v>
      </c>
      <c r="D4403" s="1">
        <v>45855</v>
      </c>
      <c r="E4403" t="s">
        <v>17</v>
      </c>
      <c r="F4403">
        <v>6550</v>
      </c>
      <c r="J4403">
        <v>3.7</v>
      </c>
      <c r="K4403">
        <v>6.2</v>
      </c>
      <c r="L4403">
        <v>0</v>
      </c>
      <c r="M4403" t="s">
        <v>18</v>
      </c>
      <c r="N4403">
        <v>0</v>
      </c>
      <c r="O4403">
        <v>0</v>
      </c>
    </row>
    <row r="4404" spans="1:15" x14ac:dyDescent="0.2">
      <c r="A4404" s="6">
        <v>45812</v>
      </c>
      <c r="B4404" t="s">
        <v>15</v>
      </c>
      <c r="C4404" t="s">
        <v>16</v>
      </c>
      <c r="D4404" s="1">
        <v>45855</v>
      </c>
      <c r="E4404" t="s">
        <v>19</v>
      </c>
      <c r="F4404">
        <v>5450</v>
      </c>
      <c r="G4404">
        <v>295</v>
      </c>
      <c r="H4404">
        <v>315</v>
      </c>
      <c r="I4404">
        <v>295</v>
      </c>
      <c r="J4404">
        <v>305</v>
      </c>
      <c r="K4404">
        <v>244.9</v>
      </c>
      <c r="L4404">
        <v>5</v>
      </c>
      <c r="M4404" t="s">
        <v>26</v>
      </c>
      <c r="N4404">
        <v>28.78</v>
      </c>
      <c r="O4404">
        <v>5</v>
      </c>
    </row>
    <row r="4405" spans="1:15" x14ac:dyDescent="0.2">
      <c r="A4405" s="6">
        <v>45812</v>
      </c>
      <c r="B4405" t="s">
        <v>15</v>
      </c>
      <c r="C4405" t="s">
        <v>16</v>
      </c>
      <c r="D4405" s="1">
        <v>45855</v>
      </c>
      <c r="E4405" t="s">
        <v>19</v>
      </c>
      <c r="F4405">
        <v>3750</v>
      </c>
      <c r="J4405">
        <v>0.1</v>
      </c>
      <c r="K4405">
        <v>0.1</v>
      </c>
      <c r="L4405">
        <v>0</v>
      </c>
      <c r="M4405" t="s">
        <v>18</v>
      </c>
      <c r="N4405">
        <v>0</v>
      </c>
      <c r="O4405">
        <v>0</v>
      </c>
    </row>
    <row r="4406" spans="1:15" x14ac:dyDescent="0.2">
      <c r="A4406" s="6">
        <v>45812</v>
      </c>
      <c r="B4406" t="s">
        <v>15</v>
      </c>
      <c r="C4406" t="s">
        <v>16</v>
      </c>
      <c r="D4406" s="1">
        <v>45855</v>
      </c>
      <c r="E4406" t="s">
        <v>19</v>
      </c>
      <c r="F4406">
        <v>4550</v>
      </c>
      <c r="J4406">
        <v>11</v>
      </c>
      <c r="K4406">
        <v>9.3000000000000007</v>
      </c>
      <c r="L4406">
        <v>0</v>
      </c>
      <c r="M4406" t="s">
        <v>18</v>
      </c>
      <c r="N4406">
        <v>0</v>
      </c>
      <c r="O4406">
        <v>0</v>
      </c>
    </row>
    <row r="4407" spans="1:15" x14ac:dyDescent="0.2">
      <c r="A4407" s="6">
        <v>45812</v>
      </c>
      <c r="B4407" t="s">
        <v>15</v>
      </c>
      <c r="C4407" t="s">
        <v>16</v>
      </c>
      <c r="D4407" s="1">
        <v>45855</v>
      </c>
      <c r="E4407" t="s">
        <v>19</v>
      </c>
      <c r="F4407">
        <v>4700</v>
      </c>
      <c r="J4407">
        <v>23.5</v>
      </c>
      <c r="K4407">
        <v>19.899999999999999</v>
      </c>
      <c r="L4407">
        <v>0</v>
      </c>
      <c r="M4407" t="s">
        <v>18</v>
      </c>
      <c r="N4407">
        <v>0</v>
      </c>
      <c r="O4407">
        <v>0</v>
      </c>
    </row>
    <row r="4408" spans="1:15" x14ac:dyDescent="0.2">
      <c r="A4408" s="6">
        <v>45812</v>
      </c>
      <c r="B4408" t="s">
        <v>15</v>
      </c>
      <c r="C4408" t="s">
        <v>16</v>
      </c>
      <c r="D4408" s="1">
        <v>45855</v>
      </c>
      <c r="E4408" t="s">
        <v>19</v>
      </c>
      <c r="F4408">
        <v>5700</v>
      </c>
      <c r="J4408">
        <v>448.4</v>
      </c>
      <c r="K4408">
        <v>404.9</v>
      </c>
      <c r="L4408">
        <v>0</v>
      </c>
      <c r="M4408" t="s">
        <v>18</v>
      </c>
      <c r="N4408">
        <v>0</v>
      </c>
      <c r="O4408">
        <v>0</v>
      </c>
    </row>
    <row r="4409" spans="1:15" x14ac:dyDescent="0.2">
      <c r="A4409" s="6">
        <v>45812</v>
      </c>
      <c r="B4409" t="s">
        <v>15</v>
      </c>
      <c r="C4409" t="s">
        <v>16</v>
      </c>
      <c r="D4409" s="1">
        <v>45855</v>
      </c>
      <c r="E4409" t="s">
        <v>19</v>
      </c>
      <c r="F4409">
        <v>6250</v>
      </c>
      <c r="J4409">
        <v>928.4</v>
      </c>
      <c r="K4409">
        <v>867.2</v>
      </c>
      <c r="L4409">
        <v>0</v>
      </c>
      <c r="M4409" t="s">
        <v>18</v>
      </c>
      <c r="N4409">
        <v>0</v>
      </c>
      <c r="O4409">
        <v>0</v>
      </c>
    </row>
    <row r="4410" spans="1:15" x14ac:dyDescent="0.2">
      <c r="A4410" s="6">
        <v>45812</v>
      </c>
      <c r="B4410" t="s">
        <v>15</v>
      </c>
      <c r="C4410" t="s">
        <v>16</v>
      </c>
      <c r="D4410" s="1">
        <v>45855</v>
      </c>
      <c r="E4410" t="s">
        <v>19</v>
      </c>
      <c r="F4410">
        <v>5200</v>
      </c>
      <c r="G4410">
        <v>161.4</v>
      </c>
      <c r="H4410">
        <v>185</v>
      </c>
      <c r="I4410">
        <v>161.4</v>
      </c>
      <c r="J4410">
        <v>180.2</v>
      </c>
      <c r="K4410">
        <v>161.4</v>
      </c>
      <c r="L4410">
        <v>31</v>
      </c>
      <c r="M4410" t="s">
        <v>532</v>
      </c>
      <c r="N4410">
        <v>166.79</v>
      </c>
      <c r="O4410">
        <v>38</v>
      </c>
    </row>
    <row r="4411" spans="1:15" x14ac:dyDescent="0.2">
      <c r="A4411" s="6">
        <v>45812</v>
      </c>
      <c r="B4411" t="s">
        <v>15</v>
      </c>
      <c r="C4411" t="s">
        <v>16</v>
      </c>
      <c r="D4411" s="1">
        <v>45855</v>
      </c>
      <c r="E4411" t="s">
        <v>19</v>
      </c>
      <c r="F4411">
        <v>4650</v>
      </c>
      <c r="J4411">
        <v>18.5</v>
      </c>
      <c r="K4411">
        <v>15.6</v>
      </c>
      <c r="L4411">
        <v>0</v>
      </c>
      <c r="M4411" t="s">
        <v>18</v>
      </c>
      <c r="N4411">
        <v>0</v>
      </c>
      <c r="O4411">
        <v>0</v>
      </c>
    </row>
    <row r="4412" spans="1:15" x14ac:dyDescent="0.2">
      <c r="A4412" s="6">
        <v>45812</v>
      </c>
      <c r="B4412" t="s">
        <v>15</v>
      </c>
      <c r="C4412" t="s">
        <v>16</v>
      </c>
      <c r="D4412" s="1">
        <v>45855</v>
      </c>
      <c r="E4412" t="s">
        <v>17</v>
      </c>
      <c r="F4412">
        <v>6200</v>
      </c>
      <c r="J4412">
        <v>14.8</v>
      </c>
      <c r="K4412">
        <v>22.3</v>
      </c>
      <c r="L4412">
        <v>0</v>
      </c>
      <c r="M4412" t="s">
        <v>18</v>
      </c>
      <c r="N4412">
        <v>0</v>
      </c>
      <c r="O4412">
        <v>0</v>
      </c>
    </row>
    <row r="4413" spans="1:15" x14ac:dyDescent="0.2">
      <c r="A4413" s="6">
        <v>45812</v>
      </c>
      <c r="B4413" t="s">
        <v>15</v>
      </c>
      <c r="C4413" t="s">
        <v>16</v>
      </c>
      <c r="D4413" s="1">
        <v>45855</v>
      </c>
      <c r="E4413" t="s">
        <v>17</v>
      </c>
      <c r="F4413">
        <v>5050</v>
      </c>
      <c r="J4413">
        <v>368.3</v>
      </c>
      <c r="K4413">
        <v>422.9</v>
      </c>
      <c r="L4413">
        <v>0</v>
      </c>
      <c r="M4413" t="s">
        <v>18</v>
      </c>
      <c r="N4413">
        <v>0</v>
      </c>
      <c r="O4413">
        <v>0</v>
      </c>
    </row>
    <row r="4414" spans="1:15" x14ac:dyDescent="0.2">
      <c r="A4414" s="6">
        <v>45812</v>
      </c>
      <c r="B4414" t="s">
        <v>15</v>
      </c>
      <c r="C4414" t="s">
        <v>16</v>
      </c>
      <c r="D4414" s="1">
        <v>45855</v>
      </c>
      <c r="E4414" t="s">
        <v>17</v>
      </c>
      <c r="F4414">
        <v>6250</v>
      </c>
      <c r="J4414">
        <v>12.3</v>
      </c>
      <c r="K4414">
        <v>18.7</v>
      </c>
      <c r="L4414">
        <v>0</v>
      </c>
      <c r="M4414" t="s">
        <v>18</v>
      </c>
      <c r="N4414">
        <v>0</v>
      </c>
      <c r="O4414">
        <v>0</v>
      </c>
    </row>
    <row r="4415" spans="1:15" x14ac:dyDescent="0.2">
      <c r="A4415" s="6">
        <v>45812</v>
      </c>
      <c r="B4415" t="s">
        <v>15</v>
      </c>
      <c r="C4415" t="s">
        <v>16</v>
      </c>
      <c r="D4415" s="1">
        <v>45855</v>
      </c>
      <c r="E4415" t="s">
        <v>19</v>
      </c>
      <c r="F4415">
        <v>3900</v>
      </c>
      <c r="J4415">
        <v>0.1</v>
      </c>
      <c r="K4415">
        <v>0.1</v>
      </c>
      <c r="L4415">
        <v>0</v>
      </c>
      <c r="M4415" t="s">
        <v>18</v>
      </c>
      <c r="N4415">
        <v>0</v>
      </c>
      <c r="O4415">
        <v>0</v>
      </c>
    </row>
    <row r="4416" spans="1:15" x14ac:dyDescent="0.2">
      <c r="A4416" s="6">
        <v>45812</v>
      </c>
      <c r="B4416" t="s">
        <v>15</v>
      </c>
      <c r="C4416" t="s">
        <v>16</v>
      </c>
      <c r="D4416" s="1">
        <v>45855</v>
      </c>
      <c r="E4416" t="s">
        <v>17</v>
      </c>
      <c r="F4416">
        <v>6500</v>
      </c>
      <c r="J4416">
        <v>4.5999999999999996</v>
      </c>
      <c r="K4416">
        <v>7.5</v>
      </c>
      <c r="L4416">
        <v>0</v>
      </c>
      <c r="M4416" t="s">
        <v>18</v>
      </c>
      <c r="N4416">
        <v>0</v>
      </c>
      <c r="O4416">
        <v>0</v>
      </c>
    </row>
    <row r="4417" spans="1:15" x14ac:dyDescent="0.2">
      <c r="A4417" s="6">
        <v>45812</v>
      </c>
      <c r="B4417" t="s">
        <v>15</v>
      </c>
      <c r="C4417" t="s">
        <v>16</v>
      </c>
      <c r="D4417" s="1">
        <v>45855</v>
      </c>
      <c r="E4417" t="s">
        <v>17</v>
      </c>
      <c r="F4417">
        <v>5900</v>
      </c>
      <c r="J4417">
        <v>42.2</v>
      </c>
      <c r="K4417">
        <v>58.1</v>
      </c>
      <c r="L4417">
        <v>0</v>
      </c>
      <c r="M4417" t="s">
        <v>18</v>
      </c>
      <c r="N4417">
        <v>0</v>
      </c>
      <c r="O4417">
        <v>0</v>
      </c>
    </row>
    <row r="4418" spans="1:15" x14ac:dyDescent="0.2">
      <c r="A4418" s="6">
        <v>45812</v>
      </c>
      <c r="B4418" t="s">
        <v>15</v>
      </c>
      <c r="C4418" t="s">
        <v>16</v>
      </c>
      <c r="D4418" s="1">
        <v>45855</v>
      </c>
      <c r="E4418" t="s">
        <v>17</v>
      </c>
      <c r="F4418">
        <v>4600</v>
      </c>
      <c r="J4418">
        <v>735.9</v>
      </c>
      <c r="K4418">
        <v>801</v>
      </c>
      <c r="L4418">
        <v>0</v>
      </c>
      <c r="M4418" t="s">
        <v>18</v>
      </c>
      <c r="N4418">
        <v>0</v>
      </c>
      <c r="O4418">
        <v>0</v>
      </c>
    </row>
    <row r="4419" spans="1:15" x14ac:dyDescent="0.2">
      <c r="A4419" s="6">
        <v>45812</v>
      </c>
      <c r="B4419" t="s">
        <v>15</v>
      </c>
      <c r="C4419" t="s">
        <v>16</v>
      </c>
      <c r="D4419" s="1">
        <v>45855</v>
      </c>
      <c r="E4419" t="s">
        <v>19</v>
      </c>
      <c r="F4419">
        <v>5150</v>
      </c>
      <c r="J4419">
        <v>127.9</v>
      </c>
      <c r="K4419">
        <v>110.9</v>
      </c>
      <c r="L4419">
        <v>0</v>
      </c>
      <c r="M4419" t="s">
        <v>18</v>
      </c>
      <c r="N4419">
        <v>0</v>
      </c>
      <c r="O4419">
        <v>0</v>
      </c>
    </row>
    <row r="4420" spans="1:15" x14ac:dyDescent="0.2">
      <c r="A4420" s="6">
        <v>45812</v>
      </c>
      <c r="B4420" t="s">
        <v>15</v>
      </c>
      <c r="C4420" t="s">
        <v>16</v>
      </c>
      <c r="D4420" s="1">
        <v>45855</v>
      </c>
      <c r="E4420" t="s">
        <v>19</v>
      </c>
      <c r="F4420">
        <v>6550</v>
      </c>
      <c r="J4420">
        <v>1217.5</v>
      </c>
      <c r="K4420">
        <v>1152.3</v>
      </c>
      <c r="L4420">
        <v>0</v>
      </c>
      <c r="M4420" t="s">
        <v>18</v>
      </c>
      <c r="N4420">
        <v>0</v>
      </c>
      <c r="O4420">
        <v>0</v>
      </c>
    </row>
    <row r="4421" spans="1:15" x14ac:dyDescent="0.2">
      <c r="A4421" s="6">
        <v>45812</v>
      </c>
      <c r="B4421" t="s">
        <v>15</v>
      </c>
      <c r="C4421" t="s">
        <v>16</v>
      </c>
      <c r="D4421" s="1">
        <v>45855</v>
      </c>
      <c r="E4421" t="s">
        <v>17</v>
      </c>
      <c r="F4421">
        <v>5450</v>
      </c>
      <c r="J4421">
        <v>154.19999999999999</v>
      </c>
      <c r="K4421">
        <v>183.1</v>
      </c>
      <c r="L4421">
        <v>0</v>
      </c>
      <c r="M4421" t="s">
        <v>18</v>
      </c>
      <c r="N4421">
        <v>0</v>
      </c>
      <c r="O4421">
        <v>2</v>
      </c>
    </row>
    <row r="4422" spans="1:15" x14ac:dyDescent="0.2">
      <c r="A4422" s="6">
        <v>45812</v>
      </c>
      <c r="B4422" t="s">
        <v>15</v>
      </c>
      <c r="C4422" t="s">
        <v>16</v>
      </c>
      <c r="D4422" s="1">
        <v>45855</v>
      </c>
      <c r="E4422" t="s">
        <v>17</v>
      </c>
      <c r="F4422">
        <v>6350</v>
      </c>
      <c r="J4422">
        <v>8.4</v>
      </c>
      <c r="K4422">
        <v>13.1</v>
      </c>
      <c r="L4422">
        <v>0</v>
      </c>
      <c r="M4422" t="s">
        <v>18</v>
      </c>
      <c r="N4422">
        <v>0</v>
      </c>
      <c r="O4422">
        <v>0</v>
      </c>
    </row>
    <row r="4423" spans="1:15" x14ac:dyDescent="0.2">
      <c r="A4423" s="6">
        <v>45812</v>
      </c>
      <c r="B4423" t="s">
        <v>15</v>
      </c>
      <c r="C4423" t="s">
        <v>16</v>
      </c>
      <c r="D4423" s="1">
        <v>45855</v>
      </c>
      <c r="E4423" t="s">
        <v>19</v>
      </c>
      <c r="F4423">
        <v>4500</v>
      </c>
      <c r="J4423">
        <v>8.4</v>
      </c>
      <c r="K4423">
        <v>31.4</v>
      </c>
      <c r="L4423">
        <v>0</v>
      </c>
      <c r="M4423" t="s">
        <v>18</v>
      </c>
      <c r="N4423">
        <v>0</v>
      </c>
      <c r="O4423">
        <v>5</v>
      </c>
    </row>
    <row r="4424" spans="1:15" x14ac:dyDescent="0.2">
      <c r="A4424" s="6">
        <v>45812</v>
      </c>
      <c r="B4424" t="s">
        <v>15</v>
      </c>
      <c r="C4424" t="s">
        <v>16</v>
      </c>
      <c r="D4424" s="1">
        <v>45855</v>
      </c>
      <c r="E4424" t="s">
        <v>17</v>
      </c>
      <c r="F4424">
        <v>4150</v>
      </c>
      <c r="J4424">
        <v>1169</v>
      </c>
      <c r="K4424">
        <v>1236.0999999999999</v>
      </c>
      <c r="L4424">
        <v>0</v>
      </c>
      <c r="M4424" t="s">
        <v>18</v>
      </c>
      <c r="N4424">
        <v>0</v>
      </c>
      <c r="O4424">
        <v>0</v>
      </c>
    </row>
    <row r="4425" spans="1:15" x14ac:dyDescent="0.2">
      <c r="A4425" s="6">
        <v>45812</v>
      </c>
      <c r="B4425" t="s">
        <v>15</v>
      </c>
      <c r="C4425" t="s">
        <v>16</v>
      </c>
      <c r="D4425" s="1">
        <v>45855</v>
      </c>
      <c r="E4425" t="s">
        <v>19</v>
      </c>
      <c r="F4425">
        <v>4400</v>
      </c>
      <c r="J4425">
        <v>4.5999999999999996</v>
      </c>
      <c r="K4425">
        <v>3.9</v>
      </c>
      <c r="L4425">
        <v>0</v>
      </c>
      <c r="M4425" t="s">
        <v>18</v>
      </c>
      <c r="N4425">
        <v>0</v>
      </c>
      <c r="O4425">
        <v>0</v>
      </c>
    </row>
    <row r="4426" spans="1:15" x14ac:dyDescent="0.2">
      <c r="A4426" s="6">
        <v>45812</v>
      </c>
      <c r="B4426" t="s">
        <v>15</v>
      </c>
      <c r="C4426" t="s">
        <v>16</v>
      </c>
      <c r="D4426" s="1">
        <v>45855</v>
      </c>
      <c r="E4426" t="s">
        <v>19</v>
      </c>
      <c r="F4426">
        <v>5000</v>
      </c>
      <c r="G4426">
        <v>100</v>
      </c>
      <c r="H4426">
        <v>118</v>
      </c>
      <c r="I4426">
        <v>96.1</v>
      </c>
      <c r="J4426">
        <v>106.6</v>
      </c>
      <c r="K4426">
        <v>113.8</v>
      </c>
      <c r="L4426">
        <v>66</v>
      </c>
      <c r="M4426" t="s">
        <v>178</v>
      </c>
      <c r="N4426">
        <v>336.77</v>
      </c>
      <c r="O4426">
        <v>25</v>
      </c>
    </row>
    <row r="4427" spans="1:15" x14ac:dyDescent="0.2">
      <c r="A4427" s="6">
        <v>45812</v>
      </c>
      <c r="B4427" t="s">
        <v>15</v>
      </c>
      <c r="C4427" t="s">
        <v>16</v>
      </c>
      <c r="D4427" s="1">
        <v>45855</v>
      </c>
      <c r="E4427" t="s">
        <v>19</v>
      </c>
      <c r="F4427">
        <v>5350</v>
      </c>
      <c r="J4427">
        <v>219.3</v>
      </c>
      <c r="K4427">
        <v>193</v>
      </c>
      <c r="L4427">
        <v>0</v>
      </c>
      <c r="M4427" t="s">
        <v>18</v>
      </c>
      <c r="N4427">
        <v>0</v>
      </c>
      <c r="O4427">
        <v>1</v>
      </c>
    </row>
    <row r="4428" spans="1:15" x14ac:dyDescent="0.2">
      <c r="A4428" s="6">
        <v>45812</v>
      </c>
      <c r="B4428" t="s">
        <v>15</v>
      </c>
      <c r="C4428" t="s">
        <v>16</v>
      </c>
      <c r="D4428" s="1">
        <v>45855</v>
      </c>
      <c r="E4428" t="s">
        <v>17</v>
      </c>
      <c r="F4428">
        <v>4250</v>
      </c>
      <c r="J4428">
        <v>1070.5999999999999</v>
      </c>
      <c r="K4428">
        <v>1137.5999999999999</v>
      </c>
      <c r="L4428">
        <v>0</v>
      </c>
      <c r="M4428" t="s">
        <v>18</v>
      </c>
      <c r="N4428">
        <v>0</v>
      </c>
      <c r="O4428">
        <v>0</v>
      </c>
    </row>
    <row r="4429" spans="1:15" x14ac:dyDescent="0.2">
      <c r="A4429" s="6">
        <v>45812</v>
      </c>
      <c r="B4429" t="s">
        <v>15</v>
      </c>
      <c r="C4429" t="s">
        <v>16</v>
      </c>
      <c r="D4429" s="1">
        <v>45855</v>
      </c>
      <c r="E4429" t="s">
        <v>17</v>
      </c>
      <c r="F4429">
        <v>4000</v>
      </c>
      <c r="J4429">
        <v>1317.3</v>
      </c>
      <c r="K4429">
        <v>1384.5</v>
      </c>
      <c r="L4429">
        <v>0</v>
      </c>
      <c r="M4429" t="s">
        <v>18</v>
      </c>
      <c r="N4429">
        <v>0</v>
      </c>
      <c r="O4429">
        <v>0</v>
      </c>
    </row>
    <row r="4430" spans="1:15" x14ac:dyDescent="0.2">
      <c r="A4430" s="6">
        <v>45812</v>
      </c>
      <c r="B4430" t="s">
        <v>15</v>
      </c>
      <c r="C4430" t="s">
        <v>16</v>
      </c>
      <c r="D4430" s="1">
        <v>45855</v>
      </c>
      <c r="E4430" t="s">
        <v>17</v>
      </c>
      <c r="F4430">
        <v>5800</v>
      </c>
      <c r="J4430">
        <v>57.9</v>
      </c>
      <c r="K4430">
        <v>100.7</v>
      </c>
      <c r="L4430">
        <v>0</v>
      </c>
      <c r="M4430" t="s">
        <v>18</v>
      </c>
      <c r="N4430">
        <v>0</v>
      </c>
      <c r="O4430">
        <v>2</v>
      </c>
    </row>
    <row r="4431" spans="1:15" x14ac:dyDescent="0.2">
      <c r="A4431" s="6">
        <v>45812</v>
      </c>
      <c r="B4431" t="s">
        <v>15</v>
      </c>
      <c r="C4431" t="s">
        <v>16</v>
      </c>
      <c r="D4431" s="1">
        <v>45855</v>
      </c>
      <c r="E4431" t="s">
        <v>17</v>
      </c>
      <c r="F4431">
        <v>4550</v>
      </c>
      <c r="J4431">
        <v>782.2</v>
      </c>
      <c r="K4431">
        <v>847.8</v>
      </c>
      <c r="L4431">
        <v>0</v>
      </c>
      <c r="M4431" t="s">
        <v>18</v>
      </c>
      <c r="N4431">
        <v>0</v>
      </c>
      <c r="O4431">
        <v>0</v>
      </c>
    </row>
    <row r="4432" spans="1:15" x14ac:dyDescent="0.2">
      <c r="A4432" s="6">
        <v>45812</v>
      </c>
      <c r="B4432" t="s">
        <v>15</v>
      </c>
      <c r="C4432" t="s">
        <v>16</v>
      </c>
      <c r="D4432" s="1">
        <v>45855</v>
      </c>
      <c r="E4432" t="s">
        <v>17</v>
      </c>
      <c r="F4432">
        <v>4850</v>
      </c>
      <c r="J4432">
        <v>518.4</v>
      </c>
      <c r="K4432">
        <v>579.20000000000005</v>
      </c>
      <c r="L4432">
        <v>0</v>
      </c>
      <c r="M4432" t="s">
        <v>18</v>
      </c>
      <c r="N4432">
        <v>0</v>
      </c>
      <c r="O4432">
        <v>0</v>
      </c>
    </row>
    <row r="4433" spans="1:15" x14ac:dyDescent="0.2">
      <c r="A4433" s="6">
        <v>45812</v>
      </c>
      <c r="B4433" t="s">
        <v>15</v>
      </c>
      <c r="C4433" t="s">
        <v>16</v>
      </c>
      <c r="D4433" s="1">
        <v>45855</v>
      </c>
      <c r="E4433" t="s">
        <v>17</v>
      </c>
      <c r="F4433">
        <v>6000</v>
      </c>
      <c r="G4433">
        <v>70</v>
      </c>
      <c r="H4433">
        <v>79.900000000000006</v>
      </c>
      <c r="I4433">
        <v>51</v>
      </c>
      <c r="J4433">
        <v>64.099999999999994</v>
      </c>
      <c r="K4433">
        <v>69.599999999999994</v>
      </c>
      <c r="L4433">
        <v>12</v>
      </c>
      <c r="M4433" t="s">
        <v>180</v>
      </c>
      <c r="N4433">
        <v>72.78</v>
      </c>
      <c r="O4433">
        <v>18</v>
      </c>
    </row>
    <row r="4434" spans="1:15" x14ac:dyDescent="0.2">
      <c r="A4434" s="6">
        <v>45812</v>
      </c>
      <c r="B4434" t="s">
        <v>15</v>
      </c>
      <c r="C4434" t="s">
        <v>16</v>
      </c>
      <c r="D4434" s="1">
        <v>45855</v>
      </c>
      <c r="E4434" t="s">
        <v>19</v>
      </c>
      <c r="F4434">
        <v>4100</v>
      </c>
      <c r="J4434">
        <v>0.5</v>
      </c>
      <c r="K4434">
        <v>0.5</v>
      </c>
      <c r="L4434">
        <v>0</v>
      </c>
      <c r="M4434" t="s">
        <v>18</v>
      </c>
      <c r="N4434">
        <v>0</v>
      </c>
      <c r="O4434">
        <v>0</v>
      </c>
    </row>
    <row r="4435" spans="1:15" x14ac:dyDescent="0.2">
      <c r="A4435" s="6">
        <v>45812</v>
      </c>
      <c r="B4435" t="s">
        <v>15</v>
      </c>
      <c r="C4435" t="s">
        <v>16</v>
      </c>
      <c r="D4435" s="1">
        <v>45855</v>
      </c>
      <c r="E4435" t="s">
        <v>17</v>
      </c>
      <c r="F4435">
        <v>5500</v>
      </c>
      <c r="G4435">
        <v>215</v>
      </c>
      <c r="H4435">
        <v>224.9</v>
      </c>
      <c r="I4435">
        <v>181</v>
      </c>
      <c r="J4435">
        <v>204.7</v>
      </c>
      <c r="K4435">
        <v>198</v>
      </c>
      <c r="L4435">
        <v>11</v>
      </c>
      <c r="M4435" t="s">
        <v>236</v>
      </c>
      <c r="N4435">
        <v>62.75</v>
      </c>
      <c r="O4435">
        <v>6</v>
      </c>
    </row>
    <row r="4436" spans="1:15" x14ac:dyDescent="0.2">
      <c r="A4436" s="6">
        <v>45812</v>
      </c>
      <c r="B4436" t="s">
        <v>15</v>
      </c>
      <c r="C4436" t="s">
        <v>16</v>
      </c>
      <c r="D4436" s="1">
        <v>45855</v>
      </c>
      <c r="E4436" t="s">
        <v>19</v>
      </c>
      <c r="F4436">
        <v>4050</v>
      </c>
      <c r="J4436">
        <v>0.4</v>
      </c>
      <c r="K4436">
        <v>0.3</v>
      </c>
      <c r="L4436">
        <v>0</v>
      </c>
      <c r="M4436" t="s">
        <v>18</v>
      </c>
      <c r="N4436">
        <v>0</v>
      </c>
      <c r="O4436">
        <v>0</v>
      </c>
    </row>
    <row r="4437" spans="1:15" x14ac:dyDescent="0.2">
      <c r="A4437" s="6">
        <v>45812</v>
      </c>
      <c r="B4437" t="s">
        <v>15</v>
      </c>
      <c r="C4437" t="s">
        <v>16</v>
      </c>
      <c r="D4437" s="1">
        <v>45855</v>
      </c>
      <c r="E4437" t="s">
        <v>17</v>
      </c>
      <c r="F4437">
        <v>6300</v>
      </c>
      <c r="J4437">
        <v>10.199999999999999</v>
      </c>
      <c r="K4437">
        <v>15.7</v>
      </c>
      <c r="L4437">
        <v>0</v>
      </c>
      <c r="M4437" t="s">
        <v>18</v>
      </c>
      <c r="N4437">
        <v>0</v>
      </c>
      <c r="O4437">
        <v>0</v>
      </c>
    </row>
    <row r="4438" spans="1:15" x14ac:dyDescent="0.2">
      <c r="A4438" s="6">
        <v>45812</v>
      </c>
      <c r="B4438" t="s">
        <v>15</v>
      </c>
      <c r="C4438" t="s">
        <v>16</v>
      </c>
      <c r="D4438" s="1">
        <v>45855</v>
      </c>
      <c r="E4438" t="s">
        <v>19</v>
      </c>
      <c r="F4438">
        <v>5950</v>
      </c>
      <c r="J4438">
        <v>654.1</v>
      </c>
      <c r="K4438">
        <v>600.70000000000005</v>
      </c>
      <c r="L4438">
        <v>0</v>
      </c>
      <c r="M4438" t="s">
        <v>18</v>
      </c>
      <c r="N4438">
        <v>0</v>
      </c>
      <c r="O4438">
        <v>0</v>
      </c>
    </row>
    <row r="4439" spans="1:15" x14ac:dyDescent="0.2">
      <c r="A4439" s="6">
        <v>45812</v>
      </c>
      <c r="B4439" t="s">
        <v>15</v>
      </c>
      <c r="C4439" t="s">
        <v>16</v>
      </c>
      <c r="D4439" s="1">
        <v>45855</v>
      </c>
      <c r="E4439" t="s">
        <v>17</v>
      </c>
      <c r="F4439">
        <v>6450</v>
      </c>
      <c r="J4439">
        <v>5.6</v>
      </c>
      <c r="K4439">
        <v>9.1</v>
      </c>
      <c r="L4439">
        <v>0</v>
      </c>
      <c r="M4439" t="s">
        <v>18</v>
      </c>
      <c r="N4439">
        <v>0</v>
      </c>
      <c r="O4439">
        <v>0</v>
      </c>
    </row>
    <row r="4440" spans="1:15" x14ac:dyDescent="0.2">
      <c r="A4440" s="6">
        <v>45812</v>
      </c>
      <c r="B4440" t="s">
        <v>15</v>
      </c>
      <c r="C4440" t="s">
        <v>16</v>
      </c>
      <c r="D4440" s="1">
        <v>45855</v>
      </c>
      <c r="E4440" t="s">
        <v>17</v>
      </c>
      <c r="F4440">
        <v>5650</v>
      </c>
      <c r="J4440">
        <v>90.4</v>
      </c>
      <c r="K4440">
        <v>116.7</v>
      </c>
      <c r="L4440">
        <v>0</v>
      </c>
      <c r="M4440" t="s">
        <v>18</v>
      </c>
      <c r="N4440">
        <v>0</v>
      </c>
      <c r="O4440">
        <v>0</v>
      </c>
    </row>
    <row r="4441" spans="1:15" x14ac:dyDescent="0.2">
      <c r="A4441" s="6">
        <v>45812</v>
      </c>
      <c r="B4441" t="s">
        <v>15</v>
      </c>
      <c r="C4441" t="s">
        <v>16</v>
      </c>
      <c r="D4441" s="1">
        <v>45855</v>
      </c>
      <c r="E4441" t="s">
        <v>19</v>
      </c>
      <c r="F4441">
        <v>5800</v>
      </c>
      <c r="J4441">
        <v>527.4</v>
      </c>
      <c r="K4441">
        <v>479.6</v>
      </c>
      <c r="L4441">
        <v>0</v>
      </c>
      <c r="M4441" t="s">
        <v>18</v>
      </c>
      <c r="N4441">
        <v>0</v>
      </c>
      <c r="O4441">
        <v>0</v>
      </c>
    </row>
    <row r="4442" spans="1:15" x14ac:dyDescent="0.2">
      <c r="A4442" s="6">
        <v>45812</v>
      </c>
      <c r="B4442" t="s">
        <v>15</v>
      </c>
      <c r="C4442" t="s">
        <v>16</v>
      </c>
      <c r="D4442" s="1">
        <v>45855</v>
      </c>
      <c r="E4442" t="s">
        <v>17</v>
      </c>
      <c r="F4442">
        <v>3600</v>
      </c>
      <c r="J4442">
        <v>1714</v>
      </c>
      <c r="K4442">
        <v>1781.2</v>
      </c>
      <c r="L4442">
        <v>0</v>
      </c>
      <c r="M4442" t="s">
        <v>18</v>
      </c>
      <c r="N4442">
        <v>0</v>
      </c>
      <c r="O4442">
        <v>0</v>
      </c>
    </row>
    <row r="4443" spans="1:15" x14ac:dyDescent="0.2">
      <c r="A4443" s="6">
        <v>45812</v>
      </c>
      <c r="B4443" t="s">
        <v>15</v>
      </c>
      <c r="C4443" t="s">
        <v>16</v>
      </c>
      <c r="D4443" s="1">
        <v>45855</v>
      </c>
      <c r="E4443" t="s">
        <v>17</v>
      </c>
      <c r="F4443">
        <v>3650</v>
      </c>
      <c r="J4443">
        <v>1664.4</v>
      </c>
      <c r="K4443">
        <v>1731.6</v>
      </c>
      <c r="L4443">
        <v>0</v>
      </c>
      <c r="M4443" t="s">
        <v>18</v>
      </c>
      <c r="N4443">
        <v>0</v>
      </c>
      <c r="O4443">
        <v>0</v>
      </c>
    </row>
    <row r="4444" spans="1:15" x14ac:dyDescent="0.2">
      <c r="A4444" s="6">
        <v>45812</v>
      </c>
      <c r="B4444" t="s">
        <v>15</v>
      </c>
      <c r="C4444" t="s">
        <v>16</v>
      </c>
      <c r="D4444" s="1">
        <v>45855</v>
      </c>
      <c r="E4444" t="s">
        <v>19</v>
      </c>
      <c r="F4444">
        <v>3650</v>
      </c>
      <c r="J4444">
        <v>0.1</v>
      </c>
      <c r="K4444">
        <v>0.1</v>
      </c>
      <c r="L4444">
        <v>0</v>
      </c>
      <c r="M4444" t="s">
        <v>18</v>
      </c>
      <c r="N4444">
        <v>0</v>
      </c>
      <c r="O4444">
        <v>0</v>
      </c>
    </row>
    <row r="4445" spans="1:15" x14ac:dyDescent="0.2">
      <c r="A4445" s="6">
        <v>45812</v>
      </c>
      <c r="B4445" t="s">
        <v>15</v>
      </c>
      <c r="C4445" t="s">
        <v>16</v>
      </c>
      <c r="D4445" s="1">
        <v>45855</v>
      </c>
      <c r="E4445" t="s">
        <v>17</v>
      </c>
      <c r="F4445">
        <v>5350</v>
      </c>
      <c r="J4445">
        <v>196.5</v>
      </c>
      <c r="K4445">
        <v>237.6</v>
      </c>
      <c r="L4445">
        <v>0</v>
      </c>
      <c r="M4445" t="s">
        <v>18</v>
      </c>
      <c r="N4445">
        <v>0</v>
      </c>
      <c r="O4445">
        <v>1</v>
      </c>
    </row>
    <row r="4446" spans="1:15" x14ac:dyDescent="0.2">
      <c r="A4446" s="6">
        <v>45812</v>
      </c>
      <c r="B4446" t="s">
        <v>15</v>
      </c>
      <c r="C4446" t="s">
        <v>16</v>
      </c>
      <c r="D4446" s="1">
        <v>45855</v>
      </c>
      <c r="E4446" t="s">
        <v>17</v>
      </c>
      <c r="F4446">
        <v>6100</v>
      </c>
      <c r="J4446">
        <v>21.4</v>
      </c>
      <c r="K4446">
        <v>31.1</v>
      </c>
      <c r="L4446">
        <v>0</v>
      </c>
      <c r="M4446" t="s">
        <v>18</v>
      </c>
      <c r="N4446">
        <v>0</v>
      </c>
      <c r="O4446">
        <v>0</v>
      </c>
    </row>
    <row r="4447" spans="1:15" x14ac:dyDescent="0.2">
      <c r="A4447" s="6">
        <v>45812</v>
      </c>
      <c r="B4447" t="s">
        <v>15</v>
      </c>
      <c r="C4447" t="s">
        <v>16</v>
      </c>
      <c r="D4447" s="1">
        <v>45855</v>
      </c>
      <c r="E4447" t="s">
        <v>19</v>
      </c>
      <c r="F4447">
        <v>4850</v>
      </c>
      <c r="J4447">
        <v>45</v>
      </c>
      <c r="K4447">
        <v>38.4</v>
      </c>
      <c r="L4447">
        <v>0</v>
      </c>
      <c r="M4447" t="s">
        <v>18</v>
      </c>
      <c r="N4447">
        <v>0</v>
      </c>
      <c r="O4447">
        <v>0</v>
      </c>
    </row>
    <row r="4448" spans="1:15" x14ac:dyDescent="0.2">
      <c r="A4448" s="6">
        <v>45812</v>
      </c>
      <c r="B4448" t="s">
        <v>15</v>
      </c>
      <c r="C4448" t="s">
        <v>16</v>
      </c>
      <c r="D4448" s="1">
        <v>45855</v>
      </c>
      <c r="E4448" t="s">
        <v>19</v>
      </c>
      <c r="F4448">
        <v>4000</v>
      </c>
      <c r="J4448">
        <v>0.2</v>
      </c>
      <c r="K4448">
        <v>0.2</v>
      </c>
      <c r="L4448">
        <v>0</v>
      </c>
      <c r="M4448" t="s">
        <v>18</v>
      </c>
      <c r="N4448">
        <v>0</v>
      </c>
      <c r="O4448">
        <v>0</v>
      </c>
    </row>
    <row r="4449" spans="1:15" x14ac:dyDescent="0.2">
      <c r="A4449" s="6">
        <v>45812</v>
      </c>
      <c r="B4449" t="s">
        <v>15</v>
      </c>
      <c r="C4449" t="s">
        <v>16</v>
      </c>
      <c r="D4449" s="1">
        <v>45855</v>
      </c>
      <c r="E4449" t="s">
        <v>19</v>
      </c>
      <c r="F4449">
        <v>5600</v>
      </c>
      <c r="J4449">
        <v>374.9</v>
      </c>
      <c r="K4449">
        <v>336.1</v>
      </c>
      <c r="L4449">
        <v>0</v>
      </c>
      <c r="M4449" t="s">
        <v>18</v>
      </c>
      <c r="N4449">
        <v>0</v>
      </c>
      <c r="O4449">
        <v>0</v>
      </c>
    </row>
    <row r="4450" spans="1:15" x14ac:dyDescent="0.2">
      <c r="A4450" s="6">
        <v>45812</v>
      </c>
      <c r="B4450" t="s">
        <v>15</v>
      </c>
      <c r="C4450" t="s">
        <v>16</v>
      </c>
      <c r="D4450" s="1">
        <v>45855</v>
      </c>
      <c r="E4450" t="s">
        <v>19</v>
      </c>
      <c r="F4450">
        <v>5650</v>
      </c>
      <c r="J4450">
        <v>410.9</v>
      </c>
      <c r="K4450">
        <v>369.7</v>
      </c>
      <c r="L4450">
        <v>0</v>
      </c>
      <c r="M4450" t="s">
        <v>18</v>
      </c>
      <c r="N4450">
        <v>0</v>
      </c>
      <c r="O4450">
        <v>0</v>
      </c>
    </row>
    <row r="4451" spans="1:15" x14ac:dyDescent="0.2">
      <c r="A4451" s="6">
        <v>45812</v>
      </c>
      <c r="B4451" t="s">
        <v>15</v>
      </c>
      <c r="C4451" t="s">
        <v>16</v>
      </c>
      <c r="D4451" s="1">
        <v>45855</v>
      </c>
      <c r="E4451" t="s">
        <v>19</v>
      </c>
      <c r="F4451">
        <v>6350</v>
      </c>
      <c r="J4451">
        <v>1023.7</v>
      </c>
      <c r="K4451">
        <v>960.8</v>
      </c>
      <c r="L4451">
        <v>0</v>
      </c>
      <c r="M4451" t="s">
        <v>18</v>
      </c>
      <c r="N4451">
        <v>0</v>
      </c>
      <c r="O4451">
        <v>0</v>
      </c>
    </row>
    <row r="4452" spans="1:15" x14ac:dyDescent="0.2">
      <c r="A4452" s="6">
        <v>45812</v>
      </c>
      <c r="B4452" t="s">
        <v>15</v>
      </c>
      <c r="C4452" t="s">
        <v>16</v>
      </c>
      <c r="D4452" s="1">
        <v>45855</v>
      </c>
      <c r="E4452" t="s">
        <v>17</v>
      </c>
      <c r="F4452">
        <v>3950</v>
      </c>
      <c r="J4452">
        <v>1366.8</v>
      </c>
      <c r="K4452">
        <v>1434</v>
      </c>
      <c r="L4452">
        <v>0</v>
      </c>
      <c r="M4452" t="s">
        <v>18</v>
      </c>
      <c r="N4452">
        <v>0</v>
      </c>
      <c r="O4452">
        <v>0</v>
      </c>
    </row>
    <row r="4453" spans="1:15" x14ac:dyDescent="0.2">
      <c r="A4453" s="6">
        <v>45812</v>
      </c>
      <c r="B4453" t="s">
        <v>15</v>
      </c>
      <c r="C4453" t="s">
        <v>16</v>
      </c>
      <c r="D4453" s="1">
        <v>45855</v>
      </c>
      <c r="E4453" t="s">
        <v>17</v>
      </c>
      <c r="F4453">
        <v>4700</v>
      </c>
      <c r="J4453">
        <v>645.70000000000005</v>
      </c>
      <c r="K4453">
        <v>709.5</v>
      </c>
      <c r="L4453">
        <v>0</v>
      </c>
      <c r="M4453" t="s">
        <v>18</v>
      </c>
      <c r="N4453">
        <v>0</v>
      </c>
      <c r="O4453">
        <v>0</v>
      </c>
    </row>
    <row r="4454" spans="1:15" x14ac:dyDescent="0.2">
      <c r="A4454" s="6">
        <v>45812</v>
      </c>
      <c r="B4454" t="s">
        <v>15</v>
      </c>
      <c r="C4454" t="s">
        <v>16</v>
      </c>
      <c r="D4454" s="1">
        <v>45855</v>
      </c>
      <c r="E4454" t="s">
        <v>19</v>
      </c>
      <c r="F4454">
        <v>6450</v>
      </c>
      <c r="J4454">
        <v>1120.2</v>
      </c>
      <c r="K4454">
        <v>1056</v>
      </c>
      <c r="L4454">
        <v>0</v>
      </c>
      <c r="M4454" t="s">
        <v>18</v>
      </c>
      <c r="N4454">
        <v>0</v>
      </c>
      <c r="O4454">
        <v>0</v>
      </c>
    </row>
    <row r="4455" spans="1:15" x14ac:dyDescent="0.2">
      <c r="A4455" s="6">
        <v>45812</v>
      </c>
      <c r="B4455" t="s">
        <v>15</v>
      </c>
      <c r="C4455" t="s">
        <v>16</v>
      </c>
      <c r="D4455" s="1">
        <v>45855</v>
      </c>
      <c r="E4455" t="s">
        <v>19</v>
      </c>
      <c r="F4455">
        <v>5750</v>
      </c>
      <c r="J4455">
        <v>487.3</v>
      </c>
      <c r="K4455">
        <v>441.6</v>
      </c>
      <c r="L4455">
        <v>0</v>
      </c>
      <c r="M4455" t="s">
        <v>18</v>
      </c>
      <c r="N4455">
        <v>0</v>
      </c>
      <c r="O4455">
        <v>0</v>
      </c>
    </row>
    <row r="4456" spans="1:15" x14ac:dyDescent="0.2">
      <c r="A4456" s="6">
        <v>45812</v>
      </c>
      <c r="B4456" t="s">
        <v>15</v>
      </c>
      <c r="C4456" t="s">
        <v>16</v>
      </c>
      <c r="D4456" s="1">
        <v>45855</v>
      </c>
      <c r="E4456" t="s">
        <v>17</v>
      </c>
      <c r="F4456">
        <v>4300</v>
      </c>
      <c r="J4456">
        <v>1021.7</v>
      </c>
      <c r="K4456">
        <v>1088.5999999999999</v>
      </c>
      <c r="L4456">
        <v>0</v>
      </c>
      <c r="M4456" t="s">
        <v>18</v>
      </c>
      <c r="N4456">
        <v>0</v>
      </c>
      <c r="O4456">
        <v>0</v>
      </c>
    </row>
    <row r="4457" spans="1:15" x14ac:dyDescent="0.2">
      <c r="A4457" s="6">
        <v>45812</v>
      </c>
      <c r="B4457" t="s">
        <v>15</v>
      </c>
      <c r="C4457" t="s">
        <v>16</v>
      </c>
      <c r="D4457" s="1">
        <v>45855</v>
      </c>
      <c r="E4457" t="s">
        <v>19</v>
      </c>
      <c r="F4457">
        <v>6100</v>
      </c>
      <c r="J4457">
        <v>788.5</v>
      </c>
      <c r="K4457">
        <v>730.7</v>
      </c>
      <c r="L4457">
        <v>0</v>
      </c>
      <c r="M4457" t="s">
        <v>18</v>
      </c>
      <c r="N4457">
        <v>0</v>
      </c>
      <c r="O4457">
        <v>0</v>
      </c>
    </row>
    <row r="4458" spans="1:15" x14ac:dyDescent="0.2">
      <c r="A4458" s="6">
        <v>45812</v>
      </c>
      <c r="B4458" t="s">
        <v>15</v>
      </c>
      <c r="C4458" t="s">
        <v>16</v>
      </c>
      <c r="D4458" s="1">
        <v>45855</v>
      </c>
      <c r="E4458" t="s">
        <v>19</v>
      </c>
      <c r="F4458">
        <v>6500</v>
      </c>
      <c r="J4458">
        <v>1168.7</v>
      </c>
      <c r="K4458">
        <v>1104</v>
      </c>
      <c r="L4458">
        <v>0</v>
      </c>
      <c r="M4458" t="s">
        <v>18</v>
      </c>
      <c r="N4458">
        <v>0</v>
      </c>
      <c r="O4458">
        <v>0</v>
      </c>
    </row>
    <row r="4459" spans="1:15" x14ac:dyDescent="0.2">
      <c r="A4459" s="6">
        <v>45812</v>
      </c>
      <c r="B4459" t="s">
        <v>15</v>
      </c>
      <c r="C4459" t="s">
        <v>16</v>
      </c>
      <c r="D4459" s="1">
        <v>45855</v>
      </c>
      <c r="E4459" t="s">
        <v>19</v>
      </c>
      <c r="F4459">
        <v>5850</v>
      </c>
      <c r="J4459">
        <v>568.6</v>
      </c>
      <c r="K4459">
        <v>518.79999999999995</v>
      </c>
      <c r="L4459">
        <v>0</v>
      </c>
      <c r="M4459" t="s">
        <v>18</v>
      </c>
      <c r="N4459">
        <v>0</v>
      </c>
      <c r="O4459">
        <v>0</v>
      </c>
    </row>
    <row r="4460" spans="1:15" x14ac:dyDescent="0.2">
      <c r="A4460" s="6">
        <v>45812</v>
      </c>
      <c r="B4460" t="s">
        <v>15</v>
      </c>
      <c r="C4460" t="s">
        <v>16</v>
      </c>
      <c r="D4460" s="1">
        <v>45855</v>
      </c>
      <c r="E4460" t="s">
        <v>19</v>
      </c>
      <c r="F4460">
        <v>5500</v>
      </c>
      <c r="G4460">
        <v>315</v>
      </c>
      <c r="H4460">
        <v>340</v>
      </c>
      <c r="I4460">
        <v>315</v>
      </c>
      <c r="J4460">
        <v>328</v>
      </c>
      <c r="K4460">
        <v>350</v>
      </c>
      <c r="L4460">
        <v>5</v>
      </c>
      <c r="M4460" t="s">
        <v>26</v>
      </c>
      <c r="N4460">
        <v>29.14</v>
      </c>
      <c r="O4460">
        <v>6</v>
      </c>
    </row>
    <row r="4461" spans="1:15" x14ac:dyDescent="0.2">
      <c r="A4461" s="6">
        <v>45812</v>
      </c>
      <c r="B4461" t="s">
        <v>15</v>
      </c>
      <c r="C4461" t="s">
        <v>16</v>
      </c>
      <c r="D4461" s="1">
        <v>45855</v>
      </c>
      <c r="E4461" t="s">
        <v>19</v>
      </c>
      <c r="F4461">
        <v>3800</v>
      </c>
      <c r="J4461">
        <v>0.1</v>
      </c>
      <c r="K4461">
        <v>0.1</v>
      </c>
      <c r="L4461">
        <v>0</v>
      </c>
      <c r="M4461" t="s">
        <v>18</v>
      </c>
      <c r="N4461">
        <v>0</v>
      </c>
      <c r="O4461">
        <v>0</v>
      </c>
    </row>
    <row r="4462" spans="1:15" x14ac:dyDescent="0.2">
      <c r="A4462" s="6">
        <v>45812</v>
      </c>
      <c r="B4462" t="s">
        <v>15</v>
      </c>
      <c r="C4462" t="s">
        <v>16</v>
      </c>
      <c r="D4462" s="1">
        <v>45855</v>
      </c>
      <c r="E4462" t="s">
        <v>17</v>
      </c>
      <c r="F4462">
        <v>6150</v>
      </c>
      <c r="J4462">
        <v>17.8</v>
      </c>
      <c r="K4462">
        <v>26.4</v>
      </c>
      <c r="L4462">
        <v>0</v>
      </c>
      <c r="M4462" t="s">
        <v>18</v>
      </c>
      <c r="N4462">
        <v>0</v>
      </c>
      <c r="O4462">
        <v>0</v>
      </c>
    </row>
    <row r="4463" spans="1:15" x14ac:dyDescent="0.2">
      <c r="A4463" s="6">
        <v>45812</v>
      </c>
      <c r="B4463" t="s">
        <v>15</v>
      </c>
      <c r="C4463" t="s">
        <v>16</v>
      </c>
      <c r="D4463" s="1">
        <v>45855</v>
      </c>
      <c r="E4463" t="s">
        <v>19</v>
      </c>
      <c r="F4463">
        <v>4800</v>
      </c>
      <c r="J4463">
        <v>36.6</v>
      </c>
      <c r="K4463">
        <v>65.7</v>
      </c>
      <c r="L4463">
        <v>0</v>
      </c>
      <c r="M4463" t="s">
        <v>18</v>
      </c>
      <c r="N4463">
        <v>0</v>
      </c>
      <c r="O4463">
        <v>5</v>
      </c>
    </row>
    <row r="4464" spans="1:15" x14ac:dyDescent="0.2">
      <c r="A4464" s="6">
        <v>45812</v>
      </c>
      <c r="B4464" t="s">
        <v>15</v>
      </c>
      <c r="C4464" t="s">
        <v>16</v>
      </c>
      <c r="D4464" s="1">
        <v>45855</v>
      </c>
      <c r="E4464" t="s">
        <v>19</v>
      </c>
      <c r="F4464">
        <v>6600</v>
      </c>
      <c r="J4464">
        <v>1266.4000000000001</v>
      </c>
      <c r="K4464">
        <v>1200.8</v>
      </c>
      <c r="L4464">
        <v>0</v>
      </c>
      <c r="M4464" t="s">
        <v>18</v>
      </c>
      <c r="N4464">
        <v>0</v>
      </c>
      <c r="O4464">
        <v>0</v>
      </c>
    </row>
    <row r="4465" spans="1:15" x14ac:dyDescent="0.2">
      <c r="A4465" s="6">
        <v>45812</v>
      </c>
      <c r="B4465" t="s">
        <v>15</v>
      </c>
      <c r="C4465" t="s">
        <v>16</v>
      </c>
      <c r="D4465" s="1">
        <v>45855</v>
      </c>
      <c r="E4465" t="s">
        <v>19</v>
      </c>
      <c r="F4465">
        <v>4350</v>
      </c>
      <c r="J4465">
        <v>3.4</v>
      </c>
      <c r="K4465">
        <v>2.9</v>
      </c>
      <c r="L4465">
        <v>0</v>
      </c>
      <c r="M4465" t="s">
        <v>18</v>
      </c>
      <c r="N4465">
        <v>0</v>
      </c>
      <c r="O4465">
        <v>0</v>
      </c>
    </row>
    <row r="4466" spans="1:15" x14ac:dyDescent="0.2">
      <c r="A4466" s="6">
        <v>45812</v>
      </c>
      <c r="B4466" t="s">
        <v>15</v>
      </c>
      <c r="C4466" t="s">
        <v>16</v>
      </c>
      <c r="D4466" s="1">
        <v>45855</v>
      </c>
      <c r="E4466" t="s">
        <v>19</v>
      </c>
      <c r="F4466">
        <v>5550</v>
      </c>
      <c r="J4466">
        <v>340.4</v>
      </c>
      <c r="K4466">
        <v>304</v>
      </c>
      <c r="L4466">
        <v>0</v>
      </c>
      <c r="M4466" t="s">
        <v>18</v>
      </c>
      <c r="N4466">
        <v>0</v>
      </c>
      <c r="O4466">
        <v>0</v>
      </c>
    </row>
    <row r="4467" spans="1:15" x14ac:dyDescent="0.2">
      <c r="A4467" s="6">
        <v>45812</v>
      </c>
      <c r="B4467" t="s">
        <v>15</v>
      </c>
      <c r="C4467" t="s">
        <v>16</v>
      </c>
      <c r="D4467" s="1">
        <v>45855</v>
      </c>
      <c r="E4467" t="s">
        <v>19</v>
      </c>
      <c r="F4467">
        <v>4150</v>
      </c>
      <c r="J4467">
        <v>0.8</v>
      </c>
      <c r="K4467">
        <v>0.7</v>
      </c>
      <c r="L4467">
        <v>0</v>
      </c>
      <c r="M4467" t="s">
        <v>18</v>
      </c>
      <c r="N4467">
        <v>0</v>
      </c>
      <c r="O4467">
        <v>0</v>
      </c>
    </row>
    <row r="4468" spans="1:15" x14ac:dyDescent="0.2">
      <c r="A4468" s="6">
        <v>45812</v>
      </c>
      <c r="B4468" t="s">
        <v>15</v>
      </c>
      <c r="C4468" t="s">
        <v>16</v>
      </c>
      <c r="D4468" s="1">
        <v>45855</v>
      </c>
      <c r="E4468" t="s">
        <v>17</v>
      </c>
      <c r="F4468">
        <v>4050</v>
      </c>
      <c r="J4468">
        <v>1267.8</v>
      </c>
      <c r="K4468">
        <v>1335</v>
      </c>
      <c r="L4468">
        <v>0</v>
      </c>
      <c r="M4468" t="s">
        <v>18</v>
      </c>
      <c r="N4468">
        <v>0</v>
      </c>
      <c r="O4468">
        <v>0</v>
      </c>
    </row>
    <row r="4469" spans="1:15" x14ac:dyDescent="0.2">
      <c r="A4469" s="6">
        <v>45812</v>
      </c>
      <c r="B4469" t="s">
        <v>15</v>
      </c>
      <c r="C4469" t="s">
        <v>16</v>
      </c>
      <c r="D4469" s="1">
        <v>45855</v>
      </c>
      <c r="E4469" t="s">
        <v>19</v>
      </c>
      <c r="F4469">
        <v>3950</v>
      </c>
      <c r="J4469">
        <v>0.1</v>
      </c>
      <c r="K4469">
        <v>0.1</v>
      </c>
      <c r="L4469">
        <v>0</v>
      </c>
      <c r="M4469" t="s">
        <v>18</v>
      </c>
      <c r="N4469">
        <v>0</v>
      </c>
      <c r="O4469">
        <v>0</v>
      </c>
    </row>
    <row r="4470" spans="1:15" x14ac:dyDescent="0.2">
      <c r="A4470" s="6">
        <v>45812</v>
      </c>
      <c r="B4470" t="s">
        <v>15</v>
      </c>
      <c r="C4470" t="s">
        <v>16</v>
      </c>
      <c r="D4470" s="1">
        <v>45855</v>
      </c>
      <c r="E4470" t="s">
        <v>17</v>
      </c>
      <c r="F4470">
        <v>3900</v>
      </c>
      <c r="J4470">
        <v>1416.4</v>
      </c>
      <c r="K4470">
        <v>1483.6</v>
      </c>
      <c r="L4470">
        <v>0</v>
      </c>
      <c r="M4470" t="s">
        <v>18</v>
      </c>
      <c r="N4470">
        <v>0</v>
      </c>
      <c r="O4470">
        <v>0</v>
      </c>
    </row>
    <row r="4471" spans="1:15" x14ac:dyDescent="0.2">
      <c r="A4471" s="6">
        <v>45812</v>
      </c>
      <c r="B4471" t="s">
        <v>15</v>
      </c>
      <c r="C4471" t="s">
        <v>16</v>
      </c>
      <c r="D4471" s="1">
        <v>45855</v>
      </c>
      <c r="E4471" t="s">
        <v>17</v>
      </c>
      <c r="F4471">
        <v>5400</v>
      </c>
      <c r="G4471">
        <v>255</v>
      </c>
      <c r="H4471">
        <v>280.5</v>
      </c>
      <c r="I4471">
        <v>220.1</v>
      </c>
      <c r="J4471">
        <v>226</v>
      </c>
      <c r="K4471">
        <v>242.8</v>
      </c>
      <c r="L4471">
        <v>69</v>
      </c>
      <c r="M4471" t="s">
        <v>887</v>
      </c>
      <c r="N4471">
        <v>389.85</v>
      </c>
      <c r="O4471">
        <v>53</v>
      </c>
    </row>
    <row r="4472" spans="1:15" x14ac:dyDescent="0.2">
      <c r="A4472" s="6">
        <v>45812</v>
      </c>
      <c r="B4472" t="s">
        <v>15</v>
      </c>
      <c r="C4472" t="s">
        <v>16</v>
      </c>
      <c r="D4472" s="1">
        <v>45855</v>
      </c>
      <c r="E4472" t="s">
        <v>17</v>
      </c>
      <c r="F4472">
        <v>5850</v>
      </c>
      <c r="J4472">
        <v>49.6</v>
      </c>
      <c r="K4472">
        <v>67.3</v>
      </c>
      <c r="L4472">
        <v>0</v>
      </c>
      <c r="M4472" t="s">
        <v>18</v>
      </c>
      <c r="N4472">
        <v>0</v>
      </c>
      <c r="O4472">
        <v>0</v>
      </c>
    </row>
    <row r="4473" spans="1:15" x14ac:dyDescent="0.2">
      <c r="A4473" s="6">
        <v>45812</v>
      </c>
      <c r="B4473" t="s">
        <v>15</v>
      </c>
      <c r="C4473" t="s">
        <v>16</v>
      </c>
      <c r="D4473" s="1">
        <v>45855</v>
      </c>
      <c r="E4473" t="s">
        <v>19</v>
      </c>
      <c r="F4473">
        <v>6300</v>
      </c>
      <c r="J4473">
        <v>975.8</v>
      </c>
      <c r="K4473">
        <v>913.8</v>
      </c>
      <c r="L4473">
        <v>0</v>
      </c>
      <c r="M4473" t="s">
        <v>18</v>
      </c>
      <c r="N4473">
        <v>0</v>
      </c>
      <c r="O4473">
        <v>0</v>
      </c>
    </row>
    <row r="4474" spans="1:15" x14ac:dyDescent="0.2">
      <c r="A4474" s="6">
        <v>45812</v>
      </c>
      <c r="B4474" t="s">
        <v>15</v>
      </c>
      <c r="C4474" t="s">
        <v>16</v>
      </c>
      <c r="D4474" s="1">
        <v>45855</v>
      </c>
      <c r="E4474" t="s">
        <v>19</v>
      </c>
      <c r="F4474">
        <v>4300</v>
      </c>
      <c r="J4474">
        <v>2.4</v>
      </c>
      <c r="K4474">
        <v>2.1</v>
      </c>
      <c r="L4474">
        <v>0</v>
      </c>
      <c r="M4474" t="s">
        <v>18</v>
      </c>
      <c r="N4474">
        <v>0</v>
      </c>
      <c r="O4474">
        <v>0</v>
      </c>
    </row>
    <row r="4475" spans="1:15" x14ac:dyDescent="0.2">
      <c r="A4475" s="6">
        <v>45812</v>
      </c>
      <c r="B4475" t="s">
        <v>15</v>
      </c>
      <c r="C4475" t="s">
        <v>16</v>
      </c>
      <c r="D4475" s="1">
        <v>45855</v>
      </c>
      <c r="E4475" t="s">
        <v>19</v>
      </c>
      <c r="F4475">
        <v>4750</v>
      </c>
      <c r="J4475">
        <v>29.5</v>
      </c>
      <c r="K4475">
        <v>25</v>
      </c>
      <c r="L4475">
        <v>0</v>
      </c>
      <c r="M4475" t="s">
        <v>18</v>
      </c>
      <c r="N4475">
        <v>0</v>
      </c>
      <c r="O4475">
        <v>0</v>
      </c>
    </row>
    <row r="4476" spans="1:15" x14ac:dyDescent="0.2">
      <c r="A4476" s="6">
        <v>45812</v>
      </c>
      <c r="B4476" t="s">
        <v>15</v>
      </c>
      <c r="C4476" t="s">
        <v>16</v>
      </c>
      <c r="D4476" s="1">
        <v>45855</v>
      </c>
      <c r="E4476" t="s">
        <v>19</v>
      </c>
      <c r="F4476">
        <v>4250</v>
      </c>
      <c r="J4476">
        <v>1.7</v>
      </c>
      <c r="K4476">
        <v>1.5</v>
      </c>
      <c r="L4476">
        <v>0</v>
      </c>
      <c r="M4476" t="s">
        <v>18</v>
      </c>
      <c r="N4476">
        <v>0</v>
      </c>
      <c r="O4476">
        <v>0</v>
      </c>
    </row>
    <row r="4477" spans="1:15" x14ac:dyDescent="0.2">
      <c r="A4477" s="6">
        <v>45812</v>
      </c>
      <c r="B4477" t="s">
        <v>15</v>
      </c>
      <c r="C4477" t="s">
        <v>16</v>
      </c>
      <c r="D4477" s="1">
        <v>45855</v>
      </c>
      <c r="E4477" t="s">
        <v>17</v>
      </c>
      <c r="F4477">
        <v>5550</v>
      </c>
      <c r="J4477">
        <v>119</v>
      </c>
      <c r="K4477">
        <v>150.19999999999999</v>
      </c>
      <c r="L4477">
        <v>0</v>
      </c>
      <c r="M4477" t="s">
        <v>18</v>
      </c>
      <c r="N4477">
        <v>0</v>
      </c>
      <c r="O4477">
        <v>0</v>
      </c>
    </row>
    <row r="4478" spans="1:15" x14ac:dyDescent="0.2">
      <c r="A4478" s="6">
        <v>45812</v>
      </c>
      <c r="B4478" t="s">
        <v>15</v>
      </c>
      <c r="C4478" t="s">
        <v>16</v>
      </c>
      <c r="D4478" s="1">
        <v>45855</v>
      </c>
      <c r="E4478" t="s">
        <v>17</v>
      </c>
      <c r="F4478">
        <v>3800</v>
      </c>
      <c r="J4478">
        <v>1515.6</v>
      </c>
      <c r="K4478">
        <v>1582.8</v>
      </c>
      <c r="L4478">
        <v>0</v>
      </c>
      <c r="M4478" t="s">
        <v>18</v>
      </c>
      <c r="N4478">
        <v>0</v>
      </c>
      <c r="O4478">
        <v>0</v>
      </c>
    </row>
    <row r="4479" spans="1:15" x14ac:dyDescent="0.2">
      <c r="A4479" s="6">
        <v>45812</v>
      </c>
      <c r="B4479" t="s">
        <v>15</v>
      </c>
      <c r="C4479" t="s">
        <v>16</v>
      </c>
      <c r="D4479" s="1">
        <v>45855</v>
      </c>
      <c r="E4479" t="s">
        <v>19</v>
      </c>
      <c r="F4479">
        <v>6000</v>
      </c>
      <c r="J4479">
        <v>698.2</v>
      </c>
      <c r="K4479">
        <v>643.20000000000005</v>
      </c>
      <c r="L4479">
        <v>0</v>
      </c>
      <c r="M4479" t="s">
        <v>18</v>
      </c>
      <c r="N4479">
        <v>0</v>
      </c>
      <c r="O4479">
        <v>0</v>
      </c>
    </row>
    <row r="4480" spans="1:15" x14ac:dyDescent="0.2">
      <c r="A4480" s="6">
        <v>45811</v>
      </c>
      <c r="B4480" t="s">
        <v>15</v>
      </c>
      <c r="C4480" t="s">
        <v>16</v>
      </c>
      <c r="D4480" s="1">
        <v>45855</v>
      </c>
      <c r="E4480" t="s">
        <v>19</v>
      </c>
      <c r="F4480">
        <v>6150</v>
      </c>
      <c r="J4480">
        <v>775.6</v>
      </c>
      <c r="K4480">
        <v>850.1</v>
      </c>
      <c r="L4480">
        <v>0</v>
      </c>
      <c r="M4480" t="s">
        <v>18</v>
      </c>
      <c r="N4480">
        <v>0</v>
      </c>
      <c r="O4480">
        <v>0</v>
      </c>
    </row>
    <row r="4481" spans="1:15" x14ac:dyDescent="0.2">
      <c r="A4481" s="6">
        <v>45811</v>
      </c>
      <c r="B4481" t="s">
        <v>15</v>
      </c>
      <c r="C4481" t="s">
        <v>16</v>
      </c>
      <c r="D4481" s="1">
        <v>45855</v>
      </c>
      <c r="E4481" t="s">
        <v>17</v>
      </c>
      <c r="F4481">
        <v>5950</v>
      </c>
      <c r="J4481">
        <v>50</v>
      </c>
      <c r="K4481">
        <v>39.700000000000003</v>
      </c>
      <c r="L4481">
        <v>0</v>
      </c>
      <c r="M4481" t="s">
        <v>18</v>
      </c>
      <c r="N4481">
        <v>0</v>
      </c>
      <c r="O4481">
        <v>0</v>
      </c>
    </row>
    <row r="4482" spans="1:15" x14ac:dyDescent="0.2">
      <c r="A4482" s="6">
        <v>45811</v>
      </c>
      <c r="B4482" t="s">
        <v>15</v>
      </c>
      <c r="C4482" t="s">
        <v>16</v>
      </c>
      <c r="D4482" s="1">
        <v>45855</v>
      </c>
      <c r="E4482" t="s">
        <v>17</v>
      </c>
      <c r="F4482">
        <v>6500</v>
      </c>
      <c r="J4482">
        <v>7.5</v>
      </c>
      <c r="K4482">
        <v>5.8</v>
      </c>
      <c r="L4482">
        <v>0</v>
      </c>
      <c r="M4482" t="s">
        <v>18</v>
      </c>
      <c r="N4482">
        <v>0</v>
      </c>
      <c r="O4482">
        <v>0</v>
      </c>
    </row>
    <row r="4483" spans="1:15" x14ac:dyDescent="0.2">
      <c r="A4483" s="6">
        <v>45811</v>
      </c>
      <c r="B4483" t="s">
        <v>15</v>
      </c>
      <c r="C4483" t="s">
        <v>16</v>
      </c>
      <c r="D4483" s="1">
        <v>45855</v>
      </c>
      <c r="E4483" t="s">
        <v>17</v>
      </c>
      <c r="F4483">
        <v>5150</v>
      </c>
      <c r="J4483">
        <v>354</v>
      </c>
      <c r="K4483">
        <v>340</v>
      </c>
      <c r="L4483">
        <v>0</v>
      </c>
      <c r="M4483" t="s">
        <v>18</v>
      </c>
      <c r="N4483">
        <v>0</v>
      </c>
      <c r="O4483">
        <v>2</v>
      </c>
    </row>
    <row r="4484" spans="1:15" x14ac:dyDescent="0.2">
      <c r="A4484" s="6">
        <v>45811</v>
      </c>
      <c r="B4484" t="s">
        <v>15</v>
      </c>
      <c r="C4484" t="s">
        <v>16</v>
      </c>
      <c r="D4484" s="1">
        <v>45855</v>
      </c>
      <c r="E4484" t="s">
        <v>17</v>
      </c>
      <c r="F4484">
        <v>4350</v>
      </c>
      <c r="J4484">
        <v>1039.8</v>
      </c>
      <c r="K4484">
        <v>961.3</v>
      </c>
      <c r="L4484">
        <v>0</v>
      </c>
      <c r="M4484" t="s">
        <v>18</v>
      </c>
      <c r="N4484">
        <v>0</v>
      </c>
      <c r="O4484">
        <v>0</v>
      </c>
    </row>
    <row r="4485" spans="1:15" x14ac:dyDescent="0.2">
      <c r="A4485" s="6">
        <v>45811</v>
      </c>
      <c r="B4485" t="s">
        <v>15</v>
      </c>
      <c r="C4485" t="s">
        <v>16</v>
      </c>
      <c r="D4485" s="1">
        <v>45855</v>
      </c>
      <c r="E4485" t="s">
        <v>17</v>
      </c>
      <c r="F4485">
        <v>3700</v>
      </c>
      <c r="J4485">
        <v>1682</v>
      </c>
      <c r="K4485">
        <v>1601.3</v>
      </c>
      <c r="L4485">
        <v>0</v>
      </c>
      <c r="M4485" t="s">
        <v>18</v>
      </c>
      <c r="N4485">
        <v>0</v>
      </c>
      <c r="O4485">
        <v>0</v>
      </c>
    </row>
    <row r="4486" spans="1:15" x14ac:dyDescent="0.2">
      <c r="A4486" s="6">
        <v>45811</v>
      </c>
      <c r="B4486" t="s">
        <v>15</v>
      </c>
      <c r="C4486" t="s">
        <v>16</v>
      </c>
      <c r="D4486" s="1">
        <v>45855</v>
      </c>
      <c r="E4486" t="s">
        <v>17</v>
      </c>
      <c r="F4486">
        <v>4500</v>
      </c>
      <c r="J4486">
        <v>895.2</v>
      </c>
      <c r="K4486">
        <v>818.9</v>
      </c>
      <c r="L4486">
        <v>0</v>
      </c>
      <c r="M4486" t="s">
        <v>18</v>
      </c>
      <c r="N4486">
        <v>0</v>
      </c>
      <c r="O4486">
        <v>0</v>
      </c>
    </row>
    <row r="4487" spans="1:15" x14ac:dyDescent="0.2">
      <c r="A4487" s="6">
        <v>45811</v>
      </c>
      <c r="B4487" t="s">
        <v>15</v>
      </c>
      <c r="C4487" t="s">
        <v>16</v>
      </c>
      <c r="D4487" s="1">
        <v>45855</v>
      </c>
      <c r="E4487" t="s">
        <v>17</v>
      </c>
      <c r="F4487">
        <v>5000</v>
      </c>
      <c r="G4487">
        <v>525.9</v>
      </c>
      <c r="H4487">
        <v>525.9</v>
      </c>
      <c r="I4487">
        <v>525.9</v>
      </c>
      <c r="J4487">
        <v>525.9</v>
      </c>
      <c r="K4487">
        <v>401.8</v>
      </c>
      <c r="L4487">
        <v>1</v>
      </c>
      <c r="M4487" t="s">
        <v>155</v>
      </c>
      <c r="N4487">
        <v>5.53</v>
      </c>
      <c r="O4487">
        <v>2</v>
      </c>
    </row>
    <row r="4488" spans="1:15" x14ac:dyDescent="0.2">
      <c r="A4488" s="6">
        <v>45811</v>
      </c>
      <c r="B4488" t="s">
        <v>15</v>
      </c>
      <c r="C4488" t="s">
        <v>16</v>
      </c>
      <c r="D4488" s="1">
        <v>45855</v>
      </c>
      <c r="E4488" t="s">
        <v>17</v>
      </c>
      <c r="F4488">
        <v>4100</v>
      </c>
      <c r="J4488">
        <v>1285.5</v>
      </c>
      <c r="K4488">
        <v>1205.4000000000001</v>
      </c>
      <c r="L4488">
        <v>0</v>
      </c>
      <c r="M4488" t="s">
        <v>18</v>
      </c>
      <c r="N4488">
        <v>0</v>
      </c>
      <c r="O4488">
        <v>0</v>
      </c>
    </row>
    <row r="4489" spans="1:15" x14ac:dyDescent="0.2">
      <c r="A4489" s="6">
        <v>45811</v>
      </c>
      <c r="B4489" t="s">
        <v>15</v>
      </c>
      <c r="C4489" t="s">
        <v>16</v>
      </c>
      <c r="D4489" s="1">
        <v>45855</v>
      </c>
      <c r="E4489" t="s">
        <v>17</v>
      </c>
      <c r="F4489">
        <v>4400</v>
      </c>
      <c r="J4489">
        <v>991.3</v>
      </c>
      <c r="K4489">
        <v>913.3</v>
      </c>
      <c r="L4489">
        <v>0</v>
      </c>
      <c r="M4489" t="s">
        <v>18</v>
      </c>
      <c r="N4489">
        <v>0</v>
      </c>
      <c r="O4489">
        <v>0</v>
      </c>
    </row>
    <row r="4490" spans="1:15" x14ac:dyDescent="0.2">
      <c r="A4490" s="6">
        <v>45811</v>
      </c>
      <c r="B4490" t="s">
        <v>15</v>
      </c>
      <c r="C4490" t="s">
        <v>16</v>
      </c>
      <c r="D4490" s="1">
        <v>45855</v>
      </c>
      <c r="E4490" t="s">
        <v>19</v>
      </c>
      <c r="F4490">
        <v>4900</v>
      </c>
      <c r="J4490">
        <v>46.8</v>
      </c>
      <c r="K4490">
        <v>64.2</v>
      </c>
      <c r="L4490">
        <v>0</v>
      </c>
      <c r="M4490" t="s">
        <v>18</v>
      </c>
      <c r="N4490">
        <v>0</v>
      </c>
      <c r="O4490">
        <v>0</v>
      </c>
    </row>
    <row r="4491" spans="1:15" x14ac:dyDescent="0.2">
      <c r="A4491" s="6">
        <v>45811</v>
      </c>
      <c r="B4491" t="s">
        <v>15</v>
      </c>
      <c r="C4491" t="s">
        <v>16</v>
      </c>
      <c r="D4491" s="1">
        <v>45855</v>
      </c>
      <c r="E4491" t="s">
        <v>19</v>
      </c>
      <c r="F4491">
        <v>3600</v>
      </c>
      <c r="J4491">
        <v>0.1</v>
      </c>
      <c r="K4491">
        <v>0.1</v>
      </c>
      <c r="L4491">
        <v>0</v>
      </c>
      <c r="M4491" t="s">
        <v>18</v>
      </c>
      <c r="N4491">
        <v>0</v>
      </c>
      <c r="O4491">
        <v>0</v>
      </c>
    </row>
    <row r="4492" spans="1:15" x14ac:dyDescent="0.2">
      <c r="A4492" s="6">
        <v>45811</v>
      </c>
      <c r="B4492" t="s">
        <v>15</v>
      </c>
      <c r="C4492" t="s">
        <v>16</v>
      </c>
      <c r="D4492" s="1">
        <v>45855</v>
      </c>
      <c r="E4492" t="s">
        <v>17</v>
      </c>
      <c r="F4492">
        <v>5200</v>
      </c>
      <c r="G4492">
        <v>340</v>
      </c>
      <c r="H4492">
        <v>340</v>
      </c>
      <c r="I4492">
        <v>340</v>
      </c>
      <c r="J4492">
        <v>340</v>
      </c>
      <c r="K4492">
        <v>317.10000000000002</v>
      </c>
      <c r="L4492">
        <v>1</v>
      </c>
      <c r="M4492" t="s">
        <v>155</v>
      </c>
      <c r="N4492">
        <v>5.54</v>
      </c>
      <c r="O4492">
        <v>3</v>
      </c>
    </row>
    <row r="4493" spans="1:15" x14ac:dyDescent="0.2">
      <c r="A4493" s="6">
        <v>45811</v>
      </c>
      <c r="B4493" t="s">
        <v>15</v>
      </c>
      <c r="C4493" t="s">
        <v>16</v>
      </c>
      <c r="D4493" s="1">
        <v>45855</v>
      </c>
      <c r="E4493" t="s">
        <v>17</v>
      </c>
      <c r="F4493">
        <v>4750</v>
      </c>
      <c r="J4493">
        <v>665</v>
      </c>
      <c r="K4493">
        <v>595.6</v>
      </c>
      <c r="L4493">
        <v>0</v>
      </c>
      <c r="M4493" t="s">
        <v>18</v>
      </c>
      <c r="N4493">
        <v>0</v>
      </c>
      <c r="O4493">
        <v>0</v>
      </c>
    </row>
    <row r="4494" spans="1:15" x14ac:dyDescent="0.2">
      <c r="A4494" s="6">
        <v>45811</v>
      </c>
      <c r="B4494" t="s">
        <v>15</v>
      </c>
      <c r="C4494" t="s">
        <v>16</v>
      </c>
      <c r="D4494" s="1">
        <v>45855</v>
      </c>
      <c r="E4494" t="s">
        <v>19</v>
      </c>
      <c r="F4494">
        <v>5250</v>
      </c>
      <c r="J4494">
        <v>148.30000000000001</v>
      </c>
      <c r="K4494">
        <v>185.2</v>
      </c>
      <c r="L4494">
        <v>0</v>
      </c>
      <c r="M4494" t="s">
        <v>18</v>
      </c>
      <c r="N4494">
        <v>0</v>
      </c>
      <c r="O4494">
        <v>0</v>
      </c>
    </row>
    <row r="4495" spans="1:15" x14ac:dyDescent="0.2">
      <c r="A4495" s="6">
        <v>45811</v>
      </c>
      <c r="B4495" t="s">
        <v>15</v>
      </c>
      <c r="C4495" t="s">
        <v>16</v>
      </c>
      <c r="D4495" s="1">
        <v>45855</v>
      </c>
      <c r="E4495" t="s">
        <v>17</v>
      </c>
      <c r="F4495">
        <v>4450</v>
      </c>
      <c r="J4495">
        <v>943</v>
      </c>
      <c r="K4495">
        <v>865.8</v>
      </c>
      <c r="L4495">
        <v>0</v>
      </c>
      <c r="M4495" t="s">
        <v>18</v>
      </c>
      <c r="N4495">
        <v>0</v>
      </c>
      <c r="O4495">
        <v>0</v>
      </c>
    </row>
    <row r="4496" spans="1:15" x14ac:dyDescent="0.2">
      <c r="A4496" s="6">
        <v>45811</v>
      </c>
      <c r="B4496" t="s">
        <v>15</v>
      </c>
      <c r="C4496" t="s">
        <v>16</v>
      </c>
      <c r="D4496" s="1">
        <v>45855</v>
      </c>
      <c r="E4496" t="s">
        <v>17</v>
      </c>
      <c r="F4496">
        <v>5300</v>
      </c>
      <c r="G4496">
        <v>275</v>
      </c>
      <c r="H4496">
        <v>308</v>
      </c>
      <c r="I4496">
        <v>275</v>
      </c>
      <c r="J4496">
        <v>291.5</v>
      </c>
      <c r="K4496">
        <v>277</v>
      </c>
      <c r="L4496">
        <v>2</v>
      </c>
      <c r="M4496" t="s">
        <v>28</v>
      </c>
      <c r="N4496">
        <v>11.18</v>
      </c>
      <c r="O4496">
        <v>5</v>
      </c>
    </row>
    <row r="4497" spans="1:15" x14ac:dyDescent="0.2">
      <c r="A4497" s="6">
        <v>45811</v>
      </c>
      <c r="B4497" t="s">
        <v>15</v>
      </c>
      <c r="C4497" t="s">
        <v>16</v>
      </c>
      <c r="D4497" s="1">
        <v>45855</v>
      </c>
      <c r="E4497" t="s">
        <v>17</v>
      </c>
      <c r="F4497">
        <v>4950</v>
      </c>
      <c r="J4497">
        <v>498.1</v>
      </c>
      <c r="K4497">
        <v>437.6</v>
      </c>
      <c r="L4497">
        <v>0</v>
      </c>
      <c r="M4497" t="s">
        <v>18</v>
      </c>
      <c r="N4497">
        <v>0</v>
      </c>
      <c r="O4497">
        <v>0</v>
      </c>
    </row>
    <row r="4498" spans="1:15" x14ac:dyDescent="0.2">
      <c r="A4498" s="6">
        <v>45811</v>
      </c>
      <c r="B4498" t="s">
        <v>15</v>
      </c>
      <c r="C4498" t="s">
        <v>16</v>
      </c>
      <c r="D4498" s="1">
        <v>45855</v>
      </c>
      <c r="E4498" t="s">
        <v>19</v>
      </c>
      <c r="F4498">
        <v>4200</v>
      </c>
      <c r="J4498">
        <v>1</v>
      </c>
      <c r="K4498">
        <v>1.9</v>
      </c>
      <c r="L4498">
        <v>0</v>
      </c>
      <c r="M4498" t="s">
        <v>18</v>
      </c>
      <c r="N4498">
        <v>0</v>
      </c>
      <c r="O4498">
        <v>0</v>
      </c>
    </row>
    <row r="4499" spans="1:15" x14ac:dyDescent="0.2">
      <c r="A4499" s="6">
        <v>45811</v>
      </c>
      <c r="B4499" t="s">
        <v>15</v>
      </c>
      <c r="C4499" t="s">
        <v>16</v>
      </c>
      <c r="D4499" s="1">
        <v>45855</v>
      </c>
      <c r="E4499" t="s">
        <v>17</v>
      </c>
      <c r="F4499">
        <v>4800</v>
      </c>
      <c r="J4499">
        <v>621.5</v>
      </c>
      <c r="K4499">
        <v>554.1</v>
      </c>
      <c r="L4499">
        <v>0</v>
      </c>
      <c r="M4499" t="s">
        <v>18</v>
      </c>
      <c r="N4499">
        <v>0</v>
      </c>
      <c r="O4499">
        <v>0</v>
      </c>
    </row>
    <row r="4500" spans="1:15" x14ac:dyDescent="0.2">
      <c r="A4500" s="6">
        <v>45811</v>
      </c>
      <c r="B4500" t="s">
        <v>15</v>
      </c>
      <c r="C4500" t="s">
        <v>16</v>
      </c>
      <c r="D4500" s="1">
        <v>45855</v>
      </c>
      <c r="E4500" t="s">
        <v>17</v>
      </c>
      <c r="F4500">
        <v>4900</v>
      </c>
      <c r="J4500">
        <v>538</v>
      </c>
      <c r="K4500">
        <v>474.9</v>
      </c>
      <c r="L4500">
        <v>0</v>
      </c>
      <c r="M4500" t="s">
        <v>18</v>
      </c>
      <c r="N4500">
        <v>0</v>
      </c>
      <c r="O4500">
        <v>0</v>
      </c>
    </row>
    <row r="4501" spans="1:15" x14ac:dyDescent="0.2">
      <c r="A4501" s="6">
        <v>45811</v>
      </c>
      <c r="B4501" t="s">
        <v>15</v>
      </c>
      <c r="C4501" t="s">
        <v>16</v>
      </c>
      <c r="D4501" s="1">
        <v>45855</v>
      </c>
      <c r="E4501" t="s">
        <v>17</v>
      </c>
      <c r="F4501">
        <v>5700</v>
      </c>
      <c r="G4501">
        <v>115.1</v>
      </c>
      <c r="H4501">
        <v>148.9</v>
      </c>
      <c r="I4501">
        <v>115.1</v>
      </c>
      <c r="J4501">
        <v>133.5</v>
      </c>
      <c r="K4501">
        <v>136.69999999999999</v>
      </c>
      <c r="L4501">
        <v>10</v>
      </c>
      <c r="M4501" t="s">
        <v>69</v>
      </c>
      <c r="N4501">
        <v>58.34</v>
      </c>
      <c r="O4501">
        <v>10</v>
      </c>
    </row>
    <row r="4502" spans="1:15" x14ac:dyDescent="0.2">
      <c r="A4502" s="6">
        <v>45811</v>
      </c>
      <c r="B4502" t="s">
        <v>15</v>
      </c>
      <c r="C4502" t="s">
        <v>16</v>
      </c>
      <c r="D4502" s="1">
        <v>45855</v>
      </c>
      <c r="E4502" t="s">
        <v>19</v>
      </c>
      <c r="F4502">
        <v>6650</v>
      </c>
      <c r="J4502">
        <v>1249.5</v>
      </c>
      <c r="K4502">
        <v>1328.7</v>
      </c>
      <c r="L4502">
        <v>0</v>
      </c>
      <c r="M4502" t="s">
        <v>18</v>
      </c>
      <c r="N4502">
        <v>0</v>
      </c>
      <c r="O4502">
        <v>0</v>
      </c>
    </row>
    <row r="4503" spans="1:15" x14ac:dyDescent="0.2">
      <c r="A4503" s="6">
        <v>45811</v>
      </c>
      <c r="B4503" t="s">
        <v>15</v>
      </c>
      <c r="C4503" t="s">
        <v>16</v>
      </c>
      <c r="D4503" s="1">
        <v>45855</v>
      </c>
      <c r="E4503" t="s">
        <v>17</v>
      </c>
      <c r="F4503">
        <v>4200</v>
      </c>
      <c r="J4503">
        <v>1186.8</v>
      </c>
      <c r="K4503">
        <v>1107.0999999999999</v>
      </c>
      <c r="L4503">
        <v>0</v>
      </c>
      <c r="M4503" t="s">
        <v>18</v>
      </c>
      <c r="N4503">
        <v>0</v>
      </c>
      <c r="O4503">
        <v>0</v>
      </c>
    </row>
    <row r="4504" spans="1:15" x14ac:dyDescent="0.2">
      <c r="A4504" s="6">
        <v>45811</v>
      </c>
      <c r="B4504" t="s">
        <v>15</v>
      </c>
      <c r="C4504" t="s">
        <v>16</v>
      </c>
      <c r="D4504" s="1">
        <v>45855</v>
      </c>
      <c r="E4504" t="s">
        <v>17</v>
      </c>
      <c r="F4504">
        <v>5250</v>
      </c>
      <c r="J4504">
        <v>292.2</v>
      </c>
      <c r="K4504">
        <v>248.7</v>
      </c>
      <c r="L4504">
        <v>0</v>
      </c>
      <c r="M4504" t="s">
        <v>18</v>
      </c>
      <c r="N4504">
        <v>0</v>
      </c>
      <c r="O4504">
        <v>0</v>
      </c>
    </row>
    <row r="4505" spans="1:15" x14ac:dyDescent="0.2">
      <c r="A4505" s="6">
        <v>45811</v>
      </c>
      <c r="B4505" t="s">
        <v>15</v>
      </c>
      <c r="C4505" t="s">
        <v>16</v>
      </c>
      <c r="D4505" s="1">
        <v>45855</v>
      </c>
      <c r="E4505" t="s">
        <v>19</v>
      </c>
      <c r="F4505">
        <v>5100</v>
      </c>
      <c r="J4505">
        <v>94.9</v>
      </c>
      <c r="K4505">
        <v>122.9</v>
      </c>
      <c r="L4505">
        <v>0</v>
      </c>
      <c r="M4505" t="s">
        <v>18</v>
      </c>
      <c r="N4505">
        <v>0</v>
      </c>
      <c r="O4505">
        <v>0</v>
      </c>
    </row>
    <row r="4506" spans="1:15" x14ac:dyDescent="0.2">
      <c r="A4506" s="6">
        <v>45811</v>
      </c>
      <c r="B4506" t="s">
        <v>15</v>
      </c>
      <c r="C4506" t="s">
        <v>16</v>
      </c>
      <c r="D4506" s="1">
        <v>45855</v>
      </c>
      <c r="E4506" t="s">
        <v>17</v>
      </c>
      <c r="F4506">
        <v>4650</v>
      </c>
      <c r="J4506">
        <v>754.9</v>
      </c>
      <c r="K4506">
        <v>682.2</v>
      </c>
      <c r="L4506">
        <v>0</v>
      </c>
      <c r="M4506" t="s">
        <v>18</v>
      </c>
      <c r="N4506">
        <v>0</v>
      </c>
      <c r="O4506">
        <v>0</v>
      </c>
    </row>
    <row r="4507" spans="1:15" x14ac:dyDescent="0.2">
      <c r="A4507" s="6">
        <v>45811</v>
      </c>
      <c r="B4507" t="s">
        <v>15</v>
      </c>
      <c r="C4507" t="s">
        <v>16</v>
      </c>
      <c r="D4507" s="1">
        <v>45855</v>
      </c>
      <c r="E4507" t="s">
        <v>19</v>
      </c>
      <c r="F4507">
        <v>6050</v>
      </c>
      <c r="J4507">
        <v>686.5</v>
      </c>
      <c r="K4507">
        <v>759</v>
      </c>
      <c r="L4507">
        <v>0</v>
      </c>
      <c r="M4507" t="s">
        <v>18</v>
      </c>
      <c r="N4507">
        <v>0</v>
      </c>
      <c r="O4507">
        <v>0</v>
      </c>
    </row>
    <row r="4508" spans="1:15" x14ac:dyDescent="0.2">
      <c r="A4508" s="6">
        <v>45811</v>
      </c>
      <c r="B4508" t="s">
        <v>15</v>
      </c>
      <c r="C4508" t="s">
        <v>16</v>
      </c>
      <c r="D4508" s="1">
        <v>45855</v>
      </c>
      <c r="E4508" t="s">
        <v>17</v>
      </c>
      <c r="F4508">
        <v>5100</v>
      </c>
      <c r="G4508">
        <v>400</v>
      </c>
      <c r="H4508">
        <v>414.7</v>
      </c>
      <c r="I4508">
        <v>400</v>
      </c>
      <c r="J4508">
        <v>407.4</v>
      </c>
      <c r="K4508">
        <v>366.7</v>
      </c>
      <c r="L4508">
        <v>2</v>
      </c>
      <c r="M4508" t="s">
        <v>28</v>
      </c>
      <c r="N4508">
        <v>11.01</v>
      </c>
      <c r="O4508">
        <v>3</v>
      </c>
    </row>
    <row r="4509" spans="1:15" x14ac:dyDescent="0.2">
      <c r="A4509" s="6">
        <v>45811</v>
      </c>
      <c r="B4509" t="s">
        <v>15</v>
      </c>
      <c r="C4509" t="s">
        <v>16</v>
      </c>
      <c r="D4509" s="1">
        <v>45855</v>
      </c>
      <c r="E4509" t="s">
        <v>19</v>
      </c>
      <c r="F4509">
        <v>5700</v>
      </c>
      <c r="J4509">
        <v>404.9</v>
      </c>
      <c r="K4509">
        <v>466.1</v>
      </c>
      <c r="L4509">
        <v>0</v>
      </c>
      <c r="M4509" t="s">
        <v>18</v>
      </c>
      <c r="N4509">
        <v>0</v>
      </c>
      <c r="O4509">
        <v>0</v>
      </c>
    </row>
    <row r="4510" spans="1:15" x14ac:dyDescent="0.2">
      <c r="A4510" s="6">
        <v>45811</v>
      </c>
      <c r="B4510" t="s">
        <v>15</v>
      </c>
      <c r="C4510" t="s">
        <v>16</v>
      </c>
      <c r="D4510" s="1">
        <v>45855</v>
      </c>
      <c r="E4510" t="s">
        <v>19</v>
      </c>
      <c r="F4510">
        <v>4700</v>
      </c>
      <c r="J4510">
        <v>19.899999999999999</v>
      </c>
      <c r="K4510">
        <v>29.2</v>
      </c>
      <c r="L4510">
        <v>0</v>
      </c>
      <c r="M4510" t="s">
        <v>18</v>
      </c>
      <c r="N4510">
        <v>0</v>
      </c>
      <c r="O4510">
        <v>0</v>
      </c>
    </row>
    <row r="4511" spans="1:15" x14ac:dyDescent="0.2">
      <c r="A4511" s="6">
        <v>45811</v>
      </c>
      <c r="B4511" t="s">
        <v>15</v>
      </c>
      <c r="C4511" t="s">
        <v>16</v>
      </c>
      <c r="D4511" s="1">
        <v>45855</v>
      </c>
      <c r="E4511" t="s">
        <v>19</v>
      </c>
      <c r="F4511">
        <v>4550</v>
      </c>
      <c r="J4511">
        <v>9.3000000000000007</v>
      </c>
      <c r="K4511">
        <v>14.6</v>
      </c>
      <c r="L4511">
        <v>0</v>
      </c>
      <c r="M4511" t="s">
        <v>18</v>
      </c>
      <c r="N4511">
        <v>0</v>
      </c>
      <c r="O4511">
        <v>0</v>
      </c>
    </row>
    <row r="4512" spans="1:15" x14ac:dyDescent="0.2">
      <c r="A4512" s="6">
        <v>45811</v>
      </c>
      <c r="B4512" t="s">
        <v>15</v>
      </c>
      <c r="C4512" t="s">
        <v>16</v>
      </c>
      <c r="D4512" s="1">
        <v>45855</v>
      </c>
      <c r="E4512" t="s">
        <v>19</v>
      </c>
      <c r="F4512">
        <v>3750</v>
      </c>
      <c r="J4512">
        <v>0.1</v>
      </c>
      <c r="K4512">
        <v>0.1</v>
      </c>
      <c r="L4512">
        <v>0</v>
      </c>
      <c r="M4512" t="s">
        <v>18</v>
      </c>
      <c r="N4512">
        <v>0</v>
      </c>
      <c r="O4512">
        <v>0</v>
      </c>
    </row>
    <row r="4513" spans="1:15" x14ac:dyDescent="0.2">
      <c r="A4513" s="6">
        <v>45811</v>
      </c>
      <c r="B4513" t="s">
        <v>15</v>
      </c>
      <c r="C4513" t="s">
        <v>16</v>
      </c>
      <c r="D4513" s="1">
        <v>45855</v>
      </c>
      <c r="E4513" t="s">
        <v>17</v>
      </c>
      <c r="F4513">
        <v>6650</v>
      </c>
      <c r="J4513">
        <v>4.2</v>
      </c>
      <c r="K4513">
        <v>3.2</v>
      </c>
      <c r="L4513">
        <v>0</v>
      </c>
      <c r="M4513" t="s">
        <v>18</v>
      </c>
      <c r="N4513">
        <v>0</v>
      </c>
      <c r="O4513">
        <v>0</v>
      </c>
    </row>
    <row r="4514" spans="1:15" x14ac:dyDescent="0.2">
      <c r="A4514" s="6">
        <v>45811</v>
      </c>
      <c r="B4514" t="s">
        <v>15</v>
      </c>
      <c r="C4514" t="s">
        <v>16</v>
      </c>
      <c r="D4514" s="1">
        <v>45855</v>
      </c>
      <c r="E4514" t="s">
        <v>17</v>
      </c>
      <c r="F4514">
        <v>6550</v>
      </c>
      <c r="J4514">
        <v>6.2</v>
      </c>
      <c r="K4514">
        <v>4.7</v>
      </c>
      <c r="L4514">
        <v>0</v>
      </c>
      <c r="M4514" t="s">
        <v>18</v>
      </c>
      <c r="N4514">
        <v>0</v>
      </c>
      <c r="O4514">
        <v>0</v>
      </c>
    </row>
    <row r="4515" spans="1:15" x14ac:dyDescent="0.2">
      <c r="A4515" s="6">
        <v>45811</v>
      </c>
      <c r="B4515" t="s">
        <v>15</v>
      </c>
      <c r="C4515" t="s">
        <v>16</v>
      </c>
      <c r="D4515" s="1">
        <v>45855</v>
      </c>
      <c r="E4515" t="s">
        <v>19</v>
      </c>
      <c r="F4515">
        <v>3700</v>
      </c>
      <c r="J4515">
        <v>0.1</v>
      </c>
      <c r="K4515">
        <v>0.1</v>
      </c>
      <c r="L4515">
        <v>0</v>
      </c>
      <c r="M4515" t="s">
        <v>18</v>
      </c>
      <c r="N4515">
        <v>0</v>
      </c>
      <c r="O4515">
        <v>0</v>
      </c>
    </row>
    <row r="4516" spans="1:15" x14ac:dyDescent="0.2">
      <c r="A4516" s="6">
        <v>45811</v>
      </c>
      <c r="B4516" t="s">
        <v>15</v>
      </c>
      <c r="C4516" t="s">
        <v>16</v>
      </c>
      <c r="D4516" s="1">
        <v>45855</v>
      </c>
      <c r="E4516" t="s">
        <v>17</v>
      </c>
      <c r="F4516">
        <v>5600</v>
      </c>
      <c r="G4516">
        <v>149</v>
      </c>
      <c r="H4516">
        <v>186.9</v>
      </c>
      <c r="I4516">
        <v>133.4</v>
      </c>
      <c r="J4516">
        <v>156.5</v>
      </c>
      <c r="K4516">
        <v>115.8</v>
      </c>
      <c r="L4516">
        <v>18</v>
      </c>
      <c r="M4516" t="s">
        <v>87</v>
      </c>
      <c r="N4516">
        <v>103.62</v>
      </c>
      <c r="O4516">
        <v>18</v>
      </c>
    </row>
    <row r="4517" spans="1:15" x14ac:dyDescent="0.2">
      <c r="A4517" s="6">
        <v>45811</v>
      </c>
      <c r="B4517" t="s">
        <v>15</v>
      </c>
      <c r="C4517" t="s">
        <v>16</v>
      </c>
      <c r="D4517" s="1">
        <v>45855</v>
      </c>
      <c r="E4517" t="s">
        <v>17</v>
      </c>
      <c r="F4517">
        <v>6050</v>
      </c>
      <c r="J4517">
        <v>36.6</v>
      </c>
      <c r="K4517">
        <v>28.8</v>
      </c>
      <c r="L4517">
        <v>0</v>
      </c>
      <c r="M4517" t="s">
        <v>18</v>
      </c>
      <c r="N4517">
        <v>0</v>
      </c>
      <c r="O4517">
        <v>0</v>
      </c>
    </row>
    <row r="4518" spans="1:15" x14ac:dyDescent="0.2">
      <c r="A4518" s="6">
        <v>45811</v>
      </c>
      <c r="B4518" t="s">
        <v>15</v>
      </c>
      <c r="C4518" t="s">
        <v>16</v>
      </c>
      <c r="D4518" s="1">
        <v>45855</v>
      </c>
      <c r="E4518" t="s">
        <v>17</v>
      </c>
      <c r="F4518">
        <v>3750</v>
      </c>
      <c r="J4518">
        <v>1632.4</v>
      </c>
      <c r="K4518">
        <v>1551.7</v>
      </c>
      <c r="L4518">
        <v>0</v>
      </c>
      <c r="M4518" t="s">
        <v>18</v>
      </c>
      <c r="N4518">
        <v>0</v>
      </c>
      <c r="O4518">
        <v>0</v>
      </c>
    </row>
    <row r="4519" spans="1:15" x14ac:dyDescent="0.2">
      <c r="A4519" s="6">
        <v>45811</v>
      </c>
      <c r="B4519" t="s">
        <v>15</v>
      </c>
      <c r="C4519" t="s">
        <v>16</v>
      </c>
      <c r="D4519" s="1">
        <v>45855</v>
      </c>
      <c r="E4519" t="s">
        <v>19</v>
      </c>
      <c r="F4519">
        <v>4450</v>
      </c>
      <c r="J4519">
        <v>5.3</v>
      </c>
      <c r="K4519">
        <v>8.6</v>
      </c>
      <c r="L4519">
        <v>0</v>
      </c>
      <c r="M4519" t="s">
        <v>18</v>
      </c>
      <c r="N4519">
        <v>0</v>
      </c>
      <c r="O4519">
        <v>0</v>
      </c>
    </row>
    <row r="4520" spans="1:15" x14ac:dyDescent="0.2">
      <c r="A4520" s="6">
        <v>45811</v>
      </c>
      <c r="B4520" t="s">
        <v>15</v>
      </c>
      <c r="C4520" t="s">
        <v>16</v>
      </c>
      <c r="D4520" s="1">
        <v>45855</v>
      </c>
      <c r="E4520" t="s">
        <v>19</v>
      </c>
      <c r="F4520">
        <v>5450</v>
      </c>
      <c r="J4520">
        <v>244.9</v>
      </c>
      <c r="K4520">
        <v>293.60000000000002</v>
      </c>
      <c r="L4520">
        <v>0</v>
      </c>
      <c r="M4520" t="s">
        <v>18</v>
      </c>
      <c r="N4520">
        <v>0</v>
      </c>
      <c r="O4520">
        <v>0</v>
      </c>
    </row>
    <row r="4521" spans="1:15" x14ac:dyDescent="0.2">
      <c r="A4521" s="6">
        <v>45811</v>
      </c>
      <c r="B4521" t="s">
        <v>15</v>
      </c>
      <c r="C4521" t="s">
        <v>16</v>
      </c>
      <c r="D4521" s="1">
        <v>45855</v>
      </c>
      <c r="E4521" t="s">
        <v>19</v>
      </c>
      <c r="F4521">
        <v>5400</v>
      </c>
      <c r="G4521">
        <v>283.39999999999998</v>
      </c>
      <c r="H4521">
        <v>283.39999999999998</v>
      </c>
      <c r="I4521">
        <v>283.39999999999998</v>
      </c>
      <c r="J4521">
        <v>283.39999999999998</v>
      </c>
      <c r="K4521">
        <v>300</v>
      </c>
      <c r="L4521">
        <v>1</v>
      </c>
      <c r="M4521" t="s">
        <v>155</v>
      </c>
      <c r="N4521">
        <v>5.68</v>
      </c>
      <c r="O4521">
        <v>2</v>
      </c>
    </row>
    <row r="4522" spans="1:15" x14ac:dyDescent="0.2">
      <c r="A4522" s="6">
        <v>45811</v>
      </c>
      <c r="B4522" t="s">
        <v>15</v>
      </c>
      <c r="C4522" t="s">
        <v>16</v>
      </c>
      <c r="D4522" s="1">
        <v>45855</v>
      </c>
      <c r="E4522" t="s">
        <v>19</v>
      </c>
      <c r="F4522">
        <v>4600</v>
      </c>
      <c r="J4522">
        <v>12.2</v>
      </c>
      <c r="K4522">
        <v>18.600000000000001</v>
      </c>
      <c r="L4522">
        <v>0</v>
      </c>
      <c r="M4522" t="s">
        <v>18</v>
      </c>
      <c r="N4522">
        <v>0</v>
      </c>
      <c r="O4522">
        <v>0</v>
      </c>
    </row>
    <row r="4523" spans="1:15" x14ac:dyDescent="0.2">
      <c r="A4523" s="6">
        <v>45811</v>
      </c>
      <c r="B4523" t="s">
        <v>15</v>
      </c>
      <c r="C4523" t="s">
        <v>16</v>
      </c>
      <c r="D4523" s="1">
        <v>45855</v>
      </c>
      <c r="E4523" t="s">
        <v>19</v>
      </c>
      <c r="F4523">
        <v>5300</v>
      </c>
      <c r="G4523">
        <v>240</v>
      </c>
      <c r="H4523">
        <v>240</v>
      </c>
      <c r="I4523">
        <v>200.9</v>
      </c>
      <c r="J4523">
        <v>207</v>
      </c>
      <c r="K4523">
        <v>246.8</v>
      </c>
      <c r="L4523">
        <v>8</v>
      </c>
      <c r="M4523" t="s">
        <v>71</v>
      </c>
      <c r="N4523">
        <v>44.06</v>
      </c>
      <c r="O4523">
        <v>10</v>
      </c>
    </row>
    <row r="4524" spans="1:15" x14ac:dyDescent="0.2">
      <c r="A4524" s="6">
        <v>45811</v>
      </c>
      <c r="B4524" t="s">
        <v>15</v>
      </c>
      <c r="C4524" t="s">
        <v>16</v>
      </c>
      <c r="D4524" s="1">
        <v>45855</v>
      </c>
      <c r="E4524" t="s">
        <v>19</v>
      </c>
      <c r="F4524">
        <v>5050</v>
      </c>
      <c r="J4524">
        <v>80.5</v>
      </c>
      <c r="K4524">
        <v>105.7</v>
      </c>
      <c r="L4524">
        <v>0</v>
      </c>
      <c r="M4524" t="s">
        <v>18</v>
      </c>
      <c r="N4524">
        <v>0</v>
      </c>
      <c r="O4524">
        <v>0</v>
      </c>
    </row>
    <row r="4525" spans="1:15" x14ac:dyDescent="0.2">
      <c r="A4525" s="6">
        <v>45811</v>
      </c>
      <c r="B4525" t="s">
        <v>15</v>
      </c>
      <c r="C4525" t="s">
        <v>16</v>
      </c>
      <c r="D4525" s="1">
        <v>45855</v>
      </c>
      <c r="E4525" t="s">
        <v>19</v>
      </c>
      <c r="F4525">
        <v>5900</v>
      </c>
      <c r="J4525">
        <v>559.20000000000005</v>
      </c>
      <c r="K4525">
        <v>627.79999999999995</v>
      </c>
      <c r="L4525">
        <v>0</v>
      </c>
      <c r="M4525" t="s">
        <v>18</v>
      </c>
      <c r="N4525">
        <v>0</v>
      </c>
      <c r="O4525">
        <v>0</v>
      </c>
    </row>
    <row r="4526" spans="1:15" x14ac:dyDescent="0.2">
      <c r="A4526" s="6">
        <v>45811</v>
      </c>
      <c r="B4526" t="s">
        <v>15</v>
      </c>
      <c r="C4526" t="s">
        <v>16</v>
      </c>
      <c r="D4526" s="1">
        <v>45855</v>
      </c>
      <c r="E4526" t="s">
        <v>19</v>
      </c>
      <c r="F4526">
        <v>6400</v>
      </c>
      <c r="J4526">
        <v>1008.2</v>
      </c>
      <c r="K4526">
        <v>1085.9000000000001</v>
      </c>
      <c r="L4526">
        <v>0</v>
      </c>
      <c r="M4526" t="s">
        <v>18</v>
      </c>
      <c r="N4526">
        <v>0</v>
      </c>
      <c r="O4526">
        <v>0</v>
      </c>
    </row>
    <row r="4527" spans="1:15" x14ac:dyDescent="0.2">
      <c r="A4527" s="6">
        <v>45811</v>
      </c>
      <c r="B4527" t="s">
        <v>15</v>
      </c>
      <c r="C4527" t="s">
        <v>16</v>
      </c>
      <c r="D4527" s="1">
        <v>45855</v>
      </c>
      <c r="E4527" t="s">
        <v>17</v>
      </c>
      <c r="F4527">
        <v>5750</v>
      </c>
      <c r="J4527">
        <v>89.3</v>
      </c>
      <c r="K4527">
        <v>72.3</v>
      </c>
      <c r="L4527">
        <v>0</v>
      </c>
      <c r="M4527" t="s">
        <v>18</v>
      </c>
      <c r="N4527">
        <v>0</v>
      </c>
      <c r="O4527">
        <v>0</v>
      </c>
    </row>
    <row r="4528" spans="1:15" x14ac:dyDescent="0.2">
      <c r="A4528" s="6">
        <v>45811</v>
      </c>
      <c r="B4528" t="s">
        <v>15</v>
      </c>
      <c r="C4528" t="s">
        <v>16</v>
      </c>
      <c r="D4528" s="1">
        <v>45855</v>
      </c>
      <c r="E4528" t="s">
        <v>19</v>
      </c>
      <c r="F4528">
        <v>4950</v>
      </c>
      <c r="J4528">
        <v>56.6</v>
      </c>
      <c r="K4528">
        <v>76.400000000000006</v>
      </c>
      <c r="L4528">
        <v>0</v>
      </c>
      <c r="M4528" t="s">
        <v>18</v>
      </c>
      <c r="N4528">
        <v>0</v>
      </c>
      <c r="O4528">
        <v>0</v>
      </c>
    </row>
    <row r="4529" spans="1:15" x14ac:dyDescent="0.2">
      <c r="A4529" s="6">
        <v>45811</v>
      </c>
      <c r="B4529" t="s">
        <v>15</v>
      </c>
      <c r="C4529" t="s">
        <v>16</v>
      </c>
      <c r="D4529" s="1">
        <v>45855</v>
      </c>
      <c r="E4529" t="s">
        <v>17</v>
      </c>
      <c r="F4529">
        <v>6400</v>
      </c>
      <c r="J4529">
        <v>10.9</v>
      </c>
      <c r="K4529">
        <v>8.4</v>
      </c>
      <c r="L4529">
        <v>0</v>
      </c>
      <c r="M4529" t="s">
        <v>18</v>
      </c>
      <c r="N4529">
        <v>0</v>
      </c>
      <c r="O4529">
        <v>0</v>
      </c>
    </row>
    <row r="4530" spans="1:15" x14ac:dyDescent="0.2">
      <c r="A4530" s="6">
        <v>45811</v>
      </c>
      <c r="B4530" t="s">
        <v>15</v>
      </c>
      <c r="C4530" t="s">
        <v>16</v>
      </c>
      <c r="D4530" s="1">
        <v>45855</v>
      </c>
      <c r="E4530" t="s">
        <v>17</v>
      </c>
      <c r="F4530">
        <v>6600</v>
      </c>
      <c r="J4530">
        <v>5.0999999999999996</v>
      </c>
      <c r="K4530">
        <v>3.9</v>
      </c>
      <c r="L4530">
        <v>0</v>
      </c>
      <c r="M4530" t="s">
        <v>18</v>
      </c>
      <c r="N4530">
        <v>0</v>
      </c>
      <c r="O4530">
        <v>0</v>
      </c>
    </row>
    <row r="4531" spans="1:15" x14ac:dyDescent="0.2">
      <c r="A4531" s="6">
        <v>45811</v>
      </c>
      <c r="B4531" t="s">
        <v>15</v>
      </c>
      <c r="C4531" t="s">
        <v>16</v>
      </c>
      <c r="D4531" s="1">
        <v>45855</v>
      </c>
      <c r="E4531" t="s">
        <v>17</v>
      </c>
      <c r="F4531">
        <v>3850</v>
      </c>
      <c r="J4531">
        <v>1533.2</v>
      </c>
      <c r="K4531">
        <v>1452.6</v>
      </c>
      <c r="L4531">
        <v>0</v>
      </c>
      <c r="M4531" t="s">
        <v>18</v>
      </c>
      <c r="N4531">
        <v>0</v>
      </c>
      <c r="O4531">
        <v>0</v>
      </c>
    </row>
    <row r="4532" spans="1:15" x14ac:dyDescent="0.2">
      <c r="A4532" s="6">
        <v>45811</v>
      </c>
      <c r="B4532" t="s">
        <v>15</v>
      </c>
      <c r="C4532" t="s">
        <v>16</v>
      </c>
      <c r="D4532" s="1">
        <v>45855</v>
      </c>
      <c r="E4532" t="s">
        <v>19</v>
      </c>
      <c r="F4532">
        <v>3850</v>
      </c>
      <c r="J4532">
        <v>0.1</v>
      </c>
      <c r="K4532">
        <v>0.1</v>
      </c>
      <c r="L4532">
        <v>0</v>
      </c>
      <c r="M4532" t="s">
        <v>18</v>
      </c>
      <c r="N4532">
        <v>0</v>
      </c>
      <c r="O4532">
        <v>0</v>
      </c>
    </row>
    <row r="4533" spans="1:15" x14ac:dyDescent="0.2">
      <c r="A4533" s="6">
        <v>45811</v>
      </c>
      <c r="B4533" t="s">
        <v>15</v>
      </c>
      <c r="C4533" t="s">
        <v>16</v>
      </c>
      <c r="D4533" s="1">
        <v>45855</v>
      </c>
      <c r="E4533" t="s">
        <v>17</v>
      </c>
      <c r="F4533">
        <v>5650</v>
      </c>
      <c r="J4533">
        <v>116.7</v>
      </c>
      <c r="K4533">
        <v>95.3</v>
      </c>
      <c r="L4533">
        <v>0</v>
      </c>
      <c r="M4533" t="s">
        <v>18</v>
      </c>
      <c r="N4533">
        <v>0</v>
      </c>
      <c r="O4533">
        <v>0</v>
      </c>
    </row>
    <row r="4534" spans="1:15" x14ac:dyDescent="0.2">
      <c r="A4534" s="6">
        <v>45811</v>
      </c>
      <c r="B4534" t="s">
        <v>15</v>
      </c>
      <c r="C4534" t="s">
        <v>16</v>
      </c>
      <c r="D4534" s="1">
        <v>45855</v>
      </c>
      <c r="E4534" t="s">
        <v>19</v>
      </c>
      <c r="F4534">
        <v>5950</v>
      </c>
      <c r="J4534">
        <v>600.70000000000005</v>
      </c>
      <c r="K4534">
        <v>670.7</v>
      </c>
      <c r="L4534">
        <v>0</v>
      </c>
      <c r="M4534" t="s">
        <v>18</v>
      </c>
      <c r="N4534">
        <v>0</v>
      </c>
      <c r="O4534">
        <v>0</v>
      </c>
    </row>
    <row r="4535" spans="1:15" x14ac:dyDescent="0.2">
      <c r="A4535" s="6">
        <v>45811</v>
      </c>
      <c r="B4535" t="s">
        <v>15</v>
      </c>
      <c r="C4535" t="s">
        <v>16</v>
      </c>
      <c r="D4535" s="1">
        <v>45855</v>
      </c>
      <c r="E4535" t="s">
        <v>17</v>
      </c>
      <c r="F4535">
        <v>6300</v>
      </c>
      <c r="J4535">
        <v>15.7</v>
      </c>
      <c r="K4535">
        <v>12.2</v>
      </c>
      <c r="L4535">
        <v>0</v>
      </c>
      <c r="M4535" t="s">
        <v>18</v>
      </c>
      <c r="N4535">
        <v>0</v>
      </c>
      <c r="O4535">
        <v>0</v>
      </c>
    </row>
    <row r="4536" spans="1:15" x14ac:dyDescent="0.2">
      <c r="A4536" s="6">
        <v>45811</v>
      </c>
      <c r="B4536" t="s">
        <v>15</v>
      </c>
      <c r="C4536" t="s">
        <v>16</v>
      </c>
      <c r="D4536" s="1">
        <v>45855</v>
      </c>
      <c r="E4536" t="s">
        <v>17</v>
      </c>
      <c r="F4536">
        <v>5500</v>
      </c>
      <c r="G4536">
        <v>170</v>
      </c>
      <c r="H4536">
        <v>215</v>
      </c>
      <c r="I4536">
        <v>170</v>
      </c>
      <c r="J4536">
        <v>198</v>
      </c>
      <c r="K4536">
        <v>191</v>
      </c>
      <c r="L4536">
        <v>4</v>
      </c>
      <c r="M4536" t="s">
        <v>78</v>
      </c>
      <c r="N4536">
        <v>22.79</v>
      </c>
      <c r="O4536">
        <v>2</v>
      </c>
    </row>
    <row r="4537" spans="1:15" x14ac:dyDescent="0.2">
      <c r="A4537" s="6">
        <v>45811</v>
      </c>
      <c r="B4537" t="s">
        <v>15</v>
      </c>
      <c r="C4537" t="s">
        <v>16</v>
      </c>
      <c r="D4537" s="1">
        <v>45855</v>
      </c>
      <c r="E4537" t="s">
        <v>17</v>
      </c>
      <c r="F4537">
        <v>6000</v>
      </c>
      <c r="G4537">
        <v>55</v>
      </c>
      <c r="H4537">
        <v>81.900000000000006</v>
      </c>
      <c r="I4537">
        <v>55</v>
      </c>
      <c r="J4537">
        <v>69.599999999999994</v>
      </c>
      <c r="K4537">
        <v>58.5</v>
      </c>
      <c r="L4537">
        <v>10</v>
      </c>
      <c r="M4537" t="s">
        <v>69</v>
      </c>
      <c r="N4537">
        <v>60.7</v>
      </c>
      <c r="O4537">
        <v>12</v>
      </c>
    </row>
    <row r="4538" spans="1:15" x14ac:dyDescent="0.2">
      <c r="A4538" s="6">
        <v>45811</v>
      </c>
      <c r="B4538" t="s">
        <v>15</v>
      </c>
      <c r="C4538" t="s">
        <v>16</v>
      </c>
      <c r="D4538" s="1">
        <v>45855</v>
      </c>
      <c r="E4538" t="s">
        <v>17</v>
      </c>
      <c r="F4538">
        <v>4850</v>
      </c>
      <c r="J4538">
        <v>579.20000000000005</v>
      </c>
      <c r="K4538">
        <v>513.79999999999995</v>
      </c>
      <c r="L4538">
        <v>0</v>
      </c>
      <c r="M4538" t="s">
        <v>18</v>
      </c>
      <c r="N4538">
        <v>0</v>
      </c>
      <c r="O4538">
        <v>0</v>
      </c>
    </row>
    <row r="4539" spans="1:15" x14ac:dyDescent="0.2">
      <c r="A4539" s="6">
        <v>45811</v>
      </c>
      <c r="B4539" t="s">
        <v>15</v>
      </c>
      <c r="C4539" t="s">
        <v>16</v>
      </c>
      <c r="D4539" s="1">
        <v>45855</v>
      </c>
      <c r="E4539" t="s">
        <v>17</v>
      </c>
      <c r="F4539">
        <v>4550</v>
      </c>
      <c r="J4539">
        <v>847.8</v>
      </c>
      <c r="K4539">
        <v>772.5</v>
      </c>
      <c r="L4539">
        <v>0</v>
      </c>
      <c r="M4539" t="s">
        <v>18</v>
      </c>
      <c r="N4539">
        <v>0</v>
      </c>
      <c r="O4539">
        <v>0</v>
      </c>
    </row>
    <row r="4540" spans="1:15" x14ac:dyDescent="0.2">
      <c r="A4540" s="6">
        <v>45811</v>
      </c>
      <c r="B4540" t="s">
        <v>15</v>
      </c>
      <c r="C4540" t="s">
        <v>16</v>
      </c>
      <c r="D4540" s="1">
        <v>45855</v>
      </c>
      <c r="E4540" t="s">
        <v>17</v>
      </c>
      <c r="F4540">
        <v>5800</v>
      </c>
      <c r="G4540">
        <v>30.6</v>
      </c>
      <c r="H4540">
        <v>125</v>
      </c>
      <c r="I4540">
        <v>30.6</v>
      </c>
      <c r="J4540">
        <v>100.7</v>
      </c>
      <c r="K4540">
        <v>62.6</v>
      </c>
      <c r="L4540">
        <v>4</v>
      </c>
      <c r="M4540" t="s">
        <v>78</v>
      </c>
      <c r="N4540">
        <v>23.6</v>
      </c>
      <c r="O4540">
        <v>2</v>
      </c>
    </row>
    <row r="4541" spans="1:15" x14ac:dyDescent="0.2">
      <c r="A4541" s="6">
        <v>45811</v>
      </c>
      <c r="B4541" t="s">
        <v>15</v>
      </c>
      <c r="C4541" t="s">
        <v>16</v>
      </c>
      <c r="D4541" s="1">
        <v>45855</v>
      </c>
      <c r="E4541" t="s">
        <v>19</v>
      </c>
      <c r="F4541">
        <v>5000</v>
      </c>
      <c r="G4541">
        <v>125.1</v>
      </c>
      <c r="H4541">
        <v>129.1</v>
      </c>
      <c r="I4541">
        <v>96.2</v>
      </c>
      <c r="J4541">
        <v>113.8</v>
      </c>
      <c r="K4541">
        <v>142.6</v>
      </c>
      <c r="L4541">
        <v>59</v>
      </c>
      <c r="M4541" t="s">
        <v>1451</v>
      </c>
      <c r="N4541">
        <v>302.2</v>
      </c>
      <c r="O4541">
        <v>8</v>
      </c>
    </row>
    <row r="4542" spans="1:15" x14ac:dyDescent="0.2">
      <c r="A4542" s="6">
        <v>45811</v>
      </c>
      <c r="B4542" t="s">
        <v>15</v>
      </c>
      <c r="C4542" t="s">
        <v>16</v>
      </c>
      <c r="D4542" s="1">
        <v>45855</v>
      </c>
      <c r="E4542" t="s">
        <v>17</v>
      </c>
      <c r="F4542">
        <v>4000</v>
      </c>
      <c r="J4542">
        <v>1384.5</v>
      </c>
      <c r="K4542">
        <v>1304.0999999999999</v>
      </c>
      <c r="L4542">
        <v>0</v>
      </c>
      <c r="M4542" t="s">
        <v>18</v>
      </c>
      <c r="N4542">
        <v>0</v>
      </c>
      <c r="O4542">
        <v>0</v>
      </c>
    </row>
    <row r="4543" spans="1:15" x14ac:dyDescent="0.2">
      <c r="A4543" s="6">
        <v>45811</v>
      </c>
      <c r="B4543" t="s">
        <v>15</v>
      </c>
      <c r="C4543" t="s">
        <v>16</v>
      </c>
      <c r="D4543" s="1">
        <v>45855</v>
      </c>
      <c r="E4543" t="s">
        <v>17</v>
      </c>
      <c r="F4543">
        <v>4250</v>
      </c>
      <c r="J4543">
        <v>1137.5999999999999</v>
      </c>
      <c r="K4543">
        <v>1058.2</v>
      </c>
      <c r="L4543">
        <v>0</v>
      </c>
      <c r="M4543" t="s">
        <v>18</v>
      </c>
      <c r="N4543">
        <v>0</v>
      </c>
      <c r="O4543">
        <v>0</v>
      </c>
    </row>
    <row r="4544" spans="1:15" x14ac:dyDescent="0.2">
      <c r="A4544" s="6">
        <v>45811</v>
      </c>
      <c r="B4544" t="s">
        <v>15</v>
      </c>
      <c r="C4544" t="s">
        <v>16</v>
      </c>
      <c r="D4544" s="1">
        <v>45855</v>
      </c>
      <c r="E4544" t="s">
        <v>19</v>
      </c>
      <c r="F4544">
        <v>4100</v>
      </c>
      <c r="J4544">
        <v>0.5</v>
      </c>
      <c r="K4544">
        <v>0.9</v>
      </c>
      <c r="L4544">
        <v>0</v>
      </c>
      <c r="M4544" t="s">
        <v>18</v>
      </c>
      <c r="N4544">
        <v>0</v>
      </c>
      <c r="O4544">
        <v>0</v>
      </c>
    </row>
    <row r="4545" spans="1:15" x14ac:dyDescent="0.2">
      <c r="A4545" s="6">
        <v>45811</v>
      </c>
      <c r="B4545" t="s">
        <v>15</v>
      </c>
      <c r="C4545" t="s">
        <v>16</v>
      </c>
      <c r="D4545" s="1">
        <v>45855</v>
      </c>
      <c r="E4545" t="s">
        <v>17</v>
      </c>
      <c r="F4545">
        <v>6450</v>
      </c>
      <c r="J4545">
        <v>9.1</v>
      </c>
      <c r="K4545">
        <v>7</v>
      </c>
      <c r="L4545">
        <v>0</v>
      </c>
      <c r="M4545" t="s">
        <v>18</v>
      </c>
      <c r="N4545">
        <v>0</v>
      </c>
      <c r="O4545">
        <v>0</v>
      </c>
    </row>
    <row r="4546" spans="1:15" x14ac:dyDescent="0.2">
      <c r="A4546" s="6">
        <v>45811</v>
      </c>
      <c r="B4546" t="s">
        <v>15</v>
      </c>
      <c r="C4546" t="s">
        <v>16</v>
      </c>
      <c r="D4546" s="1">
        <v>45855</v>
      </c>
      <c r="E4546" t="s">
        <v>19</v>
      </c>
      <c r="F4546">
        <v>5350</v>
      </c>
      <c r="J4546">
        <v>193</v>
      </c>
      <c r="K4546">
        <v>308.7</v>
      </c>
      <c r="L4546">
        <v>0</v>
      </c>
      <c r="M4546" t="s">
        <v>18</v>
      </c>
      <c r="N4546">
        <v>0</v>
      </c>
      <c r="O4546">
        <v>1</v>
      </c>
    </row>
    <row r="4547" spans="1:15" x14ac:dyDescent="0.2">
      <c r="A4547" s="6">
        <v>45811</v>
      </c>
      <c r="B4547" t="s">
        <v>15</v>
      </c>
      <c r="C4547" t="s">
        <v>16</v>
      </c>
      <c r="D4547" s="1">
        <v>45855</v>
      </c>
      <c r="E4547" t="s">
        <v>19</v>
      </c>
      <c r="F4547">
        <v>4400</v>
      </c>
      <c r="J4547">
        <v>3.9</v>
      </c>
      <c r="K4547">
        <v>6.5</v>
      </c>
      <c r="L4547">
        <v>0</v>
      </c>
      <c r="M4547" t="s">
        <v>18</v>
      </c>
      <c r="N4547">
        <v>0</v>
      </c>
      <c r="O4547">
        <v>0</v>
      </c>
    </row>
    <row r="4548" spans="1:15" x14ac:dyDescent="0.2">
      <c r="A4548" s="6">
        <v>45811</v>
      </c>
      <c r="B4548" t="s">
        <v>15</v>
      </c>
      <c r="C4548" t="s">
        <v>16</v>
      </c>
      <c r="D4548" s="1">
        <v>45855</v>
      </c>
      <c r="E4548" t="s">
        <v>17</v>
      </c>
      <c r="F4548">
        <v>4150</v>
      </c>
      <c r="J4548">
        <v>1236.0999999999999</v>
      </c>
      <c r="K4548">
        <v>1156.2</v>
      </c>
      <c r="L4548">
        <v>0</v>
      </c>
      <c r="M4548" t="s">
        <v>18</v>
      </c>
      <c r="N4548">
        <v>0</v>
      </c>
      <c r="O4548">
        <v>0</v>
      </c>
    </row>
    <row r="4549" spans="1:15" x14ac:dyDescent="0.2">
      <c r="A4549" s="6">
        <v>45811</v>
      </c>
      <c r="B4549" t="s">
        <v>15</v>
      </c>
      <c r="C4549" t="s">
        <v>16</v>
      </c>
      <c r="D4549" s="1">
        <v>45855</v>
      </c>
      <c r="E4549" t="s">
        <v>19</v>
      </c>
      <c r="F4549">
        <v>4500</v>
      </c>
      <c r="G4549">
        <v>32.1</v>
      </c>
      <c r="H4549">
        <v>32.1</v>
      </c>
      <c r="I4549">
        <v>30.9</v>
      </c>
      <c r="J4549">
        <v>31.4</v>
      </c>
      <c r="K4549">
        <v>11.3</v>
      </c>
      <c r="L4549">
        <v>5</v>
      </c>
      <c r="M4549" t="s">
        <v>26</v>
      </c>
      <c r="N4549">
        <v>22.66</v>
      </c>
      <c r="O4549">
        <v>5</v>
      </c>
    </row>
    <row r="4550" spans="1:15" x14ac:dyDescent="0.2">
      <c r="A4550" s="6">
        <v>45811</v>
      </c>
      <c r="B4550" t="s">
        <v>15</v>
      </c>
      <c r="C4550" t="s">
        <v>16</v>
      </c>
      <c r="D4550" s="1">
        <v>45855</v>
      </c>
      <c r="E4550" t="s">
        <v>17</v>
      </c>
      <c r="F4550">
        <v>6350</v>
      </c>
      <c r="J4550">
        <v>13.1</v>
      </c>
      <c r="K4550">
        <v>10.199999999999999</v>
      </c>
      <c r="L4550">
        <v>0</v>
      </c>
      <c r="M4550" t="s">
        <v>18</v>
      </c>
      <c r="N4550">
        <v>0</v>
      </c>
      <c r="O4550">
        <v>0</v>
      </c>
    </row>
    <row r="4551" spans="1:15" x14ac:dyDescent="0.2">
      <c r="A4551" s="6">
        <v>45811</v>
      </c>
      <c r="B4551" t="s">
        <v>15</v>
      </c>
      <c r="C4551" t="s">
        <v>16</v>
      </c>
      <c r="D4551" s="1">
        <v>45855</v>
      </c>
      <c r="E4551" t="s">
        <v>17</v>
      </c>
      <c r="F4551">
        <v>5450</v>
      </c>
      <c r="G4551">
        <v>156.19999999999999</v>
      </c>
      <c r="H4551">
        <v>210</v>
      </c>
      <c r="I4551">
        <v>156.19999999999999</v>
      </c>
      <c r="J4551">
        <v>183.1</v>
      </c>
      <c r="K4551">
        <v>158.69999999999999</v>
      </c>
      <c r="L4551">
        <v>4</v>
      </c>
      <c r="M4551" t="s">
        <v>78</v>
      </c>
      <c r="N4551">
        <v>22.53</v>
      </c>
      <c r="O4551">
        <v>2</v>
      </c>
    </row>
    <row r="4552" spans="1:15" x14ac:dyDescent="0.2">
      <c r="A4552" s="6">
        <v>45811</v>
      </c>
      <c r="B4552" t="s">
        <v>15</v>
      </c>
      <c r="C4552" t="s">
        <v>16</v>
      </c>
      <c r="D4552" s="1">
        <v>45855</v>
      </c>
      <c r="E4552" t="s">
        <v>19</v>
      </c>
      <c r="F4552">
        <v>6550</v>
      </c>
      <c r="J4552">
        <v>1152.3</v>
      </c>
      <c r="K4552">
        <v>1231</v>
      </c>
      <c r="L4552">
        <v>0</v>
      </c>
      <c r="M4552" t="s">
        <v>18</v>
      </c>
      <c r="N4552">
        <v>0</v>
      </c>
      <c r="O4552">
        <v>0</v>
      </c>
    </row>
    <row r="4553" spans="1:15" x14ac:dyDescent="0.2">
      <c r="A4553" s="6">
        <v>45811</v>
      </c>
      <c r="B4553" t="s">
        <v>15</v>
      </c>
      <c r="C4553" t="s">
        <v>16</v>
      </c>
      <c r="D4553" s="1">
        <v>45855</v>
      </c>
      <c r="E4553" t="s">
        <v>19</v>
      </c>
      <c r="F4553">
        <v>5150</v>
      </c>
      <c r="J4553">
        <v>110.9</v>
      </c>
      <c r="K4553">
        <v>141.9</v>
      </c>
      <c r="L4553">
        <v>0</v>
      </c>
      <c r="M4553" t="s">
        <v>18</v>
      </c>
      <c r="N4553">
        <v>0</v>
      </c>
      <c r="O4553">
        <v>0</v>
      </c>
    </row>
    <row r="4554" spans="1:15" x14ac:dyDescent="0.2">
      <c r="A4554" s="6">
        <v>45811</v>
      </c>
      <c r="B4554" t="s">
        <v>15</v>
      </c>
      <c r="C4554" t="s">
        <v>16</v>
      </c>
      <c r="D4554" s="1">
        <v>45855</v>
      </c>
      <c r="E4554" t="s">
        <v>17</v>
      </c>
      <c r="F4554">
        <v>4600</v>
      </c>
      <c r="J4554">
        <v>801</v>
      </c>
      <c r="K4554">
        <v>726.9</v>
      </c>
      <c r="L4554">
        <v>0</v>
      </c>
      <c r="M4554" t="s">
        <v>18</v>
      </c>
      <c r="N4554">
        <v>0</v>
      </c>
      <c r="O4554">
        <v>0</v>
      </c>
    </row>
    <row r="4555" spans="1:15" x14ac:dyDescent="0.2">
      <c r="A4555" s="6">
        <v>45811</v>
      </c>
      <c r="B4555" t="s">
        <v>15</v>
      </c>
      <c r="C4555" t="s">
        <v>16</v>
      </c>
      <c r="D4555" s="1">
        <v>45855</v>
      </c>
      <c r="E4555" t="s">
        <v>19</v>
      </c>
      <c r="F4555">
        <v>4650</v>
      </c>
      <c r="J4555">
        <v>15.6</v>
      </c>
      <c r="K4555">
        <v>23.4</v>
      </c>
      <c r="L4555">
        <v>0</v>
      </c>
      <c r="M4555" t="s">
        <v>18</v>
      </c>
      <c r="N4555">
        <v>0</v>
      </c>
      <c r="O4555">
        <v>0</v>
      </c>
    </row>
    <row r="4556" spans="1:15" x14ac:dyDescent="0.2">
      <c r="A4556" s="6">
        <v>45811</v>
      </c>
      <c r="B4556" t="s">
        <v>15</v>
      </c>
      <c r="C4556" t="s">
        <v>16</v>
      </c>
      <c r="D4556" s="1">
        <v>45855</v>
      </c>
      <c r="E4556" t="s">
        <v>17</v>
      </c>
      <c r="F4556">
        <v>5900</v>
      </c>
      <c r="J4556">
        <v>58.1</v>
      </c>
      <c r="K4556">
        <v>46.4</v>
      </c>
      <c r="L4556">
        <v>0</v>
      </c>
      <c r="M4556" t="s">
        <v>18</v>
      </c>
      <c r="N4556">
        <v>0</v>
      </c>
      <c r="O4556">
        <v>0</v>
      </c>
    </row>
    <row r="4557" spans="1:15" x14ac:dyDescent="0.2">
      <c r="A4557" s="6">
        <v>45811</v>
      </c>
      <c r="B4557" t="s">
        <v>15</v>
      </c>
      <c r="C4557" t="s">
        <v>16</v>
      </c>
      <c r="D4557" s="1">
        <v>45855</v>
      </c>
      <c r="E4557" t="s">
        <v>19</v>
      </c>
      <c r="F4557">
        <v>3900</v>
      </c>
      <c r="J4557">
        <v>0.1</v>
      </c>
      <c r="K4557">
        <v>0.2</v>
      </c>
      <c r="L4557">
        <v>0</v>
      </c>
      <c r="M4557" t="s">
        <v>18</v>
      </c>
      <c r="N4557">
        <v>0</v>
      </c>
      <c r="O4557">
        <v>0</v>
      </c>
    </row>
    <row r="4558" spans="1:15" x14ac:dyDescent="0.2">
      <c r="A4558" s="6">
        <v>45811</v>
      </c>
      <c r="B4558" t="s">
        <v>15</v>
      </c>
      <c r="C4558" t="s">
        <v>16</v>
      </c>
      <c r="D4558" s="1">
        <v>45855</v>
      </c>
      <c r="E4558" t="s">
        <v>17</v>
      </c>
      <c r="F4558">
        <v>6250</v>
      </c>
      <c r="J4558">
        <v>18.7</v>
      </c>
      <c r="K4558">
        <v>14.6</v>
      </c>
      <c r="L4558">
        <v>0</v>
      </c>
      <c r="M4558" t="s">
        <v>18</v>
      </c>
      <c r="N4558">
        <v>0</v>
      </c>
      <c r="O4558">
        <v>0</v>
      </c>
    </row>
    <row r="4559" spans="1:15" x14ac:dyDescent="0.2">
      <c r="A4559" s="6">
        <v>45811</v>
      </c>
      <c r="B4559" t="s">
        <v>15</v>
      </c>
      <c r="C4559" t="s">
        <v>16</v>
      </c>
      <c r="D4559" s="1">
        <v>45855</v>
      </c>
      <c r="E4559" t="s">
        <v>17</v>
      </c>
      <c r="F4559">
        <v>5050</v>
      </c>
      <c r="J4559">
        <v>422.9</v>
      </c>
      <c r="K4559">
        <v>367.6</v>
      </c>
      <c r="L4559">
        <v>0</v>
      </c>
      <c r="M4559" t="s">
        <v>18</v>
      </c>
      <c r="N4559">
        <v>0</v>
      </c>
      <c r="O4559">
        <v>0</v>
      </c>
    </row>
    <row r="4560" spans="1:15" x14ac:dyDescent="0.2">
      <c r="A4560" s="6">
        <v>45811</v>
      </c>
      <c r="B4560" t="s">
        <v>15</v>
      </c>
      <c r="C4560" t="s">
        <v>16</v>
      </c>
      <c r="D4560" s="1">
        <v>45855</v>
      </c>
      <c r="E4560" t="s">
        <v>17</v>
      </c>
      <c r="F4560">
        <v>6200</v>
      </c>
      <c r="J4560">
        <v>22.3</v>
      </c>
      <c r="K4560">
        <v>17.399999999999999</v>
      </c>
      <c r="L4560">
        <v>0</v>
      </c>
      <c r="M4560" t="s">
        <v>18</v>
      </c>
      <c r="N4560">
        <v>0</v>
      </c>
      <c r="O4560">
        <v>0</v>
      </c>
    </row>
    <row r="4561" spans="1:15" x14ac:dyDescent="0.2">
      <c r="A4561" s="6">
        <v>45811</v>
      </c>
      <c r="B4561" t="s">
        <v>15</v>
      </c>
      <c r="C4561" t="s">
        <v>16</v>
      </c>
      <c r="D4561" s="1">
        <v>45855</v>
      </c>
      <c r="E4561" t="s">
        <v>19</v>
      </c>
      <c r="F4561">
        <v>4050</v>
      </c>
      <c r="J4561">
        <v>0.3</v>
      </c>
      <c r="K4561">
        <v>0.6</v>
      </c>
      <c r="L4561">
        <v>0</v>
      </c>
      <c r="M4561" t="s">
        <v>18</v>
      </c>
      <c r="N4561">
        <v>0</v>
      </c>
      <c r="O4561">
        <v>0</v>
      </c>
    </row>
    <row r="4562" spans="1:15" x14ac:dyDescent="0.2">
      <c r="A4562" s="6">
        <v>45811</v>
      </c>
      <c r="B4562" t="s">
        <v>15</v>
      </c>
      <c r="C4562" t="s">
        <v>16</v>
      </c>
      <c r="D4562" s="1">
        <v>45855</v>
      </c>
      <c r="E4562" t="s">
        <v>19</v>
      </c>
      <c r="F4562">
        <v>5200</v>
      </c>
      <c r="G4562">
        <v>170</v>
      </c>
      <c r="H4562">
        <v>170</v>
      </c>
      <c r="I4562">
        <v>159</v>
      </c>
      <c r="J4562">
        <v>161.4</v>
      </c>
      <c r="K4562">
        <v>162.6</v>
      </c>
      <c r="L4562">
        <v>6</v>
      </c>
      <c r="M4562" t="s">
        <v>132</v>
      </c>
      <c r="N4562">
        <v>32.17</v>
      </c>
      <c r="O4562">
        <v>8</v>
      </c>
    </row>
    <row r="4563" spans="1:15" x14ac:dyDescent="0.2">
      <c r="A4563" s="6">
        <v>45811</v>
      </c>
      <c r="B4563" t="s">
        <v>15</v>
      </c>
      <c r="C4563" t="s">
        <v>16</v>
      </c>
      <c r="D4563" s="1">
        <v>45855</v>
      </c>
      <c r="E4563" t="s">
        <v>19</v>
      </c>
      <c r="F4563">
        <v>6250</v>
      </c>
      <c r="J4563">
        <v>867.2</v>
      </c>
      <c r="K4563">
        <v>943.2</v>
      </c>
      <c r="L4563">
        <v>0</v>
      </c>
      <c r="M4563" t="s">
        <v>18</v>
      </c>
      <c r="N4563">
        <v>0</v>
      </c>
      <c r="O4563">
        <v>0</v>
      </c>
    </row>
    <row r="4564" spans="1:15" x14ac:dyDescent="0.2">
      <c r="A4564" s="6">
        <v>45811</v>
      </c>
      <c r="B4564" t="s">
        <v>15</v>
      </c>
      <c r="C4564" t="s">
        <v>16</v>
      </c>
      <c r="D4564" s="1">
        <v>45855</v>
      </c>
      <c r="E4564" t="s">
        <v>17</v>
      </c>
      <c r="F4564">
        <v>3950</v>
      </c>
      <c r="J4564">
        <v>1434</v>
      </c>
      <c r="K4564">
        <v>1353.5</v>
      </c>
      <c r="L4564">
        <v>0</v>
      </c>
      <c r="M4564" t="s">
        <v>18</v>
      </c>
      <c r="N4564">
        <v>0</v>
      </c>
      <c r="O4564">
        <v>0</v>
      </c>
    </row>
    <row r="4565" spans="1:15" x14ac:dyDescent="0.2">
      <c r="A4565" s="6">
        <v>45811</v>
      </c>
      <c r="B4565" t="s">
        <v>15</v>
      </c>
      <c r="C4565" t="s">
        <v>16</v>
      </c>
      <c r="D4565" s="1">
        <v>45855</v>
      </c>
      <c r="E4565" t="s">
        <v>19</v>
      </c>
      <c r="F4565">
        <v>6350</v>
      </c>
      <c r="J4565">
        <v>960.8</v>
      </c>
      <c r="K4565">
        <v>1038</v>
      </c>
      <c r="L4565">
        <v>0</v>
      </c>
      <c r="M4565" t="s">
        <v>18</v>
      </c>
      <c r="N4565">
        <v>0</v>
      </c>
      <c r="O4565">
        <v>0</v>
      </c>
    </row>
    <row r="4566" spans="1:15" x14ac:dyDescent="0.2">
      <c r="A4566" s="6">
        <v>45811</v>
      </c>
      <c r="B4566" t="s">
        <v>15</v>
      </c>
      <c r="C4566" t="s">
        <v>16</v>
      </c>
      <c r="D4566" s="1">
        <v>45855</v>
      </c>
      <c r="E4566" t="s">
        <v>19</v>
      </c>
      <c r="F4566">
        <v>5650</v>
      </c>
      <c r="J4566">
        <v>369.7</v>
      </c>
      <c r="K4566">
        <v>428.7</v>
      </c>
      <c r="L4566">
        <v>0</v>
      </c>
      <c r="M4566" t="s">
        <v>18</v>
      </c>
      <c r="N4566">
        <v>0</v>
      </c>
      <c r="O4566">
        <v>0</v>
      </c>
    </row>
    <row r="4567" spans="1:15" x14ac:dyDescent="0.2">
      <c r="A4567" s="6">
        <v>45811</v>
      </c>
      <c r="B4567" t="s">
        <v>15</v>
      </c>
      <c r="C4567" t="s">
        <v>16</v>
      </c>
      <c r="D4567" s="1">
        <v>45855</v>
      </c>
      <c r="E4567" t="s">
        <v>19</v>
      </c>
      <c r="F4567">
        <v>5600</v>
      </c>
      <c r="J4567">
        <v>336.1</v>
      </c>
      <c r="K4567">
        <v>392.6</v>
      </c>
      <c r="L4567">
        <v>0</v>
      </c>
      <c r="M4567" t="s">
        <v>18</v>
      </c>
      <c r="N4567">
        <v>0</v>
      </c>
      <c r="O4567">
        <v>0</v>
      </c>
    </row>
    <row r="4568" spans="1:15" x14ac:dyDescent="0.2">
      <c r="A4568" s="6">
        <v>45811</v>
      </c>
      <c r="B4568" t="s">
        <v>15</v>
      </c>
      <c r="C4568" t="s">
        <v>16</v>
      </c>
      <c r="D4568" s="1">
        <v>45855</v>
      </c>
      <c r="E4568" t="s">
        <v>19</v>
      </c>
      <c r="F4568">
        <v>4000</v>
      </c>
      <c r="J4568">
        <v>0.2</v>
      </c>
      <c r="K4568">
        <v>0.4</v>
      </c>
      <c r="L4568">
        <v>0</v>
      </c>
      <c r="M4568" t="s">
        <v>18</v>
      </c>
      <c r="N4568">
        <v>0</v>
      </c>
      <c r="O4568">
        <v>0</v>
      </c>
    </row>
    <row r="4569" spans="1:15" x14ac:dyDescent="0.2">
      <c r="A4569" s="6">
        <v>45811</v>
      </c>
      <c r="B4569" t="s">
        <v>15</v>
      </c>
      <c r="C4569" t="s">
        <v>16</v>
      </c>
      <c r="D4569" s="1">
        <v>45855</v>
      </c>
      <c r="E4569" t="s">
        <v>19</v>
      </c>
      <c r="F4569">
        <v>4850</v>
      </c>
      <c r="J4569">
        <v>38.4</v>
      </c>
      <c r="K4569">
        <v>53.5</v>
      </c>
      <c r="L4569">
        <v>0</v>
      </c>
      <c r="M4569" t="s">
        <v>18</v>
      </c>
      <c r="N4569">
        <v>0</v>
      </c>
      <c r="O4569">
        <v>0</v>
      </c>
    </row>
    <row r="4570" spans="1:15" x14ac:dyDescent="0.2">
      <c r="A4570" s="6">
        <v>45811</v>
      </c>
      <c r="B4570" t="s">
        <v>15</v>
      </c>
      <c r="C4570" t="s">
        <v>16</v>
      </c>
      <c r="D4570" s="1">
        <v>45855</v>
      </c>
      <c r="E4570" t="s">
        <v>17</v>
      </c>
      <c r="F4570">
        <v>6100</v>
      </c>
      <c r="J4570">
        <v>31.1</v>
      </c>
      <c r="K4570">
        <v>24.4</v>
      </c>
      <c r="L4570">
        <v>0</v>
      </c>
      <c r="M4570" t="s">
        <v>18</v>
      </c>
      <c r="N4570">
        <v>0</v>
      </c>
      <c r="O4570">
        <v>0</v>
      </c>
    </row>
    <row r="4571" spans="1:15" x14ac:dyDescent="0.2">
      <c r="A4571" s="6">
        <v>45811</v>
      </c>
      <c r="B4571" t="s">
        <v>15</v>
      </c>
      <c r="C4571" t="s">
        <v>16</v>
      </c>
      <c r="D4571" s="1">
        <v>45855</v>
      </c>
      <c r="E4571" t="s">
        <v>17</v>
      </c>
      <c r="F4571">
        <v>5350</v>
      </c>
      <c r="J4571">
        <v>237.6</v>
      </c>
      <c r="K4571">
        <v>270</v>
      </c>
      <c r="L4571">
        <v>0</v>
      </c>
      <c r="M4571" t="s">
        <v>18</v>
      </c>
      <c r="N4571">
        <v>0</v>
      </c>
      <c r="O4571">
        <v>1</v>
      </c>
    </row>
    <row r="4572" spans="1:15" x14ac:dyDescent="0.2">
      <c r="A4572" s="6">
        <v>45811</v>
      </c>
      <c r="B4572" t="s">
        <v>15</v>
      </c>
      <c r="C4572" t="s">
        <v>16</v>
      </c>
      <c r="D4572" s="1">
        <v>45855</v>
      </c>
      <c r="E4572" t="s">
        <v>17</v>
      </c>
      <c r="F4572">
        <v>3650</v>
      </c>
      <c r="J4572">
        <v>1731.6</v>
      </c>
      <c r="K4572">
        <v>1650.9</v>
      </c>
      <c r="L4572">
        <v>0</v>
      </c>
      <c r="M4572" t="s">
        <v>18</v>
      </c>
      <c r="N4572">
        <v>0</v>
      </c>
      <c r="O4572">
        <v>0</v>
      </c>
    </row>
    <row r="4573" spans="1:15" x14ac:dyDescent="0.2">
      <c r="A4573" s="6">
        <v>45811</v>
      </c>
      <c r="B4573" t="s">
        <v>15</v>
      </c>
      <c r="C4573" t="s">
        <v>16</v>
      </c>
      <c r="D4573" s="1">
        <v>45855</v>
      </c>
      <c r="E4573" t="s">
        <v>19</v>
      </c>
      <c r="F4573">
        <v>3650</v>
      </c>
      <c r="J4573">
        <v>0.1</v>
      </c>
      <c r="K4573">
        <v>0.1</v>
      </c>
      <c r="L4573">
        <v>0</v>
      </c>
      <c r="M4573" t="s">
        <v>18</v>
      </c>
      <c r="N4573">
        <v>0</v>
      </c>
      <c r="O4573">
        <v>0</v>
      </c>
    </row>
    <row r="4574" spans="1:15" x14ac:dyDescent="0.2">
      <c r="A4574" s="6">
        <v>45811</v>
      </c>
      <c r="B4574" t="s">
        <v>15</v>
      </c>
      <c r="C4574" t="s">
        <v>16</v>
      </c>
      <c r="D4574" s="1">
        <v>45855</v>
      </c>
      <c r="E4574" t="s">
        <v>17</v>
      </c>
      <c r="F4574">
        <v>3600</v>
      </c>
      <c r="J4574">
        <v>1781.2</v>
      </c>
      <c r="K4574">
        <v>1700.5</v>
      </c>
      <c r="L4574">
        <v>0</v>
      </c>
      <c r="M4574" t="s">
        <v>18</v>
      </c>
      <c r="N4574">
        <v>0</v>
      </c>
      <c r="O4574">
        <v>0</v>
      </c>
    </row>
    <row r="4575" spans="1:15" x14ac:dyDescent="0.2">
      <c r="A4575" s="6">
        <v>45811</v>
      </c>
      <c r="B4575" t="s">
        <v>15</v>
      </c>
      <c r="C4575" t="s">
        <v>16</v>
      </c>
      <c r="D4575" s="1">
        <v>45855</v>
      </c>
      <c r="E4575" t="s">
        <v>19</v>
      </c>
      <c r="F4575">
        <v>5800</v>
      </c>
      <c r="J4575">
        <v>479.6</v>
      </c>
      <c r="K4575">
        <v>544.70000000000005</v>
      </c>
      <c r="L4575">
        <v>0</v>
      </c>
      <c r="M4575" t="s">
        <v>18</v>
      </c>
      <c r="N4575">
        <v>0</v>
      </c>
      <c r="O4575">
        <v>0</v>
      </c>
    </row>
    <row r="4576" spans="1:15" x14ac:dyDescent="0.2">
      <c r="A4576" s="6">
        <v>45811</v>
      </c>
      <c r="B4576" t="s">
        <v>15</v>
      </c>
      <c r="C4576" t="s">
        <v>16</v>
      </c>
      <c r="D4576" s="1">
        <v>45855</v>
      </c>
      <c r="E4576" t="s">
        <v>17</v>
      </c>
      <c r="F4576">
        <v>3800</v>
      </c>
      <c r="J4576">
        <v>1582.8</v>
      </c>
      <c r="K4576">
        <v>1502.2</v>
      </c>
      <c r="L4576">
        <v>0</v>
      </c>
      <c r="M4576" t="s">
        <v>18</v>
      </c>
      <c r="N4576">
        <v>0</v>
      </c>
      <c r="O4576">
        <v>0</v>
      </c>
    </row>
    <row r="4577" spans="1:15" x14ac:dyDescent="0.2">
      <c r="A4577" s="6">
        <v>45811</v>
      </c>
      <c r="B4577" t="s">
        <v>15</v>
      </c>
      <c r="C4577" t="s">
        <v>16</v>
      </c>
      <c r="D4577" s="1">
        <v>45855</v>
      </c>
      <c r="E4577" t="s">
        <v>19</v>
      </c>
      <c r="F4577">
        <v>6000</v>
      </c>
      <c r="J4577">
        <v>643.20000000000005</v>
      </c>
      <c r="K4577">
        <v>714.5</v>
      </c>
      <c r="L4577">
        <v>0</v>
      </c>
      <c r="M4577" t="s">
        <v>18</v>
      </c>
      <c r="N4577">
        <v>0</v>
      </c>
      <c r="O4577">
        <v>0</v>
      </c>
    </row>
    <row r="4578" spans="1:15" x14ac:dyDescent="0.2">
      <c r="A4578" s="6">
        <v>45811</v>
      </c>
      <c r="B4578" t="s">
        <v>15</v>
      </c>
      <c r="C4578" t="s">
        <v>16</v>
      </c>
      <c r="D4578" s="1">
        <v>45855</v>
      </c>
      <c r="E4578" t="s">
        <v>19</v>
      </c>
      <c r="F4578">
        <v>4250</v>
      </c>
      <c r="J4578">
        <v>1.5</v>
      </c>
      <c r="K4578">
        <v>2.6</v>
      </c>
      <c r="L4578">
        <v>0</v>
      </c>
      <c r="M4578" t="s">
        <v>18</v>
      </c>
      <c r="N4578">
        <v>0</v>
      </c>
      <c r="O4578">
        <v>0</v>
      </c>
    </row>
    <row r="4579" spans="1:15" x14ac:dyDescent="0.2">
      <c r="A4579" s="6">
        <v>45811</v>
      </c>
      <c r="B4579" t="s">
        <v>15</v>
      </c>
      <c r="C4579" t="s">
        <v>16</v>
      </c>
      <c r="D4579" s="1">
        <v>45855</v>
      </c>
      <c r="E4579" t="s">
        <v>19</v>
      </c>
      <c r="F4579">
        <v>4750</v>
      </c>
      <c r="J4579">
        <v>25</v>
      </c>
      <c r="K4579">
        <v>36.1</v>
      </c>
      <c r="L4579">
        <v>0</v>
      </c>
      <c r="M4579" t="s">
        <v>18</v>
      </c>
      <c r="N4579">
        <v>0</v>
      </c>
      <c r="O4579">
        <v>0</v>
      </c>
    </row>
    <row r="4580" spans="1:15" x14ac:dyDescent="0.2">
      <c r="A4580" s="6">
        <v>45811</v>
      </c>
      <c r="B4580" t="s">
        <v>15</v>
      </c>
      <c r="C4580" t="s">
        <v>16</v>
      </c>
      <c r="D4580" s="1">
        <v>45855</v>
      </c>
      <c r="E4580" t="s">
        <v>19</v>
      </c>
      <c r="F4580">
        <v>4300</v>
      </c>
      <c r="J4580">
        <v>2.1</v>
      </c>
      <c r="K4580">
        <v>3.6</v>
      </c>
      <c r="L4580">
        <v>0</v>
      </c>
      <c r="M4580" t="s">
        <v>18</v>
      </c>
      <c r="N4580">
        <v>0</v>
      </c>
      <c r="O4580">
        <v>0</v>
      </c>
    </row>
    <row r="4581" spans="1:15" x14ac:dyDescent="0.2">
      <c r="A4581" s="6">
        <v>45811</v>
      </c>
      <c r="B4581" t="s">
        <v>15</v>
      </c>
      <c r="C4581" t="s">
        <v>16</v>
      </c>
      <c r="D4581" s="1">
        <v>45855</v>
      </c>
      <c r="E4581" t="s">
        <v>19</v>
      </c>
      <c r="F4581">
        <v>6200</v>
      </c>
      <c r="J4581">
        <v>821.1</v>
      </c>
      <c r="K4581">
        <v>896.4</v>
      </c>
      <c r="L4581">
        <v>0</v>
      </c>
      <c r="M4581" t="s">
        <v>18</v>
      </c>
      <c r="N4581">
        <v>0</v>
      </c>
      <c r="O4581">
        <v>0</v>
      </c>
    </row>
    <row r="4582" spans="1:15" x14ac:dyDescent="0.2">
      <c r="A4582" s="6">
        <v>45811</v>
      </c>
      <c r="B4582" t="s">
        <v>15</v>
      </c>
      <c r="C4582" t="s">
        <v>16</v>
      </c>
      <c r="D4582" s="1">
        <v>45855</v>
      </c>
      <c r="E4582" t="s">
        <v>17</v>
      </c>
      <c r="F4582">
        <v>5850</v>
      </c>
      <c r="J4582">
        <v>67.3</v>
      </c>
      <c r="K4582">
        <v>54</v>
      </c>
      <c r="L4582">
        <v>0</v>
      </c>
      <c r="M4582" t="s">
        <v>18</v>
      </c>
      <c r="N4582">
        <v>0</v>
      </c>
      <c r="O4582">
        <v>0</v>
      </c>
    </row>
    <row r="4583" spans="1:15" x14ac:dyDescent="0.2">
      <c r="A4583" s="6">
        <v>45811</v>
      </c>
      <c r="B4583" t="s">
        <v>15</v>
      </c>
      <c r="C4583" t="s">
        <v>16</v>
      </c>
      <c r="D4583" s="1">
        <v>45855</v>
      </c>
      <c r="E4583" t="s">
        <v>17</v>
      </c>
      <c r="F4583">
        <v>5400</v>
      </c>
      <c r="G4583">
        <v>240.7</v>
      </c>
      <c r="H4583">
        <v>244.9</v>
      </c>
      <c r="I4583">
        <v>240.7</v>
      </c>
      <c r="J4583">
        <v>242.8</v>
      </c>
      <c r="K4583">
        <v>241.5</v>
      </c>
      <c r="L4583">
        <v>2</v>
      </c>
      <c r="M4583" t="s">
        <v>28</v>
      </c>
      <c r="N4583">
        <v>11.29</v>
      </c>
      <c r="O4583">
        <v>5</v>
      </c>
    </row>
    <row r="4584" spans="1:15" x14ac:dyDescent="0.2">
      <c r="A4584" s="6">
        <v>45811</v>
      </c>
      <c r="B4584" t="s">
        <v>15</v>
      </c>
      <c r="C4584" t="s">
        <v>16</v>
      </c>
      <c r="D4584" s="1">
        <v>45855</v>
      </c>
      <c r="E4584" t="s">
        <v>17</v>
      </c>
      <c r="F4584">
        <v>3900</v>
      </c>
      <c r="J4584">
        <v>1483.6</v>
      </c>
      <c r="K4584">
        <v>1403</v>
      </c>
      <c r="L4584">
        <v>0</v>
      </c>
      <c r="M4584" t="s">
        <v>18</v>
      </c>
      <c r="N4584">
        <v>0</v>
      </c>
      <c r="O4584">
        <v>0</v>
      </c>
    </row>
    <row r="4585" spans="1:15" x14ac:dyDescent="0.2">
      <c r="A4585" s="6">
        <v>45811</v>
      </c>
      <c r="B4585" t="s">
        <v>15</v>
      </c>
      <c r="C4585" t="s">
        <v>16</v>
      </c>
      <c r="D4585" s="1">
        <v>45855</v>
      </c>
      <c r="E4585" t="s">
        <v>17</v>
      </c>
      <c r="F4585">
        <v>5550</v>
      </c>
      <c r="J4585">
        <v>150.19999999999999</v>
      </c>
      <c r="K4585">
        <v>123.9</v>
      </c>
      <c r="L4585">
        <v>0</v>
      </c>
      <c r="M4585" t="s">
        <v>18</v>
      </c>
      <c r="N4585">
        <v>0</v>
      </c>
      <c r="O4585">
        <v>0</v>
      </c>
    </row>
    <row r="4586" spans="1:15" x14ac:dyDescent="0.2">
      <c r="A4586" s="6">
        <v>45811</v>
      </c>
      <c r="B4586" t="s">
        <v>15</v>
      </c>
      <c r="C4586" t="s">
        <v>16</v>
      </c>
      <c r="D4586" s="1">
        <v>45855</v>
      </c>
      <c r="E4586" t="s">
        <v>19</v>
      </c>
      <c r="F4586">
        <v>3950</v>
      </c>
      <c r="J4586">
        <v>0.1</v>
      </c>
      <c r="K4586">
        <v>0.3</v>
      </c>
      <c r="L4586">
        <v>0</v>
      </c>
      <c r="M4586" t="s">
        <v>18</v>
      </c>
      <c r="N4586">
        <v>0</v>
      </c>
      <c r="O4586">
        <v>0</v>
      </c>
    </row>
    <row r="4587" spans="1:15" x14ac:dyDescent="0.2">
      <c r="A4587" s="6">
        <v>45811</v>
      </c>
      <c r="B4587" t="s">
        <v>15</v>
      </c>
      <c r="C4587" t="s">
        <v>16</v>
      </c>
      <c r="D4587" s="1">
        <v>45855</v>
      </c>
      <c r="E4587" t="s">
        <v>19</v>
      </c>
      <c r="F4587">
        <v>4150</v>
      </c>
      <c r="J4587">
        <v>0.7</v>
      </c>
      <c r="K4587">
        <v>1.3</v>
      </c>
      <c r="L4587">
        <v>0</v>
      </c>
      <c r="M4587" t="s">
        <v>18</v>
      </c>
      <c r="N4587">
        <v>0</v>
      </c>
      <c r="O4587">
        <v>0</v>
      </c>
    </row>
    <row r="4588" spans="1:15" x14ac:dyDescent="0.2">
      <c r="A4588" s="6">
        <v>45811</v>
      </c>
      <c r="B4588" t="s">
        <v>15</v>
      </c>
      <c r="C4588" t="s">
        <v>16</v>
      </c>
      <c r="D4588" s="1">
        <v>45855</v>
      </c>
      <c r="E4588" t="s">
        <v>17</v>
      </c>
      <c r="F4588">
        <v>4050</v>
      </c>
      <c r="J4588">
        <v>1335</v>
      </c>
      <c r="K4588">
        <v>1254.7</v>
      </c>
      <c r="L4588">
        <v>0</v>
      </c>
      <c r="M4588" t="s">
        <v>18</v>
      </c>
      <c r="N4588">
        <v>0</v>
      </c>
      <c r="O4588">
        <v>0</v>
      </c>
    </row>
    <row r="4589" spans="1:15" x14ac:dyDescent="0.2">
      <c r="A4589" s="6">
        <v>45811</v>
      </c>
      <c r="B4589" t="s">
        <v>15</v>
      </c>
      <c r="C4589" t="s">
        <v>16</v>
      </c>
      <c r="D4589" s="1">
        <v>45855</v>
      </c>
      <c r="E4589" t="s">
        <v>19</v>
      </c>
      <c r="F4589">
        <v>6300</v>
      </c>
      <c r="J4589">
        <v>913.8</v>
      </c>
      <c r="K4589">
        <v>990.4</v>
      </c>
      <c r="L4589">
        <v>0</v>
      </c>
      <c r="M4589" t="s">
        <v>18</v>
      </c>
      <c r="N4589">
        <v>0</v>
      </c>
      <c r="O4589">
        <v>0</v>
      </c>
    </row>
    <row r="4590" spans="1:15" x14ac:dyDescent="0.2">
      <c r="A4590" s="6">
        <v>45811</v>
      </c>
      <c r="B4590" t="s">
        <v>15</v>
      </c>
      <c r="C4590" t="s">
        <v>16</v>
      </c>
      <c r="D4590" s="1">
        <v>45855</v>
      </c>
      <c r="E4590" t="s">
        <v>19</v>
      </c>
      <c r="F4590">
        <v>4350</v>
      </c>
      <c r="J4590">
        <v>2.9</v>
      </c>
      <c r="K4590">
        <v>4.9000000000000004</v>
      </c>
      <c r="L4590">
        <v>0</v>
      </c>
      <c r="M4590" t="s">
        <v>18</v>
      </c>
      <c r="N4590">
        <v>0</v>
      </c>
      <c r="O4590">
        <v>0</v>
      </c>
    </row>
    <row r="4591" spans="1:15" x14ac:dyDescent="0.2">
      <c r="A4591" s="6">
        <v>45811</v>
      </c>
      <c r="B4591" t="s">
        <v>15</v>
      </c>
      <c r="C4591" t="s">
        <v>16</v>
      </c>
      <c r="D4591" s="1">
        <v>45855</v>
      </c>
      <c r="E4591" t="s">
        <v>19</v>
      </c>
      <c r="F4591">
        <v>6600</v>
      </c>
      <c r="J4591">
        <v>1200.8</v>
      </c>
      <c r="K4591">
        <v>1279.8</v>
      </c>
      <c r="L4591">
        <v>0</v>
      </c>
      <c r="M4591" t="s">
        <v>18</v>
      </c>
      <c r="N4591">
        <v>0</v>
      </c>
      <c r="O4591">
        <v>0</v>
      </c>
    </row>
    <row r="4592" spans="1:15" x14ac:dyDescent="0.2">
      <c r="A4592" s="6">
        <v>45811</v>
      </c>
      <c r="B4592" t="s">
        <v>15</v>
      </c>
      <c r="C4592" t="s">
        <v>16</v>
      </c>
      <c r="D4592" s="1">
        <v>45855</v>
      </c>
      <c r="E4592" t="s">
        <v>17</v>
      </c>
      <c r="F4592">
        <v>6150</v>
      </c>
      <c r="J4592">
        <v>26.4</v>
      </c>
      <c r="K4592">
        <v>20.6</v>
      </c>
      <c r="L4592">
        <v>0</v>
      </c>
      <c r="M4592" t="s">
        <v>18</v>
      </c>
      <c r="N4592">
        <v>0</v>
      </c>
      <c r="O4592">
        <v>0</v>
      </c>
    </row>
    <row r="4593" spans="1:15" x14ac:dyDescent="0.2">
      <c r="A4593" s="6">
        <v>45811</v>
      </c>
      <c r="B4593" t="s">
        <v>15</v>
      </c>
      <c r="C4593" t="s">
        <v>16</v>
      </c>
      <c r="D4593" s="1">
        <v>45855</v>
      </c>
      <c r="E4593" t="s">
        <v>19</v>
      </c>
      <c r="F4593">
        <v>4800</v>
      </c>
      <c r="G4593">
        <v>71.3</v>
      </c>
      <c r="H4593">
        <v>71.3</v>
      </c>
      <c r="I4593">
        <v>62</v>
      </c>
      <c r="J4593">
        <v>65.7</v>
      </c>
      <c r="K4593">
        <v>44.1</v>
      </c>
      <c r="L4593">
        <v>5</v>
      </c>
      <c r="M4593" t="s">
        <v>26</v>
      </c>
      <c r="N4593">
        <v>24.33</v>
      </c>
      <c r="O4593">
        <v>5</v>
      </c>
    </row>
    <row r="4594" spans="1:15" x14ac:dyDescent="0.2">
      <c r="A4594" s="6">
        <v>45811</v>
      </c>
      <c r="B4594" t="s">
        <v>15</v>
      </c>
      <c r="C4594" t="s">
        <v>16</v>
      </c>
      <c r="D4594" s="1">
        <v>45855</v>
      </c>
      <c r="E4594" t="s">
        <v>19</v>
      </c>
      <c r="F4594">
        <v>5550</v>
      </c>
      <c r="J4594">
        <v>304</v>
      </c>
      <c r="K4594">
        <v>358</v>
      </c>
      <c r="L4594">
        <v>0</v>
      </c>
      <c r="M4594" t="s">
        <v>18</v>
      </c>
      <c r="N4594">
        <v>0</v>
      </c>
      <c r="O4594">
        <v>0</v>
      </c>
    </row>
    <row r="4595" spans="1:15" x14ac:dyDescent="0.2">
      <c r="A4595" s="6">
        <v>45811</v>
      </c>
      <c r="B4595" t="s">
        <v>15</v>
      </c>
      <c r="C4595" t="s">
        <v>16</v>
      </c>
      <c r="D4595" s="1">
        <v>45855</v>
      </c>
      <c r="E4595" t="s">
        <v>19</v>
      </c>
      <c r="F4595">
        <v>3800</v>
      </c>
      <c r="J4595">
        <v>0.1</v>
      </c>
      <c r="K4595">
        <v>0.1</v>
      </c>
      <c r="L4595">
        <v>0</v>
      </c>
      <c r="M4595" t="s">
        <v>18</v>
      </c>
      <c r="N4595">
        <v>0</v>
      </c>
      <c r="O4595">
        <v>0</v>
      </c>
    </row>
    <row r="4596" spans="1:15" x14ac:dyDescent="0.2">
      <c r="A4596" s="6">
        <v>45811</v>
      </c>
      <c r="B4596" t="s">
        <v>15</v>
      </c>
      <c r="C4596" t="s">
        <v>16</v>
      </c>
      <c r="D4596" s="1">
        <v>45855</v>
      </c>
      <c r="E4596" t="s">
        <v>19</v>
      </c>
      <c r="F4596">
        <v>5500</v>
      </c>
      <c r="G4596">
        <v>350</v>
      </c>
      <c r="H4596">
        <v>350</v>
      </c>
      <c r="I4596">
        <v>350</v>
      </c>
      <c r="J4596">
        <v>350</v>
      </c>
      <c r="K4596">
        <v>325</v>
      </c>
      <c r="L4596">
        <v>1</v>
      </c>
      <c r="M4596" t="s">
        <v>155</v>
      </c>
      <c r="N4596">
        <v>5.85</v>
      </c>
      <c r="O4596">
        <v>1</v>
      </c>
    </row>
    <row r="4597" spans="1:15" x14ac:dyDescent="0.2">
      <c r="A4597" s="6">
        <v>45811</v>
      </c>
      <c r="B4597" t="s">
        <v>15</v>
      </c>
      <c r="C4597" t="s">
        <v>16</v>
      </c>
      <c r="D4597" s="1">
        <v>45855</v>
      </c>
      <c r="E4597" t="s">
        <v>19</v>
      </c>
      <c r="F4597">
        <v>5850</v>
      </c>
      <c r="J4597">
        <v>518.79999999999995</v>
      </c>
      <c r="K4597">
        <v>585.79999999999995</v>
      </c>
      <c r="L4597">
        <v>0</v>
      </c>
      <c r="M4597" t="s">
        <v>18</v>
      </c>
      <c r="N4597">
        <v>0</v>
      </c>
      <c r="O4597">
        <v>0</v>
      </c>
    </row>
    <row r="4598" spans="1:15" x14ac:dyDescent="0.2">
      <c r="A4598" s="6">
        <v>45811</v>
      </c>
      <c r="B4598" t="s">
        <v>15</v>
      </c>
      <c r="C4598" t="s">
        <v>16</v>
      </c>
      <c r="D4598" s="1">
        <v>45855</v>
      </c>
      <c r="E4598" t="s">
        <v>19</v>
      </c>
      <c r="F4598">
        <v>6500</v>
      </c>
      <c r="J4598">
        <v>1104</v>
      </c>
      <c r="K4598">
        <v>1182.4000000000001</v>
      </c>
      <c r="L4598">
        <v>0</v>
      </c>
      <c r="M4598" t="s">
        <v>18</v>
      </c>
      <c r="N4598">
        <v>0</v>
      </c>
      <c r="O4598">
        <v>0</v>
      </c>
    </row>
    <row r="4599" spans="1:15" x14ac:dyDescent="0.2">
      <c r="A4599" s="6">
        <v>45811</v>
      </c>
      <c r="B4599" t="s">
        <v>15</v>
      </c>
      <c r="C4599" t="s">
        <v>16</v>
      </c>
      <c r="D4599" s="1">
        <v>45855</v>
      </c>
      <c r="E4599" t="s">
        <v>19</v>
      </c>
      <c r="F4599">
        <v>6100</v>
      </c>
      <c r="J4599">
        <v>730.7</v>
      </c>
      <c r="K4599">
        <v>804.3</v>
      </c>
      <c r="L4599">
        <v>0</v>
      </c>
      <c r="M4599" t="s">
        <v>18</v>
      </c>
      <c r="N4599">
        <v>0</v>
      </c>
      <c r="O4599">
        <v>0</v>
      </c>
    </row>
    <row r="4600" spans="1:15" x14ac:dyDescent="0.2">
      <c r="A4600" s="6">
        <v>45811</v>
      </c>
      <c r="B4600" t="s">
        <v>15</v>
      </c>
      <c r="C4600" t="s">
        <v>16</v>
      </c>
      <c r="D4600" s="1">
        <v>45855</v>
      </c>
      <c r="E4600" t="s">
        <v>17</v>
      </c>
      <c r="F4600">
        <v>4300</v>
      </c>
      <c r="J4600">
        <v>1088.5999999999999</v>
      </c>
      <c r="K4600">
        <v>1009.6</v>
      </c>
      <c r="L4600">
        <v>0</v>
      </c>
      <c r="M4600" t="s">
        <v>18</v>
      </c>
      <c r="N4600">
        <v>0</v>
      </c>
      <c r="O4600">
        <v>0</v>
      </c>
    </row>
    <row r="4601" spans="1:15" x14ac:dyDescent="0.2">
      <c r="A4601" s="6">
        <v>45811</v>
      </c>
      <c r="B4601" t="s">
        <v>15</v>
      </c>
      <c r="C4601" t="s">
        <v>16</v>
      </c>
      <c r="D4601" s="1">
        <v>45855</v>
      </c>
      <c r="E4601" t="s">
        <v>19</v>
      </c>
      <c r="F4601">
        <v>6450</v>
      </c>
      <c r="J4601">
        <v>1056</v>
      </c>
      <c r="K4601">
        <v>1134</v>
      </c>
      <c r="L4601">
        <v>0</v>
      </c>
      <c r="M4601" t="s">
        <v>18</v>
      </c>
      <c r="N4601">
        <v>0</v>
      </c>
      <c r="O4601">
        <v>0</v>
      </c>
    </row>
    <row r="4602" spans="1:15" x14ac:dyDescent="0.2">
      <c r="A4602" s="6">
        <v>45811</v>
      </c>
      <c r="B4602" t="s">
        <v>15</v>
      </c>
      <c r="C4602" t="s">
        <v>16</v>
      </c>
      <c r="D4602" s="1">
        <v>45855</v>
      </c>
      <c r="E4602" t="s">
        <v>19</v>
      </c>
      <c r="F4602">
        <v>5750</v>
      </c>
      <c r="J4602">
        <v>441.6</v>
      </c>
      <c r="K4602">
        <v>504.8</v>
      </c>
      <c r="L4602">
        <v>0</v>
      </c>
      <c r="M4602" t="s">
        <v>18</v>
      </c>
      <c r="N4602">
        <v>0</v>
      </c>
      <c r="O4602">
        <v>0</v>
      </c>
    </row>
    <row r="4603" spans="1:15" x14ac:dyDescent="0.2">
      <c r="A4603" s="6">
        <v>45811</v>
      </c>
      <c r="B4603" t="s">
        <v>15</v>
      </c>
      <c r="C4603" t="s">
        <v>16</v>
      </c>
      <c r="D4603" s="1">
        <v>45855</v>
      </c>
      <c r="E4603" t="s">
        <v>17</v>
      </c>
      <c r="F4603">
        <v>4700</v>
      </c>
      <c r="J4603">
        <v>709.5</v>
      </c>
      <c r="K4603">
        <v>638.4</v>
      </c>
      <c r="L4603">
        <v>0</v>
      </c>
      <c r="M4603" t="s">
        <v>18</v>
      </c>
      <c r="N4603">
        <v>0</v>
      </c>
      <c r="O4603">
        <v>0</v>
      </c>
    </row>
    <row r="4604" spans="1:15" x14ac:dyDescent="0.2">
      <c r="A4604" s="6">
        <v>45810</v>
      </c>
      <c r="B4604" t="s">
        <v>15</v>
      </c>
      <c r="C4604" t="s">
        <v>16</v>
      </c>
      <c r="D4604" s="1">
        <v>45855</v>
      </c>
      <c r="E4604" t="s">
        <v>19</v>
      </c>
      <c r="F4604">
        <v>6050</v>
      </c>
      <c r="J4604">
        <v>759</v>
      </c>
      <c r="K4604">
        <v>908.4</v>
      </c>
      <c r="L4604">
        <v>0</v>
      </c>
      <c r="M4604" t="s">
        <v>18</v>
      </c>
      <c r="N4604">
        <v>0</v>
      </c>
      <c r="O4604">
        <v>0</v>
      </c>
    </row>
    <row r="4605" spans="1:15" x14ac:dyDescent="0.2">
      <c r="A4605" s="6">
        <v>45810</v>
      </c>
      <c r="B4605" t="s">
        <v>15</v>
      </c>
      <c r="C4605" t="s">
        <v>16</v>
      </c>
      <c r="D4605" s="1">
        <v>45855</v>
      </c>
      <c r="E4605" t="s">
        <v>17</v>
      </c>
      <c r="F4605">
        <v>5100</v>
      </c>
      <c r="G4605">
        <v>369.9</v>
      </c>
      <c r="H4605">
        <v>375</v>
      </c>
      <c r="I4605">
        <v>360</v>
      </c>
      <c r="J4605">
        <v>366.7</v>
      </c>
      <c r="K4605">
        <v>312</v>
      </c>
      <c r="L4605">
        <v>6</v>
      </c>
      <c r="M4605" t="s">
        <v>132</v>
      </c>
      <c r="N4605">
        <v>32.799999999999997</v>
      </c>
      <c r="O4605">
        <v>3</v>
      </c>
    </row>
    <row r="4606" spans="1:15" x14ac:dyDescent="0.2">
      <c r="A4606" s="6">
        <v>45810</v>
      </c>
      <c r="B4606" t="s">
        <v>15</v>
      </c>
      <c r="C4606" t="s">
        <v>16</v>
      </c>
      <c r="D4606" s="1">
        <v>45855</v>
      </c>
      <c r="E4606" t="s">
        <v>17</v>
      </c>
      <c r="F4606">
        <v>4650</v>
      </c>
      <c r="J4606">
        <v>682.2</v>
      </c>
      <c r="K4606">
        <v>530.6</v>
      </c>
      <c r="L4606">
        <v>0</v>
      </c>
      <c r="M4606" t="s">
        <v>18</v>
      </c>
      <c r="N4606">
        <v>0</v>
      </c>
      <c r="O4606">
        <v>0</v>
      </c>
    </row>
    <row r="4607" spans="1:15" x14ac:dyDescent="0.2">
      <c r="A4607" s="6">
        <v>45810</v>
      </c>
      <c r="B4607" t="s">
        <v>15</v>
      </c>
      <c r="C4607" t="s">
        <v>16</v>
      </c>
      <c r="D4607" s="1">
        <v>45855</v>
      </c>
      <c r="E4607" t="s">
        <v>17</v>
      </c>
      <c r="F4607">
        <v>5250</v>
      </c>
      <c r="J4607">
        <v>248.7</v>
      </c>
      <c r="K4607">
        <v>157</v>
      </c>
      <c r="L4607">
        <v>0</v>
      </c>
      <c r="M4607" t="s">
        <v>18</v>
      </c>
      <c r="N4607">
        <v>0</v>
      </c>
      <c r="O4607">
        <v>0</v>
      </c>
    </row>
    <row r="4608" spans="1:15" x14ac:dyDescent="0.2">
      <c r="A4608" s="6">
        <v>45810</v>
      </c>
      <c r="B4608" t="s">
        <v>15</v>
      </c>
      <c r="C4608" t="s">
        <v>16</v>
      </c>
      <c r="D4608" s="1">
        <v>45855</v>
      </c>
      <c r="E4608" t="s">
        <v>19</v>
      </c>
      <c r="F4608">
        <v>5100</v>
      </c>
      <c r="J4608">
        <v>122.9</v>
      </c>
      <c r="K4608">
        <v>179.5</v>
      </c>
      <c r="L4608">
        <v>0</v>
      </c>
      <c r="M4608" t="s">
        <v>18</v>
      </c>
      <c r="N4608">
        <v>0</v>
      </c>
      <c r="O4608">
        <v>0</v>
      </c>
    </row>
    <row r="4609" spans="1:15" x14ac:dyDescent="0.2">
      <c r="A4609" s="6">
        <v>45810</v>
      </c>
      <c r="B4609" t="s">
        <v>15</v>
      </c>
      <c r="C4609" t="s">
        <v>16</v>
      </c>
      <c r="D4609" s="1">
        <v>45855</v>
      </c>
      <c r="E4609" t="s">
        <v>17</v>
      </c>
      <c r="F4609">
        <v>4200</v>
      </c>
      <c r="J4609">
        <v>1107.0999999999999</v>
      </c>
      <c r="K4609">
        <v>941.5</v>
      </c>
      <c r="L4609">
        <v>0</v>
      </c>
      <c r="M4609" t="s">
        <v>18</v>
      </c>
      <c r="N4609">
        <v>0</v>
      </c>
      <c r="O4609">
        <v>0</v>
      </c>
    </row>
    <row r="4610" spans="1:15" x14ac:dyDescent="0.2">
      <c r="A4610" s="6">
        <v>45810</v>
      </c>
      <c r="B4610" t="s">
        <v>15</v>
      </c>
      <c r="C4610" t="s">
        <v>16</v>
      </c>
      <c r="D4610" s="1">
        <v>45855</v>
      </c>
      <c r="E4610" t="s">
        <v>19</v>
      </c>
      <c r="F4610">
        <v>6650</v>
      </c>
      <c r="J4610">
        <v>1328.7</v>
      </c>
      <c r="K4610">
        <v>1492.3</v>
      </c>
      <c r="L4610">
        <v>0</v>
      </c>
      <c r="M4610" t="s">
        <v>18</v>
      </c>
      <c r="N4610">
        <v>0</v>
      </c>
      <c r="O4610">
        <v>0</v>
      </c>
    </row>
    <row r="4611" spans="1:15" x14ac:dyDescent="0.2">
      <c r="A4611" s="6">
        <v>45810</v>
      </c>
      <c r="B4611" t="s">
        <v>15</v>
      </c>
      <c r="C4611" t="s">
        <v>16</v>
      </c>
      <c r="D4611" s="1">
        <v>45855</v>
      </c>
      <c r="E4611" t="s">
        <v>17</v>
      </c>
      <c r="F4611">
        <v>5700</v>
      </c>
      <c r="G4611">
        <v>134.4</v>
      </c>
      <c r="H4611">
        <v>139</v>
      </c>
      <c r="I4611">
        <v>134.4</v>
      </c>
      <c r="J4611">
        <v>136.69999999999999</v>
      </c>
      <c r="K4611">
        <v>42.2</v>
      </c>
      <c r="L4611">
        <v>4</v>
      </c>
      <c r="M4611" t="s">
        <v>78</v>
      </c>
      <c r="N4611">
        <v>23.35</v>
      </c>
      <c r="O4611">
        <v>4</v>
      </c>
    </row>
    <row r="4612" spans="1:15" x14ac:dyDescent="0.2">
      <c r="A4612" s="6">
        <v>45810</v>
      </c>
      <c r="B4612" t="s">
        <v>15</v>
      </c>
      <c r="C4612" t="s">
        <v>16</v>
      </c>
      <c r="D4612" s="1">
        <v>45855</v>
      </c>
      <c r="E4612" t="s">
        <v>17</v>
      </c>
      <c r="F4612">
        <v>4900</v>
      </c>
      <c r="J4612">
        <v>474.9</v>
      </c>
      <c r="K4612">
        <v>343</v>
      </c>
      <c r="L4612">
        <v>0</v>
      </c>
      <c r="M4612" t="s">
        <v>18</v>
      </c>
      <c r="N4612">
        <v>0</v>
      </c>
      <c r="O4612">
        <v>0</v>
      </c>
    </row>
    <row r="4613" spans="1:15" x14ac:dyDescent="0.2">
      <c r="A4613" s="6">
        <v>45810</v>
      </c>
      <c r="B4613" t="s">
        <v>15</v>
      </c>
      <c r="C4613" t="s">
        <v>16</v>
      </c>
      <c r="D4613" s="1">
        <v>45855</v>
      </c>
      <c r="E4613" t="s">
        <v>17</v>
      </c>
      <c r="F4613">
        <v>4800</v>
      </c>
      <c r="J4613">
        <v>554.1</v>
      </c>
      <c r="K4613">
        <v>413.1</v>
      </c>
      <c r="L4613">
        <v>0</v>
      </c>
      <c r="M4613" t="s">
        <v>18</v>
      </c>
      <c r="N4613">
        <v>0</v>
      </c>
      <c r="O4613">
        <v>0</v>
      </c>
    </row>
    <row r="4614" spans="1:15" x14ac:dyDescent="0.2">
      <c r="A4614" s="6">
        <v>45810</v>
      </c>
      <c r="B4614" t="s">
        <v>15</v>
      </c>
      <c r="C4614" t="s">
        <v>16</v>
      </c>
      <c r="D4614" s="1">
        <v>45855</v>
      </c>
      <c r="E4614" t="s">
        <v>19</v>
      </c>
      <c r="F4614">
        <v>4200</v>
      </c>
      <c r="J4614">
        <v>1.9</v>
      </c>
      <c r="K4614">
        <v>3.5</v>
      </c>
      <c r="L4614">
        <v>0</v>
      </c>
      <c r="M4614" t="s">
        <v>18</v>
      </c>
      <c r="N4614">
        <v>0</v>
      </c>
      <c r="O4614">
        <v>0</v>
      </c>
    </row>
    <row r="4615" spans="1:15" x14ac:dyDescent="0.2">
      <c r="A4615" s="6">
        <v>45810</v>
      </c>
      <c r="B4615" t="s">
        <v>15</v>
      </c>
      <c r="C4615" t="s">
        <v>16</v>
      </c>
      <c r="D4615" s="1">
        <v>45855</v>
      </c>
      <c r="E4615" t="s">
        <v>17</v>
      </c>
      <c r="F4615">
        <v>4950</v>
      </c>
      <c r="J4615">
        <v>437.6</v>
      </c>
      <c r="K4615">
        <v>310.7</v>
      </c>
      <c r="L4615">
        <v>0</v>
      </c>
      <c r="M4615" t="s">
        <v>18</v>
      </c>
      <c r="N4615">
        <v>0</v>
      </c>
      <c r="O4615">
        <v>0</v>
      </c>
    </row>
    <row r="4616" spans="1:15" x14ac:dyDescent="0.2">
      <c r="A4616" s="6">
        <v>45810</v>
      </c>
      <c r="B4616" t="s">
        <v>15</v>
      </c>
      <c r="C4616" t="s">
        <v>16</v>
      </c>
      <c r="D4616" s="1">
        <v>45855</v>
      </c>
      <c r="E4616" t="s">
        <v>17</v>
      </c>
      <c r="F4616">
        <v>5300</v>
      </c>
      <c r="G4616">
        <v>300</v>
      </c>
      <c r="H4616">
        <v>300</v>
      </c>
      <c r="I4616">
        <v>254.5</v>
      </c>
      <c r="J4616">
        <v>277</v>
      </c>
      <c r="K4616">
        <v>138.1</v>
      </c>
      <c r="L4616">
        <v>12</v>
      </c>
      <c r="M4616" t="s">
        <v>180</v>
      </c>
      <c r="N4616">
        <v>66.92</v>
      </c>
      <c r="O4616">
        <v>4</v>
      </c>
    </row>
    <row r="4617" spans="1:15" x14ac:dyDescent="0.2">
      <c r="A4617" s="6">
        <v>45810</v>
      </c>
      <c r="B4617" t="s">
        <v>15</v>
      </c>
      <c r="C4617" t="s">
        <v>16</v>
      </c>
      <c r="D4617" s="1">
        <v>45855</v>
      </c>
      <c r="E4617" t="s">
        <v>17</v>
      </c>
      <c r="F4617">
        <v>4450</v>
      </c>
      <c r="J4617">
        <v>865.8</v>
      </c>
      <c r="K4617">
        <v>705.3</v>
      </c>
      <c r="L4617">
        <v>0</v>
      </c>
      <c r="M4617" t="s">
        <v>18</v>
      </c>
      <c r="N4617">
        <v>0</v>
      </c>
      <c r="O4617">
        <v>0</v>
      </c>
    </row>
    <row r="4618" spans="1:15" x14ac:dyDescent="0.2">
      <c r="A4618" s="6">
        <v>45810</v>
      </c>
      <c r="B4618" t="s">
        <v>15</v>
      </c>
      <c r="C4618" t="s">
        <v>16</v>
      </c>
      <c r="D4618" s="1">
        <v>45855</v>
      </c>
      <c r="E4618" t="s">
        <v>19</v>
      </c>
      <c r="F4618">
        <v>5250</v>
      </c>
      <c r="J4618">
        <v>185.2</v>
      </c>
      <c r="K4618">
        <v>260.2</v>
      </c>
      <c r="L4618">
        <v>0</v>
      </c>
      <c r="M4618" t="s">
        <v>18</v>
      </c>
      <c r="N4618">
        <v>0</v>
      </c>
      <c r="O4618">
        <v>0</v>
      </c>
    </row>
    <row r="4619" spans="1:15" x14ac:dyDescent="0.2">
      <c r="A4619" s="6">
        <v>45810</v>
      </c>
      <c r="B4619" t="s">
        <v>15</v>
      </c>
      <c r="C4619" t="s">
        <v>16</v>
      </c>
      <c r="D4619" s="1">
        <v>45855</v>
      </c>
      <c r="E4619" t="s">
        <v>17</v>
      </c>
      <c r="F4619">
        <v>4750</v>
      </c>
      <c r="J4619">
        <v>595.6</v>
      </c>
      <c r="K4619">
        <v>450.8</v>
      </c>
      <c r="L4619">
        <v>0</v>
      </c>
      <c r="M4619" t="s">
        <v>18</v>
      </c>
      <c r="N4619">
        <v>0</v>
      </c>
      <c r="O4619">
        <v>0</v>
      </c>
    </row>
    <row r="4620" spans="1:15" x14ac:dyDescent="0.2">
      <c r="A4620" s="6">
        <v>45810</v>
      </c>
      <c r="B4620" t="s">
        <v>15</v>
      </c>
      <c r="C4620" t="s">
        <v>16</v>
      </c>
      <c r="D4620" s="1">
        <v>45855</v>
      </c>
      <c r="E4620" t="s">
        <v>17</v>
      </c>
      <c r="F4620">
        <v>5200</v>
      </c>
      <c r="G4620">
        <v>290</v>
      </c>
      <c r="H4620">
        <v>336.1</v>
      </c>
      <c r="I4620">
        <v>280</v>
      </c>
      <c r="J4620">
        <v>317.10000000000002</v>
      </c>
      <c r="K4620">
        <v>262.7</v>
      </c>
      <c r="L4620">
        <v>9</v>
      </c>
      <c r="M4620" t="s">
        <v>343</v>
      </c>
      <c r="N4620">
        <v>49.65</v>
      </c>
      <c r="O4620">
        <v>4</v>
      </c>
    </row>
    <row r="4621" spans="1:15" x14ac:dyDescent="0.2">
      <c r="A4621" s="6">
        <v>45810</v>
      </c>
      <c r="B4621" t="s">
        <v>15</v>
      </c>
      <c r="C4621" t="s">
        <v>16</v>
      </c>
      <c r="D4621" s="1">
        <v>45855</v>
      </c>
      <c r="E4621" t="s">
        <v>19</v>
      </c>
      <c r="F4621">
        <v>3600</v>
      </c>
      <c r="J4621">
        <v>0.1</v>
      </c>
      <c r="K4621">
        <v>0.1</v>
      </c>
      <c r="L4621">
        <v>0</v>
      </c>
      <c r="M4621" t="s">
        <v>18</v>
      </c>
      <c r="N4621">
        <v>0</v>
      </c>
      <c r="O4621">
        <v>0</v>
      </c>
    </row>
    <row r="4622" spans="1:15" x14ac:dyDescent="0.2">
      <c r="A4622" s="6">
        <v>45810</v>
      </c>
      <c r="B4622" t="s">
        <v>15</v>
      </c>
      <c r="C4622" t="s">
        <v>16</v>
      </c>
      <c r="D4622" s="1">
        <v>45855</v>
      </c>
      <c r="E4622" t="s">
        <v>17</v>
      </c>
      <c r="F4622">
        <v>3700</v>
      </c>
      <c r="J4622">
        <v>1601.3</v>
      </c>
      <c r="K4622">
        <v>1433.9</v>
      </c>
      <c r="L4622">
        <v>0</v>
      </c>
      <c r="M4622" t="s">
        <v>18</v>
      </c>
      <c r="N4622">
        <v>0</v>
      </c>
      <c r="O4622">
        <v>0</v>
      </c>
    </row>
    <row r="4623" spans="1:15" x14ac:dyDescent="0.2">
      <c r="A4623" s="6">
        <v>45810</v>
      </c>
      <c r="B4623" t="s">
        <v>15</v>
      </c>
      <c r="C4623" t="s">
        <v>16</v>
      </c>
      <c r="D4623" s="1">
        <v>45855</v>
      </c>
      <c r="E4623" t="s">
        <v>19</v>
      </c>
      <c r="F4623">
        <v>4900</v>
      </c>
      <c r="J4623">
        <v>64.2</v>
      </c>
      <c r="K4623">
        <v>99.1</v>
      </c>
      <c r="L4623">
        <v>0</v>
      </c>
      <c r="M4623" t="s">
        <v>18</v>
      </c>
      <c r="N4623">
        <v>0</v>
      </c>
      <c r="O4623">
        <v>0</v>
      </c>
    </row>
    <row r="4624" spans="1:15" x14ac:dyDescent="0.2">
      <c r="A4624" s="6">
        <v>45810</v>
      </c>
      <c r="B4624" t="s">
        <v>15</v>
      </c>
      <c r="C4624" t="s">
        <v>16</v>
      </c>
      <c r="D4624" s="1">
        <v>45855</v>
      </c>
      <c r="E4624" t="s">
        <v>17</v>
      </c>
      <c r="F4624">
        <v>4400</v>
      </c>
      <c r="J4624">
        <v>913.3</v>
      </c>
      <c r="K4624">
        <v>751.3</v>
      </c>
      <c r="L4624">
        <v>0</v>
      </c>
      <c r="M4624" t="s">
        <v>18</v>
      </c>
      <c r="N4624">
        <v>0</v>
      </c>
      <c r="O4624">
        <v>0</v>
      </c>
    </row>
    <row r="4625" spans="1:15" x14ac:dyDescent="0.2">
      <c r="A4625" s="6">
        <v>45810</v>
      </c>
      <c r="B4625" t="s">
        <v>15</v>
      </c>
      <c r="C4625" t="s">
        <v>16</v>
      </c>
      <c r="D4625" s="1">
        <v>45855</v>
      </c>
      <c r="E4625" t="s">
        <v>17</v>
      </c>
      <c r="F4625">
        <v>4100</v>
      </c>
      <c r="J4625">
        <v>1205.4000000000001</v>
      </c>
      <c r="K4625">
        <v>1039</v>
      </c>
      <c r="L4625">
        <v>0</v>
      </c>
      <c r="M4625" t="s">
        <v>18</v>
      </c>
      <c r="N4625">
        <v>0</v>
      </c>
      <c r="O4625">
        <v>0</v>
      </c>
    </row>
    <row r="4626" spans="1:15" x14ac:dyDescent="0.2">
      <c r="A4626" s="6">
        <v>45810</v>
      </c>
      <c r="B4626" t="s">
        <v>15</v>
      </c>
      <c r="C4626" t="s">
        <v>16</v>
      </c>
      <c r="D4626" s="1">
        <v>45855</v>
      </c>
      <c r="E4626" t="s">
        <v>17</v>
      </c>
      <c r="F4626">
        <v>5000</v>
      </c>
      <c r="J4626">
        <v>401.8</v>
      </c>
      <c r="K4626">
        <v>376.9</v>
      </c>
      <c r="L4626">
        <v>0</v>
      </c>
      <c r="M4626" t="s">
        <v>18</v>
      </c>
      <c r="N4626">
        <v>0</v>
      </c>
      <c r="O4626">
        <v>1</v>
      </c>
    </row>
    <row r="4627" spans="1:15" x14ac:dyDescent="0.2">
      <c r="A4627" s="6">
        <v>45810</v>
      </c>
      <c r="B4627" t="s">
        <v>15</v>
      </c>
      <c r="C4627" t="s">
        <v>16</v>
      </c>
      <c r="D4627" s="1">
        <v>45855</v>
      </c>
      <c r="E4627" t="s">
        <v>17</v>
      </c>
      <c r="F4627">
        <v>5150</v>
      </c>
      <c r="G4627">
        <v>340</v>
      </c>
      <c r="H4627">
        <v>340</v>
      </c>
      <c r="I4627">
        <v>340</v>
      </c>
      <c r="J4627">
        <v>340</v>
      </c>
      <c r="K4627">
        <v>292.5</v>
      </c>
      <c r="L4627">
        <v>1</v>
      </c>
      <c r="M4627" t="s">
        <v>155</v>
      </c>
      <c r="N4627">
        <v>5.49</v>
      </c>
      <c r="O4627">
        <v>2</v>
      </c>
    </row>
    <row r="4628" spans="1:15" x14ac:dyDescent="0.2">
      <c r="A4628" s="6">
        <v>45810</v>
      </c>
      <c r="B4628" t="s">
        <v>15</v>
      </c>
      <c r="C4628" t="s">
        <v>16</v>
      </c>
      <c r="D4628" s="1">
        <v>45855</v>
      </c>
      <c r="E4628" t="s">
        <v>17</v>
      </c>
      <c r="F4628">
        <v>4500</v>
      </c>
      <c r="J4628">
        <v>818.9</v>
      </c>
      <c r="K4628">
        <v>660</v>
      </c>
      <c r="L4628">
        <v>0</v>
      </c>
      <c r="M4628" t="s">
        <v>18</v>
      </c>
      <c r="N4628">
        <v>0</v>
      </c>
      <c r="O4628">
        <v>0</v>
      </c>
    </row>
    <row r="4629" spans="1:15" x14ac:dyDescent="0.2">
      <c r="A4629" s="6">
        <v>45810</v>
      </c>
      <c r="B4629" t="s">
        <v>15</v>
      </c>
      <c r="C4629" t="s">
        <v>16</v>
      </c>
      <c r="D4629" s="1">
        <v>45855</v>
      </c>
      <c r="E4629" t="s">
        <v>17</v>
      </c>
      <c r="F4629">
        <v>4350</v>
      </c>
      <c r="J4629">
        <v>961.3</v>
      </c>
      <c r="K4629">
        <v>798.1</v>
      </c>
      <c r="L4629">
        <v>0</v>
      </c>
      <c r="M4629" t="s">
        <v>18</v>
      </c>
      <c r="N4629">
        <v>0</v>
      </c>
      <c r="O4629">
        <v>0</v>
      </c>
    </row>
    <row r="4630" spans="1:15" x14ac:dyDescent="0.2">
      <c r="A4630" s="6">
        <v>45810</v>
      </c>
      <c r="B4630" t="s">
        <v>15</v>
      </c>
      <c r="C4630" t="s">
        <v>16</v>
      </c>
      <c r="D4630" s="1">
        <v>45855</v>
      </c>
      <c r="E4630" t="s">
        <v>17</v>
      </c>
      <c r="F4630">
        <v>6500</v>
      </c>
      <c r="J4630">
        <v>5.8</v>
      </c>
      <c r="K4630">
        <v>1.8</v>
      </c>
      <c r="L4630">
        <v>0</v>
      </c>
      <c r="M4630" t="s">
        <v>18</v>
      </c>
      <c r="N4630">
        <v>0</v>
      </c>
      <c r="O4630">
        <v>0</v>
      </c>
    </row>
    <row r="4631" spans="1:15" x14ac:dyDescent="0.2">
      <c r="A4631" s="6">
        <v>45810</v>
      </c>
      <c r="B4631" t="s">
        <v>15</v>
      </c>
      <c r="C4631" t="s">
        <v>16</v>
      </c>
      <c r="D4631" s="1">
        <v>45855</v>
      </c>
      <c r="E4631" t="s">
        <v>17</v>
      </c>
      <c r="F4631">
        <v>5950</v>
      </c>
      <c r="J4631">
        <v>39.700000000000003</v>
      </c>
      <c r="K4631">
        <v>17.5</v>
      </c>
      <c r="L4631">
        <v>0</v>
      </c>
      <c r="M4631" t="s">
        <v>18</v>
      </c>
      <c r="N4631">
        <v>0</v>
      </c>
      <c r="O4631">
        <v>0</v>
      </c>
    </row>
    <row r="4632" spans="1:15" x14ac:dyDescent="0.2">
      <c r="A4632" s="6">
        <v>45810</v>
      </c>
      <c r="B4632" t="s">
        <v>15</v>
      </c>
      <c r="C4632" t="s">
        <v>16</v>
      </c>
      <c r="D4632" s="1">
        <v>45855</v>
      </c>
      <c r="E4632" t="s">
        <v>19</v>
      </c>
      <c r="F4632">
        <v>6250</v>
      </c>
      <c r="J4632">
        <v>943.2</v>
      </c>
      <c r="K4632">
        <v>1100.0999999999999</v>
      </c>
      <c r="L4632">
        <v>0</v>
      </c>
      <c r="M4632" t="s">
        <v>18</v>
      </c>
      <c r="N4632">
        <v>0</v>
      </c>
      <c r="O4632">
        <v>0</v>
      </c>
    </row>
    <row r="4633" spans="1:15" x14ac:dyDescent="0.2">
      <c r="A4633" s="6">
        <v>45810</v>
      </c>
      <c r="B4633" t="s">
        <v>15</v>
      </c>
      <c r="C4633" t="s">
        <v>16</v>
      </c>
      <c r="D4633" s="1">
        <v>45855</v>
      </c>
      <c r="E4633" t="s">
        <v>19</v>
      </c>
      <c r="F4633">
        <v>6150</v>
      </c>
      <c r="J4633">
        <v>850.1</v>
      </c>
      <c r="K4633">
        <v>1003.7</v>
      </c>
      <c r="L4633">
        <v>0</v>
      </c>
      <c r="M4633" t="s">
        <v>18</v>
      </c>
      <c r="N4633">
        <v>0</v>
      </c>
      <c r="O4633">
        <v>0</v>
      </c>
    </row>
    <row r="4634" spans="1:15" x14ac:dyDescent="0.2">
      <c r="A4634" s="6">
        <v>45810</v>
      </c>
      <c r="B4634" t="s">
        <v>15</v>
      </c>
      <c r="C4634" t="s">
        <v>16</v>
      </c>
      <c r="D4634" s="1">
        <v>45855</v>
      </c>
      <c r="E4634" t="s">
        <v>19</v>
      </c>
      <c r="F4634">
        <v>3850</v>
      </c>
      <c r="J4634">
        <v>0.1</v>
      </c>
      <c r="K4634">
        <v>0.2</v>
      </c>
      <c r="L4634">
        <v>0</v>
      </c>
      <c r="M4634" t="s">
        <v>18</v>
      </c>
      <c r="N4634">
        <v>0</v>
      </c>
      <c r="O4634">
        <v>0</v>
      </c>
    </row>
    <row r="4635" spans="1:15" x14ac:dyDescent="0.2">
      <c r="A4635" s="6">
        <v>45810</v>
      </c>
      <c r="B4635" t="s">
        <v>15</v>
      </c>
      <c r="C4635" t="s">
        <v>16</v>
      </c>
      <c r="D4635" s="1">
        <v>45855</v>
      </c>
      <c r="E4635" t="s">
        <v>17</v>
      </c>
      <c r="F4635">
        <v>3850</v>
      </c>
      <c r="J4635">
        <v>1452.6</v>
      </c>
      <c r="K4635">
        <v>1285.4000000000001</v>
      </c>
      <c r="L4635">
        <v>0</v>
      </c>
      <c r="M4635" t="s">
        <v>18</v>
      </c>
      <c r="N4635">
        <v>0</v>
      </c>
      <c r="O4635">
        <v>0</v>
      </c>
    </row>
    <row r="4636" spans="1:15" x14ac:dyDescent="0.2">
      <c r="A4636" s="6">
        <v>45810</v>
      </c>
      <c r="B4636" t="s">
        <v>15</v>
      </c>
      <c r="C4636" t="s">
        <v>16</v>
      </c>
      <c r="D4636" s="1">
        <v>45855</v>
      </c>
      <c r="E4636" t="s">
        <v>17</v>
      </c>
      <c r="F4636">
        <v>6600</v>
      </c>
      <c r="J4636">
        <v>3.9</v>
      </c>
      <c r="K4636">
        <v>1.1000000000000001</v>
      </c>
      <c r="L4636">
        <v>0</v>
      </c>
      <c r="M4636" t="s">
        <v>18</v>
      </c>
      <c r="N4636">
        <v>0</v>
      </c>
      <c r="O4636">
        <v>0</v>
      </c>
    </row>
    <row r="4637" spans="1:15" x14ac:dyDescent="0.2">
      <c r="A4637" s="6">
        <v>45810</v>
      </c>
      <c r="B4637" t="s">
        <v>15</v>
      </c>
      <c r="C4637" t="s">
        <v>16</v>
      </c>
      <c r="D4637" s="1">
        <v>45855</v>
      </c>
      <c r="E4637" t="s">
        <v>17</v>
      </c>
      <c r="F4637">
        <v>6400</v>
      </c>
      <c r="J4637">
        <v>8.4</v>
      </c>
      <c r="K4637">
        <v>2.8</v>
      </c>
      <c r="L4637">
        <v>0</v>
      </c>
      <c r="M4637" t="s">
        <v>18</v>
      </c>
      <c r="N4637">
        <v>0</v>
      </c>
      <c r="O4637">
        <v>0</v>
      </c>
    </row>
    <row r="4638" spans="1:15" x14ac:dyDescent="0.2">
      <c r="A4638" s="6">
        <v>45810</v>
      </c>
      <c r="B4638" t="s">
        <v>15</v>
      </c>
      <c r="C4638" t="s">
        <v>16</v>
      </c>
      <c r="D4638" s="1">
        <v>45855</v>
      </c>
      <c r="E4638" t="s">
        <v>19</v>
      </c>
      <c r="F4638">
        <v>4950</v>
      </c>
      <c r="J4638">
        <v>76.400000000000006</v>
      </c>
      <c r="K4638">
        <v>116.3</v>
      </c>
      <c r="L4638">
        <v>0</v>
      </c>
      <c r="M4638" t="s">
        <v>18</v>
      </c>
      <c r="N4638">
        <v>0</v>
      </c>
      <c r="O4638">
        <v>0</v>
      </c>
    </row>
    <row r="4639" spans="1:15" x14ac:dyDescent="0.2">
      <c r="A4639" s="6">
        <v>45810</v>
      </c>
      <c r="B4639" t="s">
        <v>15</v>
      </c>
      <c r="C4639" t="s">
        <v>16</v>
      </c>
      <c r="D4639" s="1">
        <v>45855</v>
      </c>
      <c r="E4639" t="s">
        <v>17</v>
      </c>
      <c r="F4639">
        <v>5750</v>
      </c>
      <c r="J4639">
        <v>72.3</v>
      </c>
      <c r="K4639">
        <v>35.700000000000003</v>
      </c>
      <c r="L4639">
        <v>0</v>
      </c>
      <c r="M4639" t="s">
        <v>18</v>
      </c>
      <c r="N4639">
        <v>0</v>
      </c>
      <c r="O4639">
        <v>0</v>
      </c>
    </row>
    <row r="4640" spans="1:15" x14ac:dyDescent="0.2">
      <c r="A4640" s="6">
        <v>45810</v>
      </c>
      <c r="B4640" t="s">
        <v>15</v>
      </c>
      <c r="C4640" t="s">
        <v>16</v>
      </c>
      <c r="D4640" s="1">
        <v>45855</v>
      </c>
      <c r="E4640" t="s">
        <v>19</v>
      </c>
      <c r="F4640">
        <v>5050</v>
      </c>
      <c r="J4640">
        <v>105.7</v>
      </c>
      <c r="K4640">
        <v>156.5</v>
      </c>
      <c r="L4640">
        <v>0</v>
      </c>
      <c r="M4640" t="s">
        <v>18</v>
      </c>
      <c r="N4640">
        <v>0</v>
      </c>
      <c r="O4640">
        <v>0</v>
      </c>
    </row>
    <row r="4641" spans="1:15" x14ac:dyDescent="0.2">
      <c r="A4641" s="6">
        <v>45810</v>
      </c>
      <c r="B4641" t="s">
        <v>15</v>
      </c>
      <c r="C4641" t="s">
        <v>16</v>
      </c>
      <c r="D4641" s="1">
        <v>45855</v>
      </c>
      <c r="E4641" t="s">
        <v>19</v>
      </c>
      <c r="F4641">
        <v>6400</v>
      </c>
      <c r="J4641">
        <v>1085.9000000000001</v>
      </c>
      <c r="K4641">
        <v>1246.3</v>
      </c>
      <c r="L4641">
        <v>0</v>
      </c>
      <c r="M4641" t="s">
        <v>18</v>
      </c>
      <c r="N4641">
        <v>0</v>
      </c>
      <c r="O4641">
        <v>0</v>
      </c>
    </row>
    <row r="4642" spans="1:15" x14ac:dyDescent="0.2">
      <c r="A4642" s="6">
        <v>45810</v>
      </c>
      <c r="B4642" t="s">
        <v>15</v>
      </c>
      <c r="C4642" t="s">
        <v>16</v>
      </c>
      <c r="D4642" s="1">
        <v>45855</v>
      </c>
      <c r="E4642" t="s">
        <v>19</v>
      </c>
      <c r="F4642">
        <v>5900</v>
      </c>
      <c r="J4642">
        <v>627.79999999999995</v>
      </c>
      <c r="K4642">
        <v>768.7</v>
      </c>
      <c r="L4642">
        <v>0</v>
      </c>
      <c r="M4642" t="s">
        <v>18</v>
      </c>
      <c r="N4642">
        <v>0</v>
      </c>
      <c r="O4642">
        <v>0</v>
      </c>
    </row>
    <row r="4643" spans="1:15" x14ac:dyDescent="0.2">
      <c r="A4643" s="6">
        <v>45810</v>
      </c>
      <c r="B4643" t="s">
        <v>15</v>
      </c>
      <c r="C4643" t="s">
        <v>16</v>
      </c>
      <c r="D4643" s="1">
        <v>45855</v>
      </c>
      <c r="E4643" t="s">
        <v>19</v>
      </c>
      <c r="F4643">
        <v>5300</v>
      </c>
      <c r="G4643">
        <v>260.5</v>
      </c>
      <c r="H4643">
        <v>260.5</v>
      </c>
      <c r="I4643">
        <v>239.9</v>
      </c>
      <c r="J4643">
        <v>246.8</v>
      </c>
      <c r="K4643">
        <v>290.8</v>
      </c>
      <c r="L4643">
        <v>3</v>
      </c>
      <c r="M4643" t="s">
        <v>34</v>
      </c>
      <c r="N4643">
        <v>16.64</v>
      </c>
      <c r="O4643">
        <v>5</v>
      </c>
    </row>
    <row r="4644" spans="1:15" x14ac:dyDescent="0.2">
      <c r="A4644" s="6">
        <v>45810</v>
      </c>
      <c r="B4644" t="s">
        <v>15</v>
      </c>
      <c r="C4644" t="s">
        <v>16</v>
      </c>
      <c r="D4644" s="1">
        <v>45855</v>
      </c>
      <c r="E4644" t="s">
        <v>19</v>
      </c>
      <c r="F4644">
        <v>4600</v>
      </c>
      <c r="J4644">
        <v>18.600000000000001</v>
      </c>
      <c r="K4644">
        <v>31.2</v>
      </c>
      <c r="L4644">
        <v>0</v>
      </c>
      <c r="M4644" t="s">
        <v>18</v>
      </c>
      <c r="N4644">
        <v>0</v>
      </c>
      <c r="O4644">
        <v>0</v>
      </c>
    </row>
    <row r="4645" spans="1:15" x14ac:dyDescent="0.2">
      <c r="A4645" s="6">
        <v>45810</v>
      </c>
      <c r="B4645" t="s">
        <v>15</v>
      </c>
      <c r="C4645" t="s">
        <v>16</v>
      </c>
      <c r="D4645" s="1">
        <v>45855</v>
      </c>
      <c r="E4645" t="s">
        <v>19</v>
      </c>
      <c r="F4645">
        <v>5450</v>
      </c>
      <c r="J4645">
        <v>293.60000000000002</v>
      </c>
      <c r="K4645">
        <v>392.8</v>
      </c>
      <c r="L4645">
        <v>0</v>
      </c>
      <c r="M4645" t="s">
        <v>18</v>
      </c>
      <c r="N4645">
        <v>0</v>
      </c>
      <c r="O4645">
        <v>0</v>
      </c>
    </row>
    <row r="4646" spans="1:15" x14ac:dyDescent="0.2">
      <c r="A4646" s="6">
        <v>45810</v>
      </c>
      <c r="B4646" t="s">
        <v>15</v>
      </c>
      <c r="C4646" t="s">
        <v>16</v>
      </c>
      <c r="D4646" s="1">
        <v>45855</v>
      </c>
      <c r="E4646" t="s">
        <v>19</v>
      </c>
      <c r="F4646">
        <v>5400</v>
      </c>
      <c r="G4646">
        <v>280</v>
      </c>
      <c r="H4646">
        <v>320</v>
      </c>
      <c r="I4646">
        <v>280</v>
      </c>
      <c r="J4646">
        <v>300</v>
      </c>
      <c r="K4646">
        <v>357.2</v>
      </c>
      <c r="L4646">
        <v>2</v>
      </c>
      <c r="M4646" t="s">
        <v>28</v>
      </c>
      <c r="N4646">
        <v>11.4</v>
      </c>
      <c r="O4646">
        <v>2</v>
      </c>
    </row>
    <row r="4647" spans="1:15" x14ac:dyDescent="0.2">
      <c r="A4647" s="6">
        <v>45810</v>
      </c>
      <c r="B4647" t="s">
        <v>15</v>
      </c>
      <c r="C4647" t="s">
        <v>16</v>
      </c>
      <c r="D4647" s="1">
        <v>45855</v>
      </c>
      <c r="E4647" t="s">
        <v>19</v>
      </c>
      <c r="F4647">
        <v>4450</v>
      </c>
      <c r="J4647">
        <v>8.6</v>
      </c>
      <c r="K4647">
        <v>15.1</v>
      </c>
      <c r="L4647">
        <v>0</v>
      </c>
      <c r="M4647" t="s">
        <v>18</v>
      </c>
      <c r="N4647">
        <v>0</v>
      </c>
      <c r="O4647">
        <v>0</v>
      </c>
    </row>
    <row r="4648" spans="1:15" x14ac:dyDescent="0.2">
      <c r="A4648" s="6">
        <v>45810</v>
      </c>
      <c r="B4648" t="s">
        <v>15</v>
      </c>
      <c r="C4648" t="s">
        <v>16</v>
      </c>
      <c r="D4648" s="1">
        <v>45855</v>
      </c>
      <c r="E4648" t="s">
        <v>17</v>
      </c>
      <c r="F4648">
        <v>3750</v>
      </c>
      <c r="J4648">
        <v>1551.7</v>
      </c>
      <c r="K4648">
        <v>1384.4</v>
      </c>
      <c r="L4648">
        <v>0</v>
      </c>
      <c r="M4648" t="s">
        <v>18</v>
      </c>
      <c r="N4648">
        <v>0</v>
      </c>
      <c r="O4648">
        <v>0</v>
      </c>
    </row>
    <row r="4649" spans="1:15" x14ac:dyDescent="0.2">
      <c r="A4649" s="6">
        <v>45810</v>
      </c>
      <c r="B4649" t="s">
        <v>15</v>
      </c>
      <c r="C4649" t="s">
        <v>16</v>
      </c>
      <c r="D4649" s="1">
        <v>45855</v>
      </c>
      <c r="E4649" t="s">
        <v>17</v>
      </c>
      <c r="F4649">
        <v>6050</v>
      </c>
      <c r="J4649">
        <v>28.8</v>
      </c>
      <c r="K4649">
        <v>12</v>
      </c>
      <c r="L4649">
        <v>0</v>
      </c>
      <c r="M4649" t="s">
        <v>18</v>
      </c>
      <c r="N4649">
        <v>0</v>
      </c>
      <c r="O4649">
        <v>0</v>
      </c>
    </row>
    <row r="4650" spans="1:15" x14ac:dyDescent="0.2">
      <c r="A4650" s="6">
        <v>45810</v>
      </c>
      <c r="B4650" t="s">
        <v>15</v>
      </c>
      <c r="C4650" t="s">
        <v>16</v>
      </c>
      <c r="D4650" s="1">
        <v>45855</v>
      </c>
      <c r="E4650" t="s">
        <v>17</v>
      </c>
      <c r="F4650">
        <v>5600</v>
      </c>
      <c r="G4650">
        <v>99</v>
      </c>
      <c r="H4650">
        <v>120</v>
      </c>
      <c r="I4650">
        <v>99</v>
      </c>
      <c r="J4650">
        <v>115.8</v>
      </c>
      <c r="K4650">
        <v>58.2</v>
      </c>
      <c r="L4650">
        <v>5</v>
      </c>
      <c r="M4650" t="s">
        <v>26</v>
      </c>
      <c r="N4650">
        <v>28.58</v>
      </c>
      <c r="O4650">
        <v>5</v>
      </c>
    </row>
    <row r="4651" spans="1:15" x14ac:dyDescent="0.2">
      <c r="A4651" s="6">
        <v>45810</v>
      </c>
      <c r="B4651" t="s">
        <v>15</v>
      </c>
      <c r="C4651" t="s">
        <v>16</v>
      </c>
      <c r="D4651" s="1">
        <v>45855</v>
      </c>
      <c r="E4651" t="s">
        <v>19</v>
      </c>
      <c r="F4651">
        <v>3700</v>
      </c>
      <c r="J4651">
        <v>0.1</v>
      </c>
      <c r="K4651">
        <v>0.1</v>
      </c>
      <c r="L4651">
        <v>0</v>
      </c>
      <c r="M4651" t="s">
        <v>18</v>
      </c>
      <c r="N4651">
        <v>0</v>
      </c>
      <c r="O4651">
        <v>0</v>
      </c>
    </row>
    <row r="4652" spans="1:15" x14ac:dyDescent="0.2">
      <c r="A4652" s="6">
        <v>45810</v>
      </c>
      <c r="B4652" t="s">
        <v>15</v>
      </c>
      <c r="C4652" t="s">
        <v>16</v>
      </c>
      <c r="D4652" s="1">
        <v>45855</v>
      </c>
      <c r="E4652" t="s">
        <v>17</v>
      </c>
      <c r="F4652">
        <v>6550</v>
      </c>
      <c r="J4652">
        <v>4.7</v>
      </c>
      <c r="K4652">
        <v>1.4</v>
      </c>
      <c r="L4652">
        <v>0</v>
      </c>
      <c r="M4652" t="s">
        <v>18</v>
      </c>
      <c r="N4652">
        <v>0</v>
      </c>
      <c r="O4652">
        <v>0</v>
      </c>
    </row>
    <row r="4653" spans="1:15" x14ac:dyDescent="0.2">
      <c r="A4653" s="6">
        <v>45810</v>
      </c>
      <c r="B4653" t="s">
        <v>15</v>
      </c>
      <c r="C4653" t="s">
        <v>16</v>
      </c>
      <c r="D4653" s="1">
        <v>45855</v>
      </c>
      <c r="E4653" t="s">
        <v>17</v>
      </c>
      <c r="F4653">
        <v>6650</v>
      </c>
      <c r="J4653">
        <v>3.2</v>
      </c>
      <c r="K4653">
        <v>0.9</v>
      </c>
      <c r="L4653">
        <v>0</v>
      </c>
      <c r="M4653" t="s">
        <v>18</v>
      </c>
      <c r="N4653">
        <v>0</v>
      </c>
      <c r="O4653">
        <v>0</v>
      </c>
    </row>
    <row r="4654" spans="1:15" x14ac:dyDescent="0.2">
      <c r="A4654" s="6">
        <v>45810</v>
      </c>
      <c r="B4654" t="s">
        <v>15</v>
      </c>
      <c r="C4654" t="s">
        <v>16</v>
      </c>
      <c r="D4654" s="1">
        <v>45855</v>
      </c>
      <c r="E4654" t="s">
        <v>19</v>
      </c>
      <c r="F4654">
        <v>3750</v>
      </c>
      <c r="J4654">
        <v>0.1</v>
      </c>
      <c r="K4654">
        <v>0.1</v>
      </c>
      <c r="L4654">
        <v>0</v>
      </c>
      <c r="M4654" t="s">
        <v>18</v>
      </c>
      <c r="N4654">
        <v>0</v>
      </c>
      <c r="O4654">
        <v>0</v>
      </c>
    </row>
    <row r="4655" spans="1:15" x14ac:dyDescent="0.2">
      <c r="A4655" s="6">
        <v>45810</v>
      </c>
      <c r="B4655" t="s">
        <v>15</v>
      </c>
      <c r="C4655" t="s">
        <v>16</v>
      </c>
      <c r="D4655" s="1">
        <v>45855</v>
      </c>
      <c r="E4655" t="s">
        <v>19</v>
      </c>
      <c r="F4655">
        <v>4550</v>
      </c>
      <c r="J4655">
        <v>14.6</v>
      </c>
      <c r="K4655">
        <v>24.8</v>
      </c>
      <c r="L4655">
        <v>0</v>
      </c>
      <c r="M4655" t="s">
        <v>18</v>
      </c>
      <c r="N4655">
        <v>0</v>
      </c>
      <c r="O4655">
        <v>0</v>
      </c>
    </row>
    <row r="4656" spans="1:15" x14ac:dyDescent="0.2">
      <c r="A4656" s="6">
        <v>45810</v>
      </c>
      <c r="B4656" t="s">
        <v>15</v>
      </c>
      <c r="C4656" t="s">
        <v>16</v>
      </c>
      <c r="D4656" s="1">
        <v>45855</v>
      </c>
      <c r="E4656" t="s">
        <v>19</v>
      </c>
      <c r="F4656">
        <v>4700</v>
      </c>
      <c r="J4656">
        <v>29.2</v>
      </c>
      <c r="K4656">
        <v>47.7</v>
      </c>
      <c r="L4656">
        <v>0</v>
      </c>
      <c r="M4656" t="s">
        <v>18</v>
      </c>
      <c r="N4656">
        <v>0</v>
      </c>
      <c r="O4656">
        <v>0</v>
      </c>
    </row>
    <row r="4657" spans="1:15" x14ac:dyDescent="0.2">
      <c r="A4657" s="6">
        <v>45810</v>
      </c>
      <c r="B4657" t="s">
        <v>15</v>
      </c>
      <c r="C4657" t="s">
        <v>16</v>
      </c>
      <c r="D4657" s="1">
        <v>45855</v>
      </c>
      <c r="E4657" t="s">
        <v>19</v>
      </c>
      <c r="F4657">
        <v>5700</v>
      </c>
      <c r="J4657">
        <v>466.1</v>
      </c>
      <c r="K4657">
        <v>591.5</v>
      </c>
      <c r="L4657">
        <v>0</v>
      </c>
      <c r="M4657" t="s">
        <v>18</v>
      </c>
      <c r="N4657">
        <v>0</v>
      </c>
      <c r="O4657">
        <v>0</v>
      </c>
    </row>
    <row r="4658" spans="1:15" x14ac:dyDescent="0.2">
      <c r="A4658" s="6">
        <v>45810</v>
      </c>
      <c r="B4658" t="s">
        <v>15</v>
      </c>
      <c r="C4658" t="s">
        <v>16</v>
      </c>
      <c r="D4658" s="1">
        <v>45855</v>
      </c>
      <c r="E4658" t="s">
        <v>19</v>
      </c>
      <c r="F4658">
        <v>5200</v>
      </c>
      <c r="J4658">
        <v>162.6</v>
      </c>
      <c r="K4658">
        <v>231.4</v>
      </c>
      <c r="L4658">
        <v>0</v>
      </c>
      <c r="M4658" t="s">
        <v>18</v>
      </c>
      <c r="N4658">
        <v>0</v>
      </c>
      <c r="O4658">
        <v>3</v>
      </c>
    </row>
    <row r="4659" spans="1:15" x14ac:dyDescent="0.2">
      <c r="A4659" s="6">
        <v>45810</v>
      </c>
      <c r="B4659" t="s">
        <v>15</v>
      </c>
      <c r="C4659" t="s">
        <v>16</v>
      </c>
      <c r="D4659" s="1">
        <v>45855</v>
      </c>
      <c r="E4659" t="s">
        <v>19</v>
      </c>
      <c r="F4659">
        <v>4050</v>
      </c>
      <c r="J4659">
        <v>0.6</v>
      </c>
      <c r="K4659">
        <v>1.2</v>
      </c>
      <c r="L4659">
        <v>0</v>
      </c>
      <c r="M4659" t="s">
        <v>18</v>
      </c>
      <c r="N4659">
        <v>0</v>
      </c>
      <c r="O4659">
        <v>0</v>
      </c>
    </row>
    <row r="4660" spans="1:15" x14ac:dyDescent="0.2">
      <c r="A4660" s="6">
        <v>45810</v>
      </c>
      <c r="B4660" t="s">
        <v>15</v>
      </c>
      <c r="C4660" t="s">
        <v>16</v>
      </c>
      <c r="D4660" s="1">
        <v>45855</v>
      </c>
      <c r="E4660" t="s">
        <v>17</v>
      </c>
      <c r="F4660">
        <v>6200</v>
      </c>
      <c r="J4660">
        <v>17.399999999999999</v>
      </c>
      <c r="K4660">
        <v>6.6</v>
      </c>
      <c r="L4660">
        <v>0</v>
      </c>
      <c r="M4660" t="s">
        <v>18</v>
      </c>
      <c r="N4660">
        <v>0</v>
      </c>
      <c r="O4660">
        <v>0</v>
      </c>
    </row>
    <row r="4661" spans="1:15" x14ac:dyDescent="0.2">
      <c r="A4661" s="6">
        <v>45810</v>
      </c>
      <c r="B4661" t="s">
        <v>15</v>
      </c>
      <c r="C4661" t="s">
        <v>16</v>
      </c>
      <c r="D4661" s="1">
        <v>45855</v>
      </c>
      <c r="E4661" t="s">
        <v>19</v>
      </c>
      <c r="F4661">
        <v>4650</v>
      </c>
      <c r="J4661">
        <v>23.4</v>
      </c>
      <c r="K4661">
        <v>38.700000000000003</v>
      </c>
      <c r="L4661">
        <v>0</v>
      </c>
      <c r="M4661" t="s">
        <v>18</v>
      </c>
      <c r="N4661">
        <v>0</v>
      </c>
      <c r="O4661">
        <v>0</v>
      </c>
    </row>
    <row r="4662" spans="1:15" x14ac:dyDescent="0.2">
      <c r="A4662" s="6">
        <v>45810</v>
      </c>
      <c r="B4662" t="s">
        <v>15</v>
      </c>
      <c r="C4662" t="s">
        <v>16</v>
      </c>
      <c r="D4662" s="1">
        <v>45855</v>
      </c>
      <c r="E4662" t="s">
        <v>17</v>
      </c>
      <c r="F4662">
        <v>5050</v>
      </c>
      <c r="J4662">
        <v>367.6</v>
      </c>
      <c r="K4662">
        <v>251.7</v>
      </c>
      <c r="L4662">
        <v>0</v>
      </c>
      <c r="M4662" t="s">
        <v>18</v>
      </c>
      <c r="N4662">
        <v>0</v>
      </c>
      <c r="O4662">
        <v>0</v>
      </c>
    </row>
    <row r="4663" spans="1:15" x14ac:dyDescent="0.2">
      <c r="A4663" s="6">
        <v>45810</v>
      </c>
      <c r="B4663" t="s">
        <v>15</v>
      </c>
      <c r="C4663" t="s">
        <v>16</v>
      </c>
      <c r="D4663" s="1">
        <v>45855</v>
      </c>
      <c r="E4663" t="s">
        <v>19</v>
      </c>
      <c r="F4663">
        <v>5350</v>
      </c>
      <c r="G4663">
        <v>308.7</v>
      </c>
      <c r="H4663">
        <v>308.7</v>
      </c>
      <c r="I4663">
        <v>308.7</v>
      </c>
      <c r="J4663">
        <v>308.7</v>
      </c>
      <c r="K4663">
        <v>323.10000000000002</v>
      </c>
      <c r="L4663">
        <v>1</v>
      </c>
      <c r="M4663" t="s">
        <v>155</v>
      </c>
      <c r="N4663">
        <v>5.66</v>
      </c>
      <c r="O4663">
        <v>1</v>
      </c>
    </row>
    <row r="4664" spans="1:15" x14ac:dyDescent="0.2">
      <c r="A4664" s="6">
        <v>45810</v>
      </c>
      <c r="B4664" t="s">
        <v>15</v>
      </c>
      <c r="C4664" t="s">
        <v>16</v>
      </c>
      <c r="D4664" s="1">
        <v>45855</v>
      </c>
      <c r="E4664" t="s">
        <v>19</v>
      </c>
      <c r="F4664">
        <v>3900</v>
      </c>
      <c r="J4664">
        <v>0.2</v>
      </c>
      <c r="K4664">
        <v>0.4</v>
      </c>
      <c r="L4664">
        <v>0</v>
      </c>
      <c r="M4664" t="s">
        <v>18</v>
      </c>
      <c r="N4664">
        <v>0</v>
      </c>
      <c r="O4664">
        <v>0</v>
      </c>
    </row>
    <row r="4665" spans="1:15" x14ac:dyDescent="0.2">
      <c r="A4665" s="6">
        <v>45810</v>
      </c>
      <c r="B4665" t="s">
        <v>15</v>
      </c>
      <c r="C4665" t="s">
        <v>16</v>
      </c>
      <c r="D4665" s="1">
        <v>45855</v>
      </c>
      <c r="E4665" t="s">
        <v>17</v>
      </c>
      <c r="F4665">
        <v>5900</v>
      </c>
      <c r="J4665">
        <v>46.4</v>
      </c>
      <c r="K4665">
        <v>21.1</v>
      </c>
      <c r="L4665">
        <v>0</v>
      </c>
      <c r="M4665" t="s">
        <v>18</v>
      </c>
      <c r="N4665">
        <v>0</v>
      </c>
      <c r="O4665">
        <v>0</v>
      </c>
    </row>
    <row r="4666" spans="1:15" x14ac:dyDescent="0.2">
      <c r="A4666" s="6">
        <v>45810</v>
      </c>
      <c r="B4666" t="s">
        <v>15</v>
      </c>
      <c r="C4666" t="s">
        <v>16</v>
      </c>
      <c r="D4666" s="1">
        <v>45855</v>
      </c>
      <c r="E4666" t="s">
        <v>17</v>
      </c>
      <c r="F4666">
        <v>6250</v>
      </c>
      <c r="J4666">
        <v>14.6</v>
      </c>
      <c r="K4666">
        <v>5.4</v>
      </c>
      <c r="L4666">
        <v>0</v>
      </c>
      <c r="M4666" t="s">
        <v>18</v>
      </c>
      <c r="N4666">
        <v>0</v>
      </c>
      <c r="O4666">
        <v>0</v>
      </c>
    </row>
    <row r="4667" spans="1:15" x14ac:dyDescent="0.2">
      <c r="A4667" s="6">
        <v>45810</v>
      </c>
      <c r="B4667" t="s">
        <v>15</v>
      </c>
      <c r="C4667" t="s">
        <v>16</v>
      </c>
      <c r="D4667" s="1">
        <v>45855</v>
      </c>
      <c r="E4667" t="s">
        <v>17</v>
      </c>
      <c r="F4667">
        <v>4600</v>
      </c>
      <c r="J4667">
        <v>726.9</v>
      </c>
      <c r="K4667">
        <v>572.6</v>
      </c>
      <c r="L4667">
        <v>0</v>
      </c>
      <c r="M4667" t="s">
        <v>18</v>
      </c>
      <c r="N4667">
        <v>0</v>
      </c>
      <c r="O4667">
        <v>0</v>
      </c>
    </row>
    <row r="4668" spans="1:15" x14ac:dyDescent="0.2">
      <c r="A4668" s="6">
        <v>45810</v>
      </c>
      <c r="B4668" t="s">
        <v>15</v>
      </c>
      <c r="C4668" t="s">
        <v>16</v>
      </c>
      <c r="D4668" s="1">
        <v>45855</v>
      </c>
      <c r="E4668" t="s">
        <v>19</v>
      </c>
      <c r="F4668">
        <v>5150</v>
      </c>
      <c r="J4668">
        <v>141.9</v>
      </c>
      <c r="K4668">
        <v>204.5</v>
      </c>
      <c r="L4668">
        <v>0</v>
      </c>
      <c r="M4668" t="s">
        <v>18</v>
      </c>
      <c r="N4668">
        <v>0</v>
      </c>
      <c r="O4668">
        <v>0</v>
      </c>
    </row>
    <row r="4669" spans="1:15" x14ac:dyDescent="0.2">
      <c r="A4669" s="6">
        <v>45810</v>
      </c>
      <c r="B4669" t="s">
        <v>15</v>
      </c>
      <c r="C4669" t="s">
        <v>16</v>
      </c>
      <c r="D4669" s="1">
        <v>45855</v>
      </c>
      <c r="E4669" t="s">
        <v>19</v>
      </c>
      <c r="F4669">
        <v>6550</v>
      </c>
      <c r="J4669">
        <v>1231</v>
      </c>
      <c r="K4669">
        <v>1393.7</v>
      </c>
      <c r="L4669">
        <v>0</v>
      </c>
      <c r="M4669" t="s">
        <v>18</v>
      </c>
      <c r="N4669">
        <v>0</v>
      </c>
      <c r="O4669">
        <v>0</v>
      </c>
    </row>
    <row r="4670" spans="1:15" x14ac:dyDescent="0.2">
      <c r="A4670" s="6">
        <v>45810</v>
      </c>
      <c r="B4670" t="s">
        <v>15</v>
      </c>
      <c r="C4670" t="s">
        <v>16</v>
      </c>
      <c r="D4670" s="1">
        <v>45855</v>
      </c>
      <c r="E4670" t="s">
        <v>17</v>
      </c>
      <c r="F4670">
        <v>5450</v>
      </c>
      <c r="J4670">
        <v>158.69999999999999</v>
      </c>
      <c r="K4670">
        <v>91.4</v>
      </c>
      <c r="L4670">
        <v>0</v>
      </c>
      <c r="M4670" t="s">
        <v>18</v>
      </c>
      <c r="N4670">
        <v>0</v>
      </c>
      <c r="O4670">
        <v>0</v>
      </c>
    </row>
    <row r="4671" spans="1:15" x14ac:dyDescent="0.2">
      <c r="A4671" s="6">
        <v>45810</v>
      </c>
      <c r="B4671" t="s">
        <v>15</v>
      </c>
      <c r="C4671" t="s">
        <v>16</v>
      </c>
      <c r="D4671" s="1">
        <v>45855</v>
      </c>
      <c r="E4671" t="s">
        <v>17</v>
      </c>
      <c r="F4671">
        <v>6000</v>
      </c>
      <c r="G4671">
        <v>19.5</v>
      </c>
      <c r="H4671">
        <v>90</v>
      </c>
      <c r="I4671">
        <v>19.5</v>
      </c>
      <c r="J4671">
        <v>58.5</v>
      </c>
      <c r="K4671">
        <v>14.5</v>
      </c>
      <c r="L4671">
        <v>38</v>
      </c>
      <c r="M4671" t="s">
        <v>205</v>
      </c>
      <c r="N4671">
        <v>230.62</v>
      </c>
      <c r="O4671">
        <v>11</v>
      </c>
    </row>
    <row r="4672" spans="1:15" x14ac:dyDescent="0.2">
      <c r="A4672" s="6">
        <v>45810</v>
      </c>
      <c r="B4672" t="s">
        <v>15</v>
      </c>
      <c r="C4672" t="s">
        <v>16</v>
      </c>
      <c r="D4672" s="1">
        <v>45855</v>
      </c>
      <c r="E4672" t="s">
        <v>17</v>
      </c>
      <c r="F4672">
        <v>6350</v>
      </c>
      <c r="J4672">
        <v>10.199999999999999</v>
      </c>
      <c r="K4672">
        <v>3.5</v>
      </c>
      <c r="L4672">
        <v>0</v>
      </c>
      <c r="M4672" t="s">
        <v>18</v>
      </c>
      <c r="N4672">
        <v>0</v>
      </c>
      <c r="O4672">
        <v>0</v>
      </c>
    </row>
    <row r="4673" spans="1:15" x14ac:dyDescent="0.2">
      <c r="A4673" s="6">
        <v>45810</v>
      </c>
      <c r="B4673" t="s">
        <v>15</v>
      </c>
      <c r="C4673" t="s">
        <v>16</v>
      </c>
      <c r="D4673" s="1">
        <v>45855</v>
      </c>
      <c r="E4673" t="s">
        <v>19</v>
      </c>
      <c r="F4673">
        <v>4500</v>
      </c>
      <c r="J4673">
        <v>11.3</v>
      </c>
      <c r="K4673">
        <v>19.5</v>
      </c>
      <c r="L4673">
        <v>0</v>
      </c>
      <c r="M4673" t="s">
        <v>18</v>
      </c>
      <c r="N4673">
        <v>0</v>
      </c>
      <c r="O4673">
        <v>0</v>
      </c>
    </row>
    <row r="4674" spans="1:15" x14ac:dyDescent="0.2">
      <c r="A4674" s="6">
        <v>45810</v>
      </c>
      <c r="B4674" t="s">
        <v>15</v>
      </c>
      <c r="C4674" t="s">
        <v>16</v>
      </c>
      <c r="D4674" s="1">
        <v>45855</v>
      </c>
      <c r="E4674" t="s">
        <v>17</v>
      </c>
      <c r="F4674">
        <v>4150</v>
      </c>
      <c r="J4674">
        <v>1156.2</v>
      </c>
      <c r="K4674">
        <v>990.1</v>
      </c>
      <c r="L4674">
        <v>0</v>
      </c>
      <c r="M4674" t="s">
        <v>18</v>
      </c>
      <c r="N4674">
        <v>0</v>
      </c>
      <c r="O4674">
        <v>0</v>
      </c>
    </row>
    <row r="4675" spans="1:15" x14ac:dyDescent="0.2">
      <c r="A4675" s="6">
        <v>45810</v>
      </c>
      <c r="B4675" t="s">
        <v>15</v>
      </c>
      <c r="C4675" t="s">
        <v>16</v>
      </c>
      <c r="D4675" s="1">
        <v>45855</v>
      </c>
      <c r="E4675" t="s">
        <v>17</v>
      </c>
      <c r="F4675">
        <v>6300</v>
      </c>
      <c r="J4675">
        <v>12.2</v>
      </c>
      <c r="K4675">
        <v>4.3</v>
      </c>
      <c r="L4675">
        <v>0</v>
      </c>
      <c r="M4675" t="s">
        <v>18</v>
      </c>
      <c r="N4675">
        <v>0</v>
      </c>
      <c r="O4675">
        <v>0</v>
      </c>
    </row>
    <row r="4676" spans="1:15" x14ac:dyDescent="0.2">
      <c r="A4676" s="6">
        <v>45810</v>
      </c>
      <c r="B4676" t="s">
        <v>15</v>
      </c>
      <c r="C4676" t="s">
        <v>16</v>
      </c>
      <c r="D4676" s="1">
        <v>45855</v>
      </c>
      <c r="E4676" t="s">
        <v>19</v>
      </c>
      <c r="F4676">
        <v>5950</v>
      </c>
      <c r="J4676">
        <v>670.7</v>
      </c>
      <c r="K4676">
        <v>814.8</v>
      </c>
      <c r="L4676">
        <v>0</v>
      </c>
      <c r="M4676" t="s">
        <v>18</v>
      </c>
      <c r="N4676">
        <v>0</v>
      </c>
      <c r="O4676">
        <v>0</v>
      </c>
    </row>
    <row r="4677" spans="1:15" x14ac:dyDescent="0.2">
      <c r="A4677" s="6">
        <v>45810</v>
      </c>
      <c r="B4677" t="s">
        <v>15</v>
      </c>
      <c r="C4677" t="s">
        <v>16</v>
      </c>
      <c r="D4677" s="1">
        <v>45855</v>
      </c>
      <c r="E4677" t="s">
        <v>19</v>
      </c>
      <c r="F4677">
        <v>4400</v>
      </c>
      <c r="J4677">
        <v>6.5</v>
      </c>
      <c r="K4677">
        <v>11.6</v>
      </c>
      <c r="L4677">
        <v>0</v>
      </c>
      <c r="M4677" t="s">
        <v>18</v>
      </c>
      <c r="N4677">
        <v>0</v>
      </c>
      <c r="O4677">
        <v>0</v>
      </c>
    </row>
    <row r="4678" spans="1:15" x14ac:dyDescent="0.2">
      <c r="A4678" s="6">
        <v>45810</v>
      </c>
      <c r="B4678" t="s">
        <v>15</v>
      </c>
      <c r="C4678" t="s">
        <v>16</v>
      </c>
      <c r="D4678" s="1">
        <v>45855</v>
      </c>
      <c r="E4678" t="s">
        <v>17</v>
      </c>
      <c r="F4678">
        <v>4250</v>
      </c>
      <c r="J4678">
        <v>1058.2</v>
      </c>
      <c r="K4678">
        <v>893.3</v>
      </c>
      <c r="L4678">
        <v>0</v>
      </c>
      <c r="M4678" t="s">
        <v>18</v>
      </c>
      <c r="N4678">
        <v>0</v>
      </c>
      <c r="O4678">
        <v>0</v>
      </c>
    </row>
    <row r="4679" spans="1:15" x14ac:dyDescent="0.2">
      <c r="A4679" s="6">
        <v>45810</v>
      </c>
      <c r="B4679" t="s">
        <v>15</v>
      </c>
      <c r="C4679" t="s">
        <v>16</v>
      </c>
      <c r="D4679" s="1">
        <v>45855</v>
      </c>
      <c r="E4679" t="s">
        <v>17</v>
      </c>
      <c r="F4679">
        <v>6450</v>
      </c>
      <c r="J4679">
        <v>7</v>
      </c>
      <c r="K4679">
        <v>2.2999999999999998</v>
      </c>
      <c r="L4679">
        <v>0</v>
      </c>
      <c r="M4679" t="s">
        <v>18</v>
      </c>
      <c r="N4679">
        <v>0</v>
      </c>
      <c r="O4679">
        <v>0</v>
      </c>
    </row>
    <row r="4680" spans="1:15" x14ac:dyDescent="0.2">
      <c r="A4680" s="6">
        <v>45810</v>
      </c>
      <c r="B4680" t="s">
        <v>15</v>
      </c>
      <c r="C4680" t="s">
        <v>16</v>
      </c>
      <c r="D4680" s="1">
        <v>45855</v>
      </c>
      <c r="E4680" t="s">
        <v>19</v>
      </c>
      <c r="F4680">
        <v>4100</v>
      </c>
      <c r="J4680">
        <v>0.9</v>
      </c>
      <c r="K4680">
        <v>1.7</v>
      </c>
      <c r="L4680">
        <v>0</v>
      </c>
      <c r="M4680" t="s">
        <v>18</v>
      </c>
      <c r="N4680">
        <v>0</v>
      </c>
      <c r="O4680">
        <v>0</v>
      </c>
    </row>
    <row r="4681" spans="1:15" x14ac:dyDescent="0.2">
      <c r="A4681" s="6">
        <v>45810</v>
      </c>
      <c r="B4681" t="s">
        <v>15</v>
      </c>
      <c r="C4681" t="s">
        <v>16</v>
      </c>
      <c r="D4681" s="1">
        <v>45855</v>
      </c>
      <c r="E4681" t="s">
        <v>17</v>
      </c>
      <c r="F4681">
        <v>4000</v>
      </c>
      <c r="J4681">
        <v>1304.0999999999999</v>
      </c>
      <c r="K4681">
        <v>1137.2</v>
      </c>
      <c r="L4681">
        <v>0</v>
      </c>
      <c r="M4681" t="s">
        <v>18</v>
      </c>
      <c r="N4681">
        <v>0</v>
      </c>
      <c r="O4681">
        <v>0</v>
      </c>
    </row>
    <row r="4682" spans="1:15" x14ac:dyDescent="0.2">
      <c r="A4682" s="6">
        <v>45810</v>
      </c>
      <c r="B4682" t="s">
        <v>15</v>
      </c>
      <c r="C4682" t="s">
        <v>16</v>
      </c>
      <c r="D4682" s="1">
        <v>45855</v>
      </c>
      <c r="E4682" t="s">
        <v>19</v>
      </c>
      <c r="F4682">
        <v>5000</v>
      </c>
      <c r="G4682">
        <v>160</v>
      </c>
      <c r="H4682">
        <v>160</v>
      </c>
      <c r="I4682">
        <v>127</v>
      </c>
      <c r="J4682">
        <v>142.6</v>
      </c>
      <c r="K4682">
        <v>197</v>
      </c>
      <c r="L4682">
        <v>5</v>
      </c>
      <c r="M4682" t="s">
        <v>26</v>
      </c>
      <c r="N4682">
        <v>25.71</v>
      </c>
      <c r="O4682">
        <v>4</v>
      </c>
    </row>
    <row r="4683" spans="1:15" x14ac:dyDescent="0.2">
      <c r="A4683" s="6">
        <v>45810</v>
      </c>
      <c r="B4683" t="s">
        <v>15</v>
      </c>
      <c r="C4683" t="s">
        <v>16</v>
      </c>
      <c r="D4683" s="1">
        <v>45855</v>
      </c>
      <c r="E4683" t="s">
        <v>17</v>
      </c>
      <c r="F4683">
        <v>5800</v>
      </c>
      <c r="J4683">
        <v>62.6</v>
      </c>
      <c r="K4683">
        <v>30</v>
      </c>
      <c r="L4683">
        <v>0</v>
      </c>
      <c r="M4683" t="s">
        <v>18</v>
      </c>
      <c r="N4683">
        <v>0</v>
      </c>
      <c r="O4683">
        <v>0</v>
      </c>
    </row>
    <row r="4684" spans="1:15" x14ac:dyDescent="0.2">
      <c r="A4684" s="6">
        <v>45810</v>
      </c>
      <c r="B4684" t="s">
        <v>15</v>
      </c>
      <c r="C4684" t="s">
        <v>16</v>
      </c>
      <c r="D4684" s="1">
        <v>45855</v>
      </c>
      <c r="E4684" t="s">
        <v>17</v>
      </c>
      <c r="F4684">
        <v>4550</v>
      </c>
      <c r="J4684">
        <v>772.5</v>
      </c>
      <c r="K4684">
        <v>615.79999999999995</v>
      </c>
      <c r="L4684">
        <v>0</v>
      </c>
      <c r="M4684" t="s">
        <v>18</v>
      </c>
      <c r="N4684">
        <v>0</v>
      </c>
      <c r="O4684">
        <v>0</v>
      </c>
    </row>
    <row r="4685" spans="1:15" x14ac:dyDescent="0.2">
      <c r="A4685" s="6">
        <v>45810</v>
      </c>
      <c r="B4685" t="s">
        <v>15</v>
      </c>
      <c r="C4685" t="s">
        <v>16</v>
      </c>
      <c r="D4685" s="1">
        <v>45855</v>
      </c>
      <c r="E4685" t="s">
        <v>17</v>
      </c>
      <c r="F4685">
        <v>4300</v>
      </c>
      <c r="J4685">
        <v>1009.6</v>
      </c>
      <c r="K4685">
        <v>845.4</v>
      </c>
      <c r="L4685">
        <v>0</v>
      </c>
      <c r="M4685" t="s">
        <v>18</v>
      </c>
      <c r="N4685">
        <v>0</v>
      </c>
      <c r="O4685">
        <v>0</v>
      </c>
    </row>
    <row r="4686" spans="1:15" x14ac:dyDescent="0.2">
      <c r="A4686" s="6">
        <v>45810</v>
      </c>
      <c r="B4686" t="s">
        <v>15</v>
      </c>
      <c r="C4686" t="s">
        <v>16</v>
      </c>
      <c r="D4686" s="1">
        <v>45855</v>
      </c>
      <c r="E4686" t="s">
        <v>17</v>
      </c>
      <c r="F4686">
        <v>4850</v>
      </c>
      <c r="J4686">
        <v>513.79999999999995</v>
      </c>
      <c r="K4686">
        <v>377.2</v>
      </c>
      <c r="L4686">
        <v>0</v>
      </c>
      <c r="M4686" t="s">
        <v>18</v>
      </c>
      <c r="N4686">
        <v>0</v>
      </c>
      <c r="O4686">
        <v>0</v>
      </c>
    </row>
    <row r="4687" spans="1:15" x14ac:dyDescent="0.2">
      <c r="A4687" s="6">
        <v>45810</v>
      </c>
      <c r="B4687" t="s">
        <v>15</v>
      </c>
      <c r="C4687" t="s">
        <v>16</v>
      </c>
      <c r="D4687" s="1">
        <v>45855</v>
      </c>
      <c r="E4687" t="s">
        <v>17</v>
      </c>
      <c r="F4687">
        <v>4700</v>
      </c>
      <c r="J4687">
        <v>638.4</v>
      </c>
      <c r="K4687">
        <v>489.9</v>
      </c>
      <c r="L4687">
        <v>0</v>
      </c>
      <c r="M4687" t="s">
        <v>18</v>
      </c>
      <c r="N4687">
        <v>0</v>
      </c>
      <c r="O4687">
        <v>0</v>
      </c>
    </row>
    <row r="4688" spans="1:15" x14ac:dyDescent="0.2">
      <c r="A4688" s="6">
        <v>45810</v>
      </c>
      <c r="B4688" t="s">
        <v>15</v>
      </c>
      <c r="C4688" t="s">
        <v>16</v>
      </c>
      <c r="D4688" s="1">
        <v>45855</v>
      </c>
      <c r="E4688" t="s">
        <v>17</v>
      </c>
      <c r="F4688">
        <v>5500</v>
      </c>
      <c r="G4688">
        <v>188.9</v>
      </c>
      <c r="H4688">
        <v>192</v>
      </c>
      <c r="I4688">
        <v>188.9</v>
      </c>
      <c r="J4688">
        <v>191</v>
      </c>
      <c r="K4688">
        <v>170.5</v>
      </c>
      <c r="L4688">
        <v>5</v>
      </c>
      <c r="M4688" t="s">
        <v>26</v>
      </c>
      <c r="N4688">
        <v>28.45</v>
      </c>
      <c r="O4688">
        <v>1</v>
      </c>
    </row>
    <row r="4689" spans="1:15" x14ac:dyDescent="0.2">
      <c r="A4689" s="6">
        <v>45810</v>
      </c>
      <c r="B4689" t="s">
        <v>15</v>
      </c>
      <c r="C4689" t="s">
        <v>16</v>
      </c>
      <c r="D4689" s="1">
        <v>45855</v>
      </c>
      <c r="E4689" t="s">
        <v>17</v>
      </c>
      <c r="F4689">
        <v>5650</v>
      </c>
      <c r="J4689">
        <v>95.3</v>
      </c>
      <c r="K4689">
        <v>49.6</v>
      </c>
      <c r="L4689">
        <v>0</v>
      </c>
      <c r="M4689" t="s">
        <v>18</v>
      </c>
      <c r="N4689">
        <v>0</v>
      </c>
      <c r="O4689">
        <v>0</v>
      </c>
    </row>
    <row r="4690" spans="1:15" x14ac:dyDescent="0.2">
      <c r="A4690" s="6">
        <v>45810</v>
      </c>
      <c r="B4690" t="s">
        <v>15</v>
      </c>
      <c r="C4690" t="s">
        <v>16</v>
      </c>
      <c r="D4690" s="1">
        <v>45855</v>
      </c>
      <c r="E4690" t="s">
        <v>19</v>
      </c>
      <c r="F4690">
        <v>5800</v>
      </c>
      <c r="J4690">
        <v>544.70000000000005</v>
      </c>
      <c r="K4690">
        <v>678.6</v>
      </c>
      <c r="L4690">
        <v>0</v>
      </c>
      <c r="M4690" t="s">
        <v>18</v>
      </c>
      <c r="N4690">
        <v>0</v>
      </c>
      <c r="O4690">
        <v>0</v>
      </c>
    </row>
    <row r="4691" spans="1:15" x14ac:dyDescent="0.2">
      <c r="A4691" s="6">
        <v>45810</v>
      </c>
      <c r="B4691" t="s">
        <v>15</v>
      </c>
      <c r="C4691" t="s">
        <v>16</v>
      </c>
      <c r="D4691" s="1">
        <v>45855</v>
      </c>
      <c r="E4691" t="s">
        <v>17</v>
      </c>
      <c r="F4691">
        <v>3600</v>
      </c>
      <c r="J4691">
        <v>1700.5</v>
      </c>
      <c r="K4691">
        <v>1533.1</v>
      </c>
      <c r="L4691">
        <v>0</v>
      </c>
      <c r="M4691" t="s">
        <v>18</v>
      </c>
      <c r="N4691">
        <v>0</v>
      </c>
      <c r="O4691">
        <v>0</v>
      </c>
    </row>
    <row r="4692" spans="1:15" x14ac:dyDescent="0.2">
      <c r="A4692" s="6">
        <v>45810</v>
      </c>
      <c r="B4692" t="s">
        <v>15</v>
      </c>
      <c r="C4692" t="s">
        <v>16</v>
      </c>
      <c r="D4692" s="1">
        <v>45855</v>
      </c>
      <c r="E4692" t="s">
        <v>17</v>
      </c>
      <c r="F4692">
        <v>3650</v>
      </c>
      <c r="J4692">
        <v>1650.9</v>
      </c>
      <c r="K4692">
        <v>1483.5</v>
      </c>
      <c r="L4692">
        <v>0</v>
      </c>
      <c r="M4692" t="s">
        <v>18</v>
      </c>
      <c r="N4692">
        <v>0</v>
      </c>
      <c r="O4692">
        <v>0</v>
      </c>
    </row>
    <row r="4693" spans="1:15" x14ac:dyDescent="0.2">
      <c r="A4693" s="6">
        <v>45810</v>
      </c>
      <c r="B4693" t="s">
        <v>15</v>
      </c>
      <c r="C4693" t="s">
        <v>16</v>
      </c>
      <c r="D4693" s="1">
        <v>45855</v>
      </c>
      <c r="E4693" t="s">
        <v>19</v>
      </c>
      <c r="F4693">
        <v>3650</v>
      </c>
      <c r="J4693">
        <v>0.1</v>
      </c>
      <c r="K4693">
        <v>0.1</v>
      </c>
      <c r="L4693">
        <v>0</v>
      </c>
      <c r="M4693" t="s">
        <v>18</v>
      </c>
      <c r="N4693">
        <v>0</v>
      </c>
      <c r="O4693">
        <v>0</v>
      </c>
    </row>
    <row r="4694" spans="1:15" x14ac:dyDescent="0.2">
      <c r="A4694" s="6">
        <v>45810</v>
      </c>
      <c r="B4694" t="s">
        <v>15</v>
      </c>
      <c r="C4694" t="s">
        <v>16</v>
      </c>
      <c r="D4694" s="1">
        <v>45855</v>
      </c>
      <c r="E4694" t="s">
        <v>17</v>
      </c>
      <c r="F4694">
        <v>5350</v>
      </c>
      <c r="G4694">
        <v>270</v>
      </c>
      <c r="H4694">
        <v>270</v>
      </c>
      <c r="I4694">
        <v>270</v>
      </c>
      <c r="J4694">
        <v>270</v>
      </c>
      <c r="K4694">
        <v>120.8</v>
      </c>
      <c r="L4694">
        <v>1</v>
      </c>
      <c r="M4694" t="s">
        <v>155</v>
      </c>
      <c r="N4694">
        <v>5.62</v>
      </c>
      <c r="O4694">
        <v>1</v>
      </c>
    </row>
    <row r="4695" spans="1:15" x14ac:dyDescent="0.2">
      <c r="A4695" s="6">
        <v>45810</v>
      </c>
      <c r="B4695" t="s">
        <v>15</v>
      </c>
      <c r="C4695" t="s">
        <v>16</v>
      </c>
      <c r="D4695" s="1">
        <v>45855</v>
      </c>
      <c r="E4695" t="s">
        <v>17</v>
      </c>
      <c r="F4695">
        <v>6100</v>
      </c>
      <c r="J4695">
        <v>24.4</v>
      </c>
      <c r="K4695">
        <v>9.9</v>
      </c>
      <c r="L4695">
        <v>0</v>
      </c>
      <c r="M4695" t="s">
        <v>18</v>
      </c>
      <c r="N4695">
        <v>0</v>
      </c>
      <c r="O4695">
        <v>0</v>
      </c>
    </row>
    <row r="4696" spans="1:15" x14ac:dyDescent="0.2">
      <c r="A4696" s="6">
        <v>45810</v>
      </c>
      <c r="B4696" t="s">
        <v>15</v>
      </c>
      <c r="C4696" t="s">
        <v>16</v>
      </c>
      <c r="D4696" s="1">
        <v>45855</v>
      </c>
      <c r="E4696" t="s">
        <v>19</v>
      </c>
      <c r="F4696">
        <v>4850</v>
      </c>
      <c r="J4696">
        <v>53.5</v>
      </c>
      <c r="K4696">
        <v>83.7</v>
      </c>
      <c r="L4696">
        <v>0</v>
      </c>
      <c r="M4696" t="s">
        <v>18</v>
      </c>
      <c r="N4696">
        <v>0</v>
      </c>
      <c r="O4696">
        <v>0</v>
      </c>
    </row>
    <row r="4697" spans="1:15" x14ac:dyDescent="0.2">
      <c r="A4697" s="6">
        <v>45810</v>
      </c>
      <c r="B4697" t="s">
        <v>15</v>
      </c>
      <c r="C4697" t="s">
        <v>16</v>
      </c>
      <c r="D4697" s="1">
        <v>45855</v>
      </c>
      <c r="E4697" t="s">
        <v>19</v>
      </c>
      <c r="F4697">
        <v>4000</v>
      </c>
      <c r="J4697">
        <v>0.4</v>
      </c>
      <c r="K4697">
        <v>0.8</v>
      </c>
      <c r="L4697">
        <v>0</v>
      </c>
      <c r="M4697" t="s">
        <v>18</v>
      </c>
      <c r="N4697">
        <v>0</v>
      </c>
      <c r="O4697">
        <v>0</v>
      </c>
    </row>
    <row r="4698" spans="1:15" x14ac:dyDescent="0.2">
      <c r="A4698" s="6">
        <v>45810</v>
      </c>
      <c r="B4698" t="s">
        <v>15</v>
      </c>
      <c r="C4698" t="s">
        <v>16</v>
      </c>
      <c r="D4698" s="1">
        <v>45855</v>
      </c>
      <c r="E4698" t="s">
        <v>19</v>
      </c>
      <c r="F4698">
        <v>5600</v>
      </c>
      <c r="J4698">
        <v>392.6</v>
      </c>
      <c r="K4698">
        <v>508.4</v>
      </c>
      <c r="L4698">
        <v>0</v>
      </c>
      <c r="M4698" t="s">
        <v>18</v>
      </c>
      <c r="N4698">
        <v>0</v>
      </c>
      <c r="O4698">
        <v>0</v>
      </c>
    </row>
    <row r="4699" spans="1:15" x14ac:dyDescent="0.2">
      <c r="A4699" s="6">
        <v>45810</v>
      </c>
      <c r="B4699" t="s">
        <v>15</v>
      </c>
      <c r="C4699" t="s">
        <v>16</v>
      </c>
      <c r="D4699" s="1">
        <v>45855</v>
      </c>
      <c r="E4699" t="s">
        <v>19</v>
      </c>
      <c r="F4699">
        <v>5650</v>
      </c>
      <c r="J4699">
        <v>428.7</v>
      </c>
      <c r="K4699">
        <v>549.4</v>
      </c>
      <c r="L4699">
        <v>0</v>
      </c>
      <c r="M4699" t="s">
        <v>18</v>
      </c>
      <c r="N4699">
        <v>0</v>
      </c>
      <c r="O4699">
        <v>0</v>
      </c>
    </row>
    <row r="4700" spans="1:15" x14ac:dyDescent="0.2">
      <c r="A4700" s="6">
        <v>45810</v>
      </c>
      <c r="B4700" t="s">
        <v>15</v>
      </c>
      <c r="C4700" t="s">
        <v>16</v>
      </c>
      <c r="D4700" s="1">
        <v>45855</v>
      </c>
      <c r="E4700" t="s">
        <v>19</v>
      </c>
      <c r="F4700">
        <v>6350</v>
      </c>
      <c r="J4700">
        <v>1038</v>
      </c>
      <c r="K4700">
        <v>1197.4000000000001</v>
      </c>
      <c r="L4700">
        <v>0</v>
      </c>
      <c r="M4700" t="s">
        <v>18</v>
      </c>
      <c r="N4700">
        <v>0</v>
      </c>
      <c r="O4700">
        <v>0</v>
      </c>
    </row>
    <row r="4701" spans="1:15" x14ac:dyDescent="0.2">
      <c r="A4701" s="6">
        <v>45810</v>
      </c>
      <c r="B4701" t="s">
        <v>15</v>
      </c>
      <c r="C4701" t="s">
        <v>16</v>
      </c>
      <c r="D4701" s="1">
        <v>45855</v>
      </c>
      <c r="E4701" t="s">
        <v>17</v>
      </c>
      <c r="F4701">
        <v>3950</v>
      </c>
      <c r="J4701">
        <v>1353.5</v>
      </c>
      <c r="K4701">
        <v>1186.5</v>
      </c>
      <c r="L4701">
        <v>0</v>
      </c>
      <c r="M4701" t="s">
        <v>18</v>
      </c>
      <c r="N4701">
        <v>0</v>
      </c>
      <c r="O4701">
        <v>0</v>
      </c>
    </row>
    <row r="4702" spans="1:15" x14ac:dyDescent="0.2">
      <c r="A4702" s="6">
        <v>45810</v>
      </c>
      <c r="B4702" t="s">
        <v>15</v>
      </c>
      <c r="C4702" t="s">
        <v>16</v>
      </c>
      <c r="D4702" s="1">
        <v>45855</v>
      </c>
      <c r="E4702" t="s">
        <v>19</v>
      </c>
      <c r="F4702">
        <v>6450</v>
      </c>
      <c r="J4702">
        <v>1134</v>
      </c>
      <c r="K4702">
        <v>1295.3</v>
      </c>
      <c r="L4702">
        <v>0</v>
      </c>
      <c r="M4702" t="s">
        <v>18</v>
      </c>
      <c r="N4702">
        <v>0</v>
      </c>
      <c r="O4702">
        <v>0</v>
      </c>
    </row>
    <row r="4703" spans="1:15" x14ac:dyDescent="0.2">
      <c r="A4703" s="6">
        <v>45810</v>
      </c>
      <c r="B4703" t="s">
        <v>15</v>
      </c>
      <c r="C4703" t="s">
        <v>16</v>
      </c>
      <c r="D4703" s="1">
        <v>45855</v>
      </c>
      <c r="E4703" t="s">
        <v>19</v>
      </c>
      <c r="F4703">
        <v>5750</v>
      </c>
      <c r="J4703">
        <v>504.8</v>
      </c>
      <c r="K4703">
        <v>634.6</v>
      </c>
      <c r="L4703">
        <v>0</v>
      </c>
      <c r="M4703" t="s">
        <v>18</v>
      </c>
      <c r="N4703">
        <v>0</v>
      </c>
      <c r="O4703">
        <v>0</v>
      </c>
    </row>
    <row r="4704" spans="1:15" x14ac:dyDescent="0.2">
      <c r="A4704" s="6">
        <v>45810</v>
      </c>
      <c r="B4704" t="s">
        <v>15</v>
      </c>
      <c r="C4704" t="s">
        <v>16</v>
      </c>
      <c r="D4704" s="1">
        <v>45855</v>
      </c>
      <c r="E4704" t="s">
        <v>19</v>
      </c>
      <c r="F4704">
        <v>6500</v>
      </c>
      <c r="J4704">
        <v>1182.4000000000001</v>
      </c>
      <c r="K4704">
        <v>1344.5</v>
      </c>
      <c r="L4704">
        <v>0</v>
      </c>
      <c r="M4704" t="s">
        <v>18</v>
      </c>
      <c r="N4704">
        <v>0</v>
      </c>
      <c r="O4704">
        <v>0</v>
      </c>
    </row>
    <row r="4705" spans="1:15" x14ac:dyDescent="0.2">
      <c r="A4705" s="6">
        <v>45810</v>
      </c>
      <c r="B4705" t="s">
        <v>15</v>
      </c>
      <c r="C4705" t="s">
        <v>16</v>
      </c>
      <c r="D4705" s="1">
        <v>45855</v>
      </c>
      <c r="E4705" t="s">
        <v>19</v>
      </c>
      <c r="F4705">
        <v>6100</v>
      </c>
      <c r="J4705">
        <v>804.3</v>
      </c>
      <c r="K4705">
        <v>955.9</v>
      </c>
      <c r="L4705">
        <v>0</v>
      </c>
      <c r="M4705" t="s">
        <v>18</v>
      </c>
      <c r="N4705">
        <v>0</v>
      </c>
      <c r="O4705">
        <v>0</v>
      </c>
    </row>
    <row r="4706" spans="1:15" x14ac:dyDescent="0.2">
      <c r="A4706" s="6">
        <v>45810</v>
      </c>
      <c r="B4706" t="s">
        <v>15</v>
      </c>
      <c r="C4706" t="s">
        <v>16</v>
      </c>
      <c r="D4706" s="1">
        <v>45855</v>
      </c>
      <c r="E4706" t="s">
        <v>19</v>
      </c>
      <c r="F4706">
        <v>5850</v>
      </c>
      <c r="J4706">
        <v>585.79999999999995</v>
      </c>
      <c r="K4706">
        <v>723.3</v>
      </c>
      <c r="L4706">
        <v>0</v>
      </c>
      <c r="M4706" t="s">
        <v>18</v>
      </c>
      <c r="N4706">
        <v>0</v>
      </c>
      <c r="O4706">
        <v>0</v>
      </c>
    </row>
    <row r="4707" spans="1:15" x14ac:dyDescent="0.2">
      <c r="A4707" s="6">
        <v>45810</v>
      </c>
      <c r="B4707" t="s">
        <v>15</v>
      </c>
      <c r="C4707" t="s">
        <v>16</v>
      </c>
      <c r="D4707" s="1">
        <v>45855</v>
      </c>
      <c r="E4707" t="s">
        <v>19</v>
      </c>
      <c r="F4707">
        <v>5500</v>
      </c>
      <c r="J4707">
        <v>325</v>
      </c>
      <c r="K4707">
        <v>430</v>
      </c>
      <c r="L4707">
        <v>0</v>
      </c>
      <c r="M4707" t="s">
        <v>18</v>
      </c>
      <c r="N4707">
        <v>0</v>
      </c>
      <c r="O4707">
        <v>0</v>
      </c>
    </row>
    <row r="4708" spans="1:15" x14ac:dyDescent="0.2">
      <c r="A4708" s="6">
        <v>45810</v>
      </c>
      <c r="B4708" t="s">
        <v>15</v>
      </c>
      <c r="C4708" t="s">
        <v>16</v>
      </c>
      <c r="D4708" s="1">
        <v>45855</v>
      </c>
      <c r="E4708" t="s">
        <v>19</v>
      </c>
      <c r="F4708">
        <v>3800</v>
      </c>
      <c r="J4708">
        <v>0.1</v>
      </c>
      <c r="K4708">
        <v>0.1</v>
      </c>
      <c r="L4708">
        <v>0</v>
      </c>
      <c r="M4708" t="s">
        <v>18</v>
      </c>
      <c r="N4708">
        <v>0</v>
      </c>
      <c r="O4708">
        <v>0</v>
      </c>
    </row>
    <row r="4709" spans="1:15" x14ac:dyDescent="0.2">
      <c r="A4709" s="6">
        <v>45810</v>
      </c>
      <c r="B4709" t="s">
        <v>15</v>
      </c>
      <c r="C4709" t="s">
        <v>16</v>
      </c>
      <c r="D4709" s="1">
        <v>45855</v>
      </c>
      <c r="E4709" t="s">
        <v>17</v>
      </c>
      <c r="F4709">
        <v>6150</v>
      </c>
      <c r="J4709">
        <v>20.6</v>
      </c>
      <c r="K4709">
        <v>8.1</v>
      </c>
      <c r="L4709">
        <v>0</v>
      </c>
      <c r="M4709" t="s">
        <v>18</v>
      </c>
      <c r="N4709">
        <v>0</v>
      </c>
      <c r="O4709">
        <v>0</v>
      </c>
    </row>
    <row r="4710" spans="1:15" x14ac:dyDescent="0.2">
      <c r="A4710" s="6">
        <v>45810</v>
      </c>
      <c r="B4710" t="s">
        <v>15</v>
      </c>
      <c r="C4710" t="s">
        <v>16</v>
      </c>
      <c r="D4710" s="1">
        <v>45855</v>
      </c>
      <c r="E4710" t="s">
        <v>19</v>
      </c>
      <c r="F4710">
        <v>4800</v>
      </c>
      <c r="J4710">
        <v>44.1</v>
      </c>
      <c r="K4710">
        <v>70</v>
      </c>
      <c r="L4710">
        <v>0</v>
      </c>
      <c r="M4710" t="s">
        <v>18</v>
      </c>
      <c r="N4710">
        <v>0</v>
      </c>
      <c r="O4710">
        <v>3</v>
      </c>
    </row>
    <row r="4711" spans="1:15" x14ac:dyDescent="0.2">
      <c r="A4711" s="6">
        <v>45810</v>
      </c>
      <c r="B4711" t="s">
        <v>15</v>
      </c>
      <c r="C4711" t="s">
        <v>16</v>
      </c>
      <c r="D4711" s="1">
        <v>45855</v>
      </c>
      <c r="E4711" t="s">
        <v>19</v>
      </c>
      <c r="F4711">
        <v>4350</v>
      </c>
      <c r="J4711">
        <v>4.9000000000000004</v>
      </c>
      <c r="K4711">
        <v>8.8000000000000007</v>
      </c>
      <c r="L4711">
        <v>0</v>
      </c>
      <c r="M4711" t="s">
        <v>18</v>
      </c>
      <c r="N4711">
        <v>0</v>
      </c>
      <c r="O4711">
        <v>0</v>
      </c>
    </row>
    <row r="4712" spans="1:15" x14ac:dyDescent="0.2">
      <c r="A4712" s="6">
        <v>45810</v>
      </c>
      <c r="B4712" t="s">
        <v>15</v>
      </c>
      <c r="C4712" t="s">
        <v>16</v>
      </c>
      <c r="D4712" s="1">
        <v>45855</v>
      </c>
      <c r="E4712" t="s">
        <v>19</v>
      </c>
      <c r="F4712">
        <v>6600</v>
      </c>
      <c r="J4712">
        <v>1279.8</v>
      </c>
      <c r="K4712">
        <v>1443</v>
      </c>
      <c r="L4712">
        <v>0</v>
      </c>
      <c r="M4712" t="s">
        <v>18</v>
      </c>
      <c r="N4712">
        <v>0</v>
      </c>
      <c r="O4712">
        <v>0</v>
      </c>
    </row>
    <row r="4713" spans="1:15" x14ac:dyDescent="0.2">
      <c r="A4713" s="6">
        <v>45810</v>
      </c>
      <c r="B4713" t="s">
        <v>15</v>
      </c>
      <c r="C4713" t="s">
        <v>16</v>
      </c>
      <c r="D4713" s="1">
        <v>45855</v>
      </c>
      <c r="E4713" t="s">
        <v>19</v>
      </c>
      <c r="F4713">
        <v>6300</v>
      </c>
      <c r="J4713">
        <v>990.4</v>
      </c>
      <c r="K4713">
        <v>1148.7</v>
      </c>
      <c r="L4713">
        <v>0</v>
      </c>
      <c r="M4713" t="s">
        <v>18</v>
      </c>
      <c r="N4713">
        <v>0</v>
      </c>
      <c r="O4713">
        <v>0</v>
      </c>
    </row>
    <row r="4714" spans="1:15" x14ac:dyDescent="0.2">
      <c r="A4714" s="6">
        <v>45810</v>
      </c>
      <c r="B4714" t="s">
        <v>15</v>
      </c>
      <c r="C4714" t="s">
        <v>16</v>
      </c>
      <c r="D4714" s="1">
        <v>45855</v>
      </c>
      <c r="E4714" t="s">
        <v>17</v>
      </c>
      <c r="F4714">
        <v>4050</v>
      </c>
      <c r="J4714">
        <v>1254.7</v>
      </c>
      <c r="K4714">
        <v>1088</v>
      </c>
      <c r="L4714">
        <v>0</v>
      </c>
      <c r="M4714" t="s">
        <v>18</v>
      </c>
      <c r="N4714">
        <v>0</v>
      </c>
      <c r="O4714">
        <v>0</v>
      </c>
    </row>
    <row r="4715" spans="1:15" x14ac:dyDescent="0.2">
      <c r="A4715" s="6">
        <v>45810</v>
      </c>
      <c r="B4715" t="s">
        <v>15</v>
      </c>
      <c r="C4715" t="s">
        <v>16</v>
      </c>
      <c r="D4715" s="1">
        <v>45855</v>
      </c>
      <c r="E4715" t="s">
        <v>19</v>
      </c>
      <c r="F4715">
        <v>4150</v>
      </c>
      <c r="J4715">
        <v>1.3</v>
      </c>
      <c r="K4715">
        <v>2.5</v>
      </c>
      <c r="L4715">
        <v>0</v>
      </c>
      <c r="M4715" t="s">
        <v>18</v>
      </c>
      <c r="N4715">
        <v>0</v>
      </c>
      <c r="O4715">
        <v>0</v>
      </c>
    </row>
    <row r="4716" spans="1:15" x14ac:dyDescent="0.2">
      <c r="A4716" s="6">
        <v>45810</v>
      </c>
      <c r="B4716" t="s">
        <v>15</v>
      </c>
      <c r="C4716" t="s">
        <v>16</v>
      </c>
      <c r="D4716" s="1">
        <v>45855</v>
      </c>
      <c r="E4716" t="s">
        <v>19</v>
      </c>
      <c r="F4716">
        <v>5550</v>
      </c>
      <c r="J4716">
        <v>358</v>
      </c>
      <c r="K4716">
        <v>468.6</v>
      </c>
      <c r="L4716">
        <v>0</v>
      </c>
      <c r="M4716" t="s">
        <v>18</v>
      </c>
      <c r="N4716">
        <v>0</v>
      </c>
      <c r="O4716">
        <v>0</v>
      </c>
    </row>
    <row r="4717" spans="1:15" x14ac:dyDescent="0.2">
      <c r="A4717" s="6">
        <v>45810</v>
      </c>
      <c r="B4717" t="s">
        <v>15</v>
      </c>
      <c r="C4717" t="s">
        <v>16</v>
      </c>
      <c r="D4717" s="1">
        <v>45855</v>
      </c>
      <c r="E4717" t="s">
        <v>17</v>
      </c>
      <c r="F4717">
        <v>5550</v>
      </c>
      <c r="J4717">
        <v>123.9</v>
      </c>
      <c r="K4717">
        <v>67.900000000000006</v>
      </c>
      <c r="L4717">
        <v>0</v>
      </c>
      <c r="M4717" t="s">
        <v>18</v>
      </c>
      <c r="N4717">
        <v>0</v>
      </c>
      <c r="O4717">
        <v>0</v>
      </c>
    </row>
    <row r="4718" spans="1:15" x14ac:dyDescent="0.2">
      <c r="A4718" s="6">
        <v>45810</v>
      </c>
      <c r="B4718" t="s">
        <v>15</v>
      </c>
      <c r="C4718" t="s">
        <v>16</v>
      </c>
      <c r="D4718" s="1">
        <v>45855</v>
      </c>
      <c r="E4718" t="s">
        <v>19</v>
      </c>
      <c r="F4718">
        <v>3950</v>
      </c>
      <c r="J4718">
        <v>0.3</v>
      </c>
      <c r="K4718">
        <v>0.5</v>
      </c>
      <c r="L4718">
        <v>0</v>
      </c>
      <c r="M4718" t="s">
        <v>18</v>
      </c>
      <c r="N4718">
        <v>0</v>
      </c>
      <c r="O4718">
        <v>0</v>
      </c>
    </row>
    <row r="4719" spans="1:15" x14ac:dyDescent="0.2">
      <c r="A4719" s="6">
        <v>45810</v>
      </c>
      <c r="B4719" t="s">
        <v>15</v>
      </c>
      <c r="C4719" t="s">
        <v>16</v>
      </c>
      <c r="D4719" s="1">
        <v>45855</v>
      </c>
      <c r="E4719" t="s">
        <v>17</v>
      </c>
      <c r="F4719">
        <v>3900</v>
      </c>
      <c r="J4719">
        <v>1403</v>
      </c>
      <c r="K4719">
        <v>1235.9000000000001</v>
      </c>
      <c r="L4719">
        <v>0</v>
      </c>
      <c r="M4719" t="s">
        <v>18</v>
      </c>
      <c r="N4719">
        <v>0</v>
      </c>
      <c r="O4719">
        <v>0</v>
      </c>
    </row>
    <row r="4720" spans="1:15" x14ac:dyDescent="0.2">
      <c r="A4720" s="6">
        <v>45810</v>
      </c>
      <c r="B4720" t="s">
        <v>15</v>
      </c>
      <c r="C4720" t="s">
        <v>16</v>
      </c>
      <c r="D4720" s="1">
        <v>45855</v>
      </c>
      <c r="E4720" t="s">
        <v>17</v>
      </c>
      <c r="F4720">
        <v>5400</v>
      </c>
      <c r="G4720">
        <v>220</v>
      </c>
      <c r="H4720">
        <v>263</v>
      </c>
      <c r="I4720">
        <v>220</v>
      </c>
      <c r="J4720">
        <v>241.5</v>
      </c>
      <c r="K4720">
        <v>105.3</v>
      </c>
      <c r="L4720">
        <v>4</v>
      </c>
      <c r="M4720" t="s">
        <v>78</v>
      </c>
      <c r="N4720">
        <v>22.57</v>
      </c>
      <c r="O4720">
        <v>4</v>
      </c>
    </row>
    <row r="4721" spans="1:15" x14ac:dyDescent="0.2">
      <c r="A4721" s="6">
        <v>45810</v>
      </c>
      <c r="B4721" t="s">
        <v>15</v>
      </c>
      <c r="C4721" t="s">
        <v>16</v>
      </c>
      <c r="D4721" s="1">
        <v>45855</v>
      </c>
      <c r="E4721" t="s">
        <v>17</v>
      </c>
      <c r="F4721">
        <v>5850</v>
      </c>
      <c r="J4721">
        <v>54</v>
      </c>
      <c r="K4721">
        <v>25.2</v>
      </c>
      <c r="L4721">
        <v>0</v>
      </c>
      <c r="M4721" t="s">
        <v>18</v>
      </c>
      <c r="N4721">
        <v>0</v>
      </c>
      <c r="O4721">
        <v>0</v>
      </c>
    </row>
    <row r="4722" spans="1:15" x14ac:dyDescent="0.2">
      <c r="A4722" s="6">
        <v>45810</v>
      </c>
      <c r="B4722" t="s">
        <v>15</v>
      </c>
      <c r="C4722" t="s">
        <v>16</v>
      </c>
      <c r="D4722" s="1">
        <v>45855</v>
      </c>
      <c r="E4722" t="s">
        <v>19</v>
      </c>
      <c r="F4722">
        <v>6200</v>
      </c>
      <c r="J4722">
        <v>896.4</v>
      </c>
      <c r="K4722">
        <v>1051.8</v>
      </c>
      <c r="L4722">
        <v>0</v>
      </c>
      <c r="M4722" t="s">
        <v>18</v>
      </c>
      <c r="N4722">
        <v>0</v>
      </c>
      <c r="O4722">
        <v>0</v>
      </c>
    </row>
    <row r="4723" spans="1:15" x14ac:dyDescent="0.2">
      <c r="A4723" s="6">
        <v>45810</v>
      </c>
      <c r="B4723" t="s">
        <v>15</v>
      </c>
      <c r="C4723" t="s">
        <v>16</v>
      </c>
      <c r="D4723" s="1">
        <v>45855</v>
      </c>
      <c r="E4723" t="s">
        <v>19</v>
      </c>
      <c r="F4723">
        <v>4300</v>
      </c>
      <c r="J4723">
        <v>3.6</v>
      </c>
      <c r="K4723">
        <v>6.5</v>
      </c>
      <c r="L4723">
        <v>0</v>
      </c>
      <c r="M4723" t="s">
        <v>18</v>
      </c>
      <c r="N4723">
        <v>0</v>
      </c>
      <c r="O4723">
        <v>0</v>
      </c>
    </row>
    <row r="4724" spans="1:15" x14ac:dyDescent="0.2">
      <c r="A4724" s="6">
        <v>45810</v>
      </c>
      <c r="B4724" t="s">
        <v>15</v>
      </c>
      <c r="C4724" t="s">
        <v>16</v>
      </c>
      <c r="D4724" s="1">
        <v>45855</v>
      </c>
      <c r="E4724" t="s">
        <v>19</v>
      </c>
      <c r="F4724">
        <v>4750</v>
      </c>
      <c r="J4724">
        <v>36.1</v>
      </c>
      <c r="K4724">
        <v>58.1</v>
      </c>
      <c r="L4724">
        <v>0</v>
      </c>
      <c r="M4724" t="s">
        <v>18</v>
      </c>
      <c r="N4724">
        <v>0</v>
      </c>
      <c r="O4724">
        <v>0</v>
      </c>
    </row>
    <row r="4725" spans="1:15" x14ac:dyDescent="0.2">
      <c r="A4725" s="6">
        <v>45810</v>
      </c>
      <c r="B4725" t="s">
        <v>15</v>
      </c>
      <c r="C4725" t="s">
        <v>16</v>
      </c>
      <c r="D4725" s="1">
        <v>45855</v>
      </c>
      <c r="E4725" t="s">
        <v>19</v>
      </c>
      <c r="F4725">
        <v>4250</v>
      </c>
      <c r="J4725">
        <v>2.6</v>
      </c>
      <c r="K4725">
        <v>4.8</v>
      </c>
      <c r="L4725">
        <v>0</v>
      </c>
      <c r="M4725" t="s">
        <v>18</v>
      </c>
      <c r="N4725">
        <v>0</v>
      </c>
      <c r="O4725">
        <v>0</v>
      </c>
    </row>
    <row r="4726" spans="1:15" x14ac:dyDescent="0.2">
      <c r="A4726" s="6">
        <v>45810</v>
      </c>
      <c r="B4726" t="s">
        <v>15</v>
      </c>
      <c r="C4726" t="s">
        <v>16</v>
      </c>
      <c r="D4726" s="1">
        <v>45855</v>
      </c>
      <c r="E4726" t="s">
        <v>17</v>
      </c>
      <c r="F4726">
        <v>3800</v>
      </c>
      <c r="J4726">
        <v>1502.2</v>
      </c>
      <c r="K4726">
        <v>1334.9</v>
      </c>
      <c r="L4726">
        <v>0</v>
      </c>
      <c r="M4726" t="s">
        <v>18</v>
      </c>
      <c r="N4726">
        <v>0</v>
      </c>
      <c r="O4726">
        <v>0</v>
      </c>
    </row>
    <row r="4727" spans="1:15" x14ac:dyDescent="0.2">
      <c r="A4727" s="6">
        <v>45810</v>
      </c>
      <c r="B4727" t="s">
        <v>15</v>
      </c>
      <c r="C4727" t="s">
        <v>16</v>
      </c>
      <c r="D4727" s="1">
        <v>45855</v>
      </c>
      <c r="E4727" t="s">
        <v>19</v>
      </c>
      <c r="F4727">
        <v>6000</v>
      </c>
      <c r="J4727">
        <v>714.5</v>
      </c>
      <c r="K4727">
        <v>861.4</v>
      </c>
      <c r="L4727">
        <v>0</v>
      </c>
      <c r="M4727" t="s">
        <v>18</v>
      </c>
      <c r="N4727">
        <v>0</v>
      </c>
      <c r="O4727">
        <v>0</v>
      </c>
    </row>
    <row r="4728" spans="1:15" x14ac:dyDescent="0.2">
      <c r="A4728" s="6">
        <v>45807</v>
      </c>
      <c r="B4728" t="s">
        <v>15</v>
      </c>
      <c r="C4728" t="s">
        <v>16</v>
      </c>
      <c r="D4728" s="1">
        <v>45855</v>
      </c>
      <c r="E4728" t="s">
        <v>19</v>
      </c>
      <c r="F4728">
        <v>5200</v>
      </c>
      <c r="J4728">
        <v>231.4</v>
      </c>
      <c r="K4728">
        <v>224.5</v>
      </c>
      <c r="L4728">
        <v>0</v>
      </c>
      <c r="M4728" t="s">
        <v>18</v>
      </c>
      <c r="N4728">
        <v>0</v>
      </c>
      <c r="O4728">
        <v>3</v>
      </c>
    </row>
    <row r="4729" spans="1:15" x14ac:dyDescent="0.2">
      <c r="A4729" s="6">
        <v>45807</v>
      </c>
      <c r="B4729" t="s">
        <v>15</v>
      </c>
      <c r="C4729" t="s">
        <v>16</v>
      </c>
      <c r="D4729" s="1">
        <v>45855</v>
      </c>
      <c r="E4729" t="s">
        <v>19</v>
      </c>
      <c r="F4729">
        <v>5250</v>
      </c>
      <c r="J4729">
        <v>260.2</v>
      </c>
      <c r="K4729">
        <v>252.1</v>
      </c>
      <c r="L4729">
        <v>0</v>
      </c>
      <c r="M4729" t="s">
        <v>18</v>
      </c>
      <c r="N4729">
        <v>0</v>
      </c>
      <c r="O4729">
        <v>0</v>
      </c>
    </row>
    <row r="4730" spans="1:15" x14ac:dyDescent="0.2">
      <c r="A4730" s="6">
        <v>45807</v>
      </c>
      <c r="B4730" t="s">
        <v>15</v>
      </c>
      <c r="C4730" t="s">
        <v>16</v>
      </c>
      <c r="D4730" s="1">
        <v>45855</v>
      </c>
      <c r="E4730" t="s">
        <v>17</v>
      </c>
      <c r="F4730">
        <v>4350</v>
      </c>
      <c r="J4730">
        <v>798.1</v>
      </c>
      <c r="K4730">
        <v>827.2</v>
      </c>
      <c r="L4730">
        <v>0</v>
      </c>
      <c r="M4730" t="s">
        <v>18</v>
      </c>
      <c r="N4730">
        <v>0</v>
      </c>
      <c r="O4730">
        <v>0</v>
      </c>
    </row>
    <row r="4731" spans="1:15" x14ac:dyDescent="0.2">
      <c r="A4731" s="6">
        <v>45807</v>
      </c>
      <c r="B4731" t="s">
        <v>15</v>
      </c>
      <c r="C4731" t="s">
        <v>16</v>
      </c>
      <c r="D4731" s="1">
        <v>45855</v>
      </c>
      <c r="E4731" t="s">
        <v>17</v>
      </c>
      <c r="F4731">
        <v>4500</v>
      </c>
      <c r="J4731">
        <v>660</v>
      </c>
      <c r="K4731">
        <v>689.3</v>
      </c>
      <c r="L4731">
        <v>0</v>
      </c>
      <c r="M4731" t="s">
        <v>18</v>
      </c>
      <c r="N4731">
        <v>0</v>
      </c>
      <c r="O4731">
        <v>0</v>
      </c>
    </row>
    <row r="4732" spans="1:15" x14ac:dyDescent="0.2">
      <c r="A4732" s="6">
        <v>45807</v>
      </c>
      <c r="B4732" t="s">
        <v>15</v>
      </c>
      <c r="C4732" t="s">
        <v>16</v>
      </c>
      <c r="D4732" s="1">
        <v>45855</v>
      </c>
      <c r="E4732" t="s">
        <v>17</v>
      </c>
      <c r="F4732">
        <v>3700</v>
      </c>
      <c r="J4732">
        <v>1433.9</v>
      </c>
      <c r="K4732">
        <v>1462.5</v>
      </c>
      <c r="L4732">
        <v>0</v>
      </c>
      <c r="M4732" t="s">
        <v>18</v>
      </c>
      <c r="N4732">
        <v>0</v>
      </c>
      <c r="O4732">
        <v>0</v>
      </c>
    </row>
    <row r="4733" spans="1:15" x14ac:dyDescent="0.2">
      <c r="A4733" s="6">
        <v>45807</v>
      </c>
      <c r="B4733" t="s">
        <v>15</v>
      </c>
      <c r="C4733" t="s">
        <v>16</v>
      </c>
      <c r="D4733" s="1">
        <v>45855</v>
      </c>
      <c r="E4733" t="s">
        <v>17</v>
      </c>
      <c r="F4733">
        <v>5000</v>
      </c>
      <c r="G4733">
        <v>376.9</v>
      </c>
      <c r="H4733">
        <v>376.9</v>
      </c>
      <c r="I4733">
        <v>376.9</v>
      </c>
      <c r="J4733">
        <v>376.9</v>
      </c>
      <c r="K4733">
        <v>306</v>
      </c>
      <c r="L4733">
        <v>1</v>
      </c>
      <c r="M4733" t="s">
        <v>155</v>
      </c>
      <c r="N4733">
        <v>5.38</v>
      </c>
      <c r="O4733">
        <v>1</v>
      </c>
    </row>
    <row r="4734" spans="1:15" x14ac:dyDescent="0.2">
      <c r="A4734" s="6">
        <v>45807</v>
      </c>
      <c r="B4734" t="s">
        <v>15</v>
      </c>
      <c r="C4734" t="s">
        <v>16</v>
      </c>
      <c r="D4734" s="1">
        <v>45855</v>
      </c>
      <c r="E4734" t="s">
        <v>17</v>
      </c>
      <c r="F4734">
        <v>4100</v>
      </c>
      <c r="J4734">
        <v>1039</v>
      </c>
      <c r="K4734">
        <v>1067.8</v>
      </c>
      <c r="L4734">
        <v>0</v>
      </c>
      <c r="M4734" t="s">
        <v>18</v>
      </c>
      <c r="N4734">
        <v>0</v>
      </c>
      <c r="O4734">
        <v>0</v>
      </c>
    </row>
    <row r="4735" spans="1:15" x14ac:dyDescent="0.2">
      <c r="A4735" s="6">
        <v>45807</v>
      </c>
      <c r="B4735" t="s">
        <v>15</v>
      </c>
      <c r="C4735" t="s">
        <v>16</v>
      </c>
      <c r="D4735" s="1">
        <v>45855</v>
      </c>
      <c r="E4735" t="s">
        <v>17</v>
      </c>
      <c r="F4735">
        <v>4400</v>
      </c>
      <c r="J4735">
        <v>751.3</v>
      </c>
      <c r="K4735">
        <v>780.5</v>
      </c>
      <c r="L4735">
        <v>0</v>
      </c>
      <c r="M4735" t="s">
        <v>18</v>
      </c>
      <c r="N4735">
        <v>0</v>
      </c>
      <c r="O4735">
        <v>0</v>
      </c>
    </row>
    <row r="4736" spans="1:15" x14ac:dyDescent="0.2">
      <c r="A4736" s="6">
        <v>45807</v>
      </c>
      <c r="B4736" t="s">
        <v>15</v>
      </c>
      <c r="C4736" t="s">
        <v>16</v>
      </c>
      <c r="D4736" s="1">
        <v>45855</v>
      </c>
      <c r="E4736" t="s">
        <v>17</v>
      </c>
      <c r="F4736">
        <v>5300</v>
      </c>
      <c r="J4736">
        <v>138.1</v>
      </c>
      <c r="K4736">
        <v>157.6</v>
      </c>
      <c r="L4736">
        <v>0</v>
      </c>
      <c r="M4736" t="s">
        <v>18</v>
      </c>
      <c r="N4736">
        <v>0</v>
      </c>
      <c r="O4736">
        <v>1</v>
      </c>
    </row>
    <row r="4737" spans="1:15" x14ac:dyDescent="0.2">
      <c r="A4737" s="6">
        <v>45807</v>
      </c>
      <c r="B4737" t="s">
        <v>15</v>
      </c>
      <c r="C4737" t="s">
        <v>16</v>
      </c>
      <c r="D4737" s="1">
        <v>45855</v>
      </c>
      <c r="E4737" t="s">
        <v>19</v>
      </c>
      <c r="F4737">
        <v>4900</v>
      </c>
      <c r="J4737">
        <v>99.1</v>
      </c>
      <c r="K4737">
        <v>97.5</v>
      </c>
      <c r="L4737">
        <v>0</v>
      </c>
      <c r="M4737" t="s">
        <v>18</v>
      </c>
      <c r="N4737">
        <v>0</v>
      </c>
      <c r="O4737">
        <v>0</v>
      </c>
    </row>
    <row r="4738" spans="1:15" x14ac:dyDescent="0.2">
      <c r="A4738" s="6">
        <v>45807</v>
      </c>
      <c r="B4738" t="s">
        <v>15</v>
      </c>
      <c r="C4738" t="s">
        <v>16</v>
      </c>
      <c r="D4738" s="1">
        <v>45855</v>
      </c>
      <c r="E4738" t="s">
        <v>19</v>
      </c>
      <c r="F4738">
        <v>6150</v>
      </c>
      <c r="J4738">
        <v>1003.7</v>
      </c>
      <c r="K4738">
        <v>978</v>
      </c>
      <c r="L4738">
        <v>0</v>
      </c>
      <c r="M4738" t="s">
        <v>18</v>
      </c>
      <c r="N4738">
        <v>0</v>
      </c>
      <c r="O4738">
        <v>0</v>
      </c>
    </row>
    <row r="4739" spans="1:15" x14ac:dyDescent="0.2">
      <c r="A4739" s="6">
        <v>45807</v>
      </c>
      <c r="B4739" t="s">
        <v>15</v>
      </c>
      <c r="C4739" t="s">
        <v>16</v>
      </c>
      <c r="D4739" s="1">
        <v>45855</v>
      </c>
      <c r="E4739" t="s">
        <v>17</v>
      </c>
      <c r="F4739">
        <v>5200</v>
      </c>
      <c r="G4739">
        <v>265.7</v>
      </c>
      <c r="H4739">
        <v>270</v>
      </c>
      <c r="I4739">
        <v>250</v>
      </c>
      <c r="J4739">
        <v>262.7</v>
      </c>
      <c r="K4739">
        <v>199.7</v>
      </c>
      <c r="L4739">
        <v>4</v>
      </c>
      <c r="M4739" t="s">
        <v>78</v>
      </c>
      <c r="N4739">
        <v>21.85</v>
      </c>
      <c r="O4739">
        <v>3</v>
      </c>
    </row>
    <row r="4740" spans="1:15" x14ac:dyDescent="0.2">
      <c r="A4740" s="6">
        <v>45807</v>
      </c>
      <c r="B4740" t="s">
        <v>15</v>
      </c>
      <c r="C4740" t="s">
        <v>16</v>
      </c>
      <c r="D4740" s="1">
        <v>45855</v>
      </c>
      <c r="E4740" t="s">
        <v>17</v>
      </c>
      <c r="F4740">
        <v>4950</v>
      </c>
      <c r="J4740">
        <v>310.7</v>
      </c>
      <c r="K4740">
        <v>337.1</v>
      </c>
      <c r="L4740">
        <v>0</v>
      </c>
      <c r="M4740" t="s">
        <v>18</v>
      </c>
      <c r="N4740">
        <v>0</v>
      </c>
      <c r="O4740">
        <v>0</v>
      </c>
    </row>
    <row r="4741" spans="1:15" x14ac:dyDescent="0.2">
      <c r="A4741" s="6">
        <v>45807</v>
      </c>
      <c r="B4741" t="s">
        <v>15</v>
      </c>
      <c r="C4741" t="s">
        <v>16</v>
      </c>
      <c r="D4741" s="1">
        <v>45855</v>
      </c>
      <c r="E4741" t="s">
        <v>19</v>
      </c>
      <c r="F4741">
        <v>6550</v>
      </c>
      <c r="J4741">
        <v>1393.7</v>
      </c>
      <c r="K4741">
        <v>1365.5</v>
      </c>
      <c r="L4741">
        <v>0</v>
      </c>
      <c r="M4741" t="s">
        <v>18</v>
      </c>
      <c r="N4741">
        <v>0</v>
      </c>
      <c r="O4741">
        <v>0</v>
      </c>
    </row>
    <row r="4742" spans="1:15" x14ac:dyDescent="0.2">
      <c r="A4742" s="6">
        <v>45807</v>
      </c>
      <c r="B4742" t="s">
        <v>15</v>
      </c>
      <c r="C4742" t="s">
        <v>16</v>
      </c>
      <c r="D4742" s="1">
        <v>45855</v>
      </c>
      <c r="E4742" t="s">
        <v>17</v>
      </c>
      <c r="F4742">
        <v>4750</v>
      </c>
      <c r="J4742">
        <v>450.8</v>
      </c>
      <c r="K4742">
        <v>479.3</v>
      </c>
      <c r="L4742">
        <v>0</v>
      </c>
      <c r="M4742" t="s">
        <v>18</v>
      </c>
      <c r="N4742">
        <v>0</v>
      </c>
      <c r="O4742">
        <v>0</v>
      </c>
    </row>
    <row r="4743" spans="1:15" x14ac:dyDescent="0.2">
      <c r="A4743" s="6">
        <v>45807</v>
      </c>
      <c r="B4743" t="s">
        <v>15</v>
      </c>
      <c r="C4743" t="s">
        <v>16</v>
      </c>
      <c r="D4743" s="1">
        <v>45855</v>
      </c>
      <c r="E4743" t="s">
        <v>17</v>
      </c>
      <c r="F4743">
        <v>5950</v>
      </c>
      <c r="J4743">
        <v>17.5</v>
      </c>
      <c r="K4743">
        <v>23.2</v>
      </c>
      <c r="L4743">
        <v>0</v>
      </c>
      <c r="M4743" t="s">
        <v>18</v>
      </c>
      <c r="N4743">
        <v>0</v>
      </c>
      <c r="O4743">
        <v>0</v>
      </c>
    </row>
    <row r="4744" spans="1:15" x14ac:dyDescent="0.2">
      <c r="A4744" s="6">
        <v>45807</v>
      </c>
      <c r="B4744" t="s">
        <v>15</v>
      </c>
      <c r="C4744" t="s">
        <v>16</v>
      </c>
      <c r="D4744" s="1">
        <v>45855</v>
      </c>
      <c r="E4744" t="s">
        <v>17</v>
      </c>
      <c r="F4744">
        <v>4900</v>
      </c>
      <c r="J4744">
        <v>343</v>
      </c>
      <c r="K4744">
        <v>370.1</v>
      </c>
      <c r="L4744">
        <v>0</v>
      </c>
      <c r="M4744" t="s">
        <v>18</v>
      </c>
      <c r="N4744">
        <v>0</v>
      </c>
      <c r="O4744">
        <v>0</v>
      </c>
    </row>
    <row r="4745" spans="1:15" x14ac:dyDescent="0.2">
      <c r="A4745" s="6">
        <v>45807</v>
      </c>
      <c r="B4745" t="s">
        <v>15</v>
      </c>
      <c r="C4745" t="s">
        <v>16</v>
      </c>
      <c r="D4745" s="1">
        <v>45855</v>
      </c>
      <c r="E4745" t="s">
        <v>19</v>
      </c>
      <c r="F4745">
        <v>3900</v>
      </c>
      <c r="J4745">
        <v>0.4</v>
      </c>
      <c r="K4745">
        <v>0.4</v>
      </c>
      <c r="L4745">
        <v>0</v>
      </c>
      <c r="M4745" t="s">
        <v>18</v>
      </c>
      <c r="N4745">
        <v>0</v>
      </c>
      <c r="O4745">
        <v>0</v>
      </c>
    </row>
    <row r="4746" spans="1:15" x14ac:dyDescent="0.2">
      <c r="A4746" s="6">
        <v>45807</v>
      </c>
      <c r="B4746" t="s">
        <v>15</v>
      </c>
      <c r="C4746" t="s">
        <v>16</v>
      </c>
      <c r="D4746" s="1">
        <v>45855</v>
      </c>
      <c r="E4746" t="s">
        <v>19</v>
      </c>
      <c r="F4746">
        <v>3600</v>
      </c>
      <c r="J4746">
        <v>0.1</v>
      </c>
      <c r="K4746">
        <v>0.1</v>
      </c>
      <c r="L4746">
        <v>0</v>
      </c>
      <c r="M4746" t="s">
        <v>18</v>
      </c>
      <c r="N4746">
        <v>0</v>
      </c>
      <c r="O4746">
        <v>0</v>
      </c>
    </row>
    <row r="4747" spans="1:15" x14ac:dyDescent="0.2">
      <c r="A4747" s="6">
        <v>45807</v>
      </c>
      <c r="B4747" t="s">
        <v>15</v>
      </c>
      <c r="C4747" t="s">
        <v>16</v>
      </c>
      <c r="D4747" s="1">
        <v>45855</v>
      </c>
      <c r="E4747" t="s">
        <v>17</v>
      </c>
      <c r="F4747">
        <v>4450</v>
      </c>
      <c r="J4747">
        <v>705.3</v>
      </c>
      <c r="K4747">
        <v>734.5</v>
      </c>
      <c r="L4747">
        <v>0</v>
      </c>
      <c r="M4747" t="s">
        <v>18</v>
      </c>
      <c r="N4747">
        <v>0</v>
      </c>
      <c r="O4747">
        <v>0</v>
      </c>
    </row>
    <row r="4748" spans="1:15" x14ac:dyDescent="0.2">
      <c r="A4748" s="6">
        <v>45807</v>
      </c>
      <c r="B4748" t="s">
        <v>15</v>
      </c>
      <c r="C4748" t="s">
        <v>16</v>
      </c>
      <c r="D4748" s="1">
        <v>45855</v>
      </c>
      <c r="E4748" t="s">
        <v>19</v>
      </c>
      <c r="F4748">
        <v>4200</v>
      </c>
      <c r="J4748">
        <v>3.5</v>
      </c>
      <c r="K4748">
        <v>3.8</v>
      </c>
      <c r="L4748">
        <v>0</v>
      </c>
      <c r="M4748" t="s">
        <v>18</v>
      </c>
      <c r="N4748">
        <v>0</v>
      </c>
      <c r="O4748">
        <v>0</v>
      </c>
    </row>
    <row r="4749" spans="1:15" x14ac:dyDescent="0.2">
      <c r="A4749" s="6">
        <v>45807</v>
      </c>
      <c r="B4749" t="s">
        <v>15</v>
      </c>
      <c r="C4749" t="s">
        <v>16</v>
      </c>
      <c r="D4749" s="1">
        <v>45855</v>
      </c>
      <c r="E4749" t="s">
        <v>17</v>
      </c>
      <c r="F4749">
        <v>5100</v>
      </c>
      <c r="G4749">
        <v>312</v>
      </c>
      <c r="H4749">
        <v>312</v>
      </c>
      <c r="I4749">
        <v>312</v>
      </c>
      <c r="J4749">
        <v>312</v>
      </c>
      <c r="K4749">
        <v>249.1</v>
      </c>
      <c r="L4749">
        <v>1</v>
      </c>
      <c r="M4749" t="s">
        <v>155</v>
      </c>
      <c r="N4749">
        <v>5.41</v>
      </c>
      <c r="O4749">
        <v>1</v>
      </c>
    </row>
    <row r="4750" spans="1:15" x14ac:dyDescent="0.2">
      <c r="A4750" s="6">
        <v>45807</v>
      </c>
      <c r="B4750" t="s">
        <v>15</v>
      </c>
      <c r="C4750" t="s">
        <v>16</v>
      </c>
      <c r="D4750" s="1">
        <v>45855</v>
      </c>
      <c r="E4750" t="s">
        <v>17</v>
      </c>
      <c r="F4750">
        <v>5250</v>
      </c>
      <c r="J4750">
        <v>157</v>
      </c>
      <c r="K4750">
        <v>177.8</v>
      </c>
      <c r="L4750">
        <v>0</v>
      </c>
      <c r="M4750" t="s">
        <v>18</v>
      </c>
      <c r="N4750">
        <v>0</v>
      </c>
      <c r="O4750">
        <v>0</v>
      </c>
    </row>
    <row r="4751" spans="1:15" x14ac:dyDescent="0.2">
      <c r="A4751" s="6">
        <v>45807</v>
      </c>
      <c r="B4751" t="s">
        <v>15</v>
      </c>
      <c r="C4751" t="s">
        <v>16</v>
      </c>
      <c r="D4751" s="1">
        <v>45855</v>
      </c>
      <c r="E4751" t="s">
        <v>17</v>
      </c>
      <c r="F4751">
        <v>4800</v>
      </c>
      <c r="J4751">
        <v>413.1</v>
      </c>
      <c r="K4751">
        <v>441.3</v>
      </c>
      <c r="L4751">
        <v>0</v>
      </c>
      <c r="M4751" t="s">
        <v>18</v>
      </c>
      <c r="N4751">
        <v>0</v>
      </c>
      <c r="O4751">
        <v>0</v>
      </c>
    </row>
    <row r="4752" spans="1:15" x14ac:dyDescent="0.2">
      <c r="A4752" s="6">
        <v>45807</v>
      </c>
      <c r="B4752" t="s">
        <v>15</v>
      </c>
      <c r="C4752" t="s">
        <v>16</v>
      </c>
      <c r="D4752" s="1">
        <v>45855</v>
      </c>
      <c r="E4752" t="s">
        <v>17</v>
      </c>
      <c r="F4752">
        <v>5700</v>
      </c>
      <c r="J4752">
        <v>42.2</v>
      </c>
      <c r="K4752">
        <v>52.3</v>
      </c>
      <c r="L4752">
        <v>0</v>
      </c>
      <c r="M4752" t="s">
        <v>18</v>
      </c>
      <c r="N4752">
        <v>0</v>
      </c>
      <c r="O4752">
        <v>0</v>
      </c>
    </row>
    <row r="4753" spans="1:15" x14ac:dyDescent="0.2">
      <c r="A4753" s="6">
        <v>45807</v>
      </c>
      <c r="B4753" t="s">
        <v>15</v>
      </c>
      <c r="C4753" t="s">
        <v>16</v>
      </c>
      <c r="D4753" s="1">
        <v>45855</v>
      </c>
      <c r="E4753" t="s">
        <v>19</v>
      </c>
      <c r="F4753">
        <v>6650</v>
      </c>
      <c r="J4753">
        <v>1492.3</v>
      </c>
      <c r="K4753">
        <v>1463.9</v>
      </c>
      <c r="L4753">
        <v>0</v>
      </c>
      <c r="M4753" t="s">
        <v>18</v>
      </c>
      <c r="N4753">
        <v>0</v>
      </c>
      <c r="O4753">
        <v>0</v>
      </c>
    </row>
    <row r="4754" spans="1:15" x14ac:dyDescent="0.2">
      <c r="A4754" s="6">
        <v>45807</v>
      </c>
      <c r="B4754" t="s">
        <v>15</v>
      </c>
      <c r="C4754" t="s">
        <v>16</v>
      </c>
      <c r="D4754" s="1">
        <v>45855</v>
      </c>
      <c r="E4754" t="s">
        <v>17</v>
      </c>
      <c r="F4754">
        <v>4200</v>
      </c>
      <c r="J4754">
        <v>941.5</v>
      </c>
      <c r="K4754">
        <v>970.5</v>
      </c>
      <c r="L4754">
        <v>0</v>
      </c>
      <c r="M4754" t="s">
        <v>18</v>
      </c>
      <c r="N4754">
        <v>0</v>
      </c>
      <c r="O4754">
        <v>0</v>
      </c>
    </row>
    <row r="4755" spans="1:15" x14ac:dyDescent="0.2">
      <c r="A4755" s="6">
        <v>45807</v>
      </c>
      <c r="B4755" t="s">
        <v>15</v>
      </c>
      <c r="C4755" t="s">
        <v>16</v>
      </c>
      <c r="D4755" s="1">
        <v>45855</v>
      </c>
      <c r="E4755" t="s">
        <v>17</v>
      </c>
      <c r="F4755">
        <v>4650</v>
      </c>
      <c r="J4755">
        <v>530.6</v>
      </c>
      <c r="K4755">
        <v>559.6</v>
      </c>
      <c r="L4755">
        <v>0</v>
      </c>
      <c r="M4755" t="s">
        <v>18</v>
      </c>
      <c r="N4755">
        <v>0</v>
      </c>
      <c r="O4755">
        <v>0</v>
      </c>
    </row>
    <row r="4756" spans="1:15" x14ac:dyDescent="0.2">
      <c r="A4756" s="6">
        <v>45807</v>
      </c>
      <c r="B4756" t="s">
        <v>15</v>
      </c>
      <c r="C4756" t="s">
        <v>16</v>
      </c>
      <c r="D4756" s="1">
        <v>45855</v>
      </c>
      <c r="E4756" t="s">
        <v>19</v>
      </c>
      <c r="F4756">
        <v>6050</v>
      </c>
      <c r="J4756">
        <v>908.4</v>
      </c>
      <c r="K4756">
        <v>883.8</v>
      </c>
      <c r="L4756">
        <v>0</v>
      </c>
      <c r="M4756" t="s">
        <v>18</v>
      </c>
      <c r="N4756">
        <v>0</v>
      </c>
      <c r="O4756">
        <v>0</v>
      </c>
    </row>
    <row r="4757" spans="1:15" x14ac:dyDescent="0.2">
      <c r="A4757" s="6">
        <v>45807</v>
      </c>
      <c r="B4757" t="s">
        <v>15</v>
      </c>
      <c r="C4757" t="s">
        <v>16</v>
      </c>
      <c r="D4757" s="1">
        <v>45855</v>
      </c>
      <c r="E4757" t="s">
        <v>19</v>
      </c>
      <c r="F4757">
        <v>5100</v>
      </c>
      <c r="J4757">
        <v>179.5</v>
      </c>
      <c r="K4757">
        <v>174.7</v>
      </c>
      <c r="L4757">
        <v>0</v>
      </c>
      <c r="M4757" t="s">
        <v>18</v>
      </c>
      <c r="N4757">
        <v>0</v>
      </c>
      <c r="O4757">
        <v>0</v>
      </c>
    </row>
    <row r="4758" spans="1:15" x14ac:dyDescent="0.2">
      <c r="A4758" s="6">
        <v>45807</v>
      </c>
      <c r="B4758" t="s">
        <v>15</v>
      </c>
      <c r="C4758" t="s">
        <v>16</v>
      </c>
      <c r="D4758" s="1">
        <v>45855</v>
      </c>
      <c r="E4758" t="s">
        <v>19</v>
      </c>
      <c r="F4758">
        <v>5700</v>
      </c>
      <c r="J4758">
        <v>591.5</v>
      </c>
      <c r="K4758">
        <v>572.79999999999995</v>
      </c>
      <c r="L4758">
        <v>0</v>
      </c>
      <c r="M4758" t="s">
        <v>18</v>
      </c>
      <c r="N4758">
        <v>0</v>
      </c>
      <c r="O4758">
        <v>0</v>
      </c>
    </row>
    <row r="4759" spans="1:15" x14ac:dyDescent="0.2">
      <c r="A4759" s="6">
        <v>45807</v>
      </c>
      <c r="B4759" t="s">
        <v>15</v>
      </c>
      <c r="C4759" t="s">
        <v>16</v>
      </c>
      <c r="D4759" s="1">
        <v>45855</v>
      </c>
      <c r="E4759" t="s">
        <v>19</v>
      </c>
      <c r="F4759">
        <v>4700</v>
      </c>
      <c r="J4759">
        <v>47.7</v>
      </c>
      <c r="K4759">
        <v>47.8</v>
      </c>
      <c r="L4759">
        <v>0</v>
      </c>
      <c r="M4759" t="s">
        <v>18</v>
      </c>
      <c r="N4759">
        <v>0</v>
      </c>
      <c r="O4759">
        <v>0</v>
      </c>
    </row>
    <row r="4760" spans="1:15" x14ac:dyDescent="0.2">
      <c r="A4760" s="6">
        <v>45807</v>
      </c>
      <c r="B4760" t="s">
        <v>15</v>
      </c>
      <c r="C4760" t="s">
        <v>16</v>
      </c>
      <c r="D4760" s="1">
        <v>45855</v>
      </c>
      <c r="E4760" t="s">
        <v>19</v>
      </c>
      <c r="F4760">
        <v>3750</v>
      </c>
      <c r="J4760">
        <v>0.1</v>
      </c>
      <c r="K4760">
        <v>0.1</v>
      </c>
      <c r="L4760">
        <v>0</v>
      </c>
      <c r="M4760" t="s">
        <v>18</v>
      </c>
      <c r="N4760">
        <v>0</v>
      </c>
      <c r="O4760">
        <v>0</v>
      </c>
    </row>
    <row r="4761" spans="1:15" x14ac:dyDescent="0.2">
      <c r="A4761" s="6">
        <v>45807</v>
      </c>
      <c r="B4761" t="s">
        <v>15</v>
      </c>
      <c r="C4761" t="s">
        <v>16</v>
      </c>
      <c r="D4761" s="1">
        <v>45855</v>
      </c>
      <c r="E4761" t="s">
        <v>17</v>
      </c>
      <c r="F4761">
        <v>6050</v>
      </c>
      <c r="J4761">
        <v>12</v>
      </c>
      <c r="K4761">
        <v>16.3</v>
      </c>
      <c r="L4761">
        <v>0</v>
      </c>
      <c r="M4761" t="s">
        <v>18</v>
      </c>
      <c r="N4761">
        <v>0</v>
      </c>
      <c r="O4761">
        <v>0</v>
      </c>
    </row>
    <row r="4762" spans="1:15" x14ac:dyDescent="0.2">
      <c r="A4762" s="6">
        <v>45807</v>
      </c>
      <c r="B4762" t="s">
        <v>15</v>
      </c>
      <c r="C4762" t="s">
        <v>16</v>
      </c>
      <c r="D4762" s="1">
        <v>45855</v>
      </c>
      <c r="E4762" t="s">
        <v>17</v>
      </c>
      <c r="F4762">
        <v>6650</v>
      </c>
      <c r="J4762">
        <v>0.9</v>
      </c>
      <c r="K4762">
        <v>1.5</v>
      </c>
      <c r="L4762">
        <v>0</v>
      </c>
      <c r="M4762" t="s">
        <v>18</v>
      </c>
      <c r="N4762">
        <v>0</v>
      </c>
      <c r="O4762">
        <v>0</v>
      </c>
    </row>
    <row r="4763" spans="1:15" x14ac:dyDescent="0.2">
      <c r="A4763" s="6">
        <v>45807</v>
      </c>
      <c r="B4763" t="s">
        <v>15</v>
      </c>
      <c r="C4763" t="s">
        <v>16</v>
      </c>
      <c r="D4763" s="1">
        <v>45855</v>
      </c>
      <c r="E4763" t="s">
        <v>17</v>
      </c>
      <c r="F4763">
        <v>3750</v>
      </c>
      <c r="J4763">
        <v>1384.4</v>
      </c>
      <c r="K4763">
        <v>1412.9</v>
      </c>
      <c r="L4763">
        <v>0</v>
      </c>
      <c r="M4763" t="s">
        <v>18</v>
      </c>
      <c r="N4763">
        <v>0</v>
      </c>
      <c r="O4763">
        <v>0</v>
      </c>
    </row>
    <row r="4764" spans="1:15" x14ac:dyDescent="0.2">
      <c r="A4764" s="6">
        <v>45807</v>
      </c>
      <c r="B4764" t="s">
        <v>15</v>
      </c>
      <c r="C4764" t="s">
        <v>16</v>
      </c>
      <c r="D4764" s="1">
        <v>45855</v>
      </c>
      <c r="E4764" t="s">
        <v>19</v>
      </c>
      <c r="F4764">
        <v>4550</v>
      </c>
      <c r="J4764">
        <v>24.8</v>
      </c>
      <c r="K4764">
        <v>25.3</v>
      </c>
      <c r="L4764">
        <v>0</v>
      </c>
      <c r="M4764" t="s">
        <v>18</v>
      </c>
      <c r="N4764">
        <v>0</v>
      </c>
      <c r="O4764">
        <v>0</v>
      </c>
    </row>
    <row r="4765" spans="1:15" x14ac:dyDescent="0.2">
      <c r="A4765" s="6">
        <v>45807</v>
      </c>
      <c r="B4765" t="s">
        <v>15</v>
      </c>
      <c r="C4765" t="s">
        <v>16</v>
      </c>
      <c r="D4765" s="1">
        <v>45855</v>
      </c>
      <c r="E4765" t="s">
        <v>17</v>
      </c>
      <c r="F4765">
        <v>5600</v>
      </c>
      <c r="J4765">
        <v>58.2</v>
      </c>
      <c r="K4765">
        <v>70.5</v>
      </c>
      <c r="L4765">
        <v>0</v>
      </c>
      <c r="M4765" t="s">
        <v>18</v>
      </c>
      <c r="N4765">
        <v>0</v>
      </c>
      <c r="O4765">
        <v>0</v>
      </c>
    </row>
    <row r="4766" spans="1:15" x14ac:dyDescent="0.2">
      <c r="A4766" s="6">
        <v>45807</v>
      </c>
      <c r="B4766" t="s">
        <v>15</v>
      </c>
      <c r="C4766" t="s">
        <v>16</v>
      </c>
      <c r="D4766" s="1">
        <v>45855</v>
      </c>
      <c r="E4766" t="s">
        <v>19</v>
      </c>
      <c r="F4766">
        <v>5300</v>
      </c>
      <c r="J4766">
        <v>290.8</v>
      </c>
      <c r="K4766">
        <v>281.60000000000002</v>
      </c>
      <c r="L4766">
        <v>0</v>
      </c>
      <c r="M4766" t="s">
        <v>18</v>
      </c>
      <c r="N4766">
        <v>0</v>
      </c>
      <c r="O4766">
        <v>3</v>
      </c>
    </row>
    <row r="4767" spans="1:15" x14ac:dyDescent="0.2">
      <c r="A4767" s="6">
        <v>45807</v>
      </c>
      <c r="B4767" t="s">
        <v>15</v>
      </c>
      <c r="C4767" t="s">
        <v>16</v>
      </c>
      <c r="D4767" s="1">
        <v>45855</v>
      </c>
      <c r="E4767" t="s">
        <v>19</v>
      </c>
      <c r="F4767">
        <v>6400</v>
      </c>
      <c r="J4767">
        <v>1246.3</v>
      </c>
      <c r="K4767">
        <v>1218.8</v>
      </c>
      <c r="L4767">
        <v>0</v>
      </c>
      <c r="M4767" t="s">
        <v>18</v>
      </c>
      <c r="N4767">
        <v>0</v>
      </c>
      <c r="O4767">
        <v>0</v>
      </c>
    </row>
    <row r="4768" spans="1:15" x14ac:dyDescent="0.2">
      <c r="A4768" s="6">
        <v>45807</v>
      </c>
      <c r="B4768" t="s">
        <v>15</v>
      </c>
      <c r="C4768" t="s">
        <v>16</v>
      </c>
      <c r="D4768" s="1">
        <v>45855</v>
      </c>
      <c r="E4768" t="s">
        <v>19</v>
      </c>
      <c r="F4768">
        <v>5400</v>
      </c>
      <c r="J4768">
        <v>357.2</v>
      </c>
      <c r="K4768">
        <v>340</v>
      </c>
      <c r="L4768">
        <v>0</v>
      </c>
      <c r="M4768" t="s">
        <v>18</v>
      </c>
      <c r="N4768">
        <v>0</v>
      </c>
      <c r="O4768">
        <v>1</v>
      </c>
    </row>
    <row r="4769" spans="1:15" x14ac:dyDescent="0.2">
      <c r="A4769" s="6">
        <v>45807</v>
      </c>
      <c r="B4769" t="s">
        <v>15</v>
      </c>
      <c r="C4769" t="s">
        <v>16</v>
      </c>
      <c r="D4769" s="1">
        <v>45855</v>
      </c>
      <c r="E4769" t="s">
        <v>19</v>
      </c>
      <c r="F4769">
        <v>5450</v>
      </c>
      <c r="J4769">
        <v>392.8</v>
      </c>
      <c r="K4769">
        <v>380</v>
      </c>
      <c r="L4769">
        <v>0</v>
      </c>
      <c r="M4769" t="s">
        <v>18</v>
      </c>
      <c r="N4769">
        <v>0</v>
      </c>
      <c r="O4769">
        <v>0</v>
      </c>
    </row>
    <row r="4770" spans="1:15" x14ac:dyDescent="0.2">
      <c r="A4770" s="6">
        <v>45807</v>
      </c>
      <c r="B4770" t="s">
        <v>15</v>
      </c>
      <c r="C4770" t="s">
        <v>16</v>
      </c>
      <c r="D4770" s="1">
        <v>45855</v>
      </c>
      <c r="E4770" t="s">
        <v>17</v>
      </c>
      <c r="F4770">
        <v>6550</v>
      </c>
      <c r="J4770">
        <v>1.4</v>
      </c>
      <c r="K4770">
        <v>2.2999999999999998</v>
      </c>
      <c r="L4770">
        <v>0</v>
      </c>
      <c r="M4770" t="s">
        <v>18</v>
      </c>
      <c r="N4770">
        <v>0</v>
      </c>
      <c r="O4770">
        <v>0</v>
      </c>
    </row>
    <row r="4771" spans="1:15" x14ac:dyDescent="0.2">
      <c r="A4771" s="6">
        <v>45807</v>
      </c>
      <c r="B4771" t="s">
        <v>15</v>
      </c>
      <c r="C4771" t="s">
        <v>16</v>
      </c>
      <c r="D4771" s="1">
        <v>45855</v>
      </c>
      <c r="E4771" t="s">
        <v>19</v>
      </c>
      <c r="F4771">
        <v>5050</v>
      </c>
      <c r="J4771">
        <v>156.5</v>
      </c>
      <c r="K4771">
        <v>152.69999999999999</v>
      </c>
      <c r="L4771">
        <v>0</v>
      </c>
      <c r="M4771" t="s">
        <v>18</v>
      </c>
      <c r="N4771">
        <v>0</v>
      </c>
      <c r="O4771">
        <v>0</v>
      </c>
    </row>
    <row r="4772" spans="1:15" x14ac:dyDescent="0.2">
      <c r="A4772" s="6">
        <v>45807</v>
      </c>
      <c r="B4772" t="s">
        <v>15</v>
      </c>
      <c r="C4772" t="s">
        <v>16</v>
      </c>
      <c r="D4772" s="1">
        <v>45855</v>
      </c>
      <c r="E4772" t="s">
        <v>19</v>
      </c>
      <c r="F4772">
        <v>5900</v>
      </c>
      <c r="J4772">
        <v>768.7</v>
      </c>
      <c r="K4772">
        <v>746.3</v>
      </c>
      <c r="L4772">
        <v>0</v>
      </c>
      <c r="M4772" t="s">
        <v>18</v>
      </c>
      <c r="N4772">
        <v>0</v>
      </c>
      <c r="O4772">
        <v>0</v>
      </c>
    </row>
    <row r="4773" spans="1:15" x14ac:dyDescent="0.2">
      <c r="A4773" s="6">
        <v>45807</v>
      </c>
      <c r="B4773" t="s">
        <v>15</v>
      </c>
      <c r="C4773" t="s">
        <v>16</v>
      </c>
      <c r="D4773" s="1">
        <v>45855</v>
      </c>
      <c r="E4773" t="s">
        <v>19</v>
      </c>
      <c r="F4773">
        <v>4450</v>
      </c>
      <c r="J4773">
        <v>15.1</v>
      </c>
      <c r="K4773">
        <v>15.7</v>
      </c>
      <c r="L4773">
        <v>0</v>
      </c>
      <c r="M4773" t="s">
        <v>18</v>
      </c>
      <c r="N4773">
        <v>0</v>
      </c>
      <c r="O4773">
        <v>0</v>
      </c>
    </row>
    <row r="4774" spans="1:15" x14ac:dyDescent="0.2">
      <c r="A4774" s="6">
        <v>45807</v>
      </c>
      <c r="B4774" t="s">
        <v>15</v>
      </c>
      <c r="C4774" t="s">
        <v>16</v>
      </c>
      <c r="D4774" s="1">
        <v>45855</v>
      </c>
      <c r="E4774" t="s">
        <v>19</v>
      </c>
      <c r="F4774">
        <v>3700</v>
      </c>
      <c r="J4774">
        <v>0.1</v>
      </c>
      <c r="K4774">
        <v>0.1</v>
      </c>
      <c r="L4774">
        <v>0</v>
      </c>
      <c r="M4774" t="s">
        <v>18</v>
      </c>
      <c r="N4774">
        <v>0</v>
      </c>
      <c r="O4774">
        <v>0</v>
      </c>
    </row>
    <row r="4775" spans="1:15" x14ac:dyDescent="0.2">
      <c r="A4775" s="6">
        <v>45807</v>
      </c>
      <c r="B4775" t="s">
        <v>15</v>
      </c>
      <c r="C4775" t="s">
        <v>16</v>
      </c>
      <c r="D4775" s="1">
        <v>45855</v>
      </c>
      <c r="E4775" t="s">
        <v>17</v>
      </c>
      <c r="F4775">
        <v>5750</v>
      </c>
      <c r="J4775">
        <v>35.700000000000003</v>
      </c>
      <c r="K4775">
        <v>44.8</v>
      </c>
      <c r="L4775">
        <v>0</v>
      </c>
      <c r="M4775" t="s">
        <v>18</v>
      </c>
      <c r="N4775">
        <v>0</v>
      </c>
      <c r="O4775">
        <v>0</v>
      </c>
    </row>
    <row r="4776" spans="1:15" x14ac:dyDescent="0.2">
      <c r="A4776" s="6">
        <v>45807</v>
      </c>
      <c r="B4776" t="s">
        <v>15</v>
      </c>
      <c r="C4776" t="s">
        <v>16</v>
      </c>
      <c r="D4776" s="1">
        <v>45855</v>
      </c>
      <c r="E4776" t="s">
        <v>19</v>
      </c>
      <c r="F4776">
        <v>4600</v>
      </c>
      <c r="J4776">
        <v>31.2</v>
      </c>
      <c r="K4776">
        <v>31.6</v>
      </c>
      <c r="L4776">
        <v>0</v>
      </c>
      <c r="M4776" t="s">
        <v>18</v>
      </c>
      <c r="N4776">
        <v>0</v>
      </c>
      <c r="O4776">
        <v>0</v>
      </c>
    </row>
    <row r="4777" spans="1:15" x14ac:dyDescent="0.2">
      <c r="A4777" s="6">
        <v>45807</v>
      </c>
      <c r="B4777" t="s">
        <v>15</v>
      </c>
      <c r="C4777" t="s">
        <v>16</v>
      </c>
      <c r="D4777" s="1">
        <v>45855</v>
      </c>
      <c r="E4777" t="s">
        <v>19</v>
      </c>
      <c r="F4777">
        <v>4950</v>
      </c>
      <c r="J4777">
        <v>116.3</v>
      </c>
      <c r="K4777">
        <v>114.1</v>
      </c>
      <c r="L4777">
        <v>0</v>
      </c>
      <c r="M4777" t="s">
        <v>18</v>
      </c>
      <c r="N4777">
        <v>0</v>
      </c>
      <c r="O4777">
        <v>0</v>
      </c>
    </row>
    <row r="4778" spans="1:15" x14ac:dyDescent="0.2">
      <c r="A4778" s="6">
        <v>45807</v>
      </c>
      <c r="B4778" t="s">
        <v>15</v>
      </c>
      <c r="C4778" t="s">
        <v>16</v>
      </c>
      <c r="D4778" s="1">
        <v>45855</v>
      </c>
      <c r="E4778" t="s">
        <v>17</v>
      </c>
      <c r="F4778">
        <v>3850</v>
      </c>
      <c r="J4778">
        <v>1285.4000000000001</v>
      </c>
      <c r="K4778">
        <v>1313.9</v>
      </c>
      <c r="L4778">
        <v>0</v>
      </c>
      <c r="M4778" t="s">
        <v>18</v>
      </c>
      <c r="N4778">
        <v>0</v>
      </c>
      <c r="O4778">
        <v>0</v>
      </c>
    </row>
    <row r="4779" spans="1:15" x14ac:dyDescent="0.2">
      <c r="A4779" s="6">
        <v>45807</v>
      </c>
      <c r="B4779" t="s">
        <v>15</v>
      </c>
      <c r="C4779" t="s">
        <v>16</v>
      </c>
      <c r="D4779" s="1">
        <v>45855</v>
      </c>
      <c r="E4779" t="s">
        <v>19</v>
      </c>
      <c r="F4779">
        <v>6200</v>
      </c>
      <c r="J4779">
        <v>1051.8</v>
      </c>
      <c r="K4779">
        <v>1025.5999999999999</v>
      </c>
      <c r="L4779">
        <v>0</v>
      </c>
      <c r="M4779" t="s">
        <v>18</v>
      </c>
      <c r="N4779">
        <v>0</v>
      </c>
      <c r="O4779">
        <v>0</v>
      </c>
    </row>
    <row r="4780" spans="1:15" x14ac:dyDescent="0.2">
      <c r="A4780" s="6">
        <v>45807</v>
      </c>
      <c r="B4780" t="s">
        <v>15</v>
      </c>
      <c r="C4780" t="s">
        <v>16</v>
      </c>
      <c r="D4780" s="1">
        <v>45855</v>
      </c>
      <c r="E4780" t="s">
        <v>17</v>
      </c>
      <c r="F4780">
        <v>3800</v>
      </c>
      <c r="J4780">
        <v>1334.9</v>
      </c>
      <c r="K4780">
        <v>1363.4</v>
      </c>
      <c r="L4780">
        <v>0</v>
      </c>
      <c r="M4780" t="s">
        <v>18</v>
      </c>
      <c r="N4780">
        <v>0</v>
      </c>
      <c r="O4780">
        <v>0</v>
      </c>
    </row>
    <row r="4781" spans="1:15" x14ac:dyDescent="0.2">
      <c r="A4781" s="6">
        <v>45807</v>
      </c>
      <c r="B4781" t="s">
        <v>15</v>
      </c>
      <c r="C4781" t="s">
        <v>16</v>
      </c>
      <c r="D4781" s="1">
        <v>45855</v>
      </c>
      <c r="E4781" t="s">
        <v>17</v>
      </c>
      <c r="F4781">
        <v>6450</v>
      </c>
      <c r="J4781">
        <v>2.2999999999999998</v>
      </c>
      <c r="K4781">
        <v>3.5</v>
      </c>
      <c r="L4781">
        <v>0</v>
      </c>
      <c r="M4781" t="s">
        <v>18</v>
      </c>
      <c r="N4781">
        <v>0</v>
      </c>
      <c r="O4781">
        <v>0</v>
      </c>
    </row>
    <row r="4782" spans="1:15" x14ac:dyDescent="0.2">
      <c r="A4782" s="6">
        <v>45807</v>
      </c>
      <c r="B4782" t="s">
        <v>15</v>
      </c>
      <c r="C4782" t="s">
        <v>16</v>
      </c>
      <c r="D4782" s="1">
        <v>45855</v>
      </c>
      <c r="E4782" t="s">
        <v>19</v>
      </c>
      <c r="F4782">
        <v>4100</v>
      </c>
      <c r="J4782">
        <v>1.7</v>
      </c>
      <c r="K4782">
        <v>2</v>
      </c>
      <c r="L4782">
        <v>0</v>
      </c>
      <c r="M4782" t="s">
        <v>18</v>
      </c>
      <c r="N4782">
        <v>0</v>
      </c>
      <c r="O4782">
        <v>0</v>
      </c>
    </row>
    <row r="4783" spans="1:15" x14ac:dyDescent="0.2">
      <c r="A4783" s="6">
        <v>45807</v>
      </c>
      <c r="B4783" t="s">
        <v>15</v>
      </c>
      <c r="C4783" t="s">
        <v>16</v>
      </c>
      <c r="D4783" s="1">
        <v>45855</v>
      </c>
      <c r="E4783" t="s">
        <v>17</v>
      </c>
      <c r="F4783">
        <v>5650</v>
      </c>
      <c r="J4783">
        <v>49.6</v>
      </c>
      <c r="K4783">
        <v>60.9</v>
      </c>
      <c r="L4783">
        <v>0</v>
      </c>
      <c r="M4783" t="s">
        <v>18</v>
      </c>
      <c r="N4783">
        <v>0</v>
      </c>
      <c r="O4783">
        <v>0</v>
      </c>
    </row>
    <row r="4784" spans="1:15" x14ac:dyDescent="0.2">
      <c r="A4784" s="6">
        <v>45807</v>
      </c>
      <c r="B4784" t="s">
        <v>15</v>
      </c>
      <c r="C4784" t="s">
        <v>16</v>
      </c>
      <c r="D4784" s="1">
        <v>45855</v>
      </c>
      <c r="E4784" t="s">
        <v>17</v>
      </c>
      <c r="F4784">
        <v>4850</v>
      </c>
      <c r="J4784">
        <v>377.2</v>
      </c>
      <c r="K4784">
        <v>404.9</v>
      </c>
      <c r="L4784">
        <v>0</v>
      </c>
      <c r="M4784" t="s">
        <v>18</v>
      </c>
      <c r="N4784">
        <v>0</v>
      </c>
      <c r="O4784">
        <v>0</v>
      </c>
    </row>
    <row r="4785" spans="1:15" x14ac:dyDescent="0.2">
      <c r="A4785" s="6">
        <v>45807</v>
      </c>
      <c r="B4785" t="s">
        <v>15</v>
      </c>
      <c r="C4785" t="s">
        <v>16</v>
      </c>
      <c r="D4785" s="1">
        <v>45855</v>
      </c>
      <c r="E4785" t="s">
        <v>17</v>
      </c>
      <c r="F4785">
        <v>4700</v>
      </c>
      <c r="J4785">
        <v>489.9</v>
      </c>
      <c r="K4785">
        <v>518.70000000000005</v>
      </c>
      <c r="L4785">
        <v>0</v>
      </c>
      <c r="M4785" t="s">
        <v>18</v>
      </c>
      <c r="N4785">
        <v>0</v>
      </c>
      <c r="O4785">
        <v>0</v>
      </c>
    </row>
    <row r="4786" spans="1:15" x14ac:dyDescent="0.2">
      <c r="A4786" s="6">
        <v>45807</v>
      </c>
      <c r="B4786" t="s">
        <v>15</v>
      </c>
      <c r="C4786" t="s">
        <v>16</v>
      </c>
      <c r="D4786" s="1">
        <v>45855</v>
      </c>
      <c r="E4786" t="s">
        <v>17</v>
      </c>
      <c r="F4786">
        <v>4550</v>
      </c>
      <c r="J4786">
        <v>615.79999999999995</v>
      </c>
      <c r="K4786">
        <v>645</v>
      </c>
      <c r="L4786">
        <v>0</v>
      </c>
      <c r="M4786" t="s">
        <v>18</v>
      </c>
      <c r="N4786">
        <v>0</v>
      </c>
      <c r="O4786">
        <v>0</v>
      </c>
    </row>
    <row r="4787" spans="1:15" x14ac:dyDescent="0.2">
      <c r="A4787" s="6">
        <v>45807</v>
      </c>
      <c r="B4787" t="s">
        <v>15</v>
      </c>
      <c r="C4787" t="s">
        <v>16</v>
      </c>
      <c r="D4787" s="1">
        <v>45855</v>
      </c>
      <c r="E4787" t="s">
        <v>17</v>
      </c>
      <c r="F4787">
        <v>4300</v>
      </c>
      <c r="J4787">
        <v>845.4</v>
      </c>
      <c r="K4787">
        <v>874.5</v>
      </c>
      <c r="L4787">
        <v>0</v>
      </c>
      <c r="M4787" t="s">
        <v>18</v>
      </c>
      <c r="N4787">
        <v>0</v>
      </c>
      <c r="O4787">
        <v>0</v>
      </c>
    </row>
    <row r="4788" spans="1:15" x14ac:dyDescent="0.2">
      <c r="A4788" s="6">
        <v>45807</v>
      </c>
      <c r="B4788" t="s">
        <v>15</v>
      </c>
      <c r="C4788" t="s">
        <v>16</v>
      </c>
      <c r="D4788" s="1">
        <v>45855</v>
      </c>
      <c r="E4788" t="s">
        <v>17</v>
      </c>
      <c r="F4788">
        <v>6000</v>
      </c>
      <c r="J4788">
        <v>14.5</v>
      </c>
      <c r="K4788">
        <v>19.5</v>
      </c>
      <c r="L4788">
        <v>0</v>
      </c>
      <c r="M4788" t="s">
        <v>18</v>
      </c>
      <c r="N4788">
        <v>0</v>
      </c>
      <c r="O4788">
        <v>1</v>
      </c>
    </row>
    <row r="4789" spans="1:15" x14ac:dyDescent="0.2">
      <c r="A4789" s="6">
        <v>45807</v>
      </c>
      <c r="B4789" t="s">
        <v>15</v>
      </c>
      <c r="C4789" t="s">
        <v>16</v>
      </c>
      <c r="D4789" s="1">
        <v>45855</v>
      </c>
      <c r="E4789" t="s">
        <v>19</v>
      </c>
      <c r="F4789">
        <v>5350</v>
      </c>
      <c r="J4789">
        <v>323.10000000000002</v>
      </c>
      <c r="K4789">
        <v>312.7</v>
      </c>
      <c r="L4789">
        <v>0</v>
      </c>
      <c r="M4789" t="s">
        <v>18</v>
      </c>
      <c r="N4789">
        <v>0</v>
      </c>
      <c r="O4789">
        <v>0</v>
      </c>
    </row>
    <row r="4790" spans="1:15" x14ac:dyDescent="0.2">
      <c r="A4790" s="6">
        <v>45807</v>
      </c>
      <c r="B4790" t="s">
        <v>15</v>
      </c>
      <c r="C4790" t="s">
        <v>16</v>
      </c>
      <c r="D4790" s="1">
        <v>45855</v>
      </c>
      <c r="E4790" t="s">
        <v>17</v>
      </c>
      <c r="F4790">
        <v>4250</v>
      </c>
      <c r="J4790">
        <v>893.3</v>
      </c>
      <c r="K4790">
        <v>922.3</v>
      </c>
      <c r="L4790">
        <v>0</v>
      </c>
      <c r="M4790" t="s">
        <v>18</v>
      </c>
      <c r="N4790">
        <v>0</v>
      </c>
      <c r="O4790">
        <v>0</v>
      </c>
    </row>
    <row r="4791" spans="1:15" x14ac:dyDescent="0.2">
      <c r="A4791" s="6">
        <v>45807</v>
      </c>
      <c r="B4791" t="s">
        <v>15</v>
      </c>
      <c r="C4791" t="s">
        <v>16</v>
      </c>
      <c r="D4791" s="1">
        <v>45855</v>
      </c>
      <c r="E4791" t="s">
        <v>19</v>
      </c>
      <c r="F4791">
        <v>5000</v>
      </c>
      <c r="G4791">
        <v>197</v>
      </c>
      <c r="H4791">
        <v>197</v>
      </c>
      <c r="I4791">
        <v>197</v>
      </c>
      <c r="J4791">
        <v>197</v>
      </c>
      <c r="K4791">
        <v>133.6</v>
      </c>
      <c r="L4791">
        <v>1</v>
      </c>
      <c r="M4791" t="s">
        <v>155</v>
      </c>
      <c r="N4791">
        <v>5.2</v>
      </c>
      <c r="O4791">
        <v>5</v>
      </c>
    </row>
    <row r="4792" spans="1:15" x14ac:dyDescent="0.2">
      <c r="A4792" s="6">
        <v>45807</v>
      </c>
      <c r="B4792" t="s">
        <v>15</v>
      </c>
      <c r="C4792" t="s">
        <v>16</v>
      </c>
      <c r="D4792" s="1">
        <v>45855</v>
      </c>
      <c r="E4792" t="s">
        <v>19</v>
      </c>
      <c r="F4792">
        <v>5950</v>
      </c>
      <c r="J4792">
        <v>814.8</v>
      </c>
      <c r="K4792">
        <v>791.6</v>
      </c>
      <c r="L4792">
        <v>0</v>
      </c>
      <c r="M4792" t="s">
        <v>18</v>
      </c>
      <c r="N4792">
        <v>0</v>
      </c>
      <c r="O4792">
        <v>0</v>
      </c>
    </row>
    <row r="4793" spans="1:15" x14ac:dyDescent="0.2">
      <c r="A4793" s="6">
        <v>45807</v>
      </c>
      <c r="B4793" t="s">
        <v>15</v>
      </c>
      <c r="C4793" t="s">
        <v>16</v>
      </c>
      <c r="D4793" s="1">
        <v>45855</v>
      </c>
      <c r="E4793" t="s">
        <v>19</v>
      </c>
      <c r="F4793">
        <v>4500</v>
      </c>
      <c r="J4793">
        <v>19.5</v>
      </c>
      <c r="K4793">
        <v>20.100000000000001</v>
      </c>
      <c r="L4793">
        <v>0</v>
      </c>
      <c r="M4793" t="s">
        <v>18</v>
      </c>
      <c r="N4793">
        <v>0</v>
      </c>
      <c r="O4793">
        <v>0</v>
      </c>
    </row>
    <row r="4794" spans="1:15" x14ac:dyDescent="0.2">
      <c r="A4794" s="6">
        <v>45807</v>
      </c>
      <c r="B4794" t="s">
        <v>15</v>
      </c>
      <c r="C4794" t="s">
        <v>16</v>
      </c>
      <c r="D4794" s="1">
        <v>45855</v>
      </c>
      <c r="E4794" t="s">
        <v>17</v>
      </c>
      <c r="F4794">
        <v>4150</v>
      </c>
      <c r="J4794">
        <v>990.1</v>
      </c>
      <c r="K4794">
        <v>1019</v>
      </c>
      <c r="L4794">
        <v>0</v>
      </c>
      <c r="M4794" t="s">
        <v>18</v>
      </c>
      <c r="N4794">
        <v>0</v>
      </c>
      <c r="O4794">
        <v>0</v>
      </c>
    </row>
    <row r="4795" spans="1:15" x14ac:dyDescent="0.2">
      <c r="A4795" s="6">
        <v>45807</v>
      </c>
      <c r="B4795" t="s">
        <v>15</v>
      </c>
      <c r="C4795" t="s">
        <v>16</v>
      </c>
      <c r="D4795" s="1">
        <v>45855</v>
      </c>
      <c r="E4795" t="s">
        <v>17</v>
      </c>
      <c r="F4795">
        <v>6300</v>
      </c>
      <c r="J4795">
        <v>4.3</v>
      </c>
      <c r="K4795">
        <v>6.4</v>
      </c>
      <c r="L4795">
        <v>0</v>
      </c>
      <c r="M4795" t="s">
        <v>18</v>
      </c>
      <c r="N4795">
        <v>0</v>
      </c>
      <c r="O4795">
        <v>0</v>
      </c>
    </row>
    <row r="4796" spans="1:15" x14ac:dyDescent="0.2">
      <c r="A4796" s="6">
        <v>45807</v>
      </c>
      <c r="B4796" t="s">
        <v>15</v>
      </c>
      <c r="C4796" t="s">
        <v>16</v>
      </c>
      <c r="D4796" s="1">
        <v>45855</v>
      </c>
      <c r="E4796" t="s">
        <v>17</v>
      </c>
      <c r="F4796">
        <v>6350</v>
      </c>
      <c r="J4796">
        <v>3.5</v>
      </c>
      <c r="K4796">
        <v>5.2</v>
      </c>
      <c r="L4796">
        <v>0</v>
      </c>
      <c r="M4796" t="s">
        <v>18</v>
      </c>
      <c r="N4796">
        <v>0</v>
      </c>
      <c r="O4796">
        <v>0</v>
      </c>
    </row>
    <row r="4797" spans="1:15" x14ac:dyDescent="0.2">
      <c r="A4797" s="6">
        <v>45807</v>
      </c>
      <c r="B4797" t="s">
        <v>15</v>
      </c>
      <c r="C4797" t="s">
        <v>16</v>
      </c>
      <c r="D4797" s="1">
        <v>45855</v>
      </c>
      <c r="E4797" t="s">
        <v>19</v>
      </c>
      <c r="F4797">
        <v>4400</v>
      </c>
      <c r="J4797">
        <v>11.6</v>
      </c>
      <c r="K4797">
        <v>12.2</v>
      </c>
      <c r="L4797">
        <v>0</v>
      </c>
      <c r="M4797" t="s">
        <v>18</v>
      </c>
      <c r="N4797">
        <v>0</v>
      </c>
      <c r="O4797">
        <v>0</v>
      </c>
    </row>
    <row r="4798" spans="1:15" x14ac:dyDescent="0.2">
      <c r="A4798" s="6">
        <v>45807</v>
      </c>
      <c r="B4798" t="s">
        <v>15</v>
      </c>
      <c r="C4798" t="s">
        <v>16</v>
      </c>
      <c r="D4798" s="1">
        <v>45855</v>
      </c>
      <c r="E4798" t="s">
        <v>17</v>
      </c>
      <c r="F4798">
        <v>4000</v>
      </c>
      <c r="J4798">
        <v>1137.2</v>
      </c>
      <c r="K4798">
        <v>1165.9000000000001</v>
      </c>
      <c r="L4798">
        <v>0</v>
      </c>
      <c r="M4798" t="s">
        <v>18</v>
      </c>
      <c r="N4798">
        <v>0</v>
      </c>
      <c r="O4798">
        <v>0</v>
      </c>
    </row>
    <row r="4799" spans="1:15" x14ac:dyDescent="0.2">
      <c r="A4799" s="6">
        <v>45807</v>
      </c>
      <c r="B4799" t="s">
        <v>15</v>
      </c>
      <c r="C4799" t="s">
        <v>16</v>
      </c>
      <c r="D4799" s="1">
        <v>45855</v>
      </c>
      <c r="E4799" t="s">
        <v>17</v>
      </c>
      <c r="F4799">
        <v>4050</v>
      </c>
      <c r="J4799">
        <v>1088</v>
      </c>
      <c r="K4799">
        <v>1116.8</v>
      </c>
      <c r="L4799">
        <v>0</v>
      </c>
      <c r="M4799" t="s">
        <v>18</v>
      </c>
      <c r="N4799">
        <v>0</v>
      </c>
      <c r="O4799">
        <v>0</v>
      </c>
    </row>
    <row r="4800" spans="1:15" x14ac:dyDescent="0.2">
      <c r="A4800" s="6">
        <v>45807</v>
      </c>
      <c r="B4800" t="s">
        <v>15</v>
      </c>
      <c r="C4800" t="s">
        <v>16</v>
      </c>
      <c r="D4800" s="1">
        <v>45855</v>
      </c>
      <c r="E4800" t="s">
        <v>17</v>
      </c>
      <c r="F4800">
        <v>5450</v>
      </c>
      <c r="J4800">
        <v>91.4</v>
      </c>
      <c r="K4800">
        <v>107.3</v>
      </c>
      <c r="L4800">
        <v>0</v>
      </c>
      <c r="M4800" t="s">
        <v>18</v>
      </c>
      <c r="N4800">
        <v>0</v>
      </c>
      <c r="O4800">
        <v>0</v>
      </c>
    </row>
    <row r="4801" spans="1:15" x14ac:dyDescent="0.2">
      <c r="A4801" s="6">
        <v>45807</v>
      </c>
      <c r="B4801" t="s">
        <v>15</v>
      </c>
      <c r="C4801" t="s">
        <v>16</v>
      </c>
      <c r="D4801" s="1">
        <v>45855</v>
      </c>
      <c r="E4801" t="s">
        <v>17</v>
      </c>
      <c r="F4801">
        <v>4600</v>
      </c>
      <c r="J4801">
        <v>572.6</v>
      </c>
      <c r="K4801">
        <v>601.70000000000005</v>
      </c>
      <c r="L4801">
        <v>0</v>
      </c>
      <c r="M4801" t="s">
        <v>18</v>
      </c>
      <c r="N4801">
        <v>0</v>
      </c>
      <c r="O4801">
        <v>0</v>
      </c>
    </row>
    <row r="4802" spans="1:15" x14ac:dyDescent="0.2">
      <c r="A4802" s="6">
        <v>45807</v>
      </c>
      <c r="B4802" t="s">
        <v>15</v>
      </c>
      <c r="C4802" t="s">
        <v>16</v>
      </c>
      <c r="D4802" s="1">
        <v>45855</v>
      </c>
      <c r="E4802" t="s">
        <v>17</v>
      </c>
      <c r="F4802">
        <v>5150</v>
      </c>
      <c r="G4802">
        <v>320</v>
      </c>
      <c r="H4802">
        <v>320</v>
      </c>
      <c r="I4802">
        <v>278.7</v>
      </c>
      <c r="J4802">
        <v>292.5</v>
      </c>
      <c r="K4802">
        <v>223.5</v>
      </c>
      <c r="L4802">
        <v>3</v>
      </c>
      <c r="M4802" t="s">
        <v>34</v>
      </c>
      <c r="N4802">
        <v>16.329999999999998</v>
      </c>
      <c r="O4802">
        <v>3</v>
      </c>
    </row>
    <row r="4803" spans="1:15" x14ac:dyDescent="0.2">
      <c r="A4803" s="6">
        <v>45807</v>
      </c>
      <c r="B4803" t="s">
        <v>15</v>
      </c>
      <c r="C4803" t="s">
        <v>16</v>
      </c>
      <c r="D4803" s="1">
        <v>45855</v>
      </c>
      <c r="E4803" t="s">
        <v>17</v>
      </c>
      <c r="F4803">
        <v>5800</v>
      </c>
      <c r="J4803">
        <v>30</v>
      </c>
      <c r="K4803">
        <v>38.200000000000003</v>
      </c>
      <c r="L4803">
        <v>0</v>
      </c>
      <c r="M4803" t="s">
        <v>18</v>
      </c>
      <c r="N4803">
        <v>0</v>
      </c>
      <c r="O4803">
        <v>0</v>
      </c>
    </row>
    <row r="4804" spans="1:15" x14ac:dyDescent="0.2">
      <c r="A4804" s="6">
        <v>45807</v>
      </c>
      <c r="B4804" t="s">
        <v>15</v>
      </c>
      <c r="C4804" t="s">
        <v>16</v>
      </c>
      <c r="D4804" s="1">
        <v>45855</v>
      </c>
      <c r="E4804" t="s">
        <v>17</v>
      </c>
      <c r="F4804">
        <v>6250</v>
      </c>
      <c r="J4804">
        <v>5.4</v>
      </c>
      <c r="K4804">
        <v>7.8</v>
      </c>
      <c r="L4804">
        <v>0</v>
      </c>
      <c r="M4804" t="s">
        <v>18</v>
      </c>
      <c r="N4804">
        <v>0</v>
      </c>
      <c r="O4804">
        <v>0</v>
      </c>
    </row>
    <row r="4805" spans="1:15" x14ac:dyDescent="0.2">
      <c r="A4805" s="6">
        <v>45807</v>
      </c>
      <c r="B4805" t="s">
        <v>15</v>
      </c>
      <c r="C4805" t="s">
        <v>16</v>
      </c>
      <c r="D4805" s="1">
        <v>45855</v>
      </c>
      <c r="E4805" t="s">
        <v>17</v>
      </c>
      <c r="F4805">
        <v>5050</v>
      </c>
      <c r="J4805">
        <v>251.7</v>
      </c>
      <c r="K4805">
        <v>276.60000000000002</v>
      </c>
      <c r="L4805">
        <v>0</v>
      </c>
      <c r="M4805" t="s">
        <v>18</v>
      </c>
      <c r="N4805">
        <v>0</v>
      </c>
      <c r="O4805">
        <v>0</v>
      </c>
    </row>
    <row r="4806" spans="1:15" x14ac:dyDescent="0.2">
      <c r="A4806" s="6">
        <v>45807</v>
      </c>
      <c r="B4806" t="s">
        <v>15</v>
      </c>
      <c r="C4806" t="s">
        <v>16</v>
      </c>
      <c r="D4806" s="1">
        <v>45855</v>
      </c>
      <c r="E4806" t="s">
        <v>17</v>
      </c>
      <c r="F4806">
        <v>6500</v>
      </c>
      <c r="J4806">
        <v>1.8</v>
      </c>
      <c r="K4806">
        <v>2.8</v>
      </c>
      <c r="L4806">
        <v>0</v>
      </c>
      <c r="M4806" t="s">
        <v>18</v>
      </c>
      <c r="N4806">
        <v>0</v>
      </c>
      <c r="O4806">
        <v>0</v>
      </c>
    </row>
    <row r="4807" spans="1:15" x14ac:dyDescent="0.2">
      <c r="A4807" s="6">
        <v>45807</v>
      </c>
      <c r="B4807" t="s">
        <v>15</v>
      </c>
      <c r="C4807" t="s">
        <v>16</v>
      </c>
      <c r="D4807" s="1">
        <v>45855</v>
      </c>
      <c r="E4807" t="s">
        <v>19</v>
      </c>
      <c r="F4807">
        <v>4650</v>
      </c>
      <c r="J4807">
        <v>38.700000000000003</v>
      </c>
      <c r="K4807">
        <v>39.1</v>
      </c>
      <c r="L4807">
        <v>0</v>
      </c>
      <c r="M4807" t="s">
        <v>18</v>
      </c>
      <c r="N4807">
        <v>0</v>
      </c>
      <c r="O4807">
        <v>0</v>
      </c>
    </row>
    <row r="4808" spans="1:15" x14ac:dyDescent="0.2">
      <c r="A4808" s="6">
        <v>45807</v>
      </c>
      <c r="B4808" t="s">
        <v>15</v>
      </c>
      <c r="C4808" t="s">
        <v>16</v>
      </c>
      <c r="D4808" s="1">
        <v>45855</v>
      </c>
      <c r="E4808" t="s">
        <v>17</v>
      </c>
      <c r="F4808">
        <v>6200</v>
      </c>
      <c r="J4808">
        <v>6.6</v>
      </c>
      <c r="K4808">
        <v>9.4</v>
      </c>
      <c r="L4808">
        <v>0</v>
      </c>
      <c r="M4808" t="s">
        <v>18</v>
      </c>
      <c r="N4808">
        <v>0</v>
      </c>
      <c r="O4808">
        <v>0</v>
      </c>
    </row>
    <row r="4809" spans="1:15" x14ac:dyDescent="0.2">
      <c r="A4809" s="6">
        <v>45807</v>
      </c>
      <c r="B4809" t="s">
        <v>15</v>
      </c>
      <c r="C4809" t="s">
        <v>16</v>
      </c>
      <c r="D4809" s="1">
        <v>45855</v>
      </c>
      <c r="E4809" t="s">
        <v>19</v>
      </c>
      <c r="F4809">
        <v>5150</v>
      </c>
      <c r="J4809">
        <v>204.5</v>
      </c>
      <c r="K4809">
        <v>198.7</v>
      </c>
      <c r="L4809">
        <v>0</v>
      </c>
      <c r="M4809" t="s">
        <v>18</v>
      </c>
      <c r="N4809">
        <v>0</v>
      </c>
      <c r="O4809">
        <v>0</v>
      </c>
    </row>
    <row r="4810" spans="1:15" x14ac:dyDescent="0.2">
      <c r="A4810" s="6">
        <v>45807</v>
      </c>
      <c r="B4810" t="s">
        <v>15</v>
      </c>
      <c r="C4810" t="s">
        <v>16</v>
      </c>
      <c r="D4810" s="1">
        <v>45855</v>
      </c>
      <c r="E4810" t="s">
        <v>19</v>
      </c>
      <c r="F4810">
        <v>6250</v>
      </c>
      <c r="J4810">
        <v>1100.0999999999999</v>
      </c>
      <c r="K4810">
        <v>1073.5999999999999</v>
      </c>
      <c r="L4810">
        <v>0</v>
      </c>
      <c r="M4810" t="s">
        <v>18</v>
      </c>
      <c r="N4810">
        <v>0</v>
      </c>
      <c r="O4810">
        <v>0</v>
      </c>
    </row>
    <row r="4811" spans="1:15" x14ac:dyDescent="0.2">
      <c r="A4811" s="6">
        <v>45807</v>
      </c>
      <c r="B4811" t="s">
        <v>15</v>
      </c>
      <c r="C4811" t="s">
        <v>16</v>
      </c>
      <c r="D4811" s="1">
        <v>45855</v>
      </c>
      <c r="E4811" t="s">
        <v>17</v>
      </c>
      <c r="F4811">
        <v>5500</v>
      </c>
      <c r="G4811">
        <v>170.5</v>
      </c>
      <c r="H4811">
        <v>170.5</v>
      </c>
      <c r="I4811">
        <v>170.5</v>
      </c>
      <c r="J4811">
        <v>170.5</v>
      </c>
      <c r="K4811">
        <v>93.7</v>
      </c>
      <c r="L4811">
        <v>1</v>
      </c>
      <c r="M4811" t="s">
        <v>155</v>
      </c>
      <c r="N4811">
        <v>5.67</v>
      </c>
      <c r="O4811">
        <v>2</v>
      </c>
    </row>
    <row r="4812" spans="1:15" x14ac:dyDescent="0.2">
      <c r="A4812" s="6">
        <v>45807</v>
      </c>
      <c r="B4812" t="s">
        <v>15</v>
      </c>
      <c r="C4812" t="s">
        <v>16</v>
      </c>
      <c r="D4812" s="1">
        <v>45855</v>
      </c>
      <c r="E4812" t="s">
        <v>17</v>
      </c>
      <c r="F4812">
        <v>5900</v>
      </c>
      <c r="J4812">
        <v>21.1</v>
      </c>
      <c r="K4812">
        <v>27.5</v>
      </c>
      <c r="L4812">
        <v>0</v>
      </c>
      <c r="M4812" t="s">
        <v>18</v>
      </c>
      <c r="N4812">
        <v>0</v>
      </c>
      <c r="O4812">
        <v>0</v>
      </c>
    </row>
    <row r="4813" spans="1:15" x14ac:dyDescent="0.2">
      <c r="A4813" s="6">
        <v>45807</v>
      </c>
      <c r="B4813" t="s">
        <v>15</v>
      </c>
      <c r="C4813" t="s">
        <v>16</v>
      </c>
      <c r="D4813" s="1">
        <v>45855</v>
      </c>
      <c r="E4813" t="s">
        <v>17</v>
      </c>
      <c r="F4813">
        <v>3950</v>
      </c>
      <c r="J4813">
        <v>1186.5</v>
      </c>
      <c r="K4813">
        <v>1215.2</v>
      </c>
      <c r="L4813">
        <v>0</v>
      </c>
      <c r="M4813" t="s">
        <v>18</v>
      </c>
      <c r="N4813">
        <v>0</v>
      </c>
      <c r="O4813">
        <v>0</v>
      </c>
    </row>
    <row r="4814" spans="1:15" x14ac:dyDescent="0.2">
      <c r="A4814" s="6">
        <v>45807</v>
      </c>
      <c r="B4814" t="s">
        <v>15</v>
      </c>
      <c r="C4814" t="s">
        <v>16</v>
      </c>
      <c r="D4814" s="1">
        <v>45855</v>
      </c>
      <c r="E4814" t="s">
        <v>19</v>
      </c>
      <c r="F4814">
        <v>6350</v>
      </c>
      <c r="J4814">
        <v>1197.4000000000001</v>
      </c>
      <c r="K4814">
        <v>1170.2</v>
      </c>
      <c r="L4814">
        <v>0</v>
      </c>
      <c r="M4814" t="s">
        <v>18</v>
      </c>
      <c r="N4814">
        <v>0</v>
      </c>
      <c r="O4814">
        <v>0</v>
      </c>
    </row>
    <row r="4815" spans="1:15" x14ac:dyDescent="0.2">
      <c r="A4815" s="6">
        <v>45807</v>
      </c>
      <c r="B4815" t="s">
        <v>15</v>
      </c>
      <c r="C4815" t="s">
        <v>16</v>
      </c>
      <c r="D4815" s="1">
        <v>45855</v>
      </c>
      <c r="E4815" t="s">
        <v>19</v>
      </c>
      <c r="F4815">
        <v>5650</v>
      </c>
      <c r="J4815">
        <v>549.4</v>
      </c>
      <c r="K4815">
        <v>531.79999999999995</v>
      </c>
      <c r="L4815">
        <v>0</v>
      </c>
      <c r="M4815" t="s">
        <v>18</v>
      </c>
      <c r="N4815">
        <v>0</v>
      </c>
      <c r="O4815">
        <v>0</v>
      </c>
    </row>
    <row r="4816" spans="1:15" x14ac:dyDescent="0.2">
      <c r="A4816" s="6">
        <v>45807</v>
      </c>
      <c r="B4816" t="s">
        <v>15</v>
      </c>
      <c r="C4816" t="s">
        <v>16</v>
      </c>
      <c r="D4816" s="1">
        <v>45855</v>
      </c>
      <c r="E4816" t="s">
        <v>19</v>
      </c>
      <c r="F4816">
        <v>5600</v>
      </c>
      <c r="J4816">
        <v>508.4</v>
      </c>
      <c r="K4816">
        <v>491.9</v>
      </c>
      <c r="L4816">
        <v>0</v>
      </c>
      <c r="M4816" t="s">
        <v>18</v>
      </c>
      <c r="N4816">
        <v>0</v>
      </c>
      <c r="O4816">
        <v>0</v>
      </c>
    </row>
    <row r="4817" spans="1:15" x14ac:dyDescent="0.2">
      <c r="A4817" s="6">
        <v>45807</v>
      </c>
      <c r="B4817" t="s">
        <v>15</v>
      </c>
      <c r="C4817" t="s">
        <v>16</v>
      </c>
      <c r="D4817" s="1">
        <v>45855</v>
      </c>
      <c r="E4817" t="s">
        <v>19</v>
      </c>
      <c r="F4817">
        <v>4850</v>
      </c>
      <c r="J4817">
        <v>83.7</v>
      </c>
      <c r="K4817">
        <v>82.6</v>
      </c>
      <c r="L4817">
        <v>0</v>
      </c>
      <c r="M4817" t="s">
        <v>18</v>
      </c>
      <c r="N4817">
        <v>0</v>
      </c>
      <c r="O4817">
        <v>0</v>
      </c>
    </row>
    <row r="4818" spans="1:15" x14ac:dyDescent="0.2">
      <c r="A4818" s="6">
        <v>45807</v>
      </c>
      <c r="B4818" t="s">
        <v>15</v>
      </c>
      <c r="C4818" t="s">
        <v>16</v>
      </c>
      <c r="D4818" s="1">
        <v>45855</v>
      </c>
      <c r="E4818" t="s">
        <v>19</v>
      </c>
      <c r="F4818">
        <v>4000</v>
      </c>
      <c r="J4818">
        <v>0.8</v>
      </c>
      <c r="K4818">
        <v>1</v>
      </c>
      <c r="L4818">
        <v>0</v>
      </c>
      <c r="M4818" t="s">
        <v>18</v>
      </c>
      <c r="N4818">
        <v>0</v>
      </c>
      <c r="O4818">
        <v>0</v>
      </c>
    </row>
    <row r="4819" spans="1:15" x14ac:dyDescent="0.2">
      <c r="A4819" s="6">
        <v>45807</v>
      </c>
      <c r="B4819" t="s">
        <v>15</v>
      </c>
      <c r="C4819" t="s">
        <v>16</v>
      </c>
      <c r="D4819" s="1">
        <v>45855</v>
      </c>
      <c r="E4819" t="s">
        <v>17</v>
      </c>
      <c r="F4819">
        <v>6100</v>
      </c>
      <c r="J4819">
        <v>9.9</v>
      </c>
      <c r="K4819">
        <v>13.6</v>
      </c>
      <c r="L4819">
        <v>0</v>
      </c>
      <c r="M4819" t="s">
        <v>18</v>
      </c>
      <c r="N4819">
        <v>0</v>
      </c>
      <c r="O4819">
        <v>0</v>
      </c>
    </row>
    <row r="4820" spans="1:15" x14ac:dyDescent="0.2">
      <c r="A4820" s="6">
        <v>45807</v>
      </c>
      <c r="B4820" t="s">
        <v>15</v>
      </c>
      <c r="C4820" t="s">
        <v>16</v>
      </c>
      <c r="D4820" s="1">
        <v>45855</v>
      </c>
      <c r="E4820" t="s">
        <v>17</v>
      </c>
      <c r="F4820">
        <v>5350</v>
      </c>
      <c r="J4820">
        <v>120.8</v>
      </c>
      <c r="K4820">
        <v>139.19999999999999</v>
      </c>
      <c r="L4820">
        <v>0</v>
      </c>
      <c r="M4820" t="s">
        <v>18</v>
      </c>
      <c r="N4820">
        <v>0</v>
      </c>
      <c r="O4820">
        <v>0</v>
      </c>
    </row>
    <row r="4821" spans="1:15" x14ac:dyDescent="0.2">
      <c r="A4821" s="6">
        <v>45807</v>
      </c>
      <c r="B4821" t="s">
        <v>15</v>
      </c>
      <c r="C4821" t="s">
        <v>16</v>
      </c>
      <c r="D4821" s="1">
        <v>45855</v>
      </c>
      <c r="E4821" t="s">
        <v>19</v>
      </c>
      <c r="F4821">
        <v>3650</v>
      </c>
      <c r="J4821">
        <v>0.1</v>
      </c>
      <c r="K4821">
        <v>0.1</v>
      </c>
      <c r="L4821">
        <v>0</v>
      </c>
      <c r="M4821" t="s">
        <v>18</v>
      </c>
      <c r="N4821">
        <v>0</v>
      </c>
      <c r="O4821">
        <v>0</v>
      </c>
    </row>
    <row r="4822" spans="1:15" x14ac:dyDescent="0.2">
      <c r="A4822" s="6">
        <v>45807</v>
      </c>
      <c r="B4822" t="s">
        <v>15</v>
      </c>
      <c r="C4822" t="s">
        <v>16</v>
      </c>
      <c r="D4822" s="1">
        <v>45855</v>
      </c>
      <c r="E4822" t="s">
        <v>17</v>
      </c>
      <c r="F4822">
        <v>3600</v>
      </c>
      <c r="J4822">
        <v>1533.1</v>
      </c>
      <c r="K4822">
        <v>1561.6</v>
      </c>
      <c r="L4822">
        <v>0</v>
      </c>
      <c r="M4822" t="s">
        <v>18</v>
      </c>
      <c r="N4822">
        <v>0</v>
      </c>
      <c r="O4822">
        <v>0</v>
      </c>
    </row>
    <row r="4823" spans="1:15" x14ac:dyDescent="0.2">
      <c r="A4823" s="6">
        <v>45807</v>
      </c>
      <c r="B4823" t="s">
        <v>15</v>
      </c>
      <c r="C4823" t="s">
        <v>16</v>
      </c>
      <c r="D4823" s="1">
        <v>45855</v>
      </c>
      <c r="E4823" t="s">
        <v>17</v>
      </c>
      <c r="F4823">
        <v>3650</v>
      </c>
      <c r="J4823">
        <v>1483.5</v>
      </c>
      <c r="K4823">
        <v>1512</v>
      </c>
      <c r="L4823">
        <v>0</v>
      </c>
      <c r="M4823" t="s">
        <v>18</v>
      </c>
      <c r="N4823">
        <v>0</v>
      </c>
      <c r="O4823">
        <v>0</v>
      </c>
    </row>
    <row r="4824" spans="1:15" x14ac:dyDescent="0.2">
      <c r="A4824" s="6">
        <v>45807</v>
      </c>
      <c r="B4824" t="s">
        <v>15</v>
      </c>
      <c r="C4824" t="s">
        <v>16</v>
      </c>
      <c r="D4824" s="1">
        <v>45855</v>
      </c>
      <c r="E4824" t="s">
        <v>19</v>
      </c>
      <c r="F4824">
        <v>5800</v>
      </c>
      <c r="J4824">
        <v>678.6</v>
      </c>
      <c r="K4824">
        <v>657.8</v>
      </c>
      <c r="L4824">
        <v>0</v>
      </c>
      <c r="M4824" t="s">
        <v>18</v>
      </c>
      <c r="N4824">
        <v>0</v>
      </c>
      <c r="O4824">
        <v>0</v>
      </c>
    </row>
    <row r="4825" spans="1:15" x14ac:dyDescent="0.2">
      <c r="A4825" s="6">
        <v>45807</v>
      </c>
      <c r="B4825" t="s">
        <v>15</v>
      </c>
      <c r="C4825" t="s">
        <v>16</v>
      </c>
      <c r="D4825" s="1">
        <v>45855</v>
      </c>
      <c r="E4825" t="s">
        <v>19</v>
      </c>
      <c r="F4825">
        <v>6000</v>
      </c>
      <c r="J4825">
        <v>861.4</v>
      </c>
      <c r="K4825">
        <v>837.4</v>
      </c>
      <c r="L4825">
        <v>0</v>
      </c>
      <c r="M4825" t="s">
        <v>18</v>
      </c>
      <c r="N4825">
        <v>0</v>
      </c>
      <c r="O4825">
        <v>0</v>
      </c>
    </row>
    <row r="4826" spans="1:15" x14ac:dyDescent="0.2">
      <c r="A4826" s="6">
        <v>45807</v>
      </c>
      <c r="B4826" t="s">
        <v>15</v>
      </c>
      <c r="C4826" t="s">
        <v>16</v>
      </c>
      <c r="D4826" s="1">
        <v>45855</v>
      </c>
      <c r="E4826" t="s">
        <v>17</v>
      </c>
      <c r="F4826">
        <v>6400</v>
      </c>
      <c r="J4826">
        <v>2.8</v>
      </c>
      <c r="K4826">
        <v>4.3</v>
      </c>
      <c r="L4826">
        <v>0</v>
      </c>
      <c r="M4826" t="s">
        <v>18</v>
      </c>
      <c r="N4826">
        <v>0</v>
      </c>
      <c r="O4826">
        <v>0</v>
      </c>
    </row>
    <row r="4827" spans="1:15" x14ac:dyDescent="0.2">
      <c r="A4827" s="6">
        <v>45807</v>
      </c>
      <c r="B4827" t="s">
        <v>15</v>
      </c>
      <c r="C4827" t="s">
        <v>16</v>
      </c>
      <c r="D4827" s="1">
        <v>45855</v>
      </c>
      <c r="E4827" t="s">
        <v>19</v>
      </c>
      <c r="F4827">
        <v>3950</v>
      </c>
      <c r="J4827">
        <v>0.5</v>
      </c>
      <c r="K4827">
        <v>0.6</v>
      </c>
      <c r="L4827">
        <v>0</v>
      </c>
      <c r="M4827" t="s">
        <v>18</v>
      </c>
      <c r="N4827">
        <v>0</v>
      </c>
      <c r="O4827">
        <v>0</v>
      </c>
    </row>
    <row r="4828" spans="1:15" x14ac:dyDescent="0.2">
      <c r="A4828" s="6">
        <v>45807</v>
      </c>
      <c r="B4828" t="s">
        <v>15</v>
      </c>
      <c r="C4828" t="s">
        <v>16</v>
      </c>
      <c r="D4828" s="1">
        <v>45855</v>
      </c>
      <c r="E4828" t="s">
        <v>19</v>
      </c>
      <c r="F4828">
        <v>4750</v>
      </c>
      <c r="J4828">
        <v>58.1</v>
      </c>
      <c r="K4828">
        <v>57.9</v>
      </c>
      <c r="L4828">
        <v>0</v>
      </c>
      <c r="M4828" t="s">
        <v>18</v>
      </c>
      <c r="N4828">
        <v>0</v>
      </c>
      <c r="O4828">
        <v>0</v>
      </c>
    </row>
    <row r="4829" spans="1:15" x14ac:dyDescent="0.2">
      <c r="A4829" s="6">
        <v>45807</v>
      </c>
      <c r="B4829" t="s">
        <v>15</v>
      </c>
      <c r="C4829" t="s">
        <v>16</v>
      </c>
      <c r="D4829" s="1">
        <v>45855</v>
      </c>
      <c r="E4829" t="s">
        <v>19</v>
      </c>
      <c r="F4829">
        <v>4250</v>
      </c>
      <c r="J4829">
        <v>4.8</v>
      </c>
      <c r="K4829">
        <v>5.2</v>
      </c>
      <c r="L4829">
        <v>0</v>
      </c>
      <c r="M4829" t="s">
        <v>18</v>
      </c>
      <c r="N4829">
        <v>0</v>
      </c>
      <c r="O4829">
        <v>0</v>
      </c>
    </row>
    <row r="4830" spans="1:15" x14ac:dyDescent="0.2">
      <c r="A4830" s="6">
        <v>45807</v>
      </c>
      <c r="B4830" t="s">
        <v>15</v>
      </c>
      <c r="C4830" t="s">
        <v>16</v>
      </c>
      <c r="D4830" s="1">
        <v>45855</v>
      </c>
      <c r="E4830" t="s">
        <v>19</v>
      </c>
      <c r="F4830">
        <v>3850</v>
      </c>
      <c r="J4830">
        <v>0.2</v>
      </c>
      <c r="K4830">
        <v>0.3</v>
      </c>
      <c r="L4830">
        <v>0</v>
      </c>
      <c r="M4830" t="s">
        <v>18</v>
      </c>
      <c r="N4830">
        <v>0</v>
      </c>
      <c r="O4830">
        <v>0</v>
      </c>
    </row>
    <row r="4831" spans="1:15" x14ac:dyDescent="0.2">
      <c r="A4831" s="6">
        <v>45807</v>
      </c>
      <c r="B4831" t="s">
        <v>15</v>
      </c>
      <c r="C4831" t="s">
        <v>16</v>
      </c>
      <c r="D4831" s="1">
        <v>45855</v>
      </c>
      <c r="E4831" t="s">
        <v>19</v>
      </c>
      <c r="F4831">
        <v>4300</v>
      </c>
      <c r="J4831">
        <v>6.5</v>
      </c>
      <c r="K4831">
        <v>7</v>
      </c>
      <c r="L4831">
        <v>0</v>
      </c>
      <c r="M4831" t="s">
        <v>18</v>
      </c>
      <c r="N4831">
        <v>0</v>
      </c>
      <c r="O4831">
        <v>0</v>
      </c>
    </row>
    <row r="4832" spans="1:15" x14ac:dyDescent="0.2">
      <c r="A4832" s="6">
        <v>45807</v>
      </c>
      <c r="B4832" t="s">
        <v>15</v>
      </c>
      <c r="C4832" t="s">
        <v>16</v>
      </c>
      <c r="D4832" s="1">
        <v>45855</v>
      </c>
      <c r="E4832" t="s">
        <v>17</v>
      </c>
      <c r="F4832">
        <v>6600</v>
      </c>
      <c r="J4832">
        <v>1.1000000000000001</v>
      </c>
      <c r="K4832">
        <v>1.9</v>
      </c>
      <c r="L4832">
        <v>0</v>
      </c>
      <c r="M4832" t="s">
        <v>18</v>
      </c>
      <c r="N4832">
        <v>0</v>
      </c>
      <c r="O4832">
        <v>0</v>
      </c>
    </row>
    <row r="4833" spans="1:15" x14ac:dyDescent="0.2">
      <c r="A4833" s="6">
        <v>45807</v>
      </c>
      <c r="B4833" t="s">
        <v>15</v>
      </c>
      <c r="C4833" t="s">
        <v>16</v>
      </c>
      <c r="D4833" s="1">
        <v>45855</v>
      </c>
      <c r="E4833" t="s">
        <v>19</v>
      </c>
      <c r="F4833">
        <v>6300</v>
      </c>
      <c r="J4833">
        <v>1148.7</v>
      </c>
      <c r="K4833">
        <v>1121.8</v>
      </c>
      <c r="L4833">
        <v>0</v>
      </c>
      <c r="M4833" t="s">
        <v>18</v>
      </c>
      <c r="N4833">
        <v>0</v>
      </c>
      <c r="O4833">
        <v>0</v>
      </c>
    </row>
    <row r="4834" spans="1:15" x14ac:dyDescent="0.2">
      <c r="A4834" s="6">
        <v>45807</v>
      </c>
      <c r="B4834" t="s">
        <v>15</v>
      </c>
      <c r="C4834" t="s">
        <v>16</v>
      </c>
      <c r="D4834" s="1">
        <v>45855</v>
      </c>
      <c r="E4834" t="s">
        <v>17</v>
      </c>
      <c r="F4834">
        <v>3900</v>
      </c>
      <c r="J4834">
        <v>1235.9000000000001</v>
      </c>
      <c r="K4834">
        <v>1264.5</v>
      </c>
      <c r="L4834">
        <v>0</v>
      </c>
      <c r="M4834" t="s">
        <v>18</v>
      </c>
      <c r="N4834">
        <v>0</v>
      </c>
      <c r="O4834">
        <v>0</v>
      </c>
    </row>
    <row r="4835" spans="1:15" x14ac:dyDescent="0.2">
      <c r="A4835" s="6">
        <v>45807</v>
      </c>
      <c r="B4835" t="s">
        <v>15</v>
      </c>
      <c r="C4835" t="s">
        <v>16</v>
      </c>
      <c r="D4835" s="1">
        <v>45855</v>
      </c>
      <c r="E4835" t="s">
        <v>19</v>
      </c>
      <c r="F4835">
        <v>6500</v>
      </c>
      <c r="J4835">
        <v>1344.5</v>
      </c>
      <c r="K4835">
        <v>1316.5</v>
      </c>
      <c r="L4835">
        <v>0</v>
      </c>
      <c r="M4835" t="s">
        <v>18</v>
      </c>
      <c r="N4835">
        <v>0</v>
      </c>
      <c r="O4835">
        <v>0</v>
      </c>
    </row>
    <row r="4836" spans="1:15" x14ac:dyDescent="0.2">
      <c r="A4836" s="6">
        <v>45807</v>
      </c>
      <c r="B4836" t="s">
        <v>15</v>
      </c>
      <c r="C4836" t="s">
        <v>16</v>
      </c>
      <c r="D4836" s="1">
        <v>45855</v>
      </c>
      <c r="E4836" t="s">
        <v>17</v>
      </c>
      <c r="F4836">
        <v>5550</v>
      </c>
      <c r="J4836">
        <v>67.900000000000006</v>
      </c>
      <c r="K4836">
        <v>81.400000000000006</v>
      </c>
      <c r="L4836">
        <v>0</v>
      </c>
      <c r="M4836" t="s">
        <v>18</v>
      </c>
      <c r="N4836">
        <v>0</v>
      </c>
      <c r="O4836">
        <v>0</v>
      </c>
    </row>
    <row r="4837" spans="1:15" x14ac:dyDescent="0.2">
      <c r="A4837" s="6">
        <v>45807</v>
      </c>
      <c r="B4837" t="s">
        <v>15</v>
      </c>
      <c r="C4837" t="s">
        <v>16</v>
      </c>
      <c r="D4837" s="1">
        <v>45855</v>
      </c>
      <c r="E4837" t="s">
        <v>17</v>
      </c>
      <c r="F4837">
        <v>5850</v>
      </c>
      <c r="J4837">
        <v>25.2</v>
      </c>
      <c r="K4837">
        <v>32.5</v>
      </c>
      <c r="L4837">
        <v>0</v>
      </c>
      <c r="M4837" t="s">
        <v>18</v>
      </c>
      <c r="N4837">
        <v>0</v>
      </c>
      <c r="O4837">
        <v>0</v>
      </c>
    </row>
    <row r="4838" spans="1:15" x14ac:dyDescent="0.2">
      <c r="A4838" s="6">
        <v>45807</v>
      </c>
      <c r="B4838" t="s">
        <v>15</v>
      </c>
      <c r="C4838" t="s">
        <v>16</v>
      </c>
      <c r="D4838" s="1">
        <v>45855</v>
      </c>
      <c r="E4838" t="s">
        <v>19</v>
      </c>
      <c r="F4838">
        <v>5550</v>
      </c>
      <c r="J4838">
        <v>468.6</v>
      </c>
      <c r="K4838">
        <v>453.2</v>
      </c>
      <c r="L4838">
        <v>0</v>
      </c>
      <c r="M4838" t="s">
        <v>18</v>
      </c>
      <c r="N4838">
        <v>0</v>
      </c>
      <c r="O4838">
        <v>0</v>
      </c>
    </row>
    <row r="4839" spans="1:15" x14ac:dyDescent="0.2">
      <c r="A4839" s="6">
        <v>45807</v>
      </c>
      <c r="B4839" t="s">
        <v>15</v>
      </c>
      <c r="C4839" t="s">
        <v>16</v>
      </c>
      <c r="D4839" s="1">
        <v>45855</v>
      </c>
      <c r="E4839" t="s">
        <v>19</v>
      </c>
      <c r="F4839">
        <v>4350</v>
      </c>
      <c r="J4839">
        <v>8.8000000000000007</v>
      </c>
      <c r="K4839">
        <v>9.3000000000000007</v>
      </c>
      <c r="L4839">
        <v>0</v>
      </c>
      <c r="M4839" t="s">
        <v>18</v>
      </c>
      <c r="N4839">
        <v>0</v>
      </c>
      <c r="O4839">
        <v>0</v>
      </c>
    </row>
    <row r="4840" spans="1:15" x14ac:dyDescent="0.2">
      <c r="A4840" s="6">
        <v>45807</v>
      </c>
      <c r="B4840" t="s">
        <v>15</v>
      </c>
      <c r="C4840" t="s">
        <v>16</v>
      </c>
      <c r="D4840" s="1">
        <v>45855</v>
      </c>
      <c r="E4840" t="s">
        <v>17</v>
      </c>
      <c r="F4840">
        <v>6150</v>
      </c>
      <c r="J4840">
        <v>8.1</v>
      </c>
      <c r="K4840">
        <v>11.3</v>
      </c>
      <c r="L4840">
        <v>0</v>
      </c>
      <c r="M4840" t="s">
        <v>18</v>
      </c>
      <c r="N4840">
        <v>0</v>
      </c>
      <c r="O4840">
        <v>0</v>
      </c>
    </row>
    <row r="4841" spans="1:15" x14ac:dyDescent="0.2">
      <c r="A4841" s="6">
        <v>45807</v>
      </c>
      <c r="B4841" t="s">
        <v>15</v>
      </c>
      <c r="C4841" t="s">
        <v>16</v>
      </c>
      <c r="D4841" s="1">
        <v>45855</v>
      </c>
      <c r="E4841" t="s">
        <v>19</v>
      </c>
      <c r="F4841">
        <v>4800</v>
      </c>
      <c r="J4841">
        <v>70</v>
      </c>
      <c r="K4841">
        <v>100</v>
      </c>
      <c r="L4841">
        <v>0</v>
      </c>
      <c r="M4841" t="s">
        <v>18</v>
      </c>
      <c r="N4841">
        <v>0</v>
      </c>
      <c r="O4841">
        <v>3</v>
      </c>
    </row>
    <row r="4842" spans="1:15" x14ac:dyDescent="0.2">
      <c r="A4842" s="6">
        <v>45807</v>
      </c>
      <c r="B4842" t="s">
        <v>15</v>
      </c>
      <c r="C4842" t="s">
        <v>16</v>
      </c>
      <c r="D4842" s="1">
        <v>45855</v>
      </c>
      <c r="E4842" t="s">
        <v>19</v>
      </c>
      <c r="F4842">
        <v>6600</v>
      </c>
      <c r="J4842">
        <v>1443</v>
      </c>
      <c r="K4842">
        <v>1414.7</v>
      </c>
      <c r="L4842">
        <v>0</v>
      </c>
      <c r="M4842" t="s">
        <v>18</v>
      </c>
      <c r="N4842">
        <v>0</v>
      </c>
      <c r="O4842">
        <v>0</v>
      </c>
    </row>
    <row r="4843" spans="1:15" x14ac:dyDescent="0.2">
      <c r="A4843" s="6">
        <v>45807</v>
      </c>
      <c r="B4843" t="s">
        <v>15</v>
      </c>
      <c r="C4843" t="s">
        <v>16</v>
      </c>
      <c r="D4843" s="1">
        <v>45855</v>
      </c>
      <c r="E4843" t="s">
        <v>17</v>
      </c>
      <c r="F4843">
        <v>5400</v>
      </c>
      <c r="J4843">
        <v>105.3</v>
      </c>
      <c r="K4843">
        <v>173.5</v>
      </c>
      <c r="L4843">
        <v>0</v>
      </c>
      <c r="M4843" t="s">
        <v>18</v>
      </c>
      <c r="N4843">
        <v>0</v>
      </c>
      <c r="O4843">
        <v>1</v>
      </c>
    </row>
    <row r="4844" spans="1:15" x14ac:dyDescent="0.2">
      <c r="A4844" s="6">
        <v>45807</v>
      </c>
      <c r="B4844" t="s">
        <v>15</v>
      </c>
      <c r="C4844" t="s">
        <v>16</v>
      </c>
      <c r="D4844" s="1">
        <v>45855</v>
      </c>
      <c r="E4844" t="s">
        <v>19</v>
      </c>
      <c r="F4844">
        <v>5850</v>
      </c>
      <c r="J4844">
        <v>723.3</v>
      </c>
      <c r="K4844">
        <v>701.7</v>
      </c>
      <c r="L4844">
        <v>0</v>
      </c>
      <c r="M4844" t="s">
        <v>18</v>
      </c>
      <c r="N4844">
        <v>0</v>
      </c>
      <c r="O4844">
        <v>0</v>
      </c>
    </row>
    <row r="4845" spans="1:15" x14ac:dyDescent="0.2">
      <c r="A4845" s="6">
        <v>45807</v>
      </c>
      <c r="B4845" t="s">
        <v>15</v>
      </c>
      <c r="C4845" t="s">
        <v>16</v>
      </c>
      <c r="D4845" s="1">
        <v>45855</v>
      </c>
      <c r="E4845" t="s">
        <v>19</v>
      </c>
      <c r="F4845">
        <v>5500</v>
      </c>
      <c r="J4845">
        <v>430</v>
      </c>
      <c r="K4845">
        <v>415.9</v>
      </c>
      <c r="L4845">
        <v>0</v>
      </c>
      <c r="M4845" t="s">
        <v>18</v>
      </c>
      <c r="N4845">
        <v>0</v>
      </c>
      <c r="O4845">
        <v>0</v>
      </c>
    </row>
    <row r="4846" spans="1:15" x14ac:dyDescent="0.2">
      <c r="A4846" s="6">
        <v>45807</v>
      </c>
      <c r="B4846" t="s">
        <v>15</v>
      </c>
      <c r="C4846" t="s">
        <v>16</v>
      </c>
      <c r="D4846" s="1">
        <v>45855</v>
      </c>
      <c r="E4846" t="s">
        <v>19</v>
      </c>
      <c r="F4846">
        <v>6450</v>
      </c>
      <c r="J4846">
        <v>1295.3</v>
      </c>
      <c r="K4846">
        <v>1267.5999999999999</v>
      </c>
      <c r="L4846">
        <v>0</v>
      </c>
      <c r="M4846" t="s">
        <v>18</v>
      </c>
      <c r="N4846">
        <v>0</v>
      </c>
      <c r="O4846">
        <v>0</v>
      </c>
    </row>
    <row r="4847" spans="1:15" x14ac:dyDescent="0.2">
      <c r="A4847" s="6">
        <v>45807</v>
      </c>
      <c r="B4847" t="s">
        <v>15</v>
      </c>
      <c r="C4847" t="s">
        <v>16</v>
      </c>
      <c r="D4847" s="1">
        <v>45855</v>
      </c>
      <c r="E4847" t="s">
        <v>19</v>
      </c>
      <c r="F4847">
        <v>6100</v>
      </c>
      <c r="J4847">
        <v>955.9</v>
      </c>
      <c r="K4847">
        <v>930.7</v>
      </c>
      <c r="L4847">
        <v>0</v>
      </c>
      <c r="M4847" t="s">
        <v>18</v>
      </c>
      <c r="N4847">
        <v>0</v>
      </c>
      <c r="O4847">
        <v>0</v>
      </c>
    </row>
    <row r="4848" spans="1:15" x14ac:dyDescent="0.2">
      <c r="A4848" s="6">
        <v>45807</v>
      </c>
      <c r="B4848" t="s">
        <v>15</v>
      </c>
      <c r="C4848" t="s">
        <v>16</v>
      </c>
      <c r="D4848" s="1">
        <v>45855</v>
      </c>
      <c r="E4848" t="s">
        <v>19</v>
      </c>
      <c r="F4848">
        <v>4150</v>
      </c>
      <c r="J4848">
        <v>2.5</v>
      </c>
      <c r="K4848">
        <v>2.8</v>
      </c>
      <c r="L4848">
        <v>0</v>
      </c>
      <c r="M4848" t="s">
        <v>18</v>
      </c>
      <c r="N4848">
        <v>0</v>
      </c>
      <c r="O4848">
        <v>0</v>
      </c>
    </row>
    <row r="4849" spans="1:15" x14ac:dyDescent="0.2">
      <c r="A4849" s="6">
        <v>45807</v>
      </c>
      <c r="B4849" t="s">
        <v>15</v>
      </c>
      <c r="C4849" t="s">
        <v>16</v>
      </c>
      <c r="D4849" s="1">
        <v>45855</v>
      </c>
      <c r="E4849" t="s">
        <v>19</v>
      </c>
      <c r="F4849">
        <v>5750</v>
      </c>
      <c r="J4849">
        <v>634.6</v>
      </c>
      <c r="K4849">
        <v>614.9</v>
      </c>
      <c r="L4849">
        <v>0</v>
      </c>
      <c r="M4849" t="s">
        <v>18</v>
      </c>
      <c r="N4849">
        <v>0</v>
      </c>
      <c r="O4849">
        <v>0</v>
      </c>
    </row>
    <row r="4850" spans="1:15" x14ac:dyDescent="0.2">
      <c r="A4850" s="6">
        <v>45807</v>
      </c>
      <c r="B4850" t="s">
        <v>15</v>
      </c>
      <c r="C4850" t="s">
        <v>16</v>
      </c>
      <c r="D4850" s="1">
        <v>45855</v>
      </c>
      <c r="E4850" t="s">
        <v>19</v>
      </c>
      <c r="F4850">
        <v>3800</v>
      </c>
      <c r="J4850">
        <v>0.1</v>
      </c>
      <c r="K4850">
        <v>0.2</v>
      </c>
      <c r="L4850">
        <v>0</v>
      </c>
      <c r="M4850" t="s">
        <v>18</v>
      </c>
      <c r="N4850">
        <v>0</v>
      </c>
      <c r="O4850">
        <v>0</v>
      </c>
    </row>
    <row r="4851" spans="1:15" x14ac:dyDescent="0.2">
      <c r="A4851" s="6">
        <v>45807</v>
      </c>
      <c r="B4851" t="s">
        <v>15</v>
      </c>
      <c r="C4851" t="s">
        <v>16</v>
      </c>
      <c r="D4851" s="1">
        <v>45855</v>
      </c>
      <c r="E4851" t="s">
        <v>19</v>
      </c>
      <c r="F4851">
        <v>4050</v>
      </c>
      <c r="J4851">
        <v>1.2</v>
      </c>
      <c r="K4851">
        <v>1.4</v>
      </c>
      <c r="L4851">
        <v>0</v>
      </c>
      <c r="M4851" t="s">
        <v>18</v>
      </c>
      <c r="N4851">
        <v>0</v>
      </c>
      <c r="O4851">
        <v>0</v>
      </c>
    </row>
    <row r="4852" spans="1:15" x14ac:dyDescent="0.2">
      <c r="A4852" s="6">
        <v>45806</v>
      </c>
      <c r="B4852" t="s">
        <v>15</v>
      </c>
      <c r="C4852" t="s">
        <v>16</v>
      </c>
      <c r="D4852" s="1">
        <v>45855</v>
      </c>
      <c r="E4852" t="s">
        <v>17</v>
      </c>
      <c r="F4852">
        <v>4650</v>
      </c>
      <c r="J4852">
        <v>559.6</v>
      </c>
      <c r="K4852">
        <v>646.4</v>
      </c>
      <c r="L4852">
        <v>0</v>
      </c>
      <c r="M4852" t="s">
        <v>18</v>
      </c>
      <c r="N4852">
        <v>0</v>
      </c>
      <c r="O4852">
        <v>0</v>
      </c>
    </row>
    <row r="4853" spans="1:15" x14ac:dyDescent="0.2">
      <c r="A4853" s="6">
        <v>45806</v>
      </c>
      <c r="B4853" t="s">
        <v>15</v>
      </c>
      <c r="C4853" t="s">
        <v>16</v>
      </c>
      <c r="D4853" s="1">
        <v>45855</v>
      </c>
      <c r="E4853" t="s">
        <v>19</v>
      </c>
      <c r="F4853">
        <v>6650</v>
      </c>
      <c r="J4853">
        <v>1463.9</v>
      </c>
      <c r="K4853">
        <v>1366.7</v>
      </c>
      <c r="L4853">
        <v>0</v>
      </c>
      <c r="M4853" t="s">
        <v>18</v>
      </c>
      <c r="N4853">
        <v>0</v>
      </c>
      <c r="O4853">
        <v>0</v>
      </c>
    </row>
    <row r="4854" spans="1:15" x14ac:dyDescent="0.2">
      <c r="A4854" s="6">
        <v>45806</v>
      </c>
      <c r="B4854" t="s">
        <v>15</v>
      </c>
      <c r="C4854" t="s">
        <v>16</v>
      </c>
      <c r="D4854" s="1">
        <v>45855</v>
      </c>
      <c r="E4854" t="s">
        <v>17</v>
      </c>
      <c r="F4854">
        <v>4200</v>
      </c>
      <c r="J4854">
        <v>970.5</v>
      </c>
      <c r="K4854">
        <v>1067</v>
      </c>
      <c r="L4854">
        <v>0</v>
      </c>
      <c r="M4854" t="s">
        <v>18</v>
      </c>
      <c r="N4854">
        <v>0</v>
      </c>
      <c r="O4854">
        <v>0</v>
      </c>
    </row>
    <row r="4855" spans="1:15" x14ac:dyDescent="0.2">
      <c r="A4855" s="6">
        <v>45806</v>
      </c>
      <c r="B4855" t="s">
        <v>15</v>
      </c>
      <c r="C4855" t="s">
        <v>16</v>
      </c>
      <c r="D4855" s="1">
        <v>45855</v>
      </c>
      <c r="E4855" t="s">
        <v>19</v>
      </c>
      <c r="F4855">
        <v>6050</v>
      </c>
      <c r="J4855">
        <v>883.8</v>
      </c>
      <c r="K4855">
        <v>794.5</v>
      </c>
      <c r="L4855">
        <v>0</v>
      </c>
      <c r="M4855" t="s">
        <v>18</v>
      </c>
      <c r="N4855">
        <v>0</v>
      </c>
      <c r="O4855">
        <v>0</v>
      </c>
    </row>
    <row r="4856" spans="1:15" x14ac:dyDescent="0.2">
      <c r="A4856" s="6">
        <v>45806</v>
      </c>
      <c r="B4856" t="s">
        <v>15</v>
      </c>
      <c r="C4856" t="s">
        <v>16</v>
      </c>
      <c r="D4856" s="1">
        <v>45855</v>
      </c>
      <c r="E4856" t="s">
        <v>19</v>
      </c>
      <c r="F4856">
        <v>6550</v>
      </c>
      <c r="J4856">
        <v>1365.5</v>
      </c>
      <c r="K4856">
        <v>1268.9000000000001</v>
      </c>
      <c r="L4856">
        <v>0</v>
      </c>
      <c r="M4856" t="s">
        <v>18</v>
      </c>
      <c r="N4856">
        <v>0</v>
      </c>
      <c r="O4856">
        <v>0</v>
      </c>
    </row>
    <row r="4857" spans="1:15" x14ac:dyDescent="0.2">
      <c r="A4857" s="6">
        <v>45806</v>
      </c>
      <c r="B4857" t="s">
        <v>15</v>
      </c>
      <c r="C4857" t="s">
        <v>16</v>
      </c>
      <c r="D4857" s="1">
        <v>45855</v>
      </c>
      <c r="E4857" t="s">
        <v>19</v>
      </c>
      <c r="F4857">
        <v>5100</v>
      </c>
      <c r="J4857">
        <v>174.7</v>
      </c>
      <c r="K4857">
        <v>137.69999999999999</v>
      </c>
      <c r="L4857">
        <v>0</v>
      </c>
      <c r="M4857" t="s">
        <v>18</v>
      </c>
      <c r="N4857">
        <v>0</v>
      </c>
      <c r="O4857">
        <v>0</v>
      </c>
    </row>
    <row r="4858" spans="1:15" x14ac:dyDescent="0.2">
      <c r="A4858" s="6">
        <v>45806</v>
      </c>
      <c r="B4858" t="s">
        <v>15</v>
      </c>
      <c r="C4858" t="s">
        <v>16</v>
      </c>
      <c r="D4858" s="1">
        <v>45855</v>
      </c>
      <c r="E4858" t="s">
        <v>17</v>
      </c>
      <c r="F4858">
        <v>5250</v>
      </c>
      <c r="J4858">
        <v>177.8</v>
      </c>
      <c r="K4858">
        <v>228.1</v>
      </c>
      <c r="L4858">
        <v>0</v>
      </c>
      <c r="M4858" t="s">
        <v>18</v>
      </c>
      <c r="N4858">
        <v>0</v>
      </c>
      <c r="O4858">
        <v>0</v>
      </c>
    </row>
    <row r="4859" spans="1:15" x14ac:dyDescent="0.2">
      <c r="A4859" s="6">
        <v>45806</v>
      </c>
      <c r="B4859" t="s">
        <v>15</v>
      </c>
      <c r="C4859" t="s">
        <v>16</v>
      </c>
      <c r="D4859" s="1">
        <v>45855</v>
      </c>
      <c r="E4859" t="s">
        <v>17</v>
      </c>
      <c r="F4859">
        <v>5100</v>
      </c>
      <c r="J4859">
        <v>249.1</v>
      </c>
      <c r="K4859">
        <v>310.2</v>
      </c>
      <c r="L4859">
        <v>0</v>
      </c>
      <c r="M4859" t="s">
        <v>18</v>
      </c>
      <c r="N4859">
        <v>0</v>
      </c>
      <c r="O4859">
        <v>0</v>
      </c>
    </row>
    <row r="4860" spans="1:15" x14ac:dyDescent="0.2">
      <c r="A4860" s="6">
        <v>45806</v>
      </c>
      <c r="B4860" t="s">
        <v>15</v>
      </c>
      <c r="C4860" t="s">
        <v>16</v>
      </c>
      <c r="D4860" s="1">
        <v>45855</v>
      </c>
      <c r="E4860" t="s">
        <v>19</v>
      </c>
      <c r="F4860">
        <v>4900</v>
      </c>
      <c r="J4860">
        <v>97.5</v>
      </c>
      <c r="K4860">
        <v>73.7</v>
      </c>
      <c r="L4860">
        <v>0</v>
      </c>
      <c r="M4860" t="s">
        <v>18</v>
      </c>
      <c r="N4860">
        <v>0</v>
      </c>
      <c r="O4860">
        <v>0</v>
      </c>
    </row>
    <row r="4861" spans="1:15" x14ac:dyDescent="0.2">
      <c r="A4861" s="6">
        <v>45806</v>
      </c>
      <c r="B4861" t="s">
        <v>15</v>
      </c>
      <c r="C4861" t="s">
        <v>16</v>
      </c>
      <c r="D4861" s="1">
        <v>45855</v>
      </c>
      <c r="E4861" t="s">
        <v>19</v>
      </c>
      <c r="F4861">
        <v>4200</v>
      </c>
      <c r="J4861">
        <v>3.8</v>
      </c>
      <c r="K4861">
        <v>2.4</v>
      </c>
      <c r="L4861">
        <v>0</v>
      </c>
      <c r="M4861" t="s">
        <v>18</v>
      </c>
      <c r="N4861">
        <v>0</v>
      </c>
      <c r="O4861">
        <v>0</v>
      </c>
    </row>
    <row r="4862" spans="1:15" x14ac:dyDescent="0.2">
      <c r="A4862" s="6">
        <v>45806</v>
      </c>
      <c r="B4862" t="s">
        <v>15</v>
      </c>
      <c r="C4862" t="s">
        <v>16</v>
      </c>
      <c r="D4862" s="1">
        <v>45855</v>
      </c>
      <c r="E4862" t="s">
        <v>19</v>
      </c>
      <c r="F4862">
        <v>3600</v>
      </c>
      <c r="J4862">
        <v>0.1</v>
      </c>
      <c r="K4862">
        <v>0.1</v>
      </c>
      <c r="L4862">
        <v>0</v>
      </c>
      <c r="M4862" t="s">
        <v>18</v>
      </c>
      <c r="N4862">
        <v>0</v>
      </c>
      <c r="O4862">
        <v>0</v>
      </c>
    </row>
    <row r="4863" spans="1:15" x14ac:dyDescent="0.2">
      <c r="A4863" s="6">
        <v>45806</v>
      </c>
      <c r="B4863" t="s">
        <v>15</v>
      </c>
      <c r="C4863" t="s">
        <v>16</v>
      </c>
      <c r="D4863" s="1">
        <v>45855</v>
      </c>
      <c r="E4863" t="s">
        <v>19</v>
      </c>
      <c r="F4863">
        <v>3900</v>
      </c>
      <c r="J4863">
        <v>0.4</v>
      </c>
      <c r="K4863">
        <v>0.2</v>
      </c>
      <c r="L4863">
        <v>0</v>
      </c>
      <c r="M4863" t="s">
        <v>18</v>
      </c>
      <c r="N4863">
        <v>0</v>
      </c>
      <c r="O4863">
        <v>0</v>
      </c>
    </row>
    <row r="4864" spans="1:15" x14ac:dyDescent="0.2">
      <c r="A4864" s="6">
        <v>45806</v>
      </c>
      <c r="B4864" t="s">
        <v>15</v>
      </c>
      <c r="C4864" t="s">
        <v>16</v>
      </c>
      <c r="D4864" s="1">
        <v>45855</v>
      </c>
      <c r="E4864" t="s">
        <v>17</v>
      </c>
      <c r="F4864">
        <v>5950</v>
      </c>
      <c r="J4864">
        <v>23.2</v>
      </c>
      <c r="K4864">
        <v>35</v>
      </c>
      <c r="L4864">
        <v>0</v>
      </c>
      <c r="M4864" t="s">
        <v>18</v>
      </c>
      <c r="N4864">
        <v>0</v>
      </c>
      <c r="O4864">
        <v>0</v>
      </c>
    </row>
    <row r="4865" spans="1:15" x14ac:dyDescent="0.2">
      <c r="A4865" s="6">
        <v>45806</v>
      </c>
      <c r="B4865" t="s">
        <v>15</v>
      </c>
      <c r="C4865" t="s">
        <v>16</v>
      </c>
      <c r="D4865" s="1">
        <v>45855</v>
      </c>
      <c r="E4865" t="s">
        <v>17</v>
      </c>
      <c r="F4865">
        <v>4800</v>
      </c>
      <c r="J4865">
        <v>441.3</v>
      </c>
      <c r="K4865">
        <v>521.20000000000005</v>
      </c>
      <c r="L4865">
        <v>0</v>
      </c>
      <c r="M4865" t="s">
        <v>18</v>
      </c>
      <c r="N4865">
        <v>0</v>
      </c>
      <c r="O4865">
        <v>0</v>
      </c>
    </row>
    <row r="4866" spans="1:15" x14ac:dyDescent="0.2">
      <c r="A4866" s="6">
        <v>45806</v>
      </c>
      <c r="B4866" t="s">
        <v>15</v>
      </c>
      <c r="C4866" t="s">
        <v>16</v>
      </c>
      <c r="D4866" s="1">
        <v>45855</v>
      </c>
      <c r="E4866" t="s">
        <v>17</v>
      </c>
      <c r="F4866">
        <v>4900</v>
      </c>
      <c r="J4866">
        <v>370.1</v>
      </c>
      <c r="K4866">
        <v>444.4</v>
      </c>
      <c r="L4866">
        <v>0</v>
      </c>
      <c r="M4866" t="s">
        <v>18</v>
      </c>
      <c r="N4866">
        <v>0</v>
      </c>
      <c r="O4866">
        <v>0</v>
      </c>
    </row>
    <row r="4867" spans="1:15" x14ac:dyDescent="0.2">
      <c r="A4867" s="6">
        <v>45806</v>
      </c>
      <c r="B4867" t="s">
        <v>15</v>
      </c>
      <c r="C4867" t="s">
        <v>16</v>
      </c>
      <c r="D4867" s="1">
        <v>45855</v>
      </c>
      <c r="E4867" t="s">
        <v>19</v>
      </c>
      <c r="F4867">
        <v>5200</v>
      </c>
      <c r="J4867">
        <v>224.5</v>
      </c>
      <c r="K4867">
        <v>180.3</v>
      </c>
      <c r="L4867">
        <v>0</v>
      </c>
      <c r="M4867" t="s">
        <v>18</v>
      </c>
      <c r="N4867">
        <v>0</v>
      </c>
      <c r="O4867">
        <v>3</v>
      </c>
    </row>
    <row r="4868" spans="1:15" x14ac:dyDescent="0.2">
      <c r="A4868" s="6">
        <v>45806</v>
      </c>
      <c r="B4868" t="s">
        <v>15</v>
      </c>
      <c r="C4868" t="s">
        <v>16</v>
      </c>
      <c r="D4868" s="1">
        <v>45855</v>
      </c>
      <c r="E4868" t="s">
        <v>17</v>
      </c>
      <c r="F4868">
        <v>5900</v>
      </c>
      <c r="J4868">
        <v>27.5</v>
      </c>
      <c r="K4868">
        <v>41</v>
      </c>
      <c r="L4868">
        <v>0</v>
      </c>
      <c r="M4868" t="s">
        <v>18</v>
      </c>
      <c r="N4868">
        <v>0</v>
      </c>
      <c r="O4868">
        <v>0</v>
      </c>
    </row>
    <row r="4869" spans="1:15" x14ac:dyDescent="0.2">
      <c r="A4869" s="6">
        <v>45806</v>
      </c>
      <c r="B4869" t="s">
        <v>15</v>
      </c>
      <c r="C4869" t="s">
        <v>16</v>
      </c>
      <c r="D4869" s="1">
        <v>45855</v>
      </c>
      <c r="E4869" t="s">
        <v>17</v>
      </c>
      <c r="F4869">
        <v>5700</v>
      </c>
      <c r="J4869">
        <v>52.3</v>
      </c>
      <c r="K4869">
        <v>74.3</v>
      </c>
      <c r="L4869">
        <v>0</v>
      </c>
      <c r="M4869" t="s">
        <v>18</v>
      </c>
      <c r="N4869">
        <v>0</v>
      </c>
      <c r="O4869">
        <v>0</v>
      </c>
    </row>
    <row r="4870" spans="1:15" x14ac:dyDescent="0.2">
      <c r="A4870" s="6">
        <v>45806</v>
      </c>
      <c r="B4870" t="s">
        <v>15</v>
      </c>
      <c r="C4870" t="s">
        <v>16</v>
      </c>
      <c r="D4870" s="1">
        <v>45855</v>
      </c>
      <c r="E4870" t="s">
        <v>19</v>
      </c>
      <c r="F4870">
        <v>6150</v>
      </c>
      <c r="J4870">
        <v>978</v>
      </c>
      <c r="K4870">
        <v>886.3</v>
      </c>
      <c r="L4870">
        <v>0</v>
      </c>
      <c r="M4870" t="s">
        <v>18</v>
      </c>
      <c r="N4870">
        <v>0</v>
      </c>
      <c r="O4870">
        <v>0</v>
      </c>
    </row>
    <row r="4871" spans="1:15" x14ac:dyDescent="0.2">
      <c r="A4871" s="6">
        <v>45806</v>
      </c>
      <c r="B4871" t="s">
        <v>15</v>
      </c>
      <c r="C4871" t="s">
        <v>16</v>
      </c>
      <c r="D4871" s="1">
        <v>45855</v>
      </c>
      <c r="E4871" t="s">
        <v>17</v>
      </c>
      <c r="F4871">
        <v>6200</v>
      </c>
      <c r="J4871">
        <v>9.4</v>
      </c>
      <c r="K4871">
        <v>15.1</v>
      </c>
      <c r="L4871">
        <v>0</v>
      </c>
      <c r="M4871" t="s">
        <v>18</v>
      </c>
      <c r="N4871">
        <v>0</v>
      </c>
      <c r="O4871">
        <v>0</v>
      </c>
    </row>
    <row r="4872" spans="1:15" x14ac:dyDescent="0.2">
      <c r="A4872" s="6">
        <v>45806</v>
      </c>
      <c r="B4872" t="s">
        <v>15</v>
      </c>
      <c r="C4872" t="s">
        <v>16</v>
      </c>
      <c r="D4872" s="1">
        <v>45855</v>
      </c>
      <c r="E4872" t="s">
        <v>17</v>
      </c>
      <c r="F4872">
        <v>4950</v>
      </c>
      <c r="J4872">
        <v>337.1</v>
      </c>
      <c r="K4872">
        <v>408.3</v>
      </c>
      <c r="L4872">
        <v>0</v>
      </c>
      <c r="M4872" t="s">
        <v>18</v>
      </c>
      <c r="N4872">
        <v>0</v>
      </c>
      <c r="O4872">
        <v>0</v>
      </c>
    </row>
    <row r="4873" spans="1:15" x14ac:dyDescent="0.2">
      <c r="A4873" s="6">
        <v>45806</v>
      </c>
      <c r="B4873" t="s">
        <v>15</v>
      </c>
      <c r="C4873" t="s">
        <v>16</v>
      </c>
      <c r="D4873" s="1">
        <v>45855</v>
      </c>
      <c r="E4873" t="s">
        <v>17</v>
      </c>
      <c r="F4873">
        <v>4850</v>
      </c>
      <c r="J4873">
        <v>404.9</v>
      </c>
      <c r="K4873">
        <v>482.1</v>
      </c>
      <c r="L4873">
        <v>0</v>
      </c>
      <c r="M4873" t="s">
        <v>18</v>
      </c>
      <c r="N4873">
        <v>0</v>
      </c>
      <c r="O4873">
        <v>0</v>
      </c>
    </row>
    <row r="4874" spans="1:15" x14ac:dyDescent="0.2">
      <c r="A4874" s="6">
        <v>45806</v>
      </c>
      <c r="B4874" t="s">
        <v>15</v>
      </c>
      <c r="C4874" t="s">
        <v>16</v>
      </c>
      <c r="D4874" s="1">
        <v>45855</v>
      </c>
      <c r="E4874" t="s">
        <v>17</v>
      </c>
      <c r="F4874">
        <v>5300</v>
      </c>
      <c r="J4874">
        <v>157.6</v>
      </c>
      <c r="K4874">
        <v>204.4</v>
      </c>
      <c r="L4874">
        <v>0</v>
      </c>
      <c r="M4874" t="s">
        <v>18</v>
      </c>
      <c r="N4874">
        <v>0</v>
      </c>
      <c r="O4874">
        <v>1</v>
      </c>
    </row>
    <row r="4875" spans="1:15" x14ac:dyDescent="0.2">
      <c r="A4875" s="6">
        <v>45806</v>
      </c>
      <c r="B4875" t="s">
        <v>15</v>
      </c>
      <c r="C4875" t="s">
        <v>16</v>
      </c>
      <c r="D4875" s="1">
        <v>45855</v>
      </c>
      <c r="E4875" t="s">
        <v>17</v>
      </c>
      <c r="F4875">
        <v>5750</v>
      </c>
      <c r="J4875">
        <v>44.8</v>
      </c>
      <c r="K4875">
        <v>64.3</v>
      </c>
      <c r="L4875">
        <v>0</v>
      </c>
      <c r="M4875" t="s">
        <v>18</v>
      </c>
      <c r="N4875">
        <v>0</v>
      </c>
      <c r="O4875">
        <v>0</v>
      </c>
    </row>
    <row r="4876" spans="1:15" x14ac:dyDescent="0.2">
      <c r="A4876" s="6">
        <v>45806</v>
      </c>
      <c r="B4876" t="s">
        <v>15</v>
      </c>
      <c r="C4876" t="s">
        <v>16</v>
      </c>
      <c r="D4876" s="1">
        <v>45855</v>
      </c>
      <c r="E4876" t="s">
        <v>17</v>
      </c>
      <c r="F4876">
        <v>4450</v>
      </c>
      <c r="J4876">
        <v>734.5</v>
      </c>
      <c r="K4876">
        <v>827.4</v>
      </c>
      <c r="L4876">
        <v>0</v>
      </c>
      <c r="M4876" t="s">
        <v>18</v>
      </c>
      <c r="N4876">
        <v>0</v>
      </c>
      <c r="O4876">
        <v>0</v>
      </c>
    </row>
    <row r="4877" spans="1:15" x14ac:dyDescent="0.2">
      <c r="A4877" s="6">
        <v>45806</v>
      </c>
      <c r="B4877" t="s">
        <v>15</v>
      </c>
      <c r="C4877" t="s">
        <v>16</v>
      </c>
      <c r="D4877" s="1">
        <v>45855</v>
      </c>
      <c r="E4877" t="s">
        <v>17</v>
      </c>
      <c r="F4877">
        <v>4100</v>
      </c>
      <c r="J4877">
        <v>1067.8</v>
      </c>
      <c r="K4877">
        <v>1164.9000000000001</v>
      </c>
      <c r="L4877">
        <v>0</v>
      </c>
      <c r="M4877" t="s">
        <v>18</v>
      </c>
      <c r="N4877">
        <v>0</v>
      </c>
      <c r="O4877">
        <v>0</v>
      </c>
    </row>
    <row r="4878" spans="1:15" x14ac:dyDescent="0.2">
      <c r="A4878" s="6">
        <v>45806</v>
      </c>
      <c r="B4878" t="s">
        <v>15</v>
      </c>
      <c r="C4878" t="s">
        <v>16</v>
      </c>
      <c r="D4878" s="1">
        <v>45855</v>
      </c>
      <c r="E4878" t="s">
        <v>17</v>
      </c>
      <c r="F4878">
        <v>4400</v>
      </c>
      <c r="J4878">
        <v>780.5</v>
      </c>
      <c r="K4878">
        <v>874.5</v>
      </c>
      <c r="L4878">
        <v>0</v>
      </c>
      <c r="M4878" t="s">
        <v>18</v>
      </c>
      <c r="N4878">
        <v>0</v>
      </c>
      <c r="O4878">
        <v>0</v>
      </c>
    </row>
    <row r="4879" spans="1:15" x14ac:dyDescent="0.2">
      <c r="A4879" s="6">
        <v>45806</v>
      </c>
      <c r="B4879" t="s">
        <v>15</v>
      </c>
      <c r="C4879" t="s">
        <v>16</v>
      </c>
      <c r="D4879" s="1">
        <v>45855</v>
      </c>
      <c r="E4879" t="s">
        <v>19</v>
      </c>
      <c r="F4879">
        <v>5150</v>
      </c>
      <c r="J4879">
        <v>198.7</v>
      </c>
      <c r="K4879">
        <v>158.1</v>
      </c>
      <c r="L4879">
        <v>0</v>
      </c>
      <c r="M4879" t="s">
        <v>18</v>
      </c>
      <c r="N4879">
        <v>0</v>
      </c>
      <c r="O4879">
        <v>0</v>
      </c>
    </row>
    <row r="4880" spans="1:15" x14ac:dyDescent="0.2">
      <c r="A4880" s="6">
        <v>45806</v>
      </c>
      <c r="B4880" t="s">
        <v>15</v>
      </c>
      <c r="C4880" t="s">
        <v>16</v>
      </c>
      <c r="D4880" s="1">
        <v>45855</v>
      </c>
      <c r="E4880" t="s">
        <v>17</v>
      </c>
      <c r="F4880">
        <v>5800</v>
      </c>
      <c r="J4880">
        <v>38.200000000000003</v>
      </c>
      <c r="K4880">
        <v>55.6</v>
      </c>
      <c r="L4880">
        <v>0</v>
      </c>
      <c r="M4880" t="s">
        <v>18</v>
      </c>
      <c r="N4880">
        <v>0</v>
      </c>
      <c r="O4880">
        <v>0</v>
      </c>
    </row>
    <row r="4881" spans="1:15" x14ac:dyDescent="0.2">
      <c r="A4881" s="6">
        <v>45806</v>
      </c>
      <c r="B4881" t="s">
        <v>15</v>
      </c>
      <c r="C4881" t="s">
        <v>16</v>
      </c>
      <c r="D4881" s="1">
        <v>45855</v>
      </c>
      <c r="E4881" t="s">
        <v>17</v>
      </c>
      <c r="F4881">
        <v>4750</v>
      </c>
      <c r="J4881">
        <v>479.3</v>
      </c>
      <c r="K4881">
        <v>561.70000000000005</v>
      </c>
      <c r="L4881">
        <v>0</v>
      </c>
      <c r="M4881" t="s">
        <v>18</v>
      </c>
      <c r="N4881">
        <v>0</v>
      </c>
      <c r="O4881">
        <v>0</v>
      </c>
    </row>
    <row r="4882" spans="1:15" x14ac:dyDescent="0.2">
      <c r="A4882" s="6">
        <v>45806</v>
      </c>
      <c r="B4882" t="s">
        <v>15</v>
      </c>
      <c r="C4882" t="s">
        <v>16</v>
      </c>
      <c r="D4882" s="1">
        <v>45855</v>
      </c>
      <c r="E4882" t="s">
        <v>17</v>
      </c>
      <c r="F4882">
        <v>5000</v>
      </c>
      <c r="J4882">
        <v>306</v>
      </c>
      <c r="K4882">
        <v>373.9</v>
      </c>
      <c r="L4882">
        <v>0</v>
      </c>
      <c r="M4882" t="s">
        <v>18</v>
      </c>
      <c r="N4882">
        <v>0</v>
      </c>
      <c r="O4882">
        <v>0</v>
      </c>
    </row>
    <row r="4883" spans="1:15" x14ac:dyDescent="0.2">
      <c r="A4883" s="6">
        <v>45806</v>
      </c>
      <c r="B4883" t="s">
        <v>15</v>
      </c>
      <c r="C4883" t="s">
        <v>16</v>
      </c>
      <c r="D4883" s="1">
        <v>45855</v>
      </c>
      <c r="E4883" t="s">
        <v>17</v>
      </c>
      <c r="F4883">
        <v>5050</v>
      </c>
      <c r="J4883">
        <v>276.60000000000002</v>
      </c>
      <c r="K4883">
        <v>341.2</v>
      </c>
      <c r="L4883">
        <v>0</v>
      </c>
      <c r="M4883" t="s">
        <v>18</v>
      </c>
      <c r="N4883">
        <v>0</v>
      </c>
      <c r="O4883">
        <v>0</v>
      </c>
    </row>
    <row r="4884" spans="1:15" x14ac:dyDescent="0.2">
      <c r="A4884" s="6">
        <v>45806</v>
      </c>
      <c r="B4884" t="s">
        <v>15</v>
      </c>
      <c r="C4884" t="s">
        <v>16</v>
      </c>
      <c r="D4884" s="1">
        <v>45855</v>
      </c>
      <c r="E4884" t="s">
        <v>19</v>
      </c>
      <c r="F4884">
        <v>5250</v>
      </c>
      <c r="J4884">
        <v>252.1</v>
      </c>
      <c r="K4884">
        <v>204.3</v>
      </c>
      <c r="L4884">
        <v>0</v>
      </c>
      <c r="M4884" t="s">
        <v>18</v>
      </c>
      <c r="N4884">
        <v>0</v>
      </c>
      <c r="O4884">
        <v>0</v>
      </c>
    </row>
    <row r="4885" spans="1:15" x14ac:dyDescent="0.2">
      <c r="A4885" s="6">
        <v>45806</v>
      </c>
      <c r="B4885" t="s">
        <v>15</v>
      </c>
      <c r="C4885" t="s">
        <v>16</v>
      </c>
      <c r="D4885" s="1">
        <v>45855</v>
      </c>
      <c r="E4885" t="s">
        <v>17</v>
      </c>
      <c r="F4885">
        <v>4350</v>
      </c>
      <c r="J4885">
        <v>827.2</v>
      </c>
      <c r="K4885">
        <v>922</v>
      </c>
      <c r="L4885">
        <v>0</v>
      </c>
      <c r="M4885" t="s">
        <v>18</v>
      </c>
      <c r="N4885">
        <v>0</v>
      </c>
      <c r="O4885">
        <v>0</v>
      </c>
    </row>
    <row r="4886" spans="1:15" x14ac:dyDescent="0.2">
      <c r="A4886" s="6">
        <v>45806</v>
      </c>
      <c r="B4886" t="s">
        <v>15</v>
      </c>
      <c r="C4886" t="s">
        <v>16</v>
      </c>
      <c r="D4886" s="1">
        <v>45855</v>
      </c>
      <c r="E4886" t="s">
        <v>17</v>
      </c>
      <c r="F4886">
        <v>5450</v>
      </c>
      <c r="J4886">
        <v>107.3</v>
      </c>
      <c r="K4886">
        <v>143.80000000000001</v>
      </c>
      <c r="L4886">
        <v>0</v>
      </c>
      <c r="M4886" t="s">
        <v>18</v>
      </c>
      <c r="N4886">
        <v>0</v>
      </c>
      <c r="O4886">
        <v>0</v>
      </c>
    </row>
    <row r="4887" spans="1:15" x14ac:dyDescent="0.2">
      <c r="A4887" s="6">
        <v>45806</v>
      </c>
      <c r="B4887" t="s">
        <v>15</v>
      </c>
      <c r="C4887" t="s">
        <v>16</v>
      </c>
      <c r="D4887" s="1">
        <v>45855</v>
      </c>
      <c r="E4887" t="s">
        <v>19</v>
      </c>
      <c r="F4887">
        <v>5900</v>
      </c>
      <c r="J4887">
        <v>746.3</v>
      </c>
      <c r="K4887">
        <v>661.5</v>
      </c>
      <c r="L4887">
        <v>0</v>
      </c>
      <c r="M4887" t="s">
        <v>18</v>
      </c>
      <c r="N4887">
        <v>0</v>
      </c>
      <c r="O4887">
        <v>0</v>
      </c>
    </row>
    <row r="4888" spans="1:15" x14ac:dyDescent="0.2">
      <c r="A4888" s="6">
        <v>45806</v>
      </c>
      <c r="B4888" t="s">
        <v>15</v>
      </c>
      <c r="C4888" t="s">
        <v>16</v>
      </c>
      <c r="D4888" s="1">
        <v>45855</v>
      </c>
      <c r="E4888" t="s">
        <v>19</v>
      </c>
      <c r="F4888">
        <v>3950</v>
      </c>
      <c r="J4888">
        <v>0.6</v>
      </c>
      <c r="K4888">
        <v>0.4</v>
      </c>
      <c r="L4888">
        <v>0</v>
      </c>
      <c r="M4888" t="s">
        <v>18</v>
      </c>
      <c r="N4888">
        <v>0</v>
      </c>
      <c r="O4888">
        <v>0</v>
      </c>
    </row>
    <row r="4889" spans="1:15" x14ac:dyDescent="0.2">
      <c r="A4889" s="6">
        <v>45806</v>
      </c>
      <c r="B4889" t="s">
        <v>15</v>
      </c>
      <c r="C4889" t="s">
        <v>16</v>
      </c>
      <c r="D4889" s="1">
        <v>45855</v>
      </c>
      <c r="E4889" t="s">
        <v>17</v>
      </c>
      <c r="F4889">
        <v>5600</v>
      </c>
      <c r="J4889">
        <v>70.5</v>
      </c>
      <c r="K4889">
        <v>97.8</v>
      </c>
      <c r="L4889">
        <v>0</v>
      </c>
      <c r="M4889" t="s">
        <v>18</v>
      </c>
      <c r="N4889">
        <v>0</v>
      </c>
      <c r="O4889">
        <v>0</v>
      </c>
    </row>
    <row r="4890" spans="1:15" x14ac:dyDescent="0.2">
      <c r="A4890" s="6">
        <v>45806</v>
      </c>
      <c r="B4890" t="s">
        <v>15</v>
      </c>
      <c r="C4890" t="s">
        <v>16</v>
      </c>
      <c r="D4890" s="1">
        <v>45855</v>
      </c>
      <c r="E4890" t="s">
        <v>17</v>
      </c>
      <c r="F4890">
        <v>3800</v>
      </c>
      <c r="J4890">
        <v>1363.4</v>
      </c>
      <c r="K4890">
        <v>1461.2</v>
      </c>
      <c r="L4890">
        <v>0</v>
      </c>
      <c r="M4890" t="s">
        <v>18</v>
      </c>
      <c r="N4890">
        <v>0</v>
      </c>
      <c r="O4890">
        <v>0</v>
      </c>
    </row>
    <row r="4891" spans="1:15" x14ac:dyDescent="0.2">
      <c r="A4891" s="6">
        <v>45806</v>
      </c>
      <c r="B4891" t="s">
        <v>15</v>
      </c>
      <c r="C4891" t="s">
        <v>16</v>
      </c>
      <c r="D4891" s="1">
        <v>45855</v>
      </c>
      <c r="E4891" t="s">
        <v>19</v>
      </c>
      <c r="F4891">
        <v>4800</v>
      </c>
      <c r="G4891">
        <v>99.9</v>
      </c>
      <c r="H4891">
        <v>100</v>
      </c>
      <c r="I4891">
        <v>99.9</v>
      </c>
      <c r="J4891">
        <v>100</v>
      </c>
      <c r="K4891">
        <v>51.3</v>
      </c>
      <c r="L4891">
        <v>3</v>
      </c>
      <c r="M4891" t="s">
        <v>34</v>
      </c>
      <c r="N4891">
        <v>14.7</v>
      </c>
      <c r="O4891">
        <v>3</v>
      </c>
    </row>
    <row r="4892" spans="1:15" x14ac:dyDescent="0.2">
      <c r="A4892" s="6">
        <v>45806</v>
      </c>
      <c r="B4892" t="s">
        <v>15</v>
      </c>
      <c r="C4892" t="s">
        <v>16</v>
      </c>
      <c r="D4892" s="1">
        <v>45855</v>
      </c>
      <c r="E4892" t="s">
        <v>19</v>
      </c>
      <c r="F4892">
        <v>4600</v>
      </c>
      <c r="J4892">
        <v>31.6</v>
      </c>
      <c r="K4892">
        <v>22.3</v>
      </c>
      <c r="L4892">
        <v>0</v>
      </c>
      <c r="M4892" t="s">
        <v>18</v>
      </c>
      <c r="N4892">
        <v>0</v>
      </c>
      <c r="O4892">
        <v>0</v>
      </c>
    </row>
    <row r="4893" spans="1:15" x14ac:dyDescent="0.2">
      <c r="A4893" s="6">
        <v>45806</v>
      </c>
      <c r="B4893" t="s">
        <v>15</v>
      </c>
      <c r="C4893" t="s">
        <v>16</v>
      </c>
      <c r="D4893" s="1">
        <v>45855</v>
      </c>
      <c r="E4893" t="s">
        <v>19</v>
      </c>
      <c r="F4893">
        <v>6200</v>
      </c>
      <c r="J4893">
        <v>1025.5999999999999</v>
      </c>
      <c r="K4893">
        <v>933</v>
      </c>
      <c r="L4893">
        <v>0</v>
      </c>
      <c r="M4893" t="s">
        <v>18</v>
      </c>
      <c r="N4893">
        <v>0</v>
      </c>
      <c r="O4893">
        <v>0</v>
      </c>
    </row>
    <row r="4894" spans="1:15" x14ac:dyDescent="0.2">
      <c r="A4894" s="6">
        <v>45806</v>
      </c>
      <c r="B4894" t="s">
        <v>15</v>
      </c>
      <c r="C4894" t="s">
        <v>16</v>
      </c>
      <c r="D4894" s="1">
        <v>45855</v>
      </c>
      <c r="E4894" t="s">
        <v>19</v>
      </c>
      <c r="F4894">
        <v>3700</v>
      </c>
      <c r="J4894">
        <v>0.1</v>
      </c>
      <c r="K4894">
        <v>0.1</v>
      </c>
      <c r="L4894">
        <v>0</v>
      </c>
      <c r="M4894" t="s">
        <v>18</v>
      </c>
      <c r="N4894">
        <v>0</v>
      </c>
      <c r="O4894">
        <v>0</v>
      </c>
    </row>
    <row r="4895" spans="1:15" x14ac:dyDescent="0.2">
      <c r="A4895" s="6">
        <v>45806</v>
      </c>
      <c r="B4895" t="s">
        <v>15</v>
      </c>
      <c r="C4895" t="s">
        <v>16</v>
      </c>
      <c r="D4895" s="1">
        <v>45855</v>
      </c>
      <c r="E4895" t="s">
        <v>19</v>
      </c>
      <c r="F4895">
        <v>5050</v>
      </c>
      <c r="J4895">
        <v>152.69999999999999</v>
      </c>
      <c r="K4895">
        <v>119.1</v>
      </c>
      <c r="L4895">
        <v>0</v>
      </c>
      <c r="M4895" t="s">
        <v>18</v>
      </c>
      <c r="N4895">
        <v>0</v>
      </c>
      <c r="O4895">
        <v>0</v>
      </c>
    </row>
    <row r="4896" spans="1:15" x14ac:dyDescent="0.2">
      <c r="A4896" s="6">
        <v>45806</v>
      </c>
      <c r="B4896" t="s">
        <v>15</v>
      </c>
      <c r="C4896" t="s">
        <v>16</v>
      </c>
      <c r="D4896" s="1">
        <v>45855</v>
      </c>
      <c r="E4896" t="s">
        <v>19</v>
      </c>
      <c r="F4896">
        <v>5400</v>
      </c>
      <c r="G4896">
        <v>340</v>
      </c>
      <c r="H4896">
        <v>340</v>
      </c>
      <c r="I4896">
        <v>340</v>
      </c>
      <c r="J4896">
        <v>340</v>
      </c>
      <c r="K4896">
        <v>287.2</v>
      </c>
      <c r="L4896">
        <v>1</v>
      </c>
      <c r="M4896" t="s">
        <v>155</v>
      </c>
      <c r="N4896">
        <v>5.74</v>
      </c>
      <c r="O4896">
        <v>1</v>
      </c>
    </row>
    <row r="4897" spans="1:15" x14ac:dyDescent="0.2">
      <c r="A4897" s="6">
        <v>45806</v>
      </c>
      <c r="B4897" t="s">
        <v>15</v>
      </c>
      <c r="C4897" t="s">
        <v>16</v>
      </c>
      <c r="D4897" s="1">
        <v>45855</v>
      </c>
      <c r="E4897" t="s">
        <v>19</v>
      </c>
      <c r="F4897">
        <v>4250</v>
      </c>
      <c r="J4897">
        <v>5.2</v>
      </c>
      <c r="K4897">
        <v>3.3</v>
      </c>
      <c r="L4897">
        <v>0</v>
      </c>
      <c r="M4897" t="s">
        <v>18</v>
      </c>
      <c r="N4897">
        <v>0</v>
      </c>
      <c r="O4897">
        <v>0</v>
      </c>
    </row>
    <row r="4898" spans="1:15" x14ac:dyDescent="0.2">
      <c r="A4898" s="6">
        <v>45806</v>
      </c>
      <c r="B4898" t="s">
        <v>15</v>
      </c>
      <c r="C4898" t="s">
        <v>16</v>
      </c>
      <c r="D4898" s="1">
        <v>45855</v>
      </c>
      <c r="E4898" t="s">
        <v>17</v>
      </c>
      <c r="F4898">
        <v>6550</v>
      </c>
      <c r="J4898">
        <v>2.2999999999999998</v>
      </c>
      <c r="K4898">
        <v>4.0999999999999996</v>
      </c>
      <c r="L4898">
        <v>0</v>
      </c>
      <c r="M4898" t="s">
        <v>18</v>
      </c>
      <c r="N4898">
        <v>0</v>
      </c>
      <c r="O4898">
        <v>0</v>
      </c>
    </row>
    <row r="4899" spans="1:15" x14ac:dyDescent="0.2">
      <c r="A4899" s="6">
        <v>45806</v>
      </c>
      <c r="B4899" t="s">
        <v>15</v>
      </c>
      <c r="C4899" t="s">
        <v>16</v>
      </c>
      <c r="D4899" s="1">
        <v>45855</v>
      </c>
      <c r="E4899" t="s">
        <v>17</v>
      </c>
      <c r="F4899">
        <v>3850</v>
      </c>
      <c r="J4899">
        <v>1313.9</v>
      </c>
      <c r="K4899">
        <v>1411.7</v>
      </c>
      <c r="L4899">
        <v>0</v>
      </c>
      <c r="M4899" t="s">
        <v>18</v>
      </c>
      <c r="N4899">
        <v>0</v>
      </c>
      <c r="O4899">
        <v>0</v>
      </c>
    </row>
    <row r="4900" spans="1:15" x14ac:dyDescent="0.2">
      <c r="A4900" s="6">
        <v>45806</v>
      </c>
      <c r="B4900" t="s">
        <v>15</v>
      </c>
      <c r="C4900" t="s">
        <v>16</v>
      </c>
      <c r="D4900" s="1">
        <v>45855</v>
      </c>
      <c r="E4900" t="s">
        <v>19</v>
      </c>
      <c r="F4900">
        <v>4950</v>
      </c>
      <c r="J4900">
        <v>114.1</v>
      </c>
      <c r="K4900">
        <v>87.2</v>
      </c>
      <c r="L4900">
        <v>0</v>
      </c>
      <c r="M4900" t="s">
        <v>18</v>
      </c>
      <c r="N4900">
        <v>0</v>
      </c>
      <c r="O4900">
        <v>0</v>
      </c>
    </row>
    <row r="4901" spans="1:15" x14ac:dyDescent="0.2">
      <c r="A4901" s="6">
        <v>45806</v>
      </c>
      <c r="B4901" t="s">
        <v>15</v>
      </c>
      <c r="C4901" t="s">
        <v>16</v>
      </c>
      <c r="D4901" s="1">
        <v>45855</v>
      </c>
      <c r="E4901" t="s">
        <v>19</v>
      </c>
      <c r="F4901">
        <v>4450</v>
      </c>
      <c r="J4901">
        <v>15.7</v>
      </c>
      <c r="K4901">
        <v>10.6</v>
      </c>
      <c r="L4901">
        <v>0</v>
      </c>
      <c r="M4901" t="s">
        <v>18</v>
      </c>
      <c r="N4901">
        <v>0</v>
      </c>
      <c r="O4901">
        <v>0</v>
      </c>
    </row>
    <row r="4902" spans="1:15" x14ac:dyDescent="0.2">
      <c r="A4902" s="6">
        <v>45806</v>
      </c>
      <c r="B4902" t="s">
        <v>15</v>
      </c>
      <c r="C4902" t="s">
        <v>16</v>
      </c>
      <c r="D4902" s="1">
        <v>45855</v>
      </c>
      <c r="E4902" t="s">
        <v>19</v>
      </c>
      <c r="F4902">
        <v>5300</v>
      </c>
      <c r="J4902">
        <v>281.60000000000002</v>
      </c>
      <c r="K4902">
        <v>230.2</v>
      </c>
      <c r="L4902">
        <v>0</v>
      </c>
      <c r="M4902" t="s">
        <v>18</v>
      </c>
      <c r="N4902">
        <v>0</v>
      </c>
      <c r="O4902">
        <v>3</v>
      </c>
    </row>
    <row r="4903" spans="1:15" x14ac:dyDescent="0.2">
      <c r="A4903" s="6">
        <v>45806</v>
      </c>
      <c r="B4903" t="s">
        <v>15</v>
      </c>
      <c r="C4903" t="s">
        <v>16</v>
      </c>
      <c r="D4903" s="1">
        <v>45855</v>
      </c>
      <c r="E4903" t="s">
        <v>19</v>
      </c>
      <c r="F4903">
        <v>5700</v>
      </c>
      <c r="J4903">
        <v>572.79999999999995</v>
      </c>
      <c r="K4903">
        <v>496.5</v>
      </c>
      <c r="L4903">
        <v>0</v>
      </c>
      <c r="M4903" t="s">
        <v>18</v>
      </c>
      <c r="N4903">
        <v>0</v>
      </c>
      <c r="O4903">
        <v>0</v>
      </c>
    </row>
    <row r="4904" spans="1:15" x14ac:dyDescent="0.2">
      <c r="A4904" s="6">
        <v>45806</v>
      </c>
      <c r="B4904" t="s">
        <v>15</v>
      </c>
      <c r="C4904" t="s">
        <v>16</v>
      </c>
      <c r="D4904" s="1">
        <v>45855</v>
      </c>
      <c r="E4904" t="s">
        <v>19</v>
      </c>
      <c r="F4904">
        <v>5450</v>
      </c>
      <c r="J4904">
        <v>380</v>
      </c>
      <c r="K4904">
        <v>318.3</v>
      </c>
      <c r="L4904">
        <v>0</v>
      </c>
      <c r="M4904" t="s">
        <v>18</v>
      </c>
      <c r="N4904">
        <v>0</v>
      </c>
      <c r="O4904">
        <v>0</v>
      </c>
    </row>
    <row r="4905" spans="1:15" x14ac:dyDescent="0.2">
      <c r="A4905" s="6">
        <v>45806</v>
      </c>
      <c r="B4905" t="s">
        <v>15</v>
      </c>
      <c r="C4905" t="s">
        <v>16</v>
      </c>
      <c r="D4905" s="1">
        <v>45855</v>
      </c>
      <c r="E4905" t="s">
        <v>17</v>
      </c>
      <c r="F4905">
        <v>3600</v>
      </c>
      <c r="J4905">
        <v>1561.6</v>
      </c>
      <c r="K4905">
        <v>1659.4</v>
      </c>
      <c r="L4905">
        <v>0</v>
      </c>
      <c r="M4905" t="s">
        <v>18</v>
      </c>
      <c r="N4905">
        <v>0</v>
      </c>
      <c r="O4905">
        <v>0</v>
      </c>
    </row>
    <row r="4906" spans="1:15" x14ac:dyDescent="0.2">
      <c r="A4906" s="6">
        <v>45806</v>
      </c>
      <c r="B4906" t="s">
        <v>15</v>
      </c>
      <c r="C4906" t="s">
        <v>16</v>
      </c>
      <c r="D4906" s="1">
        <v>45855</v>
      </c>
      <c r="E4906" t="s">
        <v>19</v>
      </c>
      <c r="F4906">
        <v>4550</v>
      </c>
      <c r="J4906">
        <v>25.3</v>
      </c>
      <c r="K4906">
        <v>17.600000000000001</v>
      </c>
      <c r="L4906">
        <v>0</v>
      </c>
      <c r="M4906" t="s">
        <v>18</v>
      </c>
      <c r="N4906">
        <v>0</v>
      </c>
      <c r="O4906">
        <v>0</v>
      </c>
    </row>
    <row r="4907" spans="1:15" x14ac:dyDescent="0.2">
      <c r="A4907" s="6">
        <v>45806</v>
      </c>
      <c r="B4907" t="s">
        <v>15</v>
      </c>
      <c r="C4907" t="s">
        <v>16</v>
      </c>
      <c r="D4907" s="1">
        <v>45855</v>
      </c>
      <c r="E4907" t="s">
        <v>19</v>
      </c>
      <c r="F4907">
        <v>5800</v>
      </c>
      <c r="J4907">
        <v>657.8</v>
      </c>
      <c r="K4907">
        <v>577</v>
      </c>
      <c r="L4907">
        <v>0</v>
      </c>
      <c r="M4907" t="s">
        <v>18</v>
      </c>
      <c r="N4907">
        <v>0</v>
      </c>
      <c r="O4907">
        <v>0</v>
      </c>
    </row>
    <row r="4908" spans="1:15" x14ac:dyDescent="0.2">
      <c r="A4908" s="6">
        <v>45806</v>
      </c>
      <c r="B4908" t="s">
        <v>15</v>
      </c>
      <c r="C4908" t="s">
        <v>16</v>
      </c>
      <c r="D4908" s="1">
        <v>45855</v>
      </c>
      <c r="E4908" t="s">
        <v>17</v>
      </c>
      <c r="F4908">
        <v>6050</v>
      </c>
      <c r="J4908">
        <v>16.3</v>
      </c>
      <c r="K4908">
        <v>25.3</v>
      </c>
      <c r="L4908">
        <v>0</v>
      </c>
      <c r="M4908" t="s">
        <v>18</v>
      </c>
      <c r="N4908">
        <v>0</v>
      </c>
      <c r="O4908">
        <v>0</v>
      </c>
    </row>
    <row r="4909" spans="1:15" x14ac:dyDescent="0.2">
      <c r="A4909" s="6">
        <v>45806</v>
      </c>
      <c r="B4909" t="s">
        <v>15</v>
      </c>
      <c r="C4909" t="s">
        <v>16</v>
      </c>
      <c r="D4909" s="1">
        <v>45855</v>
      </c>
      <c r="E4909" t="s">
        <v>17</v>
      </c>
      <c r="F4909">
        <v>3750</v>
      </c>
      <c r="J4909">
        <v>1412.9</v>
      </c>
      <c r="K4909">
        <v>1510.7</v>
      </c>
      <c r="L4909">
        <v>0</v>
      </c>
      <c r="M4909" t="s">
        <v>18</v>
      </c>
      <c r="N4909">
        <v>0</v>
      </c>
      <c r="O4909">
        <v>0</v>
      </c>
    </row>
    <row r="4910" spans="1:15" x14ac:dyDescent="0.2">
      <c r="A4910" s="6">
        <v>45806</v>
      </c>
      <c r="B4910" t="s">
        <v>15</v>
      </c>
      <c r="C4910" t="s">
        <v>16</v>
      </c>
      <c r="D4910" s="1">
        <v>45855</v>
      </c>
      <c r="E4910" t="s">
        <v>19</v>
      </c>
      <c r="F4910">
        <v>3750</v>
      </c>
      <c r="J4910">
        <v>0.1</v>
      </c>
      <c r="K4910">
        <v>0.1</v>
      </c>
      <c r="L4910">
        <v>0</v>
      </c>
      <c r="M4910" t="s">
        <v>18</v>
      </c>
      <c r="N4910">
        <v>0</v>
      </c>
      <c r="O4910">
        <v>0</v>
      </c>
    </row>
    <row r="4911" spans="1:15" x14ac:dyDescent="0.2">
      <c r="A4911" s="6">
        <v>45806</v>
      </c>
      <c r="B4911" t="s">
        <v>15</v>
      </c>
      <c r="C4911" t="s">
        <v>16</v>
      </c>
      <c r="D4911" s="1">
        <v>45855</v>
      </c>
      <c r="E4911" t="s">
        <v>19</v>
      </c>
      <c r="F4911">
        <v>4700</v>
      </c>
      <c r="J4911">
        <v>47.8</v>
      </c>
      <c r="K4911">
        <v>34.5</v>
      </c>
      <c r="L4911">
        <v>0</v>
      </c>
      <c r="M4911" t="s">
        <v>18</v>
      </c>
      <c r="N4911">
        <v>0</v>
      </c>
      <c r="O4911">
        <v>0</v>
      </c>
    </row>
    <row r="4912" spans="1:15" x14ac:dyDescent="0.2">
      <c r="A4912" s="6">
        <v>45806</v>
      </c>
      <c r="B4912" t="s">
        <v>15</v>
      </c>
      <c r="C4912" t="s">
        <v>16</v>
      </c>
      <c r="D4912" s="1">
        <v>45855</v>
      </c>
      <c r="E4912" t="s">
        <v>17</v>
      </c>
      <c r="F4912">
        <v>6650</v>
      </c>
      <c r="J4912">
        <v>1.5</v>
      </c>
      <c r="K4912">
        <v>2.7</v>
      </c>
      <c r="L4912">
        <v>0</v>
      </c>
      <c r="M4912" t="s">
        <v>18</v>
      </c>
      <c r="N4912">
        <v>0</v>
      </c>
      <c r="O4912">
        <v>0</v>
      </c>
    </row>
    <row r="4913" spans="1:15" x14ac:dyDescent="0.2">
      <c r="A4913" s="6">
        <v>45806</v>
      </c>
      <c r="B4913" t="s">
        <v>15</v>
      </c>
      <c r="C4913" t="s">
        <v>16</v>
      </c>
      <c r="D4913" s="1">
        <v>45855</v>
      </c>
      <c r="E4913" t="s">
        <v>19</v>
      </c>
      <c r="F4913">
        <v>6400</v>
      </c>
      <c r="J4913">
        <v>1218.8</v>
      </c>
      <c r="K4913">
        <v>1123.4000000000001</v>
      </c>
      <c r="L4913">
        <v>0</v>
      </c>
      <c r="M4913" t="s">
        <v>18</v>
      </c>
      <c r="N4913">
        <v>0</v>
      </c>
      <c r="O4913">
        <v>0</v>
      </c>
    </row>
    <row r="4914" spans="1:15" x14ac:dyDescent="0.2">
      <c r="A4914" s="6">
        <v>45806</v>
      </c>
      <c r="B4914" t="s">
        <v>15</v>
      </c>
      <c r="C4914" t="s">
        <v>16</v>
      </c>
      <c r="D4914" s="1">
        <v>45855</v>
      </c>
      <c r="E4914" t="s">
        <v>17</v>
      </c>
      <c r="F4914">
        <v>3650</v>
      </c>
      <c r="J4914">
        <v>1512</v>
      </c>
      <c r="K4914">
        <v>1609.8</v>
      </c>
      <c r="L4914">
        <v>0</v>
      </c>
      <c r="M4914" t="s">
        <v>18</v>
      </c>
      <c r="N4914">
        <v>0</v>
      </c>
      <c r="O4914">
        <v>0</v>
      </c>
    </row>
    <row r="4915" spans="1:15" x14ac:dyDescent="0.2">
      <c r="A4915" s="6">
        <v>45806</v>
      </c>
      <c r="B4915" t="s">
        <v>15</v>
      </c>
      <c r="C4915" t="s">
        <v>16</v>
      </c>
      <c r="D4915" s="1">
        <v>45855</v>
      </c>
      <c r="E4915" t="s">
        <v>17</v>
      </c>
      <c r="F4915">
        <v>5200</v>
      </c>
      <c r="J4915">
        <v>199.7</v>
      </c>
      <c r="K4915">
        <v>253.7</v>
      </c>
      <c r="L4915">
        <v>0</v>
      </c>
      <c r="M4915" t="s">
        <v>18</v>
      </c>
      <c r="N4915">
        <v>0</v>
      </c>
      <c r="O4915">
        <v>0</v>
      </c>
    </row>
    <row r="4916" spans="1:15" x14ac:dyDescent="0.2">
      <c r="A4916" s="6">
        <v>45806</v>
      </c>
      <c r="B4916" t="s">
        <v>15</v>
      </c>
      <c r="C4916" t="s">
        <v>16</v>
      </c>
      <c r="D4916" s="1">
        <v>45855</v>
      </c>
      <c r="E4916" t="s">
        <v>17</v>
      </c>
      <c r="F4916">
        <v>4250</v>
      </c>
      <c r="J4916">
        <v>922.3</v>
      </c>
      <c r="K4916">
        <v>1018.4</v>
      </c>
      <c r="L4916">
        <v>0</v>
      </c>
      <c r="M4916" t="s">
        <v>18</v>
      </c>
      <c r="N4916">
        <v>0</v>
      </c>
      <c r="O4916">
        <v>0</v>
      </c>
    </row>
    <row r="4917" spans="1:15" x14ac:dyDescent="0.2">
      <c r="A4917" s="6">
        <v>45806</v>
      </c>
      <c r="B4917" t="s">
        <v>15</v>
      </c>
      <c r="C4917" t="s">
        <v>16</v>
      </c>
      <c r="D4917" s="1">
        <v>45855</v>
      </c>
      <c r="E4917" t="s">
        <v>17</v>
      </c>
      <c r="F4917">
        <v>4150</v>
      </c>
      <c r="J4917">
        <v>1019</v>
      </c>
      <c r="K4917">
        <v>1115.9000000000001</v>
      </c>
      <c r="L4917">
        <v>0</v>
      </c>
      <c r="M4917" t="s">
        <v>18</v>
      </c>
      <c r="N4917">
        <v>0</v>
      </c>
      <c r="O4917">
        <v>0</v>
      </c>
    </row>
    <row r="4918" spans="1:15" x14ac:dyDescent="0.2">
      <c r="A4918" s="6">
        <v>45806</v>
      </c>
      <c r="B4918" t="s">
        <v>15</v>
      </c>
      <c r="C4918" t="s">
        <v>16</v>
      </c>
      <c r="D4918" s="1">
        <v>45855</v>
      </c>
      <c r="E4918" t="s">
        <v>17</v>
      </c>
      <c r="F4918">
        <v>3700</v>
      </c>
      <c r="J4918">
        <v>1462.5</v>
      </c>
      <c r="K4918">
        <v>1560.3</v>
      </c>
      <c r="L4918">
        <v>0</v>
      </c>
      <c r="M4918" t="s">
        <v>18</v>
      </c>
      <c r="N4918">
        <v>0</v>
      </c>
      <c r="O4918">
        <v>0</v>
      </c>
    </row>
    <row r="4919" spans="1:15" x14ac:dyDescent="0.2">
      <c r="A4919" s="6">
        <v>45806</v>
      </c>
      <c r="B4919" t="s">
        <v>15</v>
      </c>
      <c r="C4919" t="s">
        <v>16</v>
      </c>
      <c r="D4919" s="1">
        <v>45855</v>
      </c>
      <c r="E4919" t="s">
        <v>17</v>
      </c>
      <c r="F4919">
        <v>5500</v>
      </c>
      <c r="J4919">
        <v>93.7</v>
      </c>
      <c r="K4919">
        <v>126.9</v>
      </c>
      <c r="L4919">
        <v>0</v>
      </c>
      <c r="M4919" t="s">
        <v>18</v>
      </c>
      <c r="N4919">
        <v>0</v>
      </c>
      <c r="O4919">
        <v>1</v>
      </c>
    </row>
    <row r="4920" spans="1:15" x14ac:dyDescent="0.2">
      <c r="A4920" s="6">
        <v>45806</v>
      </c>
      <c r="B4920" t="s">
        <v>15</v>
      </c>
      <c r="C4920" t="s">
        <v>16</v>
      </c>
      <c r="D4920" s="1">
        <v>45855</v>
      </c>
      <c r="E4920" t="s">
        <v>17</v>
      </c>
      <c r="F4920">
        <v>4500</v>
      </c>
      <c r="J4920">
        <v>689.3</v>
      </c>
      <c r="K4920">
        <v>781</v>
      </c>
      <c r="L4920">
        <v>0</v>
      </c>
      <c r="M4920" t="s">
        <v>18</v>
      </c>
      <c r="N4920">
        <v>0</v>
      </c>
      <c r="O4920">
        <v>0</v>
      </c>
    </row>
    <row r="4921" spans="1:15" x14ac:dyDescent="0.2">
      <c r="A4921" s="6">
        <v>45806</v>
      </c>
      <c r="B4921" t="s">
        <v>15</v>
      </c>
      <c r="C4921" t="s">
        <v>16</v>
      </c>
      <c r="D4921" s="1">
        <v>45855</v>
      </c>
      <c r="E4921" t="s">
        <v>17</v>
      </c>
      <c r="F4921">
        <v>6250</v>
      </c>
      <c r="J4921">
        <v>7.8</v>
      </c>
      <c r="K4921">
        <v>12.6</v>
      </c>
      <c r="L4921">
        <v>0</v>
      </c>
      <c r="M4921" t="s">
        <v>18</v>
      </c>
      <c r="N4921">
        <v>0</v>
      </c>
      <c r="O4921">
        <v>0</v>
      </c>
    </row>
    <row r="4922" spans="1:15" x14ac:dyDescent="0.2">
      <c r="A4922" s="6">
        <v>45806</v>
      </c>
      <c r="B4922" t="s">
        <v>15</v>
      </c>
      <c r="C4922" t="s">
        <v>16</v>
      </c>
      <c r="D4922" s="1">
        <v>45855</v>
      </c>
      <c r="E4922" t="s">
        <v>19</v>
      </c>
      <c r="F4922">
        <v>6250</v>
      </c>
      <c r="J4922">
        <v>1073.5999999999999</v>
      </c>
      <c r="K4922">
        <v>980.1</v>
      </c>
      <c r="L4922">
        <v>0</v>
      </c>
      <c r="M4922" t="s">
        <v>18</v>
      </c>
      <c r="N4922">
        <v>0</v>
      </c>
      <c r="O4922">
        <v>0</v>
      </c>
    </row>
    <row r="4923" spans="1:15" x14ac:dyDescent="0.2">
      <c r="A4923" s="6">
        <v>45806</v>
      </c>
      <c r="B4923" t="s">
        <v>15</v>
      </c>
      <c r="C4923" t="s">
        <v>16</v>
      </c>
      <c r="D4923" s="1">
        <v>45855</v>
      </c>
      <c r="E4923" t="s">
        <v>17</v>
      </c>
      <c r="F4923">
        <v>4550</v>
      </c>
      <c r="J4923">
        <v>645</v>
      </c>
      <c r="K4923">
        <v>735.3</v>
      </c>
      <c r="L4923">
        <v>0</v>
      </c>
      <c r="M4923" t="s">
        <v>18</v>
      </c>
      <c r="N4923">
        <v>0</v>
      </c>
      <c r="O4923">
        <v>0</v>
      </c>
    </row>
    <row r="4924" spans="1:15" x14ac:dyDescent="0.2">
      <c r="A4924" s="6">
        <v>45806</v>
      </c>
      <c r="B4924" t="s">
        <v>15</v>
      </c>
      <c r="C4924" t="s">
        <v>16</v>
      </c>
      <c r="D4924" s="1">
        <v>45855</v>
      </c>
      <c r="E4924" t="s">
        <v>17</v>
      </c>
      <c r="F4924">
        <v>5150</v>
      </c>
      <c r="J4924">
        <v>223.5</v>
      </c>
      <c r="K4924">
        <v>281</v>
      </c>
      <c r="L4924">
        <v>0</v>
      </c>
      <c r="M4924" t="s">
        <v>18</v>
      </c>
      <c r="N4924">
        <v>0</v>
      </c>
      <c r="O4924">
        <v>0</v>
      </c>
    </row>
    <row r="4925" spans="1:15" x14ac:dyDescent="0.2">
      <c r="A4925" s="6">
        <v>45806</v>
      </c>
      <c r="B4925" t="s">
        <v>15</v>
      </c>
      <c r="C4925" t="s">
        <v>16</v>
      </c>
      <c r="D4925" s="1">
        <v>45855</v>
      </c>
      <c r="E4925" t="s">
        <v>17</v>
      </c>
      <c r="F4925">
        <v>6350</v>
      </c>
      <c r="J4925">
        <v>5.2</v>
      </c>
      <c r="K4925">
        <v>8.8000000000000007</v>
      </c>
      <c r="L4925">
        <v>0</v>
      </c>
      <c r="M4925" t="s">
        <v>18</v>
      </c>
      <c r="N4925">
        <v>0</v>
      </c>
      <c r="O4925">
        <v>0</v>
      </c>
    </row>
    <row r="4926" spans="1:15" x14ac:dyDescent="0.2">
      <c r="A4926" s="6">
        <v>45806</v>
      </c>
      <c r="B4926" t="s">
        <v>15</v>
      </c>
      <c r="C4926" t="s">
        <v>16</v>
      </c>
      <c r="D4926" s="1">
        <v>45855</v>
      </c>
      <c r="E4926" t="s">
        <v>19</v>
      </c>
      <c r="F4926">
        <v>4650</v>
      </c>
      <c r="J4926">
        <v>39.1</v>
      </c>
      <c r="K4926">
        <v>27.9</v>
      </c>
      <c r="L4926">
        <v>0</v>
      </c>
      <c r="M4926" t="s">
        <v>18</v>
      </c>
      <c r="N4926">
        <v>0</v>
      </c>
      <c r="O4926">
        <v>0</v>
      </c>
    </row>
    <row r="4927" spans="1:15" x14ac:dyDescent="0.2">
      <c r="A4927" s="6">
        <v>45806</v>
      </c>
      <c r="B4927" t="s">
        <v>15</v>
      </c>
      <c r="C4927" t="s">
        <v>16</v>
      </c>
      <c r="D4927" s="1">
        <v>45855</v>
      </c>
      <c r="E4927" t="s">
        <v>17</v>
      </c>
      <c r="F4927">
        <v>4050</v>
      </c>
      <c r="J4927">
        <v>1116.8</v>
      </c>
      <c r="K4927">
        <v>1214.0999999999999</v>
      </c>
      <c r="L4927">
        <v>0</v>
      </c>
      <c r="M4927" t="s">
        <v>18</v>
      </c>
      <c r="N4927">
        <v>0</v>
      </c>
      <c r="O4927">
        <v>0</v>
      </c>
    </row>
    <row r="4928" spans="1:15" x14ac:dyDescent="0.2">
      <c r="A4928" s="6">
        <v>45806</v>
      </c>
      <c r="B4928" t="s">
        <v>15</v>
      </c>
      <c r="C4928" t="s">
        <v>16</v>
      </c>
      <c r="D4928" s="1">
        <v>45855</v>
      </c>
      <c r="E4928" t="s">
        <v>17</v>
      </c>
      <c r="F4928">
        <v>4000</v>
      </c>
      <c r="J4928">
        <v>1165.9000000000001</v>
      </c>
      <c r="K4928">
        <v>1263.4000000000001</v>
      </c>
      <c r="L4928">
        <v>0</v>
      </c>
      <c r="M4928" t="s">
        <v>18</v>
      </c>
      <c r="N4928">
        <v>0</v>
      </c>
      <c r="O4928">
        <v>0</v>
      </c>
    </row>
    <row r="4929" spans="1:15" x14ac:dyDescent="0.2">
      <c r="A4929" s="6">
        <v>45806</v>
      </c>
      <c r="B4929" t="s">
        <v>15</v>
      </c>
      <c r="C4929" t="s">
        <v>16</v>
      </c>
      <c r="D4929" s="1">
        <v>45855</v>
      </c>
      <c r="E4929" t="s">
        <v>19</v>
      </c>
      <c r="F4929">
        <v>4400</v>
      </c>
      <c r="J4929">
        <v>12.2</v>
      </c>
      <c r="K4929">
        <v>8.1</v>
      </c>
      <c r="L4929">
        <v>0</v>
      </c>
      <c r="M4929" t="s">
        <v>18</v>
      </c>
      <c r="N4929">
        <v>0</v>
      </c>
      <c r="O4929">
        <v>0</v>
      </c>
    </row>
    <row r="4930" spans="1:15" x14ac:dyDescent="0.2">
      <c r="A4930" s="6">
        <v>45806</v>
      </c>
      <c r="B4930" t="s">
        <v>15</v>
      </c>
      <c r="C4930" t="s">
        <v>16</v>
      </c>
      <c r="D4930" s="1">
        <v>45855</v>
      </c>
      <c r="E4930" t="s">
        <v>17</v>
      </c>
      <c r="F4930">
        <v>6300</v>
      </c>
      <c r="J4930">
        <v>6.4</v>
      </c>
      <c r="K4930">
        <v>10.5</v>
      </c>
      <c r="L4930">
        <v>0</v>
      </c>
      <c r="M4930" t="s">
        <v>18</v>
      </c>
      <c r="N4930">
        <v>0</v>
      </c>
      <c r="O4930">
        <v>0</v>
      </c>
    </row>
    <row r="4931" spans="1:15" x14ac:dyDescent="0.2">
      <c r="A4931" s="6">
        <v>45806</v>
      </c>
      <c r="B4931" t="s">
        <v>15</v>
      </c>
      <c r="C4931" t="s">
        <v>16</v>
      </c>
      <c r="D4931" s="1">
        <v>45855</v>
      </c>
      <c r="E4931" t="s">
        <v>19</v>
      </c>
      <c r="F4931">
        <v>5350</v>
      </c>
      <c r="J4931">
        <v>312.7</v>
      </c>
      <c r="K4931">
        <v>257.8</v>
      </c>
      <c r="L4931">
        <v>0</v>
      </c>
      <c r="M4931" t="s">
        <v>18</v>
      </c>
      <c r="N4931">
        <v>0</v>
      </c>
      <c r="O4931">
        <v>0</v>
      </c>
    </row>
    <row r="4932" spans="1:15" x14ac:dyDescent="0.2">
      <c r="A4932" s="6">
        <v>45806</v>
      </c>
      <c r="B4932" t="s">
        <v>15</v>
      </c>
      <c r="C4932" t="s">
        <v>16</v>
      </c>
      <c r="D4932" s="1">
        <v>45855</v>
      </c>
      <c r="E4932" t="s">
        <v>19</v>
      </c>
      <c r="F4932">
        <v>5950</v>
      </c>
      <c r="J4932">
        <v>791.6</v>
      </c>
      <c r="K4932">
        <v>705.1</v>
      </c>
      <c r="L4932">
        <v>0</v>
      </c>
      <c r="M4932" t="s">
        <v>18</v>
      </c>
      <c r="N4932">
        <v>0</v>
      </c>
      <c r="O4932">
        <v>0</v>
      </c>
    </row>
    <row r="4933" spans="1:15" x14ac:dyDescent="0.2">
      <c r="A4933" s="6">
        <v>45806</v>
      </c>
      <c r="B4933" t="s">
        <v>15</v>
      </c>
      <c r="C4933" t="s">
        <v>16</v>
      </c>
      <c r="D4933" s="1">
        <v>45855</v>
      </c>
      <c r="E4933" t="s">
        <v>19</v>
      </c>
      <c r="F4933">
        <v>4500</v>
      </c>
      <c r="J4933">
        <v>20.100000000000001</v>
      </c>
      <c r="K4933">
        <v>13.8</v>
      </c>
      <c r="L4933">
        <v>0</v>
      </c>
      <c r="M4933" t="s">
        <v>18</v>
      </c>
      <c r="N4933">
        <v>0</v>
      </c>
      <c r="O4933">
        <v>0</v>
      </c>
    </row>
    <row r="4934" spans="1:15" x14ac:dyDescent="0.2">
      <c r="A4934" s="6">
        <v>45806</v>
      </c>
      <c r="B4934" t="s">
        <v>15</v>
      </c>
      <c r="C4934" t="s">
        <v>16</v>
      </c>
      <c r="D4934" s="1">
        <v>45855</v>
      </c>
      <c r="E4934" t="s">
        <v>19</v>
      </c>
      <c r="F4934">
        <v>4100</v>
      </c>
      <c r="J4934">
        <v>2</v>
      </c>
      <c r="K4934">
        <v>1.2</v>
      </c>
      <c r="L4934">
        <v>0</v>
      </c>
      <c r="M4934" t="s">
        <v>18</v>
      </c>
      <c r="N4934">
        <v>0</v>
      </c>
      <c r="O4934">
        <v>0</v>
      </c>
    </row>
    <row r="4935" spans="1:15" x14ac:dyDescent="0.2">
      <c r="A4935" s="6">
        <v>45806</v>
      </c>
      <c r="B4935" t="s">
        <v>15</v>
      </c>
      <c r="C4935" t="s">
        <v>16</v>
      </c>
      <c r="D4935" s="1">
        <v>45855</v>
      </c>
      <c r="E4935" t="s">
        <v>19</v>
      </c>
      <c r="F4935">
        <v>5500</v>
      </c>
      <c r="J4935">
        <v>415.9</v>
      </c>
      <c r="K4935">
        <v>351</v>
      </c>
      <c r="L4935">
        <v>0</v>
      </c>
      <c r="M4935" t="s">
        <v>18</v>
      </c>
      <c r="N4935">
        <v>0</v>
      </c>
      <c r="O4935">
        <v>0</v>
      </c>
    </row>
    <row r="4936" spans="1:15" x14ac:dyDescent="0.2">
      <c r="A4936" s="6">
        <v>45806</v>
      </c>
      <c r="B4936" t="s">
        <v>15</v>
      </c>
      <c r="C4936" t="s">
        <v>16</v>
      </c>
      <c r="D4936" s="1">
        <v>45855</v>
      </c>
      <c r="E4936" t="s">
        <v>19</v>
      </c>
      <c r="F4936">
        <v>3800</v>
      </c>
      <c r="J4936">
        <v>0.2</v>
      </c>
      <c r="K4936">
        <v>0.1</v>
      </c>
      <c r="L4936">
        <v>0</v>
      </c>
      <c r="M4936" t="s">
        <v>18</v>
      </c>
      <c r="N4936">
        <v>0</v>
      </c>
      <c r="O4936">
        <v>0</v>
      </c>
    </row>
    <row r="4937" spans="1:15" x14ac:dyDescent="0.2">
      <c r="A4937" s="6">
        <v>45806</v>
      </c>
      <c r="B4937" t="s">
        <v>15</v>
      </c>
      <c r="C4937" t="s">
        <v>16</v>
      </c>
      <c r="D4937" s="1">
        <v>45855</v>
      </c>
      <c r="E4937" t="s">
        <v>17</v>
      </c>
      <c r="F4937">
        <v>6500</v>
      </c>
      <c r="J4937">
        <v>2.8</v>
      </c>
      <c r="K4937">
        <v>4.9000000000000004</v>
      </c>
      <c r="L4937">
        <v>0</v>
      </c>
      <c r="M4937" t="s">
        <v>18</v>
      </c>
      <c r="N4937">
        <v>0</v>
      </c>
      <c r="O4937">
        <v>0</v>
      </c>
    </row>
    <row r="4938" spans="1:15" x14ac:dyDescent="0.2">
      <c r="A4938" s="6">
        <v>45806</v>
      </c>
      <c r="B4938" t="s">
        <v>15</v>
      </c>
      <c r="C4938" t="s">
        <v>16</v>
      </c>
      <c r="D4938" s="1">
        <v>45855</v>
      </c>
      <c r="E4938" t="s">
        <v>17</v>
      </c>
      <c r="F4938">
        <v>4600</v>
      </c>
      <c r="J4938">
        <v>601.70000000000005</v>
      </c>
      <c r="K4938">
        <v>690.4</v>
      </c>
      <c r="L4938">
        <v>0</v>
      </c>
      <c r="M4938" t="s">
        <v>18</v>
      </c>
      <c r="N4938">
        <v>0</v>
      </c>
      <c r="O4938">
        <v>0</v>
      </c>
    </row>
    <row r="4939" spans="1:15" x14ac:dyDescent="0.2">
      <c r="A4939" s="6">
        <v>45806</v>
      </c>
      <c r="B4939" t="s">
        <v>15</v>
      </c>
      <c r="C4939" t="s">
        <v>16</v>
      </c>
      <c r="D4939" s="1">
        <v>45855</v>
      </c>
      <c r="E4939" t="s">
        <v>19</v>
      </c>
      <c r="F4939">
        <v>3650</v>
      </c>
      <c r="J4939">
        <v>0.1</v>
      </c>
      <c r="K4939">
        <v>0.1</v>
      </c>
      <c r="L4939">
        <v>0</v>
      </c>
      <c r="M4939" t="s">
        <v>18</v>
      </c>
      <c r="N4939">
        <v>0</v>
      </c>
      <c r="O4939">
        <v>0</v>
      </c>
    </row>
    <row r="4940" spans="1:15" x14ac:dyDescent="0.2">
      <c r="A4940" s="6">
        <v>45806</v>
      </c>
      <c r="B4940" t="s">
        <v>15</v>
      </c>
      <c r="C4940" t="s">
        <v>16</v>
      </c>
      <c r="D4940" s="1">
        <v>45855</v>
      </c>
      <c r="E4940" t="s">
        <v>17</v>
      </c>
      <c r="F4940">
        <v>5350</v>
      </c>
      <c r="J4940">
        <v>139.19999999999999</v>
      </c>
      <c r="K4940">
        <v>182.5</v>
      </c>
      <c r="L4940">
        <v>0</v>
      </c>
      <c r="M4940" t="s">
        <v>18</v>
      </c>
      <c r="N4940">
        <v>0</v>
      </c>
      <c r="O4940">
        <v>0</v>
      </c>
    </row>
    <row r="4941" spans="1:15" x14ac:dyDescent="0.2">
      <c r="A4941" s="6">
        <v>45806</v>
      </c>
      <c r="B4941" t="s">
        <v>15</v>
      </c>
      <c r="C4941" t="s">
        <v>16</v>
      </c>
      <c r="D4941" s="1">
        <v>45855</v>
      </c>
      <c r="E4941" t="s">
        <v>17</v>
      </c>
      <c r="F4941">
        <v>6100</v>
      </c>
      <c r="J4941">
        <v>13.6</v>
      </c>
      <c r="K4941">
        <v>21.4</v>
      </c>
      <c r="L4941">
        <v>0</v>
      </c>
      <c r="M4941" t="s">
        <v>18</v>
      </c>
      <c r="N4941">
        <v>0</v>
      </c>
      <c r="O4941">
        <v>0</v>
      </c>
    </row>
    <row r="4942" spans="1:15" x14ac:dyDescent="0.2">
      <c r="A4942" s="6">
        <v>45806</v>
      </c>
      <c r="B4942" t="s">
        <v>15</v>
      </c>
      <c r="C4942" t="s">
        <v>16</v>
      </c>
      <c r="D4942" s="1">
        <v>45855</v>
      </c>
      <c r="E4942" t="s">
        <v>19</v>
      </c>
      <c r="F4942">
        <v>4850</v>
      </c>
      <c r="J4942">
        <v>82.6</v>
      </c>
      <c r="K4942">
        <v>61.8</v>
      </c>
      <c r="L4942">
        <v>0</v>
      </c>
      <c r="M4942" t="s">
        <v>18</v>
      </c>
      <c r="N4942">
        <v>0</v>
      </c>
      <c r="O4942">
        <v>0</v>
      </c>
    </row>
    <row r="4943" spans="1:15" x14ac:dyDescent="0.2">
      <c r="A4943" s="6">
        <v>45806</v>
      </c>
      <c r="B4943" t="s">
        <v>15</v>
      </c>
      <c r="C4943" t="s">
        <v>16</v>
      </c>
      <c r="D4943" s="1">
        <v>45855</v>
      </c>
      <c r="E4943" t="s">
        <v>19</v>
      </c>
      <c r="F4943">
        <v>4000</v>
      </c>
      <c r="J4943">
        <v>1</v>
      </c>
      <c r="K4943">
        <v>0.6</v>
      </c>
      <c r="L4943">
        <v>0</v>
      </c>
      <c r="M4943" t="s">
        <v>18</v>
      </c>
      <c r="N4943">
        <v>0</v>
      </c>
      <c r="O4943">
        <v>0</v>
      </c>
    </row>
    <row r="4944" spans="1:15" x14ac:dyDescent="0.2">
      <c r="A4944" s="6">
        <v>45806</v>
      </c>
      <c r="B4944" t="s">
        <v>15</v>
      </c>
      <c r="C4944" t="s">
        <v>16</v>
      </c>
      <c r="D4944" s="1">
        <v>45855</v>
      </c>
      <c r="E4944" t="s">
        <v>19</v>
      </c>
      <c r="F4944">
        <v>5600</v>
      </c>
      <c r="J4944">
        <v>491.9</v>
      </c>
      <c r="K4944">
        <v>421</v>
      </c>
      <c r="L4944">
        <v>0</v>
      </c>
      <c r="M4944" t="s">
        <v>18</v>
      </c>
      <c r="N4944">
        <v>0</v>
      </c>
      <c r="O4944">
        <v>0</v>
      </c>
    </row>
    <row r="4945" spans="1:15" x14ac:dyDescent="0.2">
      <c r="A4945" s="6">
        <v>45806</v>
      </c>
      <c r="B4945" t="s">
        <v>15</v>
      </c>
      <c r="C4945" t="s">
        <v>16</v>
      </c>
      <c r="D4945" s="1">
        <v>45855</v>
      </c>
      <c r="E4945" t="s">
        <v>19</v>
      </c>
      <c r="F4945">
        <v>5650</v>
      </c>
      <c r="J4945">
        <v>531.79999999999995</v>
      </c>
      <c r="K4945">
        <v>458.1</v>
      </c>
      <c r="L4945">
        <v>0</v>
      </c>
      <c r="M4945" t="s">
        <v>18</v>
      </c>
      <c r="N4945">
        <v>0</v>
      </c>
      <c r="O4945">
        <v>0</v>
      </c>
    </row>
    <row r="4946" spans="1:15" x14ac:dyDescent="0.2">
      <c r="A4946" s="6">
        <v>45806</v>
      </c>
      <c r="B4946" t="s">
        <v>15</v>
      </c>
      <c r="C4946" t="s">
        <v>16</v>
      </c>
      <c r="D4946" s="1">
        <v>45855</v>
      </c>
      <c r="E4946" t="s">
        <v>19</v>
      </c>
      <c r="F4946">
        <v>6350</v>
      </c>
      <c r="J4946">
        <v>1170.2</v>
      </c>
      <c r="K4946">
        <v>1075.4000000000001</v>
      </c>
      <c r="L4946">
        <v>0</v>
      </c>
      <c r="M4946" t="s">
        <v>18</v>
      </c>
      <c r="N4946">
        <v>0</v>
      </c>
      <c r="O4946">
        <v>0</v>
      </c>
    </row>
    <row r="4947" spans="1:15" x14ac:dyDescent="0.2">
      <c r="A4947" s="6">
        <v>45806</v>
      </c>
      <c r="B4947" t="s">
        <v>15</v>
      </c>
      <c r="C4947" t="s">
        <v>16</v>
      </c>
      <c r="D4947" s="1">
        <v>45855</v>
      </c>
      <c r="E4947" t="s">
        <v>17</v>
      </c>
      <c r="F4947">
        <v>3950</v>
      </c>
      <c r="J4947">
        <v>1215.2</v>
      </c>
      <c r="K4947">
        <v>1312.8</v>
      </c>
      <c r="L4947">
        <v>0</v>
      </c>
      <c r="M4947" t="s">
        <v>18</v>
      </c>
      <c r="N4947">
        <v>0</v>
      </c>
      <c r="O4947">
        <v>0</v>
      </c>
    </row>
    <row r="4948" spans="1:15" x14ac:dyDescent="0.2">
      <c r="A4948" s="6">
        <v>45806</v>
      </c>
      <c r="B4948" t="s">
        <v>15</v>
      </c>
      <c r="C4948" t="s">
        <v>16</v>
      </c>
      <c r="D4948" s="1">
        <v>45855</v>
      </c>
      <c r="E4948" t="s">
        <v>17</v>
      </c>
      <c r="F4948">
        <v>5650</v>
      </c>
      <c r="J4948">
        <v>60.9</v>
      </c>
      <c r="K4948">
        <v>85.4</v>
      </c>
      <c r="L4948">
        <v>0</v>
      </c>
      <c r="M4948" t="s">
        <v>18</v>
      </c>
      <c r="N4948">
        <v>0</v>
      </c>
      <c r="O4948">
        <v>0</v>
      </c>
    </row>
    <row r="4949" spans="1:15" x14ac:dyDescent="0.2">
      <c r="A4949" s="6">
        <v>45806</v>
      </c>
      <c r="B4949" t="s">
        <v>15</v>
      </c>
      <c r="C4949" t="s">
        <v>16</v>
      </c>
      <c r="D4949" s="1">
        <v>45855</v>
      </c>
      <c r="E4949" t="s">
        <v>19</v>
      </c>
      <c r="F4949">
        <v>4050</v>
      </c>
      <c r="J4949">
        <v>1.4</v>
      </c>
      <c r="K4949">
        <v>0.8</v>
      </c>
      <c r="L4949">
        <v>0</v>
      </c>
      <c r="M4949" t="s">
        <v>18</v>
      </c>
      <c r="N4949">
        <v>0</v>
      </c>
      <c r="O4949">
        <v>0</v>
      </c>
    </row>
    <row r="4950" spans="1:15" x14ac:dyDescent="0.2">
      <c r="A4950" s="6">
        <v>45806</v>
      </c>
      <c r="B4950" t="s">
        <v>15</v>
      </c>
      <c r="C4950" t="s">
        <v>16</v>
      </c>
      <c r="D4950" s="1">
        <v>45855</v>
      </c>
      <c r="E4950" t="s">
        <v>19</v>
      </c>
      <c r="F4950">
        <v>5750</v>
      </c>
      <c r="J4950">
        <v>614.9</v>
      </c>
      <c r="K4950">
        <v>536.20000000000005</v>
      </c>
      <c r="L4950">
        <v>0</v>
      </c>
      <c r="M4950" t="s">
        <v>18</v>
      </c>
      <c r="N4950">
        <v>0</v>
      </c>
      <c r="O4950">
        <v>0</v>
      </c>
    </row>
    <row r="4951" spans="1:15" x14ac:dyDescent="0.2">
      <c r="A4951" s="6">
        <v>45806</v>
      </c>
      <c r="B4951" t="s">
        <v>15</v>
      </c>
      <c r="C4951" t="s">
        <v>16</v>
      </c>
      <c r="D4951" s="1">
        <v>45855</v>
      </c>
      <c r="E4951" t="s">
        <v>17</v>
      </c>
      <c r="F4951">
        <v>6000</v>
      </c>
      <c r="J4951">
        <v>19.5</v>
      </c>
      <c r="K4951">
        <v>29.8</v>
      </c>
      <c r="L4951">
        <v>0</v>
      </c>
      <c r="M4951" t="s">
        <v>18</v>
      </c>
      <c r="N4951">
        <v>0</v>
      </c>
      <c r="O4951">
        <v>1</v>
      </c>
    </row>
    <row r="4952" spans="1:15" x14ac:dyDescent="0.2">
      <c r="A4952" s="6">
        <v>45806</v>
      </c>
      <c r="B4952" t="s">
        <v>15</v>
      </c>
      <c r="C4952" t="s">
        <v>16</v>
      </c>
      <c r="D4952" s="1">
        <v>45855</v>
      </c>
      <c r="E4952" t="s">
        <v>19</v>
      </c>
      <c r="F4952">
        <v>4150</v>
      </c>
      <c r="J4952">
        <v>2.8</v>
      </c>
      <c r="K4952">
        <v>1.7</v>
      </c>
      <c r="L4952">
        <v>0</v>
      </c>
      <c r="M4952" t="s">
        <v>18</v>
      </c>
      <c r="N4952">
        <v>0</v>
      </c>
      <c r="O4952">
        <v>0</v>
      </c>
    </row>
    <row r="4953" spans="1:15" x14ac:dyDescent="0.2">
      <c r="A4953" s="6">
        <v>45806</v>
      </c>
      <c r="B4953" t="s">
        <v>15</v>
      </c>
      <c r="C4953" t="s">
        <v>16</v>
      </c>
      <c r="D4953" s="1">
        <v>45855</v>
      </c>
      <c r="E4953" t="s">
        <v>19</v>
      </c>
      <c r="F4953">
        <v>6100</v>
      </c>
      <c r="J4953">
        <v>930.7</v>
      </c>
      <c r="K4953">
        <v>840.1</v>
      </c>
      <c r="L4953">
        <v>0</v>
      </c>
      <c r="M4953" t="s">
        <v>18</v>
      </c>
      <c r="N4953">
        <v>0</v>
      </c>
      <c r="O4953">
        <v>0</v>
      </c>
    </row>
    <row r="4954" spans="1:15" x14ac:dyDescent="0.2">
      <c r="A4954" s="6">
        <v>45806</v>
      </c>
      <c r="B4954" t="s">
        <v>15</v>
      </c>
      <c r="C4954" t="s">
        <v>16</v>
      </c>
      <c r="D4954" s="1">
        <v>45855</v>
      </c>
      <c r="E4954" t="s">
        <v>19</v>
      </c>
      <c r="F4954">
        <v>5000</v>
      </c>
      <c r="G4954">
        <v>101.5</v>
      </c>
      <c r="H4954">
        <v>180.7</v>
      </c>
      <c r="I4954">
        <v>101.5</v>
      </c>
      <c r="J4954">
        <v>133.6</v>
      </c>
      <c r="K4954">
        <v>102.3</v>
      </c>
      <c r="L4954">
        <v>4</v>
      </c>
      <c r="M4954" t="s">
        <v>78</v>
      </c>
      <c r="N4954">
        <v>20.53</v>
      </c>
      <c r="O4954">
        <v>5</v>
      </c>
    </row>
    <row r="4955" spans="1:15" x14ac:dyDescent="0.2">
      <c r="A4955" s="6">
        <v>45806</v>
      </c>
      <c r="B4955" t="s">
        <v>15</v>
      </c>
      <c r="C4955" t="s">
        <v>16</v>
      </c>
      <c r="D4955" s="1">
        <v>45855</v>
      </c>
      <c r="E4955" t="s">
        <v>17</v>
      </c>
      <c r="F4955">
        <v>6450</v>
      </c>
      <c r="J4955">
        <v>3.5</v>
      </c>
      <c r="K4955">
        <v>6</v>
      </c>
      <c r="L4955">
        <v>0</v>
      </c>
      <c r="M4955" t="s">
        <v>18</v>
      </c>
      <c r="N4955">
        <v>0</v>
      </c>
      <c r="O4955">
        <v>0</v>
      </c>
    </row>
    <row r="4956" spans="1:15" x14ac:dyDescent="0.2">
      <c r="A4956" s="6">
        <v>45806</v>
      </c>
      <c r="B4956" t="s">
        <v>15</v>
      </c>
      <c r="C4956" t="s">
        <v>16</v>
      </c>
      <c r="D4956" s="1">
        <v>45855</v>
      </c>
      <c r="E4956" t="s">
        <v>19</v>
      </c>
      <c r="F4956">
        <v>6600</v>
      </c>
      <c r="J4956">
        <v>1414.7</v>
      </c>
      <c r="K4956">
        <v>1317.7</v>
      </c>
      <c r="L4956">
        <v>0</v>
      </c>
      <c r="M4956" t="s">
        <v>18</v>
      </c>
      <c r="N4956">
        <v>0</v>
      </c>
      <c r="O4956">
        <v>0</v>
      </c>
    </row>
    <row r="4957" spans="1:15" x14ac:dyDescent="0.2">
      <c r="A4957" s="6">
        <v>45806</v>
      </c>
      <c r="B4957" t="s">
        <v>15</v>
      </c>
      <c r="C4957" t="s">
        <v>16</v>
      </c>
      <c r="D4957" s="1">
        <v>45855</v>
      </c>
      <c r="E4957" t="s">
        <v>17</v>
      </c>
      <c r="F4957">
        <v>6400</v>
      </c>
      <c r="J4957">
        <v>4.3</v>
      </c>
      <c r="K4957">
        <v>7.3</v>
      </c>
      <c r="L4957">
        <v>0</v>
      </c>
      <c r="M4957" t="s">
        <v>18</v>
      </c>
      <c r="N4957">
        <v>0</v>
      </c>
      <c r="O4957">
        <v>0</v>
      </c>
    </row>
    <row r="4958" spans="1:15" x14ac:dyDescent="0.2">
      <c r="A4958" s="6">
        <v>45806</v>
      </c>
      <c r="B4958" t="s">
        <v>15</v>
      </c>
      <c r="C4958" t="s">
        <v>16</v>
      </c>
      <c r="D4958" s="1">
        <v>45855</v>
      </c>
      <c r="E4958" t="s">
        <v>17</v>
      </c>
      <c r="F4958">
        <v>4700</v>
      </c>
      <c r="J4958">
        <v>518.70000000000005</v>
      </c>
      <c r="K4958">
        <v>603.5</v>
      </c>
      <c r="L4958">
        <v>0</v>
      </c>
      <c r="M4958" t="s">
        <v>18</v>
      </c>
      <c r="N4958">
        <v>0</v>
      </c>
      <c r="O4958">
        <v>0</v>
      </c>
    </row>
    <row r="4959" spans="1:15" x14ac:dyDescent="0.2">
      <c r="A4959" s="6">
        <v>45806</v>
      </c>
      <c r="B4959" t="s">
        <v>15</v>
      </c>
      <c r="C4959" t="s">
        <v>16</v>
      </c>
      <c r="D4959" s="1">
        <v>45855</v>
      </c>
      <c r="E4959" t="s">
        <v>17</v>
      </c>
      <c r="F4959">
        <v>6150</v>
      </c>
      <c r="J4959">
        <v>11.3</v>
      </c>
      <c r="K4959">
        <v>18</v>
      </c>
      <c r="L4959">
        <v>0</v>
      </c>
      <c r="M4959" t="s">
        <v>18</v>
      </c>
      <c r="N4959">
        <v>0</v>
      </c>
      <c r="O4959">
        <v>0</v>
      </c>
    </row>
    <row r="4960" spans="1:15" x14ac:dyDescent="0.2">
      <c r="A4960" s="6">
        <v>45806</v>
      </c>
      <c r="B4960" t="s">
        <v>15</v>
      </c>
      <c r="C4960" t="s">
        <v>16</v>
      </c>
      <c r="D4960" s="1">
        <v>45855</v>
      </c>
      <c r="E4960" t="s">
        <v>19</v>
      </c>
      <c r="F4960">
        <v>4300</v>
      </c>
      <c r="J4960">
        <v>7</v>
      </c>
      <c r="K4960">
        <v>4.5999999999999996</v>
      </c>
      <c r="L4960">
        <v>0</v>
      </c>
      <c r="M4960" t="s">
        <v>18</v>
      </c>
      <c r="N4960">
        <v>0</v>
      </c>
      <c r="O4960">
        <v>0</v>
      </c>
    </row>
    <row r="4961" spans="1:15" x14ac:dyDescent="0.2">
      <c r="A4961" s="6">
        <v>45806</v>
      </c>
      <c r="B4961" t="s">
        <v>15</v>
      </c>
      <c r="C4961" t="s">
        <v>16</v>
      </c>
      <c r="D4961" s="1">
        <v>45855</v>
      </c>
      <c r="E4961" t="s">
        <v>17</v>
      </c>
      <c r="F4961">
        <v>5400</v>
      </c>
      <c r="G4961">
        <v>200</v>
      </c>
      <c r="H4961">
        <v>200</v>
      </c>
      <c r="I4961">
        <v>120.5</v>
      </c>
      <c r="J4961">
        <v>173.5</v>
      </c>
      <c r="K4961">
        <v>162.30000000000001</v>
      </c>
      <c r="L4961">
        <v>3</v>
      </c>
      <c r="M4961" t="s">
        <v>34</v>
      </c>
      <c r="N4961">
        <v>16.72</v>
      </c>
      <c r="O4961">
        <v>1</v>
      </c>
    </row>
    <row r="4962" spans="1:15" x14ac:dyDescent="0.2">
      <c r="A4962" s="6">
        <v>45806</v>
      </c>
      <c r="B4962" t="s">
        <v>15</v>
      </c>
      <c r="C4962" t="s">
        <v>16</v>
      </c>
      <c r="D4962" s="1">
        <v>45855</v>
      </c>
      <c r="E4962" t="s">
        <v>17</v>
      </c>
      <c r="F4962">
        <v>4300</v>
      </c>
      <c r="J4962">
        <v>874.5</v>
      </c>
      <c r="K4962">
        <v>970</v>
      </c>
      <c r="L4962">
        <v>0</v>
      </c>
      <c r="M4962" t="s">
        <v>18</v>
      </c>
      <c r="N4962">
        <v>0</v>
      </c>
      <c r="O4962">
        <v>0</v>
      </c>
    </row>
    <row r="4963" spans="1:15" x14ac:dyDescent="0.2">
      <c r="A4963" s="6">
        <v>45806</v>
      </c>
      <c r="B4963" t="s">
        <v>15</v>
      </c>
      <c r="C4963" t="s">
        <v>16</v>
      </c>
      <c r="D4963" s="1">
        <v>45855</v>
      </c>
      <c r="E4963" t="s">
        <v>19</v>
      </c>
      <c r="F4963">
        <v>6450</v>
      </c>
      <c r="J4963">
        <v>1267.5999999999999</v>
      </c>
      <c r="K4963">
        <v>1171.7</v>
      </c>
      <c r="L4963">
        <v>0</v>
      </c>
      <c r="M4963" t="s">
        <v>18</v>
      </c>
      <c r="N4963">
        <v>0</v>
      </c>
      <c r="O4963">
        <v>0</v>
      </c>
    </row>
    <row r="4964" spans="1:15" x14ac:dyDescent="0.2">
      <c r="A4964" s="6">
        <v>45806</v>
      </c>
      <c r="B4964" t="s">
        <v>15</v>
      </c>
      <c r="C4964" t="s">
        <v>16</v>
      </c>
      <c r="D4964" s="1">
        <v>45855</v>
      </c>
      <c r="E4964" t="s">
        <v>17</v>
      </c>
      <c r="F4964">
        <v>3900</v>
      </c>
      <c r="J4964">
        <v>1264.5</v>
      </c>
      <c r="K4964">
        <v>1362.2</v>
      </c>
      <c r="L4964">
        <v>0</v>
      </c>
      <c r="M4964" t="s">
        <v>18</v>
      </c>
      <c r="N4964">
        <v>0</v>
      </c>
      <c r="O4964">
        <v>0</v>
      </c>
    </row>
    <row r="4965" spans="1:15" x14ac:dyDescent="0.2">
      <c r="A4965" s="6">
        <v>45806</v>
      </c>
      <c r="B4965" t="s">
        <v>15</v>
      </c>
      <c r="C4965" t="s">
        <v>16</v>
      </c>
      <c r="D4965" s="1">
        <v>45855</v>
      </c>
      <c r="E4965" t="s">
        <v>19</v>
      </c>
      <c r="F4965">
        <v>4750</v>
      </c>
      <c r="J4965">
        <v>57.9</v>
      </c>
      <c r="K4965">
        <v>42.3</v>
      </c>
      <c r="L4965">
        <v>0</v>
      </c>
      <c r="M4965" t="s">
        <v>18</v>
      </c>
      <c r="N4965">
        <v>0</v>
      </c>
      <c r="O4965">
        <v>0</v>
      </c>
    </row>
    <row r="4966" spans="1:15" x14ac:dyDescent="0.2">
      <c r="A4966" s="6">
        <v>45806</v>
      </c>
      <c r="B4966" t="s">
        <v>15</v>
      </c>
      <c r="C4966" t="s">
        <v>16</v>
      </c>
      <c r="D4966" s="1">
        <v>45855</v>
      </c>
      <c r="E4966" t="s">
        <v>19</v>
      </c>
      <c r="F4966">
        <v>4350</v>
      </c>
      <c r="J4966">
        <v>9.3000000000000007</v>
      </c>
      <c r="K4966">
        <v>6.1</v>
      </c>
      <c r="L4966">
        <v>0</v>
      </c>
      <c r="M4966" t="s">
        <v>18</v>
      </c>
      <c r="N4966">
        <v>0</v>
      </c>
      <c r="O4966">
        <v>0</v>
      </c>
    </row>
    <row r="4967" spans="1:15" x14ac:dyDescent="0.2">
      <c r="A4967" s="6">
        <v>45806</v>
      </c>
      <c r="B4967" t="s">
        <v>15</v>
      </c>
      <c r="C4967" t="s">
        <v>16</v>
      </c>
      <c r="D4967" s="1">
        <v>45855</v>
      </c>
      <c r="E4967" t="s">
        <v>17</v>
      </c>
      <c r="F4967">
        <v>5850</v>
      </c>
      <c r="J4967">
        <v>32.5</v>
      </c>
      <c r="K4967">
        <v>47.8</v>
      </c>
      <c r="L4967">
        <v>0</v>
      </c>
      <c r="M4967" t="s">
        <v>18</v>
      </c>
      <c r="N4967">
        <v>0</v>
      </c>
      <c r="O4967">
        <v>0</v>
      </c>
    </row>
    <row r="4968" spans="1:15" x14ac:dyDescent="0.2">
      <c r="A4968" s="6">
        <v>45806</v>
      </c>
      <c r="B4968" t="s">
        <v>15</v>
      </c>
      <c r="C4968" t="s">
        <v>16</v>
      </c>
      <c r="D4968" s="1">
        <v>45855</v>
      </c>
      <c r="E4968" t="s">
        <v>19</v>
      </c>
      <c r="F4968">
        <v>6500</v>
      </c>
      <c r="J4968">
        <v>1316.5</v>
      </c>
      <c r="K4968">
        <v>1220.2</v>
      </c>
      <c r="L4968">
        <v>0</v>
      </c>
      <c r="M4968" t="s">
        <v>18</v>
      </c>
      <c r="N4968">
        <v>0</v>
      </c>
      <c r="O4968">
        <v>0</v>
      </c>
    </row>
    <row r="4969" spans="1:15" x14ac:dyDescent="0.2">
      <c r="A4969" s="6">
        <v>45806</v>
      </c>
      <c r="B4969" t="s">
        <v>15</v>
      </c>
      <c r="C4969" t="s">
        <v>16</v>
      </c>
      <c r="D4969" s="1">
        <v>45855</v>
      </c>
      <c r="E4969" t="s">
        <v>19</v>
      </c>
      <c r="F4969">
        <v>3850</v>
      </c>
      <c r="J4969">
        <v>0.3</v>
      </c>
      <c r="K4969">
        <v>0.2</v>
      </c>
      <c r="L4969">
        <v>0</v>
      </c>
      <c r="M4969" t="s">
        <v>18</v>
      </c>
      <c r="N4969">
        <v>0</v>
      </c>
      <c r="O4969">
        <v>0</v>
      </c>
    </row>
    <row r="4970" spans="1:15" x14ac:dyDescent="0.2">
      <c r="A4970" s="6">
        <v>45806</v>
      </c>
      <c r="B4970" t="s">
        <v>15</v>
      </c>
      <c r="C4970" t="s">
        <v>16</v>
      </c>
      <c r="D4970" s="1">
        <v>45855</v>
      </c>
      <c r="E4970" t="s">
        <v>19</v>
      </c>
      <c r="F4970">
        <v>5850</v>
      </c>
      <c r="J4970">
        <v>701.7</v>
      </c>
      <c r="K4970">
        <v>618.79999999999995</v>
      </c>
      <c r="L4970">
        <v>0</v>
      </c>
      <c r="M4970" t="s">
        <v>18</v>
      </c>
      <c r="N4970">
        <v>0</v>
      </c>
      <c r="O4970">
        <v>0</v>
      </c>
    </row>
    <row r="4971" spans="1:15" x14ac:dyDescent="0.2">
      <c r="A4971" s="6">
        <v>45806</v>
      </c>
      <c r="B4971" t="s">
        <v>15</v>
      </c>
      <c r="C4971" t="s">
        <v>16</v>
      </c>
      <c r="D4971" s="1">
        <v>45855</v>
      </c>
      <c r="E4971" t="s">
        <v>19</v>
      </c>
      <c r="F4971">
        <v>6300</v>
      </c>
      <c r="J4971">
        <v>1121.8</v>
      </c>
      <c r="K4971">
        <v>1027.5999999999999</v>
      </c>
      <c r="L4971">
        <v>0</v>
      </c>
      <c r="M4971" t="s">
        <v>18</v>
      </c>
      <c r="N4971">
        <v>0</v>
      </c>
      <c r="O4971">
        <v>0</v>
      </c>
    </row>
    <row r="4972" spans="1:15" x14ac:dyDescent="0.2">
      <c r="A4972" s="6">
        <v>45806</v>
      </c>
      <c r="B4972" t="s">
        <v>15</v>
      </c>
      <c r="C4972" t="s">
        <v>16</v>
      </c>
      <c r="D4972" s="1">
        <v>45855</v>
      </c>
      <c r="E4972" t="s">
        <v>17</v>
      </c>
      <c r="F4972">
        <v>6600</v>
      </c>
      <c r="J4972">
        <v>1.9</v>
      </c>
      <c r="K4972">
        <v>3.3</v>
      </c>
      <c r="L4972">
        <v>0</v>
      </c>
      <c r="M4972" t="s">
        <v>18</v>
      </c>
      <c r="N4972">
        <v>0</v>
      </c>
      <c r="O4972">
        <v>0</v>
      </c>
    </row>
    <row r="4973" spans="1:15" x14ac:dyDescent="0.2">
      <c r="A4973" s="6">
        <v>45806</v>
      </c>
      <c r="B4973" t="s">
        <v>15</v>
      </c>
      <c r="C4973" t="s">
        <v>16</v>
      </c>
      <c r="D4973" s="1">
        <v>45855</v>
      </c>
      <c r="E4973" t="s">
        <v>19</v>
      </c>
      <c r="F4973">
        <v>6000</v>
      </c>
      <c r="J4973">
        <v>837.4</v>
      </c>
      <c r="K4973">
        <v>749.4</v>
      </c>
      <c r="L4973">
        <v>0</v>
      </c>
      <c r="M4973" t="s">
        <v>18</v>
      </c>
      <c r="N4973">
        <v>0</v>
      </c>
      <c r="O4973">
        <v>0</v>
      </c>
    </row>
    <row r="4974" spans="1:15" x14ac:dyDescent="0.2">
      <c r="A4974" s="6">
        <v>45806</v>
      </c>
      <c r="B4974" t="s">
        <v>15</v>
      </c>
      <c r="C4974" t="s">
        <v>16</v>
      </c>
      <c r="D4974" s="1">
        <v>45855</v>
      </c>
      <c r="E4974" t="s">
        <v>19</v>
      </c>
      <c r="F4974">
        <v>5550</v>
      </c>
      <c r="J4974">
        <v>453.2</v>
      </c>
      <c r="K4974">
        <v>385.2</v>
      </c>
      <c r="L4974">
        <v>0</v>
      </c>
      <c r="M4974" t="s">
        <v>18</v>
      </c>
      <c r="N4974">
        <v>0</v>
      </c>
      <c r="O4974">
        <v>0</v>
      </c>
    </row>
    <row r="4975" spans="1:15" x14ac:dyDescent="0.2">
      <c r="A4975" s="6">
        <v>45806</v>
      </c>
      <c r="B4975" t="s">
        <v>15</v>
      </c>
      <c r="C4975" t="s">
        <v>16</v>
      </c>
      <c r="D4975" s="1">
        <v>45855</v>
      </c>
      <c r="E4975" t="s">
        <v>17</v>
      </c>
      <c r="F4975">
        <v>5550</v>
      </c>
      <c r="J4975">
        <v>81.400000000000006</v>
      </c>
      <c r="K4975">
        <v>111.6</v>
      </c>
      <c r="L4975">
        <v>0</v>
      </c>
      <c r="M4975" t="s">
        <v>18</v>
      </c>
      <c r="N4975">
        <v>0</v>
      </c>
      <c r="O4975">
        <v>0</v>
      </c>
    </row>
    <row r="4976" spans="1:15" x14ac:dyDescent="0.2">
      <c r="A4976" s="6">
        <v>45805</v>
      </c>
      <c r="B4976" t="s">
        <v>15</v>
      </c>
      <c r="C4976" t="s">
        <v>16</v>
      </c>
      <c r="D4976" s="1">
        <v>45855</v>
      </c>
      <c r="E4976" t="s">
        <v>17</v>
      </c>
      <c r="F4976">
        <v>4350</v>
      </c>
      <c r="J4976">
        <v>922</v>
      </c>
      <c r="K4976">
        <v>819.5</v>
      </c>
      <c r="L4976">
        <v>0</v>
      </c>
      <c r="M4976" t="s">
        <v>18</v>
      </c>
      <c r="N4976">
        <v>0</v>
      </c>
      <c r="O4976">
        <v>0</v>
      </c>
    </row>
    <row r="4977" spans="1:15" x14ac:dyDescent="0.2">
      <c r="A4977" s="6">
        <v>45805</v>
      </c>
      <c r="B4977" t="s">
        <v>15</v>
      </c>
      <c r="C4977" t="s">
        <v>16</v>
      </c>
      <c r="D4977" s="1">
        <v>45855</v>
      </c>
      <c r="E4977" t="s">
        <v>19</v>
      </c>
      <c r="F4977">
        <v>5200</v>
      </c>
      <c r="J4977">
        <v>180.3</v>
      </c>
      <c r="K4977">
        <v>229.2</v>
      </c>
      <c r="L4977">
        <v>0</v>
      </c>
      <c r="M4977" t="s">
        <v>18</v>
      </c>
      <c r="N4977">
        <v>0</v>
      </c>
      <c r="O4977">
        <v>3</v>
      </c>
    </row>
    <row r="4978" spans="1:15" x14ac:dyDescent="0.2">
      <c r="A4978" s="6">
        <v>45805</v>
      </c>
      <c r="B4978" t="s">
        <v>15</v>
      </c>
      <c r="C4978" t="s">
        <v>16</v>
      </c>
      <c r="D4978" s="1">
        <v>45855</v>
      </c>
      <c r="E4978" t="s">
        <v>17</v>
      </c>
      <c r="F4978">
        <v>3700</v>
      </c>
      <c r="J4978">
        <v>1560.3</v>
      </c>
      <c r="K4978">
        <v>1454</v>
      </c>
      <c r="L4978">
        <v>0</v>
      </c>
      <c r="M4978" t="s">
        <v>18</v>
      </c>
      <c r="N4978">
        <v>0</v>
      </c>
      <c r="O4978">
        <v>0</v>
      </c>
    </row>
    <row r="4979" spans="1:15" x14ac:dyDescent="0.2">
      <c r="A4979" s="6">
        <v>45805</v>
      </c>
      <c r="B4979" t="s">
        <v>15</v>
      </c>
      <c r="C4979" t="s">
        <v>16</v>
      </c>
      <c r="D4979" s="1">
        <v>45855</v>
      </c>
      <c r="E4979" t="s">
        <v>19</v>
      </c>
      <c r="F4979">
        <v>5250</v>
      </c>
      <c r="J4979">
        <v>204.3</v>
      </c>
      <c r="K4979">
        <v>257.2</v>
      </c>
      <c r="L4979">
        <v>0</v>
      </c>
      <c r="M4979" t="s">
        <v>18</v>
      </c>
      <c r="N4979">
        <v>0</v>
      </c>
      <c r="O4979">
        <v>0</v>
      </c>
    </row>
    <row r="4980" spans="1:15" x14ac:dyDescent="0.2">
      <c r="A4980" s="6">
        <v>45805</v>
      </c>
      <c r="B4980" t="s">
        <v>15</v>
      </c>
      <c r="C4980" t="s">
        <v>16</v>
      </c>
      <c r="D4980" s="1">
        <v>45855</v>
      </c>
      <c r="E4980" t="s">
        <v>17</v>
      </c>
      <c r="F4980">
        <v>4850</v>
      </c>
      <c r="J4980">
        <v>482.1</v>
      </c>
      <c r="K4980">
        <v>399.5</v>
      </c>
      <c r="L4980">
        <v>0</v>
      </c>
      <c r="M4980" t="s">
        <v>18</v>
      </c>
      <c r="N4980">
        <v>0</v>
      </c>
      <c r="O4980">
        <v>0</v>
      </c>
    </row>
    <row r="4981" spans="1:15" x14ac:dyDescent="0.2">
      <c r="A4981" s="6">
        <v>45805</v>
      </c>
      <c r="B4981" t="s">
        <v>15</v>
      </c>
      <c r="C4981" t="s">
        <v>16</v>
      </c>
      <c r="D4981" s="1">
        <v>45855</v>
      </c>
      <c r="E4981" t="s">
        <v>17</v>
      </c>
      <c r="F4981">
        <v>5000</v>
      </c>
      <c r="J4981">
        <v>373.9</v>
      </c>
      <c r="K4981">
        <v>301.5</v>
      </c>
      <c r="L4981">
        <v>0</v>
      </c>
      <c r="M4981" t="s">
        <v>18</v>
      </c>
      <c r="N4981">
        <v>0</v>
      </c>
      <c r="O4981">
        <v>0</v>
      </c>
    </row>
    <row r="4982" spans="1:15" x14ac:dyDescent="0.2">
      <c r="A4982" s="6">
        <v>45805</v>
      </c>
      <c r="B4982" t="s">
        <v>15</v>
      </c>
      <c r="C4982" t="s">
        <v>16</v>
      </c>
      <c r="D4982" s="1">
        <v>45855</v>
      </c>
      <c r="E4982" t="s">
        <v>17</v>
      </c>
      <c r="F4982">
        <v>4750</v>
      </c>
      <c r="J4982">
        <v>561.70000000000005</v>
      </c>
      <c r="K4982">
        <v>473.2</v>
      </c>
      <c r="L4982">
        <v>0</v>
      </c>
      <c r="M4982" t="s">
        <v>18</v>
      </c>
      <c r="N4982">
        <v>0</v>
      </c>
      <c r="O4982">
        <v>0</v>
      </c>
    </row>
    <row r="4983" spans="1:15" x14ac:dyDescent="0.2">
      <c r="A4983" s="6">
        <v>45805</v>
      </c>
      <c r="B4983" t="s">
        <v>15</v>
      </c>
      <c r="C4983" t="s">
        <v>16</v>
      </c>
      <c r="D4983" s="1">
        <v>45855</v>
      </c>
      <c r="E4983" t="s">
        <v>17</v>
      </c>
      <c r="F4983">
        <v>4400</v>
      </c>
      <c r="J4983">
        <v>874.5</v>
      </c>
      <c r="K4983">
        <v>773</v>
      </c>
      <c r="L4983">
        <v>0</v>
      </c>
      <c r="M4983" t="s">
        <v>18</v>
      </c>
      <c r="N4983">
        <v>0</v>
      </c>
      <c r="O4983">
        <v>0</v>
      </c>
    </row>
    <row r="4984" spans="1:15" x14ac:dyDescent="0.2">
      <c r="A4984" s="6">
        <v>45805</v>
      </c>
      <c r="B4984" t="s">
        <v>15</v>
      </c>
      <c r="C4984" t="s">
        <v>16</v>
      </c>
      <c r="D4984" s="1">
        <v>45855</v>
      </c>
      <c r="E4984" t="s">
        <v>17</v>
      </c>
      <c r="F4984">
        <v>4100</v>
      </c>
      <c r="J4984">
        <v>1164.9000000000001</v>
      </c>
      <c r="K4984">
        <v>1059.5999999999999</v>
      </c>
      <c r="L4984">
        <v>0</v>
      </c>
      <c r="M4984" t="s">
        <v>18</v>
      </c>
      <c r="N4984">
        <v>0</v>
      </c>
      <c r="O4984">
        <v>0</v>
      </c>
    </row>
    <row r="4985" spans="1:15" x14ac:dyDescent="0.2">
      <c r="A4985" s="6">
        <v>45805</v>
      </c>
      <c r="B4985" t="s">
        <v>15</v>
      </c>
      <c r="C4985" t="s">
        <v>16</v>
      </c>
      <c r="D4985" s="1">
        <v>45855</v>
      </c>
      <c r="E4985" t="s">
        <v>17</v>
      </c>
      <c r="F4985">
        <v>4450</v>
      </c>
      <c r="J4985">
        <v>827.4</v>
      </c>
      <c r="K4985">
        <v>727.1</v>
      </c>
      <c r="L4985">
        <v>0</v>
      </c>
      <c r="M4985" t="s">
        <v>18</v>
      </c>
      <c r="N4985">
        <v>0</v>
      </c>
      <c r="O4985">
        <v>0</v>
      </c>
    </row>
    <row r="4986" spans="1:15" x14ac:dyDescent="0.2">
      <c r="A4986" s="6">
        <v>45805</v>
      </c>
      <c r="B4986" t="s">
        <v>15</v>
      </c>
      <c r="C4986" t="s">
        <v>16</v>
      </c>
      <c r="D4986" s="1">
        <v>45855</v>
      </c>
      <c r="E4986" t="s">
        <v>17</v>
      </c>
      <c r="F4986">
        <v>5300</v>
      </c>
      <c r="J4986">
        <v>204.4</v>
      </c>
      <c r="K4986">
        <v>245</v>
      </c>
      <c r="L4986">
        <v>0</v>
      </c>
      <c r="M4986" t="s">
        <v>18</v>
      </c>
      <c r="N4986">
        <v>0</v>
      </c>
      <c r="O4986">
        <v>1</v>
      </c>
    </row>
    <row r="4987" spans="1:15" x14ac:dyDescent="0.2">
      <c r="A4987" s="6">
        <v>45805</v>
      </c>
      <c r="B4987" t="s">
        <v>15</v>
      </c>
      <c r="C4987" t="s">
        <v>16</v>
      </c>
      <c r="D4987" s="1">
        <v>45855</v>
      </c>
      <c r="E4987" t="s">
        <v>17</v>
      </c>
      <c r="F4987">
        <v>4950</v>
      </c>
      <c r="J4987">
        <v>408.3</v>
      </c>
      <c r="K4987">
        <v>332.4</v>
      </c>
      <c r="L4987">
        <v>0</v>
      </c>
      <c r="M4987" t="s">
        <v>18</v>
      </c>
      <c r="N4987">
        <v>0</v>
      </c>
      <c r="O4987">
        <v>0</v>
      </c>
    </row>
    <row r="4988" spans="1:15" x14ac:dyDescent="0.2">
      <c r="A4988" s="6">
        <v>45805</v>
      </c>
      <c r="B4988" t="s">
        <v>15</v>
      </c>
      <c r="C4988" t="s">
        <v>16</v>
      </c>
      <c r="D4988" s="1">
        <v>45855</v>
      </c>
      <c r="E4988" t="s">
        <v>17</v>
      </c>
      <c r="F4988">
        <v>6200</v>
      </c>
      <c r="J4988">
        <v>15.1</v>
      </c>
      <c r="K4988">
        <v>9.1999999999999993</v>
      </c>
      <c r="L4988">
        <v>0</v>
      </c>
      <c r="M4988" t="s">
        <v>18</v>
      </c>
      <c r="N4988">
        <v>0</v>
      </c>
      <c r="O4988">
        <v>0</v>
      </c>
    </row>
    <row r="4989" spans="1:15" x14ac:dyDescent="0.2">
      <c r="A4989" s="6">
        <v>45805</v>
      </c>
      <c r="B4989" t="s">
        <v>15</v>
      </c>
      <c r="C4989" t="s">
        <v>16</v>
      </c>
      <c r="D4989" s="1">
        <v>45855</v>
      </c>
      <c r="E4989" t="s">
        <v>17</v>
      </c>
      <c r="F4989">
        <v>5700</v>
      </c>
      <c r="J4989">
        <v>74.3</v>
      </c>
      <c r="K4989">
        <v>51.4</v>
      </c>
      <c r="L4989">
        <v>0</v>
      </c>
      <c r="M4989" t="s">
        <v>18</v>
      </c>
      <c r="N4989">
        <v>0</v>
      </c>
      <c r="O4989">
        <v>0</v>
      </c>
    </row>
    <row r="4990" spans="1:15" x14ac:dyDescent="0.2">
      <c r="A4990" s="6">
        <v>45805</v>
      </c>
      <c r="B4990" t="s">
        <v>15</v>
      </c>
      <c r="C4990" t="s">
        <v>16</v>
      </c>
      <c r="D4990" s="1">
        <v>45855</v>
      </c>
      <c r="E4990" t="s">
        <v>17</v>
      </c>
      <c r="F4990">
        <v>4900</v>
      </c>
      <c r="J4990">
        <v>444.4</v>
      </c>
      <c r="K4990">
        <v>365</v>
      </c>
      <c r="L4990">
        <v>0</v>
      </c>
      <c r="M4990" t="s">
        <v>18</v>
      </c>
      <c r="N4990">
        <v>0</v>
      </c>
      <c r="O4990">
        <v>0</v>
      </c>
    </row>
    <row r="4991" spans="1:15" x14ac:dyDescent="0.2">
      <c r="A4991" s="6">
        <v>45805</v>
      </c>
      <c r="B4991" t="s">
        <v>15</v>
      </c>
      <c r="C4991" t="s">
        <v>16</v>
      </c>
      <c r="D4991" s="1">
        <v>45855</v>
      </c>
      <c r="E4991" t="s">
        <v>19</v>
      </c>
      <c r="F4991">
        <v>6550</v>
      </c>
      <c r="J4991">
        <v>1268.9000000000001</v>
      </c>
      <c r="K4991">
        <v>1372.9</v>
      </c>
      <c r="L4991">
        <v>0</v>
      </c>
      <c r="M4991" t="s">
        <v>18</v>
      </c>
      <c r="N4991">
        <v>0</v>
      </c>
      <c r="O4991">
        <v>0</v>
      </c>
    </row>
    <row r="4992" spans="1:15" x14ac:dyDescent="0.2">
      <c r="A4992" s="6">
        <v>45805</v>
      </c>
      <c r="B4992" t="s">
        <v>15</v>
      </c>
      <c r="C4992" t="s">
        <v>16</v>
      </c>
      <c r="D4992" s="1">
        <v>45855</v>
      </c>
      <c r="E4992" t="s">
        <v>17</v>
      </c>
      <c r="F4992">
        <v>4800</v>
      </c>
      <c r="J4992">
        <v>521.20000000000005</v>
      </c>
      <c r="K4992">
        <v>435.6</v>
      </c>
      <c r="L4992">
        <v>0</v>
      </c>
      <c r="M4992" t="s">
        <v>18</v>
      </c>
      <c r="N4992">
        <v>0</v>
      </c>
      <c r="O4992">
        <v>0</v>
      </c>
    </row>
    <row r="4993" spans="1:15" x14ac:dyDescent="0.2">
      <c r="A4993" s="6">
        <v>45805</v>
      </c>
      <c r="B4993" t="s">
        <v>15</v>
      </c>
      <c r="C4993" t="s">
        <v>16</v>
      </c>
      <c r="D4993" s="1">
        <v>45855</v>
      </c>
      <c r="E4993" t="s">
        <v>17</v>
      </c>
      <c r="F4993">
        <v>5950</v>
      </c>
      <c r="J4993">
        <v>35</v>
      </c>
      <c r="K4993">
        <v>22.8</v>
      </c>
      <c r="L4993">
        <v>0</v>
      </c>
      <c r="M4993" t="s">
        <v>18</v>
      </c>
      <c r="N4993">
        <v>0</v>
      </c>
      <c r="O4993">
        <v>0</v>
      </c>
    </row>
    <row r="4994" spans="1:15" x14ac:dyDescent="0.2">
      <c r="A4994" s="6">
        <v>45805</v>
      </c>
      <c r="B4994" t="s">
        <v>15</v>
      </c>
      <c r="C4994" t="s">
        <v>16</v>
      </c>
      <c r="D4994" s="1">
        <v>45855</v>
      </c>
      <c r="E4994" t="s">
        <v>19</v>
      </c>
      <c r="F4994">
        <v>3900</v>
      </c>
      <c r="J4994">
        <v>0.2</v>
      </c>
      <c r="K4994">
        <v>0.5</v>
      </c>
      <c r="L4994">
        <v>0</v>
      </c>
      <c r="M4994" t="s">
        <v>18</v>
      </c>
      <c r="N4994">
        <v>0</v>
      </c>
      <c r="O4994">
        <v>0</v>
      </c>
    </row>
    <row r="4995" spans="1:15" x14ac:dyDescent="0.2">
      <c r="A4995" s="6">
        <v>45805</v>
      </c>
      <c r="B4995" t="s">
        <v>15</v>
      </c>
      <c r="C4995" t="s">
        <v>16</v>
      </c>
      <c r="D4995" s="1">
        <v>45855</v>
      </c>
      <c r="E4995" t="s">
        <v>19</v>
      </c>
      <c r="F4995">
        <v>3600</v>
      </c>
      <c r="J4995">
        <v>0.1</v>
      </c>
      <c r="K4995">
        <v>0.1</v>
      </c>
      <c r="L4995">
        <v>0</v>
      </c>
      <c r="M4995" t="s">
        <v>18</v>
      </c>
      <c r="N4995">
        <v>0</v>
      </c>
      <c r="O4995">
        <v>0</v>
      </c>
    </row>
    <row r="4996" spans="1:15" x14ac:dyDescent="0.2">
      <c r="A4996" s="6">
        <v>45805</v>
      </c>
      <c r="B4996" t="s">
        <v>15</v>
      </c>
      <c r="C4996" t="s">
        <v>16</v>
      </c>
      <c r="D4996" s="1">
        <v>45855</v>
      </c>
      <c r="E4996" t="s">
        <v>19</v>
      </c>
      <c r="F4996">
        <v>4200</v>
      </c>
      <c r="J4996">
        <v>2.4</v>
      </c>
      <c r="K4996">
        <v>4.0999999999999996</v>
      </c>
      <c r="L4996">
        <v>0</v>
      </c>
      <c r="M4996" t="s">
        <v>18</v>
      </c>
      <c r="N4996">
        <v>0</v>
      </c>
      <c r="O4996">
        <v>0</v>
      </c>
    </row>
    <row r="4997" spans="1:15" x14ac:dyDescent="0.2">
      <c r="A4997" s="6">
        <v>45805</v>
      </c>
      <c r="B4997" t="s">
        <v>15</v>
      </c>
      <c r="C4997" t="s">
        <v>16</v>
      </c>
      <c r="D4997" s="1">
        <v>45855</v>
      </c>
      <c r="E4997" t="s">
        <v>19</v>
      </c>
      <c r="F4997">
        <v>6150</v>
      </c>
      <c r="J4997">
        <v>886.3</v>
      </c>
      <c r="K4997">
        <v>985.4</v>
      </c>
      <c r="L4997">
        <v>0</v>
      </c>
      <c r="M4997" t="s">
        <v>18</v>
      </c>
      <c r="N4997">
        <v>0</v>
      </c>
      <c r="O4997">
        <v>0</v>
      </c>
    </row>
    <row r="4998" spans="1:15" x14ac:dyDescent="0.2">
      <c r="A4998" s="6">
        <v>45805</v>
      </c>
      <c r="B4998" t="s">
        <v>15</v>
      </c>
      <c r="C4998" t="s">
        <v>16</v>
      </c>
      <c r="D4998" s="1">
        <v>45855</v>
      </c>
      <c r="E4998" t="s">
        <v>19</v>
      </c>
      <c r="F4998">
        <v>4900</v>
      </c>
      <c r="J4998">
        <v>73.7</v>
      </c>
      <c r="K4998">
        <v>100.4</v>
      </c>
      <c r="L4998">
        <v>0</v>
      </c>
      <c r="M4998" t="s">
        <v>18</v>
      </c>
      <c r="N4998">
        <v>0</v>
      </c>
      <c r="O4998">
        <v>0</v>
      </c>
    </row>
    <row r="4999" spans="1:15" x14ac:dyDescent="0.2">
      <c r="A4999" s="6">
        <v>45805</v>
      </c>
      <c r="B4999" t="s">
        <v>15</v>
      </c>
      <c r="C4999" t="s">
        <v>16</v>
      </c>
      <c r="D4999" s="1">
        <v>45855</v>
      </c>
      <c r="E4999" t="s">
        <v>17</v>
      </c>
      <c r="F4999">
        <v>5100</v>
      </c>
      <c r="J4999">
        <v>310.2</v>
      </c>
      <c r="K4999">
        <v>245.3</v>
      </c>
      <c r="L4999">
        <v>0</v>
      </c>
      <c r="M4999" t="s">
        <v>18</v>
      </c>
      <c r="N4999">
        <v>0</v>
      </c>
      <c r="O4999">
        <v>0</v>
      </c>
    </row>
    <row r="5000" spans="1:15" x14ac:dyDescent="0.2">
      <c r="A5000" s="6">
        <v>45805</v>
      </c>
      <c r="B5000" t="s">
        <v>15</v>
      </c>
      <c r="C5000" t="s">
        <v>16</v>
      </c>
      <c r="D5000" s="1">
        <v>45855</v>
      </c>
      <c r="E5000" t="s">
        <v>17</v>
      </c>
      <c r="F5000">
        <v>5250</v>
      </c>
      <c r="J5000">
        <v>228.1</v>
      </c>
      <c r="K5000">
        <v>266.89999999999998</v>
      </c>
      <c r="L5000">
        <v>0</v>
      </c>
      <c r="M5000" t="s">
        <v>18</v>
      </c>
      <c r="N5000">
        <v>0</v>
      </c>
      <c r="O5000">
        <v>0</v>
      </c>
    </row>
    <row r="5001" spans="1:15" x14ac:dyDescent="0.2">
      <c r="A5001" s="6">
        <v>45805</v>
      </c>
      <c r="B5001" t="s">
        <v>15</v>
      </c>
      <c r="C5001" t="s">
        <v>16</v>
      </c>
      <c r="D5001" s="1">
        <v>45855</v>
      </c>
      <c r="E5001" t="s">
        <v>19</v>
      </c>
      <c r="F5001">
        <v>5100</v>
      </c>
      <c r="J5001">
        <v>137.69999999999999</v>
      </c>
      <c r="K5001">
        <v>178.9</v>
      </c>
      <c r="L5001">
        <v>0</v>
      </c>
      <c r="M5001" t="s">
        <v>18</v>
      </c>
      <c r="N5001">
        <v>0</v>
      </c>
      <c r="O5001">
        <v>0</v>
      </c>
    </row>
    <row r="5002" spans="1:15" x14ac:dyDescent="0.2">
      <c r="A5002" s="6">
        <v>45805</v>
      </c>
      <c r="B5002" t="s">
        <v>15</v>
      </c>
      <c r="C5002" t="s">
        <v>16</v>
      </c>
      <c r="D5002" s="1">
        <v>45855</v>
      </c>
      <c r="E5002" t="s">
        <v>19</v>
      </c>
      <c r="F5002">
        <v>6050</v>
      </c>
      <c r="J5002">
        <v>794.5</v>
      </c>
      <c r="K5002">
        <v>891.2</v>
      </c>
      <c r="L5002">
        <v>0</v>
      </c>
      <c r="M5002" t="s">
        <v>18</v>
      </c>
      <c r="N5002">
        <v>0</v>
      </c>
      <c r="O5002">
        <v>0</v>
      </c>
    </row>
    <row r="5003" spans="1:15" x14ac:dyDescent="0.2">
      <c r="A5003" s="6">
        <v>45805</v>
      </c>
      <c r="B5003" t="s">
        <v>15</v>
      </c>
      <c r="C5003" t="s">
        <v>16</v>
      </c>
      <c r="D5003" s="1">
        <v>45855</v>
      </c>
      <c r="E5003" t="s">
        <v>17</v>
      </c>
      <c r="F5003">
        <v>4200</v>
      </c>
      <c r="J5003">
        <v>1067</v>
      </c>
      <c r="K5003">
        <v>962.5</v>
      </c>
      <c r="L5003">
        <v>0</v>
      </c>
      <c r="M5003" t="s">
        <v>18</v>
      </c>
      <c r="N5003">
        <v>0</v>
      </c>
      <c r="O5003">
        <v>0</v>
      </c>
    </row>
    <row r="5004" spans="1:15" x14ac:dyDescent="0.2">
      <c r="A5004" s="6">
        <v>45805</v>
      </c>
      <c r="B5004" t="s">
        <v>15</v>
      </c>
      <c r="C5004" t="s">
        <v>16</v>
      </c>
      <c r="D5004" s="1">
        <v>45855</v>
      </c>
      <c r="E5004" t="s">
        <v>19</v>
      </c>
      <c r="F5004">
        <v>6650</v>
      </c>
      <c r="J5004">
        <v>1366.7</v>
      </c>
      <c r="K5004">
        <v>1471.3</v>
      </c>
      <c r="L5004">
        <v>0</v>
      </c>
      <c r="M5004" t="s">
        <v>18</v>
      </c>
      <c r="N5004">
        <v>0</v>
      </c>
      <c r="O5004">
        <v>0</v>
      </c>
    </row>
    <row r="5005" spans="1:15" x14ac:dyDescent="0.2">
      <c r="A5005" s="6">
        <v>45805</v>
      </c>
      <c r="B5005" t="s">
        <v>15</v>
      </c>
      <c r="C5005" t="s">
        <v>16</v>
      </c>
      <c r="D5005" s="1">
        <v>45855</v>
      </c>
      <c r="E5005" t="s">
        <v>17</v>
      </c>
      <c r="F5005">
        <v>4650</v>
      </c>
      <c r="J5005">
        <v>646.4</v>
      </c>
      <c r="K5005">
        <v>553</v>
      </c>
      <c r="L5005">
        <v>0</v>
      </c>
      <c r="M5005" t="s">
        <v>18</v>
      </c>
      <c r="N5005">
        <v>0</v>
      </c>
      <c r="O5005">
        <v>0</v>
      </c>
    </row>
    <row r="5006" spans="1:15" x14ac:dyDescent="0.2">
      <c r="A5006" s="6">
        <v>45805</v>
      </c>
      <c r="B5006" t="s">
        <v>15</v>
      </c>
      <c r="C5006" t="s">
        <v>16</v>
      </c>
      <c r="D5006" s="1">
        <v>45855</v>
      </c>
      <c r="E5006" t="s">
        <v>19</v>
      </c>
      <c r="F5006">
        <v>6400</v>
      </c>
      <c r="J5006">
        <v>1123.4000000000001</v>
      </c>
      <c r="K5006">
        <v>1226.2</v>
      </c>
      <c r="L5006">
        <v>0</v>
      </c>
      <c r="M5006" t="s">
        <v>18</v>
      </c>
      <c r="N5006">
        <v>0</v>
      </c>
      <c r="O5006">
        <v>0</v>
      </c>
    </row>
    <row r="5007" spans="1:15" x14ac:dyDescent="0.2">
      <c r="A5007" s="6">
        <v>45805</v>
      </c>
      <c r="B5007" t="s">
        <v>15</v>
      </c>
      <c r="C5007" t="s">
        <v>16</v>
      </c>
      <c r="D5007" s="1">
        <v>45855</v>
      </c>
      <c r="E5007" t="s">
        <v>17</v>
      </c>
      <c r="F5007">
        <v>3650</v>
      </c>
      <c r="J5007">
        <v>1609.8</v>
      </c>
      <c r="K5007">
        <v>1503.5</v>
      </c>
      <c r="L5007">
        <v>0</v>
      </c>
      <c r="M5007" t="s">
        <v>18</v>
      </c>
      <c r="N5007">
        <v>0</v>
      </c>
      <c r="O5007">
        <v>0</v>
      </c>
    </row>
    <row r="5008" spans="1:15" x14ac:dyDescent="0.2">
      <c r="A5008" s="6">
        <v>45805</v>
      </c>
      <c r="B5008" t="s">
        <v>15</v>
      </c>
      <c r="C5008" t="s">
        <v>16</v>
      </c>
      <c r="D5008" s="1">
        <v>45855</v>
      </c>
      <c r="E5008" t="s">
        <v>17</v>
      </c>
      <c r="F5008">
        <v>6650</v>
      </c>
      <c r="J5008">
        <v>2.7</v>
      </c>
      <c r="K5008">
        <v>1.5</v>
      </c>
      <c r="L5008">
        <v>0</v>
      </c>
      <c r="M5008" t="s">
        <v>18</v>
      </c>
      <c r="N5008">
        <v>0</v>
      </c>
      <c r="O5008">
        <v>0</v>
      </c>
    </row>
    <row r="5009" spans="1:15" x14ac:dyDescent="0.2">
      <c r="A5009" s="6">
        <v>45805</v>
      </c>
      <c r="B5009" t="s">
        <v>15</v>
      </c>
      <c r="C5009" t="s">
        <v>16</v>
      </c>
      <c r="D5009" s="1">
        <v>45855</v>
      </c>
      <c r="E5009" t="s">
        <v>19</v>
      </c>
      <c r="F5009">
        <v>4700</v>
      </c>
      <c r="J5009">
        <v>34.5</v>
      </c>
      <c r="K5009">
        <v>49.6</v>
      </c>
      <c r="L5009">
        <v>0</v>
      </c>
      <c r="M5009" t="s">
        <v>18</v>
      </c>
      <c r="N5009">
        <v>0</v>
      </c>
      <c r="O5009">
        <v>0</v>
      </c>
    </row>
    <row r="5010" spans="1:15" x14ac:dyDescent="0.2">
      <c r="A5010" s="6">
        <v>45805</v>
      </c>
      <c r="B5010" t="s">
        <v>15</v>
      </c>
      <c r="C5010" t="s">
        <v>16</v>
      </c>
      <c r="D5010" s="1">
        <v>45855</v>
      </c>
      <c r="E5010" t="s">
        <v>19</v>
      </c>
      <c r="F5010">
        <v>3750</v>
      </c>
      <c r="J5010">
        <v>0.1</v>
      </c>
      <c r="K5010">
        <v>0.1</v>
      </c>
      <c r="L5010">
        <v>0</v>
      </c>
      <c r="M5010" t="s">
        <v>18</v>
      </c>
      <c r="N5010">
        <v>0</v>
      </c>
      <c r="O5010">
        <v>0</v>
      </c>
    </row>
    <row r="5011" spans="1:15" x14ac:dyDescent="0.2">
      <c r="A5011" s="6">
        <v>45805</v>
      </c>
      <c r="B5011" t="s">
        <v>15</v>
      </c>
      <c r="C5011" t="s">
        <v>16</v>
      </c>
      <c r="D5011" s="1">
        <v>45855</v>
      </c>
      <c r="E5011" t="s">
        <v>17</v>
      </c>
      <c r="F5011">
        <v>3750</v>
      </c>
      <c r="J5011">
        <v>1510.7</v>
      </c>
      <c r="K5011">
        <v>1404.5</v>
      </c>
      <c r="L5011">
        <v>0</v>
      </c>
      <c r="M5011" t="s">
        <v>18</v>
      </c>
      <c r="N5011">
        <v>0</v>
      </c>
      <c r="O5011">
        <v>0</v>
      </c>
    </row>
    <row r="5012" spans="1:15" x14ac:dyDescent="0.2">
      <c r="A5012" s="6">
        <v>45805</v>
      </c>
      <c r="B5012" t="s">
        <v>15</v>
      </c>
      <c r="C5012" t="s">
        <v>16</v>
      </c>
      <c r="D5012" s="1">
        <v>45855</v>
      </c>
      <c r="E5012" t="s">
        <v>17</v>
      </c>
      <c r="F5012">
        <v>6050</v>
      </c>
      <c r="J5012">
        <v>25.3</v>
      </c>
      <c r="K5012">
        <v>16</v>
      </c>
      <c r="L5012">
        <v>0</v>
      </c>
      <c r="M5012" t="s">
        <v>18</v>
      </c>
      <c r="N5012">
        <v>0</v>
      </c>
      <c r="O5012">
        <v>0</v>
      </c>
    </row>
    <row r="5013" spans="1:15" x14ac:dyDescent="0.2">
      <c r="A5013" s="6">
        <v>45805</v>
      </c>
      <c r="B5013" t="s">
        <v>15</v>
      </c>
      <c r="C5013" t="s">
        <v>16</v>
      </c>
      <c r="D5013" s="1">
        <v>45855</v>
      </c>
      <c r="E5013" t="s">
        <v>19</v>
      </c>
      <c r="F5013">
        <v>4550</v>
      </c>
      <c r="J5013">
        <v>17.600000000000001</v>
      </c>
      <c r="K5013">
        <v>26.5</v>
      </c>
      <c r="L5013">
        <v>0</v>
      </c>
      <c r="M5013" t="s">
        <v>18</v>
      </c>
      <c r="N5013">
        <v>0</v>
      </c>
      <c r="O5013">
        <v>0</v>
      </c>
    </row>
    <row r="5014" spans="1:15" x14ac:dyDescent="0.2">
      <c r="A5014" s="6">
        <v>45805</v>
      </c>
      <c r="B5014" t="s">
        <v>15</v>
      </c>
      <c r="C5014" t="s">
        <v>16</v>
      </c>
      <c r="D5014" s="1">
        <v>45855</v>
      </c>
      <c r="E5014" t="s">
        <v>17</v>
      </c>
      <c r="F5014">
        <v>3600</v>
      </c>
      <c r="J5014">
        <v>1659.4</v>
      </c>
      <c r="K5014">
        <v>1553.1</v>
      </c>
      <c r="L5014">
        <v>0</v>
      </c>
      <c r="M5014" t="s">
        <v>18</v>
      </c>
      <c r="N5014">
        <v>0</v>
      </c>
      <c r="O5014">
        <v>0</v>
      </c>
    </row>
    <row r="5015" spans="1:15" x14ac:dyDescent="0.2">
      <c r="A5015" s="6">
        <v>45805</v>
      </c>
      <c r="B5015" t="s">
        <v>15</v>
      </c>
      <c r="C5015" t="s">
        <v>16</v>
      </c>
      <c r="D5015" s="1">
        <v>45855</v>
      </c>
      <c r="E5015" t="s">
        <v>19</v>
      </c>
      <c r="F5015">
        <v>5450</v>
      </c>
      <c r="J5015">
        <v>318.3</v>
      </c>
      <c r="K5015">
        <v>386</v>
      </c>
      <c r="L5015">
        <v>0</v>
      </c>
      <c r="M5015" t="s">
        <v>18</v>
      </c>
      <c r="N5015">
        <v>0</v>
      </c>
      <c r="O5015">
        <v>0</v>
      </c>
    </row>
    <row r="5016" spans="1:15" x14ac:dyDescent="0.2">
      <c r="A5016" s="6">
        <v>45805</v>
      </c>
      <c r="B5016" t="s">
        <v>15</v>
      </c>
      <c r="C5016" t="s">
        <v>16</v>
      </c>
      <c r="D5016" s="1">
        <v>45855</v>
      </c>
      <c r="E5016" t="s">
        <v>19</v>
      </c>
      <c r="F5016">
        <v>5800</v>
      </c>
      <c r="J5016">
        <v>577</v>
      </c>
      <c r="K5016">
        <v>664.9</v>
      </c>
      <c r="L5016">
        <v>0</v>
      </c>
      <c r="M5016" t="s">
        <v>18</v>
      </c>
      <c r="N5016">
        <v>0</v>
      </c>
      <c r="O5016">
        <v>0</v>
      </c>
    </row>
    <row r="5017" spans="1:15" x14ac:dyDescent="0.2">
      <c r="A5017" s="6">
        <v>45805</v>
      </c>
      <c r="B5017" t="s">
        <v>15</v>
      </c>
      <c r="C5017" t="s">
        <v>16</v>
      </c>
      <c r="D5017" s="1">
        <v>45855</v>
      </c>
      <c r="E5017" t="s">
        <v>19</v>
      </c>
      <c r="F5017">
        <v>5700</v>
      </c>
      <c r="J5017">
        <v>496.5</v>
      </c>
      <c r="K5017">
        <v>579.6</v>
      </c>
      <c r="L5017">
        <v>0</v>
      </c>
      <c r="M5017" t="s">
        <v>18</v>
      </c>
      <c r="N5017">
        <v>0</v>
      </c>
      <c r="O5017">
        <v>0</v>
      </c>
    </row>
    <row r="5018" spans="1:15" x14ac:dyDescent="0.2">
      <c r="A5018" s="6">
        <v>45805</v>
      </c>
      <c r="B5018" t="s">
        <v>15</v>
      </c>
      <c r="C5018" t="s">
        <v>16</v>
      </c>
      <c r="D5018" s="1">
        <v>45855</v>
      </c>
      <c r="E5018" t="s">
        <v>19</v>
      </c>
      <c r="F5018">
        <v>5300</v>
      </c>
      <c r="J5018">
        <v>230.2</v>
      </c>
      <c r="K5018">
        <v>286.8</v>
      </c>
      <c r="L5018">
        <v>0</v>
      </c>
      <c r="M5018" t="s">
        <v>18</v>
      </c>
      <c r="N5018">
        <v>0</v>
      </c>
      <c r="O5018">
        <v>3</v>
      </c>
    </row>
    <row r="5019" spans="1:15" x14ac:dyDescent="0.2">
      <c r="A5019" s="6">
        <v>45805</v>
      </c>
      <c r="B5019" t="s">
        <v>15</v>
      </c>
      <c r="C5019" t="s">
        <v>16</v>
      </c>
      <c r="D5019" s="1">
        <v>45855</v>
      </c>
      <c r="E5019" t="s">
        <v>19</v>
      </c>
      <c r="F5019">
        <v>5400</v>
      </c>
      <c r="J5019">
        <v>287.2</v>
      </c>
      <c r="K5019">
        <v>351.3</v>
      </c>
      <c r="L5019">
        <v>0</v>
      </c>
      <c r="M5019" t="s">
        <v>18</v>
      </c>
      <c r="N5019">
        <v>0</v>
      </c>
      <c r="O5019">
        <v>0</v>
      </c>
    </row>
    <row r="5020" spans="1:15" x14ac:dyDescent="0.2">
      <c r="A5020" s="6">
        <v>45805</v>
      </c>
      <c r="B5020" t="s">
        <v>15</v>
      </c>
      <c r="C5020" t="s">
        <v>16</v>
      </c>
      <c r="D5020" s="1">
        <v>45855</v>
      </c>
      <c r="E5020" t="s">
        <v>19</v>
      </c>
      <c r="F5020">
        <v>4950</v>
      </c>
      <c r="J5020">
        <v>87.2</v>
      </c>
      <c r="K5020">
        <v>117.3</v>
      </c>
      <c r="L5020">
        <v>0</v>
      </c>
      <c r="M5020" t="s">
        <v>18</v>
      </c>
      <c r="N5020">
        <v>0</v>
      </c>
      <c r="O5020">
        <v>0</v>
      </c>
    </row>
    <row r="5021" spans="1:15" x14ac:dyDescent="0.2">
      <c r="A5021" s="6">
        <v>45805</v>
      </c>
      <c r="B5021" t="s">
        <v>15</v>
      </c>
      <c r="C5021" t="s">
        <v>16</v>
      </c>
      <c r="D5021" s="1">
        <v>45855</v>
      </c>
      <c r="E5021" t="s">
        <v>19</v>
      </c>
      <c r="F5021">
        <v>4450</v>
      </c>
      <c r="J5021">
        <v>10.6</v>
      </c>
      <c r="K5021">
        <v>16.5</v>
      </c>
      <c r="L5021">
        <v>0</v>
      </c>
      <c r="M5021" t="s">
        <v>18</v>
      </c>
      <c r="N5021">
        <v>0</v>
      </c>
      <c r="O5021">
        <v>0</v>
      </c>
    </row>
    <row r="5022" spans="1:15" x14ac:dyDescent="0.2">
      <c r="A5022" s="6">
        <v>45805</v>
      </c>
      <c r="B5022" t="s">
        <v>15</v>
      </c>
      <c r="C5022" t="s">
        <v>16</v>
      </c>
      <c r="D5022" s="1">
        <v>45855</v>
      </c>
      <c r="E5022" t="s">
        <v>17</v>
      </c>
      <c r="F5022">
        <v>3850</v>
      </c>
      <c r="J5022">
        <v>1411.7</v>
      </c>
      <c r="K5022">
        <v>1305.5999999999999</v>
      </c>
      <c r="L5022">
        <v>0</v>
      </c>
      <c r="M5022" t="s">
        <v>18</v>
      </c>
      <c r="N5022">
        <v>0</v>
      </c>
      <c r="O5022">
        <v>0</v>
      </c>
    </row>
    <row r="5023" spans="1:15" x14ac:dyDescent="0.2">
      <c r="A5023" s="6">
        <v>45805</v>
      </c>
      <c r="B5023" t="s">
        <v>15</v>
      </c>
      <c r="C5023" t="s">
        <v>16</v>
      </c>
      <c r="D5023" s="1">
        <v>45855</v>
      </c>
      <c r="E5023" t="s">
        <v>17</v>
      </c>
      <c r="F5023">
        <v>6550</v>
      </c>
      <c r="J5023">
        <v>4.0999999999999996</v>
      </c>
      <c r="K5023">
        <v>2.2999999999999998</v>
      </c>
      <c r="L5023">
        <v>0</v>
      </c>
      <c r="M5023" t="s">
        <v>18</v>
      </c>
      <c r="N5023">
        <v>0</v>
      </c>
      <c r="O5023">
        <v>0</v>
      </c>
    </row>
    <row r="5024" spans="1:15" x14ac:dyDescent="0.2">
      <c r="A5024" s="6">
        <v>45805</v>
      </c>
      <c r="B5024" t="s">
        <v>15</v>
      </c>
      <c r="C5024" t="s">
        <v>16</v>
      </c>
      <c r="D5024" s="1">
        <v>45855</v>
      </c>
      <c r="E5024" t="s">
        <v>19</v>
      </c>
      <c r="F5024">
        <v>4250</v>
      </c>
      <c r="J5024">
        <v>3.3</v>
      </c>
      <c r="K5024">
        <v>5.6</v>
      </c>
      <c r="L5024">
        <v>0</v>
      </c>
      <c r="M5024" t="s">
        <v>18</v>
      </c>
      <c r="N5024">
        <v>0</v>
      </c>
      <c r="O5024">
        <v>0</v>
      </c>
    </row>
    <row r="5025" spans="1:15" x14ac:dyDescent="0.2">
      <c r="A5025" s="6">
        <v>45805</v>
      </c>
      <c r="B5025" t="s">
        <v>15</v>
      </c>
      <c r="C5025" t="s">
        <v>16</v>
      </c>
      <c r="D5025" s="1">
        <v>45855</v>
      </c>
      <c r="E5025" t="s">
        <v>19</v>
      </c>
      <c r="F5025">
        <v>5050</v>
      </c>
      <c r="J5025">
        <v>119.1</v>
      </c>
      <c r="K5025">
        <v>156.5</v>
      </c>
      <c r="L5025">
        <v>0</v>
      </c>
      <c r="M5025" t="s">
        <v>18</v>
      </c>
      <c r="N5025">
        <v>0</v>
      </c>
      <c r="O5025">
        <v>0</v>
      </c>
    </row>
    <row r="5026" spans="1:15" x14ac:dyDescent="0.2">
      <c r="A5026" s="6">
        <v>45805</v>
      </c>
      <c r="B5026" t="s">
        <v>15</v>
      </c>
      <c r="C5026" t="s">
        <v>16</v>
      </c>
      <c r="D5026" s="1">
        <v>45855</v>
      </c>
      <c r="E5026" t="s">
        <v>19</v>
      </c>
      <c r="F5026">
        <v>6200</v>
      </c>
      <c r="J5026">
        <v>933</v>
      </c>
      <c r="K5026">
        <v>1033</v>
      </c>
      <c r="L5026">
        <v>0</v>
      </c>
      <c r="M5026" t="s">
        <v>18</v>
      </c>
      <c r="N5026">
        <v>0</v>
      </c>
      <c r="O5026">
        <v>0</v>
      </c>
    </row>
    <row r="5027" spans="1:15" x14ac:dyDescent="0.2">
      <c r="A5027" s="6">
        <v>45805</v>
      </c>
      <c r="B5027" t="s">
        <v>15</v>
      </c>
      <c r="C5027" t="s">
        <v>16</v>
      </c>
      <c r="D5027" s="1">
        <v>45855</v>
      </c>
      <c r="E5027" t="s">
        <v>19</v>
      </c>
      <c r="F5027">
        <v>4600</v>
      </c>
      <c r="J5027">
        <v>22.3</v>
      </c>
      <c r="K5027">
        <v>33</v>
      </c>
      <c r="L5027">
        <v>0</v>
      </c>
      <c r="M5027" t="s">
        <v>18</v>
      </c>
      <c r="N5027">
        <v>0</v>
      </c>
      <c r="O5027">
        <v>0</v>
      </c>
    </row>
    <row r="5028" spans="1:15" x14ac:dyDescent="0.2">
      <c r="A5028" s="6">
        <v>45805</v>
      </c>
      <c r="B5028" t="s">
        <v>15</v>
      </c>
      <c r="C5028" t="s">
        <v>16</v>
      </c>
      <c r="D5028" s="1">
        <v>45855</v>
      </c>
      <c r="E5028" t="s">
        <v>19</v>
      </c>
      <c r="F5028">
        <v>4800</v>
      </c>
      <c r="J5028">
        <v>51.3</v>
      </c>
      <c r="K5028">
        <v>71.8</v>
      </c>
      <c r="L5028">
        <v>0</v>
      </c>
      <c r="M5028" t="s">
        <v>18</v>
      </c>
      <c r="N5028">
        <v>0</v>
      </c>
      <c r="O5028">
        <v>1</v>
      </c>
    </row>
    <row r="5029" spans="1:15" x14ac:dyDescent="0.2">
      <c r="A5029" s="6">
        <v>45805</v>
      </c>
      <c r="B5029" t="s">
        <v>15</v>
      </c>
      <c r="C5029" t="s">
        <v>16</v>
      </c>
      <c r="D5029" s="1">
        <v>45855</v>
      </c>
      <c r="E5029" t="s">
        <v>17</v>
      </c>
      <c r="F5029">
        <v>5550</v>
      </c>
      <c r="J5029">
        <v>111.6</v>
      </c>
      <c r="K5029">
        <v>80</v>
      </c>
      <c r="L5029">
        <v>0</v>
      </c>
      <c r="M5029" t="s">
        <v>18</v>
      </c>
      <c r="N5029">
        <v>0</v>
      </c>
      <c r="O5029">
        <v>0</v>
      </c>
    </row>
    <row r="5030" spans="1:15" x14ac:dyDescent="0.2">
      <c r="A5030" s="6">
        <v>45805</v>
      </c>
      <c r="B5030" t="s">
        <v>15</v>
      </c>
      <c r="C5030" t="s">
        <v>16</v>
      </c>
      <c r="D5030" s="1">
        <v>45855</v>
      </c>
      <c r="E5030" t="s">
        <v>17</v>
      </c>
      <c r="F5030">
        <v>5600</v>
      </c>
      <c r="J5030">
        <v>97.8</v>
      </c>
      <c r="K5030">
        <v>69.3</v>
      </c>
      <c r="L5030">
        <v>0</v>
      </c>
      <c r="M5030" t="s">
        <v>18</v>
      </c>
      <c r="N5030">
        <v>0</v>
      </c>
      <c r="O5030">
        <v>0</v>
      </c>
    </row>
    <row r="5031" spans="1:15" x14ac:dyDescent="0.2">
      <c r="A5031" s="6">
        <v>45805</v>
      </c>
      <c r="B5031" t="s">
        <v>15</v>
      </c>
      <c r="C5031" t="s">
        <v>16</v>
      </c>
      <c r="D5031" s="1">
        <v>45855</v>
      </c>
      <c r="E5031" t="s">
        <v>19</v>
      </c>
      <c r="F5031">
        <v>3700</v>
      </c>
      <c r="J5031">
        <v>0.1</v>
      </c>
      <c r="K5031">
        <v>0.1</v>
      </c>
      <c r="L5031">
        <v>0</v>
      </c>
      <c r="M5031" t="s">
        <v>18</v>
      </c>
      <c r="N5031">
        <v>0</v>
      </c>
      <c r="O5031">
        <v>0</v>
      </c>
    </row>
    <row r="5032" spans="1:15" x14ac:dyDescent="0.2">
      <c r="A5032" s="6">
        <v>45805</v>
      </c>
      <c r="B5032" t="s">
        <v>15</v>
      </c>
      <c r="C5032" t="s">
        <v>16</v>
      </c>
      <c r="D5032" s="1">
        <v>45855</v>
      </c>
      <c r="E5032" t="s">
        <v>17</v>
      </c>
      <c r="F5032">
        <v>3800</v>
      </c>
      <c r="J5032">
        <v>1461.2</v>
      </c>
      <c r="K5032">
        <v>1355</v>
      </c>
      <c r="L5032">
        <v>0</v>
      </c>
      <c r="M5032" t="s">
        <v>18</v>
      </c>
      <c r="N5032">
        <v>0</v>
      </c>
      <c r="O5032">
        <v>0</v>
      </c>
    </row>
    <row r="5033" spans="1:15" x14ac:dyDescent="0.2">
      <c r="A5033" s="6">
        <v>45805</v>
      </c>
      <c r="B5033" t="s">
        <v>15</v>
      </c>
      <c r="C5033" t="s">
        <v>16</v>
      </c>
      <c r="D5033" s="1">
        <v>45855</v>
      </c>
      <c r="E5033" t="s">
        <v>17</v>
      </c>
      <c r="F5033">
        <v>5750</v>
      </c>
      <c r="J5033">
        <v>64.3</v>
      </c>
      <c r="K5033">
        <v>44</v>
      </c>
      <c r="L5033">
        <v>0</v>
      </c>
      <c r="M5033" t="s">
        <v>18</v>
      </c>
      <c r="N5033">
        <v>0</v>
      </c>
      <c r="O5033">
        <v>0</v>
      </c>
    </row>
    <row r="5034" spans="1:15" x14ac:dyDescent="0.2">
      <c r="A5034" s="6">
        <v>45805</v>
      </c>
      <c r="B5034" t="s">
        <v>15</v>
      </c>
      <c r="C5034" t="s">
        <v>16</v>
      </c>
      <c r="D5034" s="1">
        <v>45855</v>
      </c>
      <c r="E5034" t="s">
        <v>17</v>
      </c>
      <c r="F5034">
        <v>6500</v>
      </c>
      <c r="J5034">
        <v>4.9000000000000004</v>
      </c>
      <c r="K5034">
        <v>2.8</v>
      </c>
      <c r="L5034">
        <v>0</v>
      </c>
      <c r="M5034" t="s">
        <v>18</v>
      </c>
      <c r="N5034">
        <v>0</v>
      </c>
      <c r="O5034">
        <v>0</v>
      </c>
    </row>
    <row r="5035" spans="1:15" x14ac:dyDescent="0.2">
      <c r="A5035" s="6">
        <v>45805</v>
      </c>
      <c r="B5035" t="s">
        <v>15</v>
      </c>
      <c r="C5035" t="s">
        <v>16</v>
      </c>
      <c r="D5035" s="1">
        <v>45855</v>
      </c>
      <c r="E5035" t="s">
        <v>19</v>
      </c>
      <c r="F5035">
        <v>5500</v>
      </c>
      <c r="J5035">
        <v>351</v>
      </c>
      <c r="K5035">
        <v>422.1</v>
      </c>
      <c r="L5035">
        <v>0</v>
      </c>
      <c r="M5035" t="s">
        <v>18</v>
      </c>
      <c r="N5035">
        <v>0</v>
      </c>
      <c r="O5035">
        <v>0</v>
      </c>
    </row>
    <row r="5036" spans="1:15" x14ac:dyDescent="0.2">
      <c r="A5036" s="6">
        <v>45805</v>
      </c>
      <c r="B5036" t="s">
        <v>15</v>
      </c>
      <c r="C5036" t="s">
        <v>16</v>
      </c>
      <c r="D5036" s="1">
        <v>45855</v>
      </c>
      <c r="E5036" t="s">
        <v>17</v>
      </c>
      <c r="F5036">
        <v>6300</v>
      </c>
      <c r="J5036">
        <v>10.5</v>
      </c>
      <c r="K5036">
        <v>6.3</v>
      </c>
      <c r="L5036">
        <v>0</v>
      </c>
      <c r="M5036" t="s">
        <v>18</v>
      </c>
      <c r="N5036">
        <v>0</v>
      </c>
      <c r="O5036">
        <v>0</v>
      </c>
    </row>
    <row r="5037" spans="1:15" x14ac:dyDescent="0.2">
      <c r="A5037" s="6">
        <v>45805</v>
      </c>
      <c r="B5037" t="s">
        <v>15</v>
      </c>
      <c r="C5037" t="s">
        <v>16</v>
      </c>
      <c r="D5037" s="1">
        <v>45855</v>
      </c>
      <c r="E5037" t="s">
        <v>19</v>
      </c>
      <c r="F5037">
        <v>4100</v>
      </c>
      <c r="J5037">
        <v>1.2</v>
      </c>
      <c r="K5037">
        <v>2.1</v>
      </c>
      <c r="L5037">
        <v>0</v>
      </c>
      <c r="M5037" t="s">
        <v>18</v>
      </c>
      <c r="N5037">
        <v>0</v>
      </c>
      <c r="O5037">
        <v>0</v>
      </c>
    </row>
    <row r="5038" spans="1:15" x14ac:dyDescent="0.2">
      <c r="A5038" s="6">
        <v>45805</v>
      </c>
      <c r="B5038" t="s">
        <v>15</v>
      </c>
      <c r="C5038" t="s">
        <v>16</v>
      </c>
      <c r="D5038" s="1">
        <v>45855</v>
      </c>
      <c r="E5038" t="s">
        <v>19</v>
      </c>
      <c r="F5038">
        <v>4350</v>
      </c>
      <c r="J5038">
        <v>6.1</v>
      </c>
      <c r="K5038">
        <v>9.8000000000000007</v>
      </c>
      <c r="L5038">
        <v>0</v>
      </c>
      <c r="M5038" t="s">
        <v>18</v>
      </c>
      <c r="N5038">
        <v>0</v>
      </c>
      <c r="O5038">
        <v>0</v>
      </c>
    </row>
    <row r="5039" spans="1:15" x14ac:dyDescent="0.2">
      <c r="A5039" s="6">
        <v>45805</v>
      </c>
      <c r="B5039" t="s">
        <v>15</v>
      </c>
      <c r="C5039" t="s">
        <v>16</v>
      </c>
      <c r="D5039" s="1">
        <v>45855</v>
      </c>
      <c r="E5039" t="s">
        <v>19</v>
      </c>
      <c r="F5039">
        <v>4500</v>
      </c>
      <c r="J5039">
        <v>13.8</v>
      </c>
      <c r="K5039">
        <v>21</v>
      </c>
      <c r="L5039">
        <v>0</v>
      </c>
      <c r="M5039" t="s">
        <v>18</v>
      </c>
      <c r="N5039">
        <v>0</v>
      </c>
      <c r="O5039">
        <v>0</v>
      </c>
    </row>
    <row r="5040" spans="1:15" x14ac:dyDescent="0.2">
      <c r="A5040" s="6">
        <v>45805</v>
      </c>
      <c r="B5040" t="s">
        <v>15</v>
      </c>
      <c r="C5040" t="s">
        <v>16</v>
      </c>
      <c r="D5040" s="1">
        <v>45855</v>
      </c>
      <c r="E5040" t="s">
        <v>19</v>
      </c>
      <c r="F5040">
        <v>5750</v>
      </c>
      <c r="J5040">
        <v>536.20000000000005</v>
      </c>
      <c r="K5040">
        <v>621.79999999999995</v>
      </c>
      <c r="L5040">
        <v>0</v>
      </c>
      <c r="M5040" t="s">
        <v>18</v>
      </c>
      <c r="N5040">
        <v>0</v>
      </c>
      <c r="O5040">
        <v>0</v>
      </c>
    </row>
    <row r="5041" spans="1:15" x14ac:dyDescent="0.2">
      <c r="A5041" s="6">
        <v>45805</v>
      </c>
      <c r="B5041" t="s">
        <v>15</v>
      </c>
      <c r="C5041" t="s">
        <v>16</v>
      </c>
      <c r="D5041" s="1">
        <v>45855</v>
      </c>
      <c r="E5041" t="s">
        <v>19</v>
      </c>
      <c r="F5041">
        <v>5350</v>
      </c>
      <c r="J5041">
        <v>257.8</v>
      </c>
      <c r="K5041">
        <v>318.3</v>
      </c>
      <c r="L5041">
        <v>0</v>
      </c>
      <c r="M5041" t="s">
        <v>18</v>
      </c>
      <c r="N5041">
        <v>0</v>
      </c>
      <c r="O5041">
        <v>0</v>
      </c>
    </row>
    <row r="5042" spans="1:15" x14ac:dyDescent="0.2">
      <c r="A5042" s="6">
        <v>45805</v>
      </c>
      <c r="B5042" t="s">
        <v>15</v>
      </c>
      <c r="C5042" t="s">
        <v>16</v>
      </c>
      <c r="D5042" s="1">
        <v>45855</v>
      </c>
      <c r="E5042" t="s">
        <v>19</v>
      </c>
      <c r="F5042">
        <v>4400</v>
      </c>
      <c r="J5042">
        <v>8.1</v>
      </c>
      <c r="K5042">
        <v>12.8</v>
      </c>
      <c r="L5042">
        <v>0</v>
      </c>
      <c r="M5042" t="s">
        <v>18</v>
      </c>
      <c r="N5042">
        <v>0</v>
      </c>
      <c r="O5042">
        <v>0</v>
      </c>
    </row>
    <row r="5043" spans="1:15" x14ac:dyDescent="0.2">
      <c r="A5043" s="6">
        <v>45805</v>
      </c>
      <c r="B5043" t="s">
        <v>15</v>
      </c>
      <c r="C5043" t="s">
        <v>16</v>
      </c>
      <c r="D5043" s="1">
        <v>45855</v>
      </c>
      <c r="E5043" t="s">
        <v>17</v>
      </c>
      <c r="F5043">
        <v>6350</v>
      </c>
      <c r="J5043">
        <v>8.8000000000000007</v>
      </c>
      <c r="K5043">
        <v>5.2</v>
      </c>
      <c r="L5043">
        <v>0</v>
      </c>
      <c r="M5043" t="s">
        <v>18</v>
      </c>
      <c r="N5043">
        <v>0</v>
      </c>
      <c r="O5043">
        <v>0</v>
      </c>
    </row>
    <row r="5044" spans="1:15" x14ac:dyDescent="0.2">
      <c r="A5044" s="6">
        <v>45805</v>
      </c>
      <c r="B5044" t="s">
        <v>15</v>
      </c>
      <c r="C5044" t="s">
        <v>16</v>
      </c>
      <c r="D5044" s="1">
        <v>45855</v>
      </c>
      <c r="E5044" t="s">
        <v>17</v>
      </c>
      <c r="F5044">
        <v>4050</v>
      </c>
      <c r="J5044">
        <v>1214.0999999999999</v>
      </c>
      <c r="K5044">
        <v>1108.5</v>
      </c>
      <c r="L5044">
        <v>0</v>
      </c>
      <c r="M5044" t="s">
        <v>18</v>
      </c>
      <c r="N5044">
        <v>0</v>
      </c>
      <c r="O5044">
        <v>0</v>
      </c>
    </row>
    <row r="5045" spans="1:15" x14ac:dyDescent="0.2">
      <c r="A5045" s="6">
        <v>45805</v>
      </c>
      <c r="B5045" t="s">
        <v>15</v>
      </c>
      <c r="C5045" t="s">
        <v>16</v>
      </c>
      <c r="D5045" s="1">
        <v>45855</v>
      </c>
      <c r="E5045" t="s">
        <v>17</v>
      </c>
      <c r="F5045">
        <v>4000</v>
      </c>
      <c r="J5045">
        <v>1263.4000000000001</v>
      </c>
      <c r="K5045">
        <v>1157.5999999999999</v>
      </c>
      <c r="L5045">
        <v>0</v>
      </c>
      <c r="M5045" t="s">
        <v>18</v>
      </c>
      <c r="N5045">
        <v>0</v>
      </c>
      <c r="O5045">
        <v>0</v>
      </c>
    </row>
    <row r="5046" spans="1:15" x14ac:dyDescent="0.2">
      <c r="A5046" s="6">
        <v>45805</v>
      </c>
      <c r="B5046" t="s">
        <v>15</v>
      </c>
      <c r="C5046" t="s">
        <v>16</v>
      </c>
      <c r="D5046" s="1">
        <v>45855</v>
      </c>
      <c r="E5046" t="s">
        <v>19</v>
      </c>
      <c r="F5046">
        <v>4650</v>
      </c>
      <c r="J5046">
        <v>27.9</v>
      </c>
      <c r="K5046">
        <v>40.700000000000003</v>
      </c>
      <c r="L5046">
        <v>0</v>
      </c>
      <c r="M5046" t="s">
        <v>18</v>
      </c>
      <c r="N5046">
        <v>0</v>
      </c>
      <c r="O5046">
        <v>0</v>
      </c>
    </row>
    <row r="5047" spans="1:15" x14ac:dyDescent="0.2">
      <c r="A5047" s="6">
        <v>45805</v>
      </c>
      <c r="B5047" t="s">
        <v>15</v>
      </c>
      <c r="C5047" t="s">
        <v>16</v>
      </c>
      <c r="D5047" s="1">
        <v>45855</v>
      </c>
      <c r="E5047" t="s">
        <v>17</v>
      </c>
      <c r="F5047">
        <v>6250</v>
      </c>
      <c r="J5047">
        <v>12.6</v>
      </c>
      <c r="K5047">
        <v>7.6</v>
      </c>
      <c r="L5047">
        <v>0</v>
      </c>
      <c r="M5047" t="s">
        <v>18</v>
      </c>
      <c r="N5047">
        <v>0</v>
      </c>
      <c r="O5047">
        <v>0</v>
      </c>
    </row>
    <row r="5048" spans="1:15" x14ac:dyDescent="0.2">
      <c r="A5048" s="6">
        <v>45805</v>
      </c>
      <c r="B5048" t="s">
        <v>15</v>
      </c>
      <c r="C5048" t="s">
        <v>16</v>
      </c>
      <c r="D5048" s="1">
        <v>45855</v>
      </c>
      <c r="E5048" t="s">
        <v>17</v>
      </c>
      <c r="F5048">
        <v>5150</v>
      </c>
      <c r="J5048">
        <v>281</v>
      </c>
      <c r="K5048">
        <v>220</v>
      </c>
      <c r="L5048">
        <v>0</v>
      </c>
      <c r="M5048" t="s">
        <v>18</v>
      </c>
      <c r="N5048">
        <v>0</v>
      </c>
      <c r="O5048">
        <v>0</v>
      </c>
    </row>
    <row r="5049" spans="1:15" x14ac:dyDescent="0.2">
      <c r="A5049" s="6">
        <v>45805</v>
      </c>
      <c r="B5049" t="s">
        <v>15</v>
      </c>
      <c r="C5049" t="s">
        <v>16</v>
      </c>
      <c r="D5049" s="1">
        <v>45855</v>
      </c>
      <c r="E5049" t="s">
        <v>17</v>
      </c>
      <c r="F5049">
        <v>4550</v>
      </c>
      <c r="J5049">
        <v>735.3</v>
      </c>
      <c r="K5049">
        <v>638</v>
      </c>
      <c r="L5049">
        <v>0</v>
      </c>
      <c r="M5049" t="s">
        <v>18</v>
      </c>
      <c r="N5049">
        <v>0</v>
      </c>
      <c r="O5049">
        <v>0</v>
      </c>
    </row>
    <row r="5050" spans="1:15" x14ac:dyDescent="0.2">
      <c r="A5050" s="6">
        <v>45805</v>
      </c>
      <c r="B5050" t="s">
        <v>15</v>
      </c>
      <c r="C5050" t="s">
        <v>16</v>
      </c>
      <c r="D5050" s="1">
        <v>45855</v>
      </c>
      <c r="E5050" t="s">
        <v>17</v>
      </c>
      <c r="F5050">
        <v>5450</v>
      </c>
      <c r="J5050">
        <v>143.80000000000001</v>
      </c>
      <c r="K5050">
        <v>105.5</v>
      </c>
      <c r="L5050">
        <v>0</v>
      </c>
      <c r="M5050" t="s">
        <v>18</v>
      </c>
      <c r="N5050">
        <v>0</v>
      </c>
      <c r="O5050">
        <v>0</v>
      </c>
    </row>
    <row r="5051" spans="1:15" x14ac:dyDescent="0.2">
      <c r="A5051" s="6">
        <v>45805</v>
      </c>
      <c r="B5051" t="s">
        <v>15</v>
      </c>
      <c r="C5051" t="s">
        <v>16</v>
      </c>
      <c r="D5051" s="1">
        <v>45855</v>
      </c>
      <c r="E5051" t="s">
        <v>17</v>
      </c>
      <c r="F5051">
        <v>5800</v>
      </c>
      <c r="J5051">
        <v>55.6</v>
      </c>
      <c r="K5051">
        <v>37.5</v>
      </c>
      <c r="L5051">
        <v>0</v>
      </c>
      <c r="M5051" t="s">
        <v>18</v>
      </c>
      <c r="N5051">
        <v>0</v>
      </c>
      <c r="O5051">
        <v>0</v>
      </c>
    </row>
    <row r="5052" spans="1:15" x14ac:dyDescent="0.2">
      <c r="A5052" s="6">
        <v>45805</v>
      </c>
      <c r="B5052" t="s">
        <v>15</v>
      </c>
      <c r="C5052" t="s">
        <v>16</v>
      </c>
      <c r="D5052" s="1">
        <v>45855</v>
      </c>
      <c r="E5052" t="s">
        <v>19</v>
      </c>
      <c r="F5052">
        <v>6250</v>
      </c>
      <c r="J5052">
        <v>980.1</v>
      </c>
      <c r="K5052">
        <v>1081</v>
      </c>
      <c r="L5052">
        <v>0</v>
      </c>
      <c r="M5052" t="s">
        <v>18</v>
      </c>
      <c r="N5052">
        <v>0</v>
      </c>
      <c r="O5052">
        <v>0</v>
      </c>
    </row>
    <row r="5053" spans="1:15" x14ac:dyDescent="0.2">
      <c r="A5053" s="6">
        <v>45805</v>
      </c>
      <c r="B5053" t="s">
        <v>15</v>
      </c>
      <c r="C5053" t="s">
        <v>16</v>
      </c>
      <c r="D5053" s="1">
        <v>45855</v>
      </c>
      <c r="E5053" t="s">
        <v>19</v>
      </c>
      <c r="F5053">
        <v>5150</v>
      </c>
      <c r="J5053">
        <v>158.1</v>
      </c>
      <c r="K5053">
        <v>203.1</v>
      </c>
      <c r="L5053">
        <v>0</v>
      </c>
      <c r="M5053" t="s">
        <v>18</v>
      </c>
      <c r="N5053">
        <v>0</v>
      </c>
      <c r="O5053">
        <v>0</v>
      </c>
    </row>
    <row r="5054" spans="1:15" x14ac:dyDescent="0.2">
      <c r="A5054" s="6">
        <v>45805</v>
      </c>
      <c r="B5054" t="s">
        <v>15</v>
      </c>
      <c r="C5054" t="s">
        <v>16</v>
      </c>
      <c r="D5054" s="1">
        <v>45855</v>
      </c>
      <c r="E5054" t="s">
        <v>17</v>
      </c>
      <c r="F5054">
        <v>4500</v>
      </c>
      <c r="J5054">
        <v>781</v>
      </c>
      <c r="K5054">
        <v>682.1</v>
      </c>
      <c r="L5054">
        <v>0</v>
      </c>
      <c r="M5054" t="s">
        <v>18</v>
      </c>
      <c r="N5054">
        <v>0</v>
      </c>
      <c r="O5054">
        <v>0</v>
      </c>
    </row>
    <row r="5055" spans="1:15" x14ac:dyDescent="0.2">
      <c r="A5055" s="6">
        <v>45805</v>
      </c>
      <c r="B5055" t="s">
        <v>15</v>
      </c>
      <c r="C5055" t="s">
        <v>16</v>
      </c>
      <c r="D5055" s="1">
        <v>45855</v>
      </c>
      <c r="E5055" t="s">
        <v>17</v>
      </c>
      <c r="F5055">
        <v>5050</v>
      </c>
      <c r="J5055">
        <v>341.2</v>
      </c>
      <c r="K5055">
        <v>272.5</v>
      </c>
      <c r="L5055">
        <v>0</v>
      </c>
      <c r="M5055" t="s">
        <v>18</v>
      </c>
      <c r="N5055">
        <v>0</v>
      </c>
      <c r="O5055">
        <v>0</v>
      </c>
    </row>
    <row r="5056" spans="1:15" x14ac:dyDescent="0.2">
      <c r="A5056" s="6">
        <v>45805</v>
      </c>
      <c r="B5056" t="s">
        <v>15</v>
      </c>
      <c r="C5056" t="s">
        <v>16</v>
      </c>
      <c r="D5056" s="1">
        <v>45855</v>
      </c>
      <c r="E5056" t="s">
        <v>17</v>
      </c>
      <c r="F5056">
        <v>5500</v>
      </c>
      <c r="J5056">
        <v>126.9</v>
      </c>
      <c r="K5056">
        <v>150</v>
      </c>
      <c r="L5056">
        <v>0</v>
      </c>
      <c r="M5056" t="s">
        <v>18</v>
      </c>
      <c r="N5056">
        <v>0</v>
      </c>
      <c r="O5056">
        <v>1</v>
      </c>
    </row>
    <row r="5057" spans="1:15" x14ac:dyDescent="0.2">
      <c r="A5057" s="6">
        <v>45805</v>
      </c>
      <c r="B5057" t="s">
        <v>15</v>
      </c>
      <c r="C5057" t="s">
        <v>16</v>
      </c>
      <c r="D5057" s="1">
        <v>45855</v>
      </c>
      <c r="E5057" t="s">
        <v>17</v>
      </c>
      <c r="F5057">
        <v>4250</v>
      </c>
      <c r="J5057">
        <v>1018.4</v>
      </c>
      <c r="K5057">
        <v>914.4</v>
      </c>
      <c r="L5057">
        <v>0</v>
      </c>
      <c r="M5057" t="s">
        <v>18</v>
      </c>
      <c r="N5057">
        <v>0</v>
      </c>
      <c r="O5057">
        <v>0</v>
      </c>
    </row>
    <row r="5058" spans="1:15" x14ac:dyDescent="0.2">
      <c r="A5058" s="6">
        <v>45805</v>
      </c>
      <c r="B5058" t="s">
        <v>15</v>
      </c>
      <c r="C5058" t="s">
        <v>16</v>
      </c>
      <c r="D5058" s="1">
        <v>45855</v>
      </c>
      <c r="E5058" t="s">
        <v>17</v>
      </c>
      <c r="F5058">
        <v>4150</v>
      </c>
      <c r="J5058">
        <v>1115.9000000000001</v>
      </c>
      <c r="K5058">
        <v>1010.9</v>
      </c>
      <c r="L5058">
        <v>0</v>
      </c>
      <c r="M5058" t="s">
        <v>18</v>
      </c>
      <c r="N5058">
        <v>0</v>
      </c>
      <c r="O5058">
        <v>0</v>
      </c>
    </row>
    <row r="5059" spans="1:15" x14ac:dyDescent="0.2">
      <c r="A5059" s="6">
        <v>45805</v>
      </c>
      <c r="B5059" t="s">
        <v>15</v>
      </c>
      <c r="C5059" t="s">
        <v>16</v>
      </c>
      <c r="D5059" s="1">
        <v>45855</v>
      </c>
      <c r="E5059" t="s">
        <v>17</v>
      </c>
      <c r="F5059">
        <v>5200</v>
      </c>
      <c r="J5059">
        <v>253.7</v>
      </c>
      <c r="K5059">
        <v>196.5</v>
      </c>
      <c r="L5059">
        <v>0</v>
      </c>
      <c r="M5059" t="s">
        <v>18</v>
      </c>
      <c r="N5059">
        <v>0</v>
      </c>
      <c r="O5059">
        <v>0</v>
      </c>
    </row>
    <row r="5060" spans="1:15" x14ac:dyDescent="0.2">
      <c r="A5060" s="6">
        <v>45805</v>
      </c>
      <c r="B5060" t="s">
        <v>15</v>
      </c>
      <c r="C5060" t="s">
        <v>16</v>
      </c>
      <c r="D5060" s="1">
        <v>45855</v>
      </c>
      <c r="E5060" t="s">
        <v>17</v>
      </c>
      <c r="F5060">
        <v>5900</v>
      </c>
      <c r="J5060">
        <v>41</v>
      </c>
      <c r="K5060">
        <v>27</v>
      </c>
      <c r="L5060">
        <v>0</v>
      </c>
      <c r="M5060" t="s">
        <v>18</v>
      </c>
      <c r="N5060">
        <v>0</v>
      </c>
      <c r="O5060">
        <v>0</v>
      </c>
    </row>
    <row r="5061" spans="1:15" x14ac:dyDescent="0.2">
      <c r="A5061" s="6">
        <v>45805</v>
      </c>
      <c r="B5061" t="s">
        <v>15</v>
      </c>
      <c r="C5061" t="s">
        <v>16</v>
      </c>
      <c r="D5061" s="1">
        <v>45855</v>
      </c>
      <c r="E5061" t="s">
        <v>17</v>
      </c>
      <c r="F5061">
        <v>3950</v>
      </c>
      <c r="J5061">
        <v>1312.8</v>
      </c>
      <c r="K5061">
        <v>1206.9000000000001</v>
      </c>
      <c r="L5061">
        <v>0</v>
      </c>
      <c r="M5061" t="s">
        <v>18</v>
      </c>
      <c r="N5061">
        <v>0</v>
      </c>
      <c r="O5061">
        <v>0</v>
      </c>
    </row>
    <row r="5062" spans="1:15" x14ac:dyDescent="0.2">
      <c r="A5062" s="6">
        <v>45805</v>
      </c>
      <c r="B5062" t="s">
        <v>15</v>
      </c>
      <c r="C5062" t="s">
        <v>16</v>
      </c>
      <c r="D5062" s="1">
        <v>45855</v>
      </c>
      <c r="E5062" t="s">
        <v>19</v>
      </c>
      <c r="F5062">
        <v>5650</v>
      </c>
      <c r="J5062">
        <v>458.1</v>
      </c>
      <c r="K5062">
        <v>538.5</v>
      </c>
      <c r="L5062">
        <v>0</v>
      </c>
      <c r="M5062" t="s">
        <v>18</v>
      </c>
      <c r="N5062">
        <v>0</v>
      </c>
      <c r="O5062">
        <v>0</v>
      </c>
    </row>
    <row r="5063" spans="1:15" x14ac:dyDescent="0.2">
      <c r="A5063" s="6">
        <v>45805</v>
      </c>
      <c r="B5063" t="s">
        <v>15</v>
      </c>
      <c r="C5063" t="s">
        <v>16</v>
      </c>
      <c r="D5063" s="1">
        <v>45855</v>
      </c>
      <c r="E5063" t="s">
        <v>19</v>
      </c>
      <c r="F5063">
        <v>6350</v>
      </c>
      <c r="J5063">
        <v>1075.4000000000001</v>
      </c>
      <c r="K5063">
        <v>1177.5999999999999</v>
      </c>
      <c r="L5063">
        <v>0</v>
      </c>
      <c r="M5063" t="s">
        <v>18</v>
      </c>
      <c r="N5063">
        <v>0</v>
      </c>
      <c r="O5063">
        <v>0</v>
      </c>
    </row>
    <row r="5064" spans="1:15" x14ac:dyDescent="0.2">
      <c r="A5064" s="6">
        <v>45805</v>
      </c>
      <c r="B5064" t="s">
        <v>15</v>
      </c>
      <c r="C5064" t="s">
        <v>16</v>
      </c>
      <c r="D5064" s="1">
        <v>45855</v>
      </c>
      <c r="E5064" t="s">
        <v>19</v>
      </c>
      <c r="F5064">
        <v>4000</v>
      </c>
      <c r="J5064">
        <v>0.6</v>
      </c>
      <c r="K5064">
        <v>1</v>
      </c>
      <c r="L5064">
        <v>0</v>
      </c>
      <c r="M5064" t="s">
        <v>18</v>
      </c>
      <c r="N5064">
        <v>0</v>
      </c>
      <c r="O5064">
        <v>0</v>
      </c>
    </row>
    <row r="5065" spans="1:15" x14ac:dyDescent="0.2">
      <c r="A5065" s="6">
        <v>45805</v>
      </c>
      <c r="B5065" t="s">
        <v>15</v>
      </c>
      <c r="C5065" t="s">
        <v>16</v>
      </c>
      <c r="D5065" s="1">
        <v>45855</v>
      </c>
      <c r="E5065" t="s">
        <v>19</v>
      </c>
      <c r="F5065">
        <v>5600</v>
      </c>
      <c r="J5065">
        <v>421</v>
      </c>
      <c r="K5065">
        <v>498.4</v>
      </c>
      <c r="L5065">
        <v>0</v>
      </c>
      <c r="M5065" t="s">
        <v>18</v>
      </c>
      <c r="N5065">
        <v>0</v>
      </c>
      <c r="O5065">
        <v>0</v>
      </c>
    </row>
    <row r="5066" spans="1:15" x14ac:dyDescent="0.2">
      <c r="A5066" s="6">
        <v>45805</v>
      </c>
      <c r="B5066" t="s">
        <v>15</v>
      </c>
      <c r="C5066" t="s">
        <v>16</v>
      </c>
      <c r="D5066" s="1">
        <v>45855</v>
      </c>
      <c r="E5066" t="s">
        <v>19</v>
      </c>
      <c r="F5066">
        <v>4850</v>
      </c>
      <c r="J5066">
        <v>61.8</v>
      </c>
      <c r="K5066">
        <v>85.3</v>
      </c>
      <c r="L5066">
        <v>0</v>
      </c>
      <c r="M5066" t="s">
        <v>18</v>
      </c>
      <c r="N5066">
        <v>0</v>
      </c>
      <c r="O5066">
        <v>0</v>
      </c>
    </row>
    <row r="5067" spans="1:15" x14ac:dyDescent="0.2">
      <c r="A5067" s="6">
        <v>45805</v>
      </c>
      <c r="B5067" t="s">
        <v>15</v>
      </c>
      <c r="C5067" t="s">
        <v>16</v>
      </c>
      <c r="D5067" s="1">
        <v>45855</v>
      </c>
      <c r="E5067" t="s">
        <v>17</v>
      </c>
      <c r="F5067">
        <v>6100</v>
      </c>
      <c r="J5067">
        <v>21.4</v>
      </c>
      <c r="K5067">
        <v>13.4</v>
      </c>
      <c r="L5067">
        <v>0</v>
      </c>
      <c r="M5067" t="s">
        <v>18</v>
      </c>
      <c r="N5067">
        <v>0</v>
      </c>
      <c r="O5067">
        <v>0</v>
      </c>
    </row>
    <row r="5068" spans="1:15" x14ac:dyDescent="0.2">
      <c r="A5068" s="6">
        <v>45805</v>
      </c>
      <c r="B5068" t="s">
        <v>15</v>
      </c>
      <c r="C5068" t="s">
        <v>16</v>
      </c>
      <c r="D5068" s="1">
        <v>45855</v>
      </c>
      <c r="E5068" t="s">
        <v>17</v>
      </c>
      <c r="F5068">
        <v>5350</v>
      </c>
      <c r="J5068">
        <v>182.5</v>
      </c>
      <c r="K5068">
        <v>136.9</v>
      </c>
      <c r="L5068">
        <v>0</v>
      </c>
      <c r="M5068" t="s">
        <v>18</v>
      </c>
      <c r="N5068">
        <v>0</v>
      </c>
      <c r="O5068">
        <v>0</v>
      </c>
    </row>
    <row r="5069" spans="1:15" x14ac:dyDescent="0.2">
      <c r="A5069" s="6">
        <v>45805</v>
      </c>
      <c r="B5069" t="s">
        <v>15</v>
      </c>
      <c r="C5069" t="s">
        <v>16</v>
      </c>
      <c r="D5069" s="1">
        <v>45855</v>
      </c>
      <c r="E5069" t="s">
        <v>17</v>
      </c>
      <c r="F5069">
        <v>4600</v>
      </c>
      <c r="J5069">
        <v>690.4</v>
      </c>
      <c r="K5069">
        <v>594.9</v>
      </c>
      <c r="L5069">
        <v>0</v>
      </c>
      <c r="M5069" t="s">
        <v>18</v>
      </c>
      <c r="N5069">
        <v>0</v>
      </c>
      <c r="O5069">
        <v>0</v>
      </c>
    </row>
    <row r="5070" spans="1:15" x14ac:dyDescent="0.2">
      <c r="A5070" s="6">
        <v>45805</v>
      </c>
      <c r="B5070" t="s">
        <v>15</v>
      </c>
      <c r="C5070" t="s">
        <v>16</v>
      </c>
      <c r="D5070" s="1">
        <v>45855</v>
      </c>
      <c r="E5070" t="s">
        <v>19</v>
      </c>
      <c r="F5070">
        <v>3650</v>
      </c>
      <c r="J5070">
        <v>0.1</v>
      </c>
      <c r="K5070">
        <v>0.1</v>
      </c>
      <c r="L5070">
        <v>0</v>
      </c>
      <c r="M5070" t="s">
        <v>18</v>
      </c>
      <c r="N5070">
        <v>0</v>
      </c>
      <c r="O5070">
        <v>0</v>
      </c>
    </row>
    <row r="5071" spans="1:15" x14ac:dyDescent="0.2">
      <c r="A5071" s="6">
        <v>45805</v>
      </c>
      <c r="B5071" t="s">
        <v>15</v>
      </c>
      <c r="C5071" t="s">
        <v>16</v>
      </c>
      <c r="D5071" s="1">
        <v>45855</v>
      </c>
      <c r="E5071" t="s">
        <v>19</v>
      </c>
      <c r="F5071">
        <v>3950</v>
      </c>
      <c r="J5071">
        <v>0.4</v>
      </c>
      <c r="K5071">
        <v>0.7</v>
      </c>
      <c r="L5071">
        <v>0</v>
      </c>
      <c r="M5071" t="s">
        <v>18</v>
      </c>
      <c r="N5071">
        <v>0</v>
      </c>
      <c r="O5071">
        <v>0</v>
      </c>
    </row>
    <row r="5072" spans="1:15" x14ac:dyDescent="0.2">
      <c r="A5072" s="6">
        <v>45805</v>
      </c>
      <c r="B5072" t="s">
        <v>15</v>
      </c>
      <c r="C5072" t="s">
        <v>16</v>
      </c>
      <c r="D5072" s="1">
        <v>45855</v>
      </c>
      <c r="E5072" t="s">
        <v>19</v>
      </c>
      <c r="F5072">
        <v>5550</v>
      </c>
      <c r="J5072">
        <v>385.2</v>
      </c>
      <c r="K5072">
        <v>459.6</v>
      </c>
      <c r="L5072">
        <v>0</v>
      </c>
      <c r="M5072" t="s">
        <v>18</v>
      </c>
      <c r="N5072">
        <v>0</v>
      </c>
      <c r="O5072">
        <v>0</v>
      </c>
    </row>
    <row r="5073" spans="1:15" x14ac:dyDescent="0.2">
      <c r="A5073" s="6">
        <v>45805</v>
      </c>
      <c r="B5073" t="s">
        <v>15</v>
      </c>
      <c r="C5073" t="s">
        <v>16</v>
      </c>
      <c r="D5073" s="1">
        <v>45855</v>
      </c>
      <c r="E5073" t="s">
        <v>17</v>
      </c>
      <c r="F5073">
        <v>6600</v>
      </c>
      <c r="J5073">
        <v>3.3</v>
      </c>
      <c r="K5073">
        <v>1.8</v>
      </c>
      <c r="L5073">
        <v>0</v>
      </c>
      <c r="M5073" t="s">
        <v>18</v>
      </c>
      <c r="N5073">
        <v>0</v>
      </c>
      <c r="O5073">
        <v>0</v>
      </c>
    </row>
    <row r="5074" spans="1:15" x14ac:dyDescent="0.2">
      <c r="A5074" s="6">
        <v>45805</v>
      </c>
      <c r="B5074" t="s">
        <v>15</v>
      </c>
      <c r="C5074" t="s">
        <v>16</v>
      </c>
      <c r="D5074" s="1">
        <v>45855</v>
      </c>
      <c r="E5074" t="s">
        <v>19</v>
      </c>
      <c r="F5074">
        <v>6300</v>
      </c>
      <c r="J5074">
        <v>1027.5999999999999</v>
      </c>
      <c r="K5074">
        <v>1129.2</v>
      </c>
      <c r="L5074">
        <v>0</v>
      </c>
      <c r="M5074" t="s">
        <v>18</v>
      </c>
      <c r="N5074">
        <v>0</v>
      </c>
      <c r="O5074">
        <v>0</v>
      </c>
    </row>
    <row r="5075" spans="1:15" x14ac:dyDescent="0.2">
      <c r="A5075" s="6">
        <v>45805</v>
      </c>
      <c r="B5075" t="s">
        <v>15</v>
      </c>
      <c r="C5075" t="s">
        <v>16</v>
      </c>
      <c r="D5075" s="1">
        <v>45855</v>
      </c>
      <c r="E5075" t="s">
        <v>19</v>
      </c>
      <c r="F5075">
        <v>6000</v>
      </c>
      <c r="J5075">
        <v>749.4</v>
      </c>
      <c r="K5075">
        <v>844.7</v>
      </c>
      <c r="L5075">
        <v>0</v>
      </c>
      <c r="M5075" t="s">
        <v>18</v>
      </c>
      <c r="N5075">
        <v>0</v>
      </c>
      <c r="O5075">
        <v>0</v>
      </c>
    </row>
    <row r="5076" spans="1:15" x14ac:dyDescent="0.2">
      <c r="A5076" s="6">
        <v>45805</v>
      </c>
      <c r="B5076" t="s">
        <v>15</v>
      </c>
      <c r="C5076" t="s">
        <v>16</v>
      </c>
      <c r="D5076" s="1">
        <v>45855</v>
      </c>
      <c r="E5076" t="s">
        <v>19</v>
      </c>
      <c r="F5076">
        <v>5850</v>
      </c>
      <c r="J5076">
        <v>618.79999999999995</v>
      </c>
      <c r="K5076">
        <v>708.8</v>
      </c>
      <c r="L5076">
        <v>0</v>
      </c>
      <c r="M5076" t="s">
        <v>18</v>
      </c>
      <c r="N5076">
        <v>0</v>
      </c>
      <c r="O5076">
        <v>0</v>
      </c>
    </row>
    <row r="5077" spans="1:15" x14ac:dyDescent="0.2">
      <c r="A5077" s="6">
        <v>45805</v>
      </c>
      <c r="B5077" t="s">
        <v>15</v>
      </c>
      <c r="C5077" t="s">
        <v>16</v>
      </c>
      <c r="D5077" s="1">
        <v>45855</v>
      </c>
      <c r="E5077" t="s">
        <v>19</v>
      </c>
      <c r="F5077">
        <v>6500</v>
      </c>
      <c r="J5077">
        <v>1220.2</v>
      </c>
      <c r="K5077">
        <v>1323.9</v>
      </c>
      <c r="L5077">
        <v>0</v>
      </c>
      <c r="M5077" t="s">
        <v>18</v>
      </c>
      <c r="N5077">
        <v>0</v>
      </c>
      <c r="O5077">
        <v>0</v>
      </c>
    </row>
    <row r="5078" spans="1:15" x14ac:dyDescent="0.2">
      <c r="A5078" s="6">
        <v>45805</v>
      </c>
      <c r="B5078" t="s">
        <v>15</v>
      </c>
      <c r="C5078" t="s">
        <v>16</v>
      </c>
      <c r="D5078" s="1">
        <v>45855</v>
      </c>
      <c r="E5078" t="s">
        <v>19</v>
      </c>
      <c r="F5078">
        <v>3850</v>
      </c>
      <c r="J5078">
        <v>0.2</v>
      </c>
      <c r="K5078">
        <v>0.3</v>
      </c>
      <c r="L5078">
        <v>0</v>
      </c>
      <c r="M5078" t="s">
        <v>18</v>
      </c>
      <c r="N5078">
        <v>0</v>
      </c>
      <c r="O5078">
        <v>0</v>
      </c>
    </row>
    <row r="5079" spans="1:15" x14ac:dyDescent="0.2">
      <c r="A5079" s="6">
        <v>45805</v>
      </c>
      <c r="B5079" t="s">
        <v>15</v>
      </c>
      <c r="C5079" t="s">
        <v>16</v>
      </c>
      <c r="D5079" s="1">
        <v>45855</v>
      </c>
      <c r="E5079" t="s">
        <v>19</v>
      </c>
      <c r="F5079">
        <v>5900</v>
      </c>
      <c r="J5079">
        <v>661.5</v>
      </c>
      <c r="K5079">
        <v>753.5</v>
      </c>
      <c r="L5079">
        <v>0</v>
      </c>
      <c r="M5079" t="s">
        <v>18</v>
      </c>
      <c r="N5079">
        <v>0</v>
      </c>
      <c r="O5079">
        <v>0</v>
      </c>
    </row>
    <row r="5080" spans="1:15" x14ac:dyDescent="0.2">
      <c r="A5080" s="6">
        <v>45805</v>
      </c>
      <c r="B5080" t="s">
        <v>15</v>
      </c>
      <c r="C5080" t="s">
        <v>16</v>
      </c>
      <c r="D5080" s="1">
        <v>45855</v>
      </c>
      <c r="E5080" t="s">
        <v>17</v>
      </c>
      <c r="F5080">
        <v>5850</v>
      </c>
      <c r="J5080">
        <v>47.8</v>
      </c>
      <c r="K5080">
        <v>31.9</v>
      </c>
      <c r="L5080">
        <v>0</v>
      </c>
      <c r="M5080" t="s">
        <v>18</v>
      </c>
      <c r="N5080">
        <v>0</v>
      </c>
      <c r="O5080">
        <v>0</v>
      </c>
    </row>
    <row r="5081" spans="1:15" x14ac:dyDescent="0.2">
      <c r="A5081" s="6">
        <v>45805</v>
      </c>
      <c r="B5081" t="s">
        <v>15</v>
      </c>
      <c r="C5081" t="s">
        <v>16</v>
      </c>
      <c r="D5081" s="1">
        <v>45855</v>
      </c>
      <c r="E5081" t="s">
        <v>19</v>
      </c>
      <c r="F5081">
        <v>4750</v>
      </c>
      <c r="J5081">
        <v>42.3</v>
      </c>
      <c r="K5081">
        <v>60</v>
      </c>
      <c r="L5081">
        <v>0</v>
      </c>
      <c r="M5081" t="s">
        <v>18</v>
      </c>
      <c r="N5081">
        <v>0</v>
      </c>
      <c r="O5081">
        <v>0</v>
      </c>
    </row>
    <row r="5082" spans="1:15" x14ac:dyDescent="0.2">
      <c r="A5082" s="6">
        <v>45805</v>
      </c>
      <c r="B5082" t="s">
        <v>15</v>
      </c>
      <c r="C5082" t="s">
        <v>16</v>
      </c>
      <c r="D5082" s="1">
        <v>45855</v>
      </c>
      <c r="E5082" t="s">
        <v>17</v>
      </c>
      <c r="F5082">
        <v>3900</v>
      </c>
      <c r="J5082">
        <v>1362.2</v>
      </c>
      <c r="K5082">
        <v>1256.2</v>
      </c>
      <c r="L5082">
        <v>0</v>
      </c>
      <c r="M5082" t="s">
        <v>18</v>
      </c>
      <c r="N5082">
        <v>0</v>
      </c>
      <c r="O5082">
        <v>0</v>
      </c>
    </row>
    <row r="5083" spans="1:15" x14ac:dyDescent="0.2">
      <c r="A5083" s="6">
        <v>45805</v>
      </c>
      <c r="B5083" t="s">
        <v>15</v>
      </c>
      <c r="C5083" t="s">
        <v>16</v>
      </c>
      <c r="D5083" s="1">
        <v>45855</v>
      </c>
      <c r="E5083" t="s">
        <v>17</v>
      </c>
      <c r="F5083">
        <v>5400</v>
      </c>
      <c r="J5083">
        <v>162.30000000000001</v>
      </c>
      <c r="K5083">
        <v>120.4</v>
      </c>
      <c r="L5083">
        <v>0</v>
      </c>
      <c r="M5083" t="s">
        <v>18</v>
      </c>
      <c r="N5083">
        <v>0</v>
      </c>
      <c r="O5083">
        <v>0</v>
      </c>
    </row>
    <row r="5084" spans="1:15" x14ac:dyDescent="0.2">
      <c r="A5084" s="6">
        <v>45805</v>
      </c>
      <c r="B5084" t="s">
        <v>15</v>
      </c>
      <c r="C5084" t="s">
        <v>16</v>
      </c>
      <c r="D5084" s="1">
        <v>45855</v>
      </c>
      <c r="E5084" t="s">
        <v>17</v>
      </c>
      <c r="F5084">
        <v>4300</v>
      </c>
      <c r="J5084">
        <v>970</v>
      </c>
      <c r="K5084">
        <v>866.7</v>
      </c>
      <c r="L5084">
        <v>0</v>
      </c>
      <c r="M5084" t="s">
        <v>18</v>
      </c>
      <c r="N5084">
        <v>0</v>
      </c>
      <c r="O5084">
        <v>0</v>
      </c>
    </row>
    <row r="5085" spans="1:15" x14ac:dyDescent="0.2">
      <c r="A5085" s="6">
        <v>45805</v>
      </c>
      <c r="B5085" t="s">
        <v>15</v>
      </c>
      <c r="C5085" t="s">
        <v>16</v>
      </c>
      <c r="D5085" s="1">
        <v>45855</v>
      </c>
      <c r="E5085" t="s">
        <v>19</v>
      </c>
      <c r="F5085">
        <v>4300</v>
      </c>
      <c r="J5085">
        <v>4.5999999999999996</v>
      </c>
      <c r="K5085">
        <v>7.4</v>
      </c>
      <c r="L5085">
        <v>0</v>
      </c>
      <c r="M5085" t="s">
        <v>18</v>
      </c>
      <c r="N5085">
        <v>0</v>
      </c>
      <c r="O5085">
        <v>0</v>
      </c>
    </row>
    <row r="5086" spans="1:15" x14ac:dyDescent="0.2">
      <c r="A5086" s="6">
        <v>45805</v>
      </c>
      <c r="B5086" t="s">
        <v>15</v>
      </c>
      <c r="C5086" t="s">
        <v>16</v>
      </c>
      <c r="D5086" s="1">
        <v>45855</v>
      </c>
      <c r="E5086" t="s">
        <v>17</v>
      </c>
      <c r="F5086">
        <v>6150</v>
      </c>
      <c r="J5086">
        <v>18</v>
      </c>
      <c r="K5086">
        <v>11.1</v>
      </c>
      <c r="L5086">
        <v>0</v>
      </c>
      <c r="M5086" t="s">
        <v>18</v>
      </c>
      <c r="N5086">
        <v>0</v>
      </c>
      <c r="O5086">
        <v>0</v>
      </c>
    </row>
    <row r="5087" spans="1:15" x14ac:dyDescent="0.2">
      <c r="A5087" s="6">
        <v>45805</v>
      </c>
      <c r="B5087" t="s">
        <v>15</v>
      </c>
      <c r="C5087" t="s">
        <v>16</v>
      </c>
      <c r="D5087" s="1">
        <v>45855</v>
      </c>
      <c r="E5087" t="s">
        <v>17</v>
      </c>
      <c r="F5087">
        <v>5650</v>
      </c>
      <c r="J5087">
        <v>85.4</v>
      </c>
      <c r="K5087">
        <v>59.8</v>
      </c>
      <c r="L5087">
        <v>0</v>
      </c>
      <c r="M5087" t="s">
        <v>18</v>
      </c>
      <c r="N5087">
        <v>0</v>
      </c>
      <c r="O5087">
        <v>0</v>
      </c>
    </row>
    <row r="5088" spans="1:15" x14ac:dyDescent="0.2">
      <c r="A5088" s="6">
        <v>45805</v>
      </c>
      <c r="B5088" t="s">
        <v>15</v>
      </c>
      <c r="C5088" t="s">
        <v>16</v>
      </c>
      <c r="D5088" s="1">
        <v>45855</v>
      </c>
      <c r="E5088" t="s">
        <v>19</v>
      </c>
      <c r="F5088">
        <v>6450</v>
      </c>
      <c r="J5088">
        <v>1171.7</v>
      </c>
      <c r="K5088">
        <v>1275</v>
      </c>
      <c r="L5088">
        <v>0</v>
      </c>
      <c r="M5088" t="s">
        <v>18</v>
      </c>
      <c r="N5088">
        <v>0</v>
      </c>
      <c r="O5088">
        <v>0</v>
      </c>
    </row>
    <row r="5089" spans="1:15" x14ac:dyDescent="0.2">
      <c r="A5089" s="6">
        <v>45805</v>
      </c>
      <c r="B5089" t="s">
        <v>15</v>
      </c>
      <c r="C5089" t="s">
        <v>16</v>
      </c>
      <c r="D5089" s="1">
        <v>45855</v>
      </c>
      <c r="E5089" t="s">
        <v>19</v>
      </c>
      <c r="F5089">
        <v>6600</v>
      </c>
      <c r="J5089">
        <v>1317.7</v>
      </c>
      <c r="K5089">
        <v>1422.1</v>
      </c>
      <c r="L5089">
        <v>0</v>
      </c>
      <c r="M5089" t="s">
        <v>18</v>
      </c>
      <c r="N5089">
        <v>0</v>
      </c>
      <c r="O5089">
        <v>0</v>
      </c>
    </row>
    <row r="5090" spans="1:15" x14ac:dyDescent="0.2">
      <c r="A5090" s="6">
        <v>45805</v>
      </c>
      <c r="B5090" t="s">
        <v>15</v>
      </c>
      <c r="C5090" t="s">
        <v>16</v>
      </c>
      <c r="D5090" s="1">
        <v>45855</v>
      </c>
      <c r="E5090" t="s">
        <v>17</v>
      </c>
      <c r="F5090">
        <v>6400</v>
      </c>
      <c r="J5090">
        <v>7.3</v>
      </c>
      <c r="K5090">
        <v>4.2</v>
      </c>
      <c r="L5090">
        <v>0</v>
      </c>
      <c r="M5090" t="s">
        <v>18</v>
      </c>
      <c r="N5090">
        <v>0</v>
      </c>
      <c r="O5090">
        <v>0</v>
      </c>
    </row>
    <row r="5091" spans="1:15" x14ac:dyDescent="0.2">
      <c r="A5091" s="6">
        <v>45805</v>
      </c>
      <c r="B5091" t="s">
        <v>15</v>
      </c>
      <c r="C5091" t="s">
        <v>16</v>
      </c>
      <c r="D5091" s="1">
        <v>45855</v>
      </c>
      <c r="E5091" t="s">
        <v>17</v>
      </c>
      <c r="F5091">
        <v>4700</v>
      </c>
      <c r="J5091">
        <v>603.5</v>
      </c>
      <c r="K5091">
        <v>512.4</v>
      </c>
      <c r="L5091">
        <v>0</v>
      </c>
      <c r="M5091" t="s">
        <v>18</v>
      </c>
      <c r="N5091">
        <v>0</v>
      </c>
      <c r="O5091">
        <v>0</v>
      </c>
    </row>
    <row r="5092" spans="1:15" x14ac:dyDescent="0.2">
      <c r="A5092" s="6">
        <v>45805</v>
      </c>
      <c r="B5092" t="s">
        <v>15</v>
      </c>
      <c r="C5092" t="s">
        <v>16</v>
      </c>
      <c r="D5092" s="1">
        <v>45855</v>
      </c>
      <c r="E5092" t="s">
        <v>19</v>
      </c>
      <c r="F5092">
        <v>5950</v>
      </c>
      <c r="J5092">
        <v>705.1</v>
      </c>
      <c r="K5092">
        <v>798.8</v>
      </c>
      <c r="L5092">
        <v>0</v>
      </c>
      <c r="M5092" t="s">
        <v>18</v>
      </c>
      <c r="N5092">
        <v>0</v>
      </c>
      <c r="O5092">
        <v>0</v>
      </c>
    </row>
    <row r="5093" spans="1:15" x14ac:dyDescent="0.2">
      <c r="A5093" s="6">
        <v>45805</v>
      </c>
      <c r="B5093" t="s">
        <v>15</v>
      </c>
      <c r="C5093" t="s">
        <v>16</v>
      </c>
      <c r="D5093" s="1">
        <v>45855</v>
      </c>
      <c r="E5093" t="s">
        <v>17</v>
      </c>
      <c r="F5093">
        <v>6450</v>
      </c>
      <c r="J5093">
        <v>6</v>
      </c>
      <c r="K5093">
        <v>3.4</v>
      </c>
      <c r="L5093">
        <v>0</v>
      </c>
      <c r="M5093" t="s">
        <v>18</v>
      </c>
      <c r="N5093">
        <v>0</v>
      </c>
      <c r="O5093">
        <v>0</v>
      </c>
    </row>
    <row r="5094" spans="1:15" x14ac:dyDescent="0.2">
      <c r="A5094" s="6">
        <v>45805</v>
      </c>
      <c r="B5094" t="s">
        <v>15</v>
      </c>
      <c r="C5094" t="s">
        <v>16</v>
      </c>
      <c r="D5094" s="1">
        <v>45855</v>
      </c>
      <c r="E5094" t="s">
        <v>19</v>
      </c>
      <c r="F5094">
        <v>5000</v>
      </c>
      <c r="J5094">
        <v>102.3</v>
      </c>
      <c r="K5094">
        <v>136</v>
      </c>
      <c r="L5094">
        <v>0</v>
      </c>
      <c r="M5094" t="s">
        <v>18</v>
      </c>
      <c r="N5094">
        <v>0</v>
      </c>
      <c r="O5094">
        <v>1</v>
      </c>
    </row>
    <row r="5095" spans="1:15" x14ac:dyDescent="0.2">
      <c r="A5095" s="6">
        <v>45805</v>
      </c>
      <c r="B5095" t="s">
        <v>15</v>
      </c>
      <c r="C5095" t="s">
        <v>16</v>
      </c>
      <c r="D5095" s="1">
        <v>45855</v>
      </c>
      <c r="E5095" t="s">
        <v>19</v>
      </c>
      <c r="F5095">
        <v>4150</v>
      </c>
      <c r="J5095">
        <v>1.7</v>
      </c>
      <c r="K5095">
        <v>3</v>
      </c>
      <c r="L5095">
        <v>0</v>
      </c>
      <c r="M5095" t="s">
        <v>18</v>
      </c>
      <c r="N5095">
        <v>0</v>
      </c>
      <c r="O5095">
        <v>0</v>
      </c>
    </row>
    <row r="5096" spans="1:15" x14ac:dyDescent="0.2">
      <c r="A5096" s="6">
        <v>45805</v>
      </c>
      <c r="B5096" t="s">
        <v>15</v>
      </c>
      <c r="C5096" t="s">
        <v>16</v>
      </c>
      <c r="D5096" s="1">
        <v>45855</v>
      </c>
      <c r="E5096" t="s">
        <v>17</v>
      </c>
      <c r="F5096">
        <v>6000</v>
      </c>
      <c r="J5096">
        <v>29.8</v>
      </c>
      <c r="K5096">
        <v>19.100000000000001</v>
      </c>
      <c r="L5096">
        <v>0</v>
      </c>
      <c r="M5096" t="s">
        <v>18</v>
      </c>
      <c r="N5096">
        <v>0</v>
      </c>
      <c r="O5096">
        <v>1</v>
      </c>
    </row>
    <row r="5097" spans="1:15" x14ac:dyDescent="0.2">
      <c r="A5097" s="6">
        <v>45805</v>
      </c>
      <c r="B5097" t="s">
        <v>15</v>
      </c>
      <c r="C5097" t="s">
        <v>16</v>
      </c>
      <c r="D5097" s="1">
        <v>45855</v>
      </c>
      <c r="E5097" t="s">
        <v>19</v>
      </c>
      <c r="F5097">
        <v>3800</v>
      </c>
      <c r="J5097">
        <v>0.1</v>
      </c>
      <c r="K5097">
        <v>0.2</v>
      </c>
      <c r="L5097">
        <v>0</v>
      </c>
      <c r="M5097" t="s">
        <v>18</v>
      </c>
      <c r="N5097">
        <v>0</v>
      </c>
      <c r="O5097">
        <v>0</v>
      </c>
    </row>
    <row r="5098" spans="1:15" x14ac:dyDescent="0.2">
      <c r="A5098" s="6">
        <v>45805</v>
      </c>
      <c r="B5098" t="s">
        <v>15</v>
      </c>
      <c r="C5098" t="s">
        <v>16</v>
      </c>
      <c r="D5098" s="1">
        <v>45855</v>
      </c>
      <c r="E5098" t="s">
        <v>19</v>
      </c>
      <c r="F5098">
        <v>6100</v>
      </c>
      <c r="J5098">
        <v>840.1</v>
      </c>
      <c r="K5098">
        <v>938.1</v>
      </c>
      <c r="L5098">
        <v>0</v>
      </c>
      <c r="M5098" t="s">
        <v>18</v>
      </c>
      <c r="N5098">
        <v>0</v>
      </c>
      <c r="O5098">
        <v>0</v>
      </c>
    </row>
    <row r="5099" spans="1:15" x14ac:dyDescent="0.2">
      <c r="A5099" s="6">
        <v>45805</v>
      </c>
      <c r="B5099" t="s">
        <v>15</v>
      </c>
      <c r="C5099" t="s">
        <v>16</v>
      </c>
      <c r="D5099" s="1">
        <v>45855</v>
      </c>
      <c r="E5099" t="s">
        <v>19</v>
      </c>
      <c r="F5099">
        <v>4050</v>
      </c>
      <c r="J5099">
        <v>0.8</v>
      </c>
      <c r="K5099">
        <v>1.5</v>
      </c>
      <c r="L5099">
        <v>0</v>
      </c>
      <c r="M5099" t="s">
        <v>18</v>
      </c>
      <c r="N5099">
        <v>0</v>
      </c>
      <c r="O5099">
        <v>0</v>
      </c>
    </row>
    <row r="5100" spans="1:15" x14ac:dyDescent="0.2">
      <c r="A5100" s="6">
        <v>45804</v>
      </c>
      <c r="B5100" t="s">
        <v>15</v>
      </c>
      <c r="C5100" t="s">
        <v>16</v>
      </c>
      <c r="D5100" s="1">
        <v>45855</v>
      </c>
      <c r="E5100" t="s">
        <v>17</v>
      </c>
      <c r="F5100">
        <v>4650</v>
      </c>
      <c r="J5100">
        <v>553</v>
      </c>
      <c r="K5100">
        <v>602.79999999999995</v>
      </c>
      <c r="L5100">
        <v>0</v>
      </c>
      <c r="M5100" t="s">
        <v>18</v>
      </c>
      <c r="N5100">
        <v>0</v>
      </c>
      <c r="O5100">
        <v>0</v>
      </c>
    </row>
    <row r="5101" spans="1:15" x14ac:dyDescent="0.2">
      <c r="A5101" s="6">
        <v>45804</v>
      </c>
      <c r="B5101" t="s">
        <v>15</v>
      </c>
      <c r="C5101" t="s">
        <v>16</v>
      </c>
      <c r="D5101" s="1">
        <v>45855</v>
      </c>
      <c r="E5101" t="s">
        <v>19</v>
      </c>
      <c r="F5101">
        <v>5100</v>
      </c>
      <c r="J5101">
        <v>178.9</v>
      </c>
      <c r="K5101">
        <v>163.30000000000001</v>
      </c>
      <c r="L5101">
        <v>0</v>
      </c>
      <c r="M5101" t="s">
        <v>18</v>
      </c>
      <c r="N5101">
        <v>0</v>
      </c>
      <c r="O5101">
        <v>0</v>
      </c>
    </row>
    <row r="5102" spans="1:15" x14ac:dyDescent="0.2">
      <c r="A5102" s="6">
        <v>45804</v>
      </c>
      <c r="B5102" t="s">
        <v>15</v>
      </c>
      <c r="C5102" t="s">
        <v>16</v>
      </c>
      <c r="D5102" s="1">
        <v>45855</v>
      </c>
      <c r="E5102" t="s">
        <v>19</v>
      </c>
      <c r="F5102">
        <v>6650</v>
      </c>
      <c r="J5102">
        <v>1471.3</v>
      </c>
      <c r="K5102">
        <v>1418.6</v>
      </c>
      <c r="L5102">
        <v>0</v>
      </c>
      <c r="M5102" t="s">
        <v>18</v>
      </c>
      <c r="N5102">
        <v>0</v>
      </c>
      <c r="O5102">
        <v>0</v>
      </c>
    </row>
    <row r="5103" spans="1:15" x14ac:dyDescent="0.2">
      <c r="A5103" s="6">
        <v>45804</v>
      </c>
      <c r="B5103" t="s">
        <v>15</v>
      </c>
      <c r="C5103" t="s">
        <v>16</v>
      </c>
      <c r="D5103" s="1">
        <v>45855</v>
      </c>
      <c r="E5103" t="s">
        <v>17</v>
      </c>
      <c r="F5103">
        <v>4200</v>
      </c>
      <c r="J5103">
        <v>962.5</v>
      </c>
      <c r="K5103">
        <v>1015.5</v>
      </c>
      <c r="L5103">
        <v>0</v>
      </c>
      <c r="M5103" t="s">
        <v>18</v>
      </c>
      <c r="N5103">
        <v>0</v>
      </c>
      <c r="O5103">
        <v>0</v>
      </c>
    </row>
    <row r="5104" spans="1:15" x14ac:dyDescent="0.2">
      <c r="A5104" s="6">
        <v>45804</v>
      </c>
      <c r="B5104" t="s">
        <v>15</v>
      </c>
      <c r="C5104" t="s">
        <v>16</v>
      </c>
      <c r="D5104" s="1">
        <v>45855</v>
      </c>
      <c r="E5104" t="s">
        <v>19</v>
      </c>
      <c r="F5104">
        <v>6050</v>
      </c>
      <c r="J5104">
        <v>891.2</v>
      </c>
      <c r="K5104">
        <v>844.3</v>
      </c>
      <c r="L5104">
        <v>0</v>
      </c>
      <c r="M5104" t="s">
        <v>18</v>
      </c>
      <c r="N5104">
        <v>0</v>
      </c>
      <c r="O5104">
        <v>0</v>
      </c>
    </row>
    <row r="5105" spans="1:15" x14ac:dyDescent="0.2">
      <c r="A5105" s="6">
        <v>45804</v>
      </c>
      <c r="B5105" t="s">
        <v>15</v>
      </c>
      <c r="C5105" t="s">
        <v>16</v>
      </c>
      <c r="D5105" s="1">
        <v>45855</v>
      </c>
      <c r="E5105" t="s">
        <v>17</v>
      </c>
      <c r="F5105">
        <v>5250</v>
      </c>
      <c r="G5105">
        <v>266.89999999999998</v>
      </c>
      <c r="H5105">
        <v>266.89999999999998</v>
      </c>
      <c r="I5105">
        <v>266.89999999999998</v>
      </c>
      <c r="J5105">
        <v>266.89999999999998</v>
      </c>
      <c r="K5105">
        <v>207.1</v>
      </c>
      <c r="L5105">
        <v>2</v>
      </c>
      <c r="M5105" t="s">
        <v>28</v>
      </c>
      <c r="N5105">
        <v>11.03</v>
      </c>
      <c r="O5105">
        <v>0</v>
      </c>
    </row>
    <row r="5106" spans="1:15" x14ac:dyDescent="0.2">
      <c r="A5106" s="6">
        <v>45804</v>
      </c>
      <c r="B5106" t="s">
        <v>15</v>
      </c>
      <c r="C5106" t="s">
        <v>16</v>
      </c>
      <c r="D5106" s="1">
        <v>45855</v>
      </c>
      <c r="E5106" t="s">
        <v>17</v>
      </c>
      <c r="F5106">
        <v>5100</v>
      </c>
      <c r="J5106">
        <v>245.3</v>
      </c>
      <c r="K5106">
        <v>283.2</v>
      </c>
      <c r="L5106">
        <v>0</v>
      </c>
      <c r="M5106" t="s">
        <v>18</v>
      </c>
      <c r="N5106">
        <v>0</v>
      </c>
      <c r="O5106">
        <v>0</v>
      </c>
    </row>
    <row r="5107" spans="1:15" x14ac:dyDescent="0.2">
      <c r="A5107" s="6">
        <v>45804</v>
      </c>
      <c r="B5107" t="s">
        <v>15</v>
      </c>
      <c r="C5107" t="s">
        <v>16</v>
      </c>
      <c r="D5107" s="1">
        <v>45855</v>
      </c>
      <c r="E5107" t="s">
        <v>19</v>
      </c>
      <c r="F5107">
        <v>4900</v>
      </c>
      <c r="J5107">
        <v>100.4</v>
      </c>
      <c r="K5107">
        <v>91.3</v>
      </c>
      <c r="L5107">
        <v>0</v>
      </c>
      <c r="M5107" t="s">
        <v>18</v>
      </c>
      <c r="N5107">
        <v>0</v>
      </c>
      <c r="O5107">
        <v>0</v>
      </c>
    </row>
    <row r="5108" spans="1:15" x14ac:dyDescent="0.2">
      <c r="A5108" s="6">
        <v>45804</v>
      </c>
      <c r="B5108" t="s">
        <v>15</v>
      </c>
      <c r="C5108" t="s">
        <v>16</v>
      </c>
      <c r="D5108" s="1">
        <v>45855</v>
      </c>
      <c r="E5108" t="s">
        <v>19</v>
      </c>
      <c r="F5108">
        <v>4200</v>
      </c>
      <c r="J5108">
        <v>4.0999999999999996</v>
      </c>
      <c r="K5108">
        <v>3.8</v>
      </c>
      <c r="L5108">
        <v>0</v>
      </c>
      <c r="M5108" t="s">
        <v>18</v>
      </c>
      <c r="N5108">
        <v>0</v>
      </c>
      <c r="O5108">
        <v>0</v>
      </c>
    </row>
    <row r="5109" spans="1:15" x14ac:dyDescent="0.2">
      <c r="A5109" s="6">
        <v>45804</v>
      </c>
      <c r="B5109" t="s">
        <v>15</v>
      </c>
      <c r="C5109" t="s">
        <v>16</v>
      </c>
      <c r="D5109" s="1">
        <v>45855</v>
      </c>
      <c r="E5109" t="s">
        <v>19</v>
      </c>
      <c r="F5109">
        <v>3600</v>
      </c>
      <c r="J5109">
        <v>0.1</v>
      </c>
      <c r="K5109">
        <v>0.1</v>
      </c>
      <c r="L5109">
        <v>0</v>
      </c>
      <c r="M5109" t="s">
        <v>18</v>
      </c>
      <c r="N5109">
        <v>0</v>
      </c>
      <c r="O5109">
        <v>0</v>
      </c>
    </row>
    <row r="5110" spans="1:15" x14ac:dyDescent="0.2">
      <c r="A5110" s="6">
        <v>45804</v>
      </c>
      <c r="B5110" t="s">
        <v>15</v>
      </c>
      <c r="C5110" t="s">
        <v>16</v>
      </c>
      <c r="D5110" s="1">
        <v>45855</v>
      </c>
      <c r="E5110" t="s">
        <v>19</v>
      </c>
      <c r="F5110">
        <v>3900</v>
      </c>
      <c r="J5110">
        <v>0.5</v>
      </c>
      <c r="K5110">
        <v>0.5</v>
      </c>
      <c r="L5110">
        <v>0</v>
      </c>
      <c r="M5110" t="s">
        <v>18</v>
      </c>
      <c r="N5110">
        <v>0</v>
      </c>
      <c r="O5110">
        <v>0</v>
      </c>
    </row>
    <row r="5111" spans="1:15" x14ac:dyDescent="0.2">
      <c r="A5111" s="6">
        <v>45804</v>
      </c>
      <c r="B5111" t="s">
        <v>15</v>
      </c>
      <c r="C5111" t="s">
        <v>16</v>
      </c>
      <c r="D5111" s="1">
        <v>45855</v>
      </c>
      <c r="E5111" t="s">
        <v>17</v>
      </c>
      <c r="F5111">
        <v>5950</v>
      </c>
      <c r="J5111">
        <v>22.8</v>
      </c>
      <c r="K5111">
        <v>31.6</v>
      </c>
      <c r="L5111">
        <v>0</v>
      </c>
      <c r="M5111" t="s">
        <v>18</v>
      </c>
      <c r="N5111">
        <v>0</v>
      </c>
      <c r="O5111">
        <v>0</v>
      </c>
    </row>
    <row r="5112" spans="1:15" x14ac:dyDescent="0.2">
      <c r="A5112" s="6">
        <v>45804</v>
      </c>
      <c r="B5112" t="s">
        <v>15</v>
      </c>
      <c r="C5112" t="s">
        <v>16</v>
      </c>
      <c r="D5112" s="1">
        <v>45855</v>
      </c>
      <c r="E5112" t="s">
        <v>17</v>
      </c>
      <c r="F5112">
        <v>4800</v>
      </c>
      <c r="J5112">
        <v>435.6</v>
      </c>
      <c r="K5112">
        <v>482.4</v>
      </c>
      <c r="L5112">
        <v>0</v>
      </c>
      <c r="M5112" t="s">
        <v>18</v>
      </c>
      <c r="N5112">
        <v>0</v>
      </c>
      <c r="O5112">
        <v>0</v>
      </c>
    </row>
    <row r="5113" spans="1:15" x14ac:dyDescent="0.2">
      <c r="A5113" s="6">
        <v>45804</v>
      </c>
      <c r="B5113" t="s">
        <v>15</v>
      </c>
      <c r="C5113" t="s">
        <v>16</v>
      </c>
      <c r="D5113" s="1">
        <v>45855</v>
      </c>
      <c r="E5113" t="s">
        <v>19</v>
      </c>
      <c r="F5113">
        <v>6550</v>
      </c>
      <c r="J5113">
        <v>1372.9</v>
      </c>
      <c r="K5113">
        <v>1320.7</v>
      </c>
      <c r="L5113">
        <v>0</v>
      </c>
      <c r="M5113" t="s">
        <v>18</v>
      </c>
      <c r="N5113">
        <v>0</v>
      </c>
      <c r="O5113">
        <v>0</v>
      </c>
    </row>
    <row r="5114" spans="1:15" x14ac:dyDescent="0.2">
      <c r="A5114" s="6">
        <v>45804</v>
      </c>
      <c r="B5114" t="s">
        <v>15</v>
      </c>
      <c r="C5114" t="s">
        <v>16</v>
      </c>
      <c r="D5114" s="1">
        <v>45855</v>
      </c>
      <c r="E5114" t="s">
        <v>17</v>
      </c>
      <c r="F5114">
        <v>4900</v>
      </c>
      <c r="J5114">
        <v>365</v>
      </c>
      <c r="K5114">
        <v>409.4</v>
      </c>
      <c r="L5114">
        <v>0</v>
      </c>
      <c r="M5114" t="s">
        <v>18</v>
      </c>
      <c r="N5114">
        <v>0</v>
      </c>
      <c r="O5114">
        <v>0</v>
      </c>
    </row>
    <row r="5115" spans="1:15" x14ac:dyDescent="0.2">
      <c r="A5115" s="6">
        <v>45804</v>
      </c>
      <c r="B5115" t="s">
        <v>15</v>
      </c>
      <c r="C5115" t="s">
        <v>16</v>
      </c>
      <c r="D5115" s="1">
        <v>45855</v>
      </c>
      <c r="E5115" t="s">
        <v>17</v>
      </c>
      <c r="F5115">
        <v>5700</v>
      </c>
      <c r="J5115">
        <v>51.4</v>
      </c>
      <c r="K5115">
        <v>66.900000000000006</v>
      </c>
      <c r="L5115">
        <v>0</v>
      </c>
      <c r="M5115" t="s">
        <v>18</v>
      </c>
      <c r="N5115">
        <v>0</v>
      </c>
      <c r="O5115">
        <v>0</v>
      </c>
    </row>
    <row r="5116" spans="1:15" x14ac:dyDescent="0.2">
      <c r="A5116" s="6">
        <v>45804</v>
      </c>
      <c r="B5116" t="s">
        <v>15</v>
      </c>
      <c r="C5116" t="s">
        <v>16</v>
      </c>
      <c r="D5116" s="1">
        <v>45855</v>
      </c>
      <c r="E5116" t="s">
        <v>17</v>
      </c>
      <c r="F5116">
        <v>6200</v>
      </c>
      <c r="J5116">
        <v>9.1999999999999993</v>
      </c>
      <c r="K5116">
        <v>13.8</v>
      </c>
      <c r="L5116">
        <v>0</v>
      </c>
      <c r="M5116" t="s">
        <v>18</v>
      </c>
      <c r="N5116">
        <v>0</v>
      </c>
      <c r="O5116">
        <v>0</v>
      </c>
    </row>
    <row r="5117" spans="1:15" x14ac:dyDescent="0.2">
      <c r="A5117" s="6">
        <v>45804</v>
      </c>
      <c r="B5117" t="s">
        <v>15</v>
      </c>
      <c r="C5117" t="s">
        <v>16</v>
      </c>
      <c r="D5117" s="1">
        <v>45855</v>
      </c>
      <c r="E5117" t="s">
        <v>17</v>
      </c>
      <c r="F5117">
        <v>4950</v>
      </c>
      <c r="J5117">
        <v>332.4</v>
      </c>
      <c r="K5117">
        <v>375.2</v>
      </c>
      <c r="L5117">
        <v>0</v>
      </c>
      <c r="M5117" t="s">
        <v>18</v>
      </c>
      <c r="N5117">
        <v>0</v>
      </c>
      <c r="O5117">
        <v>0</v>
      </c>
    </row>
    <row r="5118" spans="1:15" x14ac:dyDescent="0.2">
      <c r="A5118" s="6">
        <v>45804</v>
      </c>
      <c r="B5118" t="s">
        <v>15</v>
      </c>
      <c r="C5118" t="s">
        <v>16</v>
      </c>
      <c r="D5118" s="1">
        <v>45855</v>
      </c>
      <c r="E5118" t="s">
        <v>19</v>
      </c>
      <c r="F5118">
        <v>6150</v>
      </c>
      <c r="J5118">
        <v>985.4</v>
      </c>
      <c r="K5118">
        <v>936.9</v>
      </c>
      <c r="L5118">
        <v>0</v>
      </c>
      <c r="M5118" t="s">
        <v>18</v>
      </c>
      <c r="N5118">
        <v>0</v>
      </c>
      <c r="O5118">
        <v>0</v>
      </c>
    </row>
    <row r="5119" spans="1:15" x14ac:dyDescent="0.2">
      <c r="A5119" s="6">
        <v>45804</v>
      </c>
      <c r="B5119" t="s">
        <v>15</v>
      </c>
      <c r="C5119" t="s">
        <v>16</v>
      </c>
      <c r="D5119" s="1">
        <v>45855</v>
      </c>
      <c r="E5119" t="s">
        <v>17</v>
      </c>
      <c r="F5119">
        <v>5300</v>
      </c>
      <c r="G5119">
        <v>245</v>
      </c>
      <c r="H5119">
        <v>245</v>
      </c>
      <c r="I5119">
        <v>245</v>
      </c>
      <c r="J5119">
        <v>245</v>
      </c>
      <c r="K5119">
        <v>245</v>
      </c>
      <c r="L5119">
        <v>1</v>
      </c>
      <c r="M5119" t="s">
        <v>155</v>
      </c>
      <c r="N5119">
        <v>5.55</v>
      </c>
      <c r="O5119">
        <v>1</v>
      </c>
    </row>
    <row r="5120" spans="1:15" x14ac:dyDescent="0.2">
      <c r="A5120" s="6">
        <v>45804</v>
      </c>
      <c r="B5120" t="s">
        <v>15</v>
      </c>
      <c r="C5120" t="s">
        <v>16</v>
      </c>
      <c r="D5120" s="1">
        <v>45855</v>
      </c>
      <c r="E5120" t="s">
        <v>17</v>
      </c>
      <c r="F5120">
        <v>4450</v>
      </c>
      <c r="J5120">
        <v>727.1</v>
      </c>
      <c r="K5120">
        <v>779.1</v>
      </c>
      <c r="L5120">
        <v>0</v>
      </c>
      <c r="M5120" t="s">
        <v>18</v>
      </c>
      <c r="N5120">
        <v>0</v>
      </c>
      <c r="O5120">
        <v>0</v>
      </c>
    </row>
    <row r="5121" spans="1:15" x14ac:dyDescent="0.2">
      <c r="A5121" s="6">
        <v>45804</v>
      </c>
      <c r="B5121" t="s">
        <v>15</v>
      </c>
      <c r="C5121" t="s">
        <v>16</v>
      </c>
      <c r="D5121" s="1">
        <v>45855</v>
      </c>
      <c r="E5121" t="s">
        <v>17</v>
      </c>
      <c r="F5121">
        <v>4100</v>
      </c>
      <c r="J5121">
        <v>1059.5999999999999</v>
      </c>
      <c r="K5121">
        <v>1112.8</v>
      </c>
      <c r="L5121">
        <v>0</v>
      </c>
      <c r="M5121" t="s">
        <v>18</v>
      </c>
      <c r="N5121">
        <v>0</v>
      </c>
      <c r="O5121">
        <v>0</v>
      </c>
    </row>
    <row r="5122" spans="1:15" x14ac:dyDescent="0.2">
      <c r="A5122" s="6">
        <v>45804</v>
      </c>
      <c r="B5122" t="s">
        <v>15</v>
      </c>
      <c r="C5122" t="s">
        <v>16</v>
      </c>
      <c r="D5122" s="1">
        <v>45855</v>
      </c>
      <c r="E5122" t="s">
        <v>17</v>
      </c>
      <c r="F5122">
        <v>4400</v>
      </c>
      <c r="J5122">
        <v>773</v>
      </c>
      <c r="K5122">
        <v>825.3</v>
      </c>
      <c r="L5122">
        <v>0</v>
      </c>
      <c r="M5122" t="s">
        <v>18</v>
      </c>
      <c r="N5122">
        <v>0</v>
      </c>
      <c r="O5122">
        <v>0</v>
      </c>
    </row>
    <row r="5123" spans="1:15" x14ac:dyDescent="0.2">
      <c r="A5123" s="6">
        <v>45804</v>
      </c>
      <c r="B5123" t="s">
        <v>15</v>
      </c>
      <c r="C5123" t="s">
        <v>16</v>
      </c>
      <c r="D5123" s="1">
        <v>45855</v>
      </c>
      <c r="E5123" t="s">
        <v>17</v>
      </c>
      <c r="F5123">
        <v>4750</v>
      </c>
      <c r="J5123">
        <v>473.2</v>
      </c>
      <c r="K5123">
        <v>521.20000000000005</v>
      </c>
      <c r="L5123">
        <v>0</v>
      </c>
      <c r="M5123" t="s">
        <v>18</v>
      </c>
      <c r="N5123">
        <v>0</v>
      </c>
      <c r="O5123">
        <v>0</v>
      </c>
    </row>
    <row r="5124" spans="1:15" x14ac:dyDescent="0.2">
      <c r="A5124" s="6">
        <v>45804</v>
      </c>
      <c r="B5124" t="s">
        <v>15</v>
      </c>
      <c r="C5124" t="s">
        <v>16</v>
      </c>
      <c r="D5124" s="1">
        <v>45855</v>
      </c>
      <c r="E5124" t="s">
        <v>17</v>
      </c>
      <c r="F5124">
        <v>5000</v>
      </c>
      <c r="J5124">
        <v>301.5</v>
      </c>
      <c r="K5124">
        <v>342.8</v>
      </c>
      <c r="L5124">
        <v>0</v>
      </c>
      <c r="M5124" t="s">
        <v>18</v>
      </c>
      <c r="N5124">
        <v>0</v>
      </c>
      <c r="O5124">
        <v>0</v>
      </c>
    </row>
    <row r="5125" spans="1:15" x14ac:dyDescent="0.2">
      <c r="A5125" s="6">
        <v>45804</v>
      </c>
      <c r="B5125" t="s">
        <v>15</v>
      </c>
      <c r="C5125" t="s">
        <v>16</v>
      </c>
      <c r="D5125" s="1">
        <v>45855</v>
      </c>
      <c r="E5125" t="s">
        <v>17</v>
      </c>
      <c r="F5125">
        <v>4850</v>
      </c>
      <c r="J5125">
        <v>399.5</v>
      </c>
      <c r="K5125">
        <v>445.1</v>
      </c>
      <c r="L5125">
        <v>0</v>
      </c>
      <c r="M5125" t="s">
        <v>18</v>
      </c>
      <c r="N5125">
        <v>0</v>
      </c>
      <c r="O5125">
        <v>0</v>
      </c>
    </row>
    <row r="5126" spans="1:15" x14ac:dyDescent="0.2">
      <c r="A5126" s="6">
        <v>45804</v>
      </c>
      <c r="B5126" t="s">
        <v>15</v>
      </c>
      <c r="C5126" t="s">
        <v>16</v>
      </c>
      <c r="D5126" s="1">
        <v>45855</v>
      </c>
      <c r="E5126" t="s">
        <v>19</v>
      </c>
      <c r="F5126">
        <v>5250</v>
      </c>
      <c r="J5126">
        <v>257.2</v>
      </c>
      <c r="K5126">
        <v>235.9</v>
      </c>
      <c r="L5126">
        <v>0</v>
      </c>
      <c r="M5126" t="s">
        <v>18</v>
      </c>
      <c r="N5126">
        <v>0</v>
      </c>
      <c r="O5126">
        <v>0</v>
      </c>
    </row>
    <row r="5127" spans="1:15" x14ac:dyDescent="0.2">
      <c r="A5127" s="6">
        <v>45804</v>
      </c>
      <c r="B5127" t="s">
        <v>15</v>
      </c>
      <c r="C5127" t="s">
        <v>16</v>
      </c>
      <c r="D5127" s="1">
        <v>45855</v>
      </c>
      <c r="E5127" t="s">
        <v>17</v>
      </c>
      <c r="F5127">
        <v>3700</v>
      </c>
      <c r="J5127">
        <v>1454</v>
      </c>
      <c r="K5127">
        <v>1507.3</v>
      </c>
      <c r="L5127">
        <v>0</v>
      </c>
      <c r="M5127" t="s">
        <v>18</v>
      </c>
      <c r="N5127">
        <v>0</v>
      </c>
      <c r="O5127">
        <v>0</v>
      </c>
    </row>
    <row r="5128" spans="1:15" x14ac:dyDescent="0.2">
      <c r="A5128" s="6">
        <v>45804</v>
      </c>
      <c r="B5128" t="s">
        <v>15</v>
      </c>
      <c r="C5128" t="s">
        <v>16</v>
      </c>
      <c r="D5128" s="1">
        <v>45855</v>
      </c>
      <c r="E5128" t="s">
        <v>19</v>
      </c>
      <c r="F5128">
        <v>5200</v>
      </c>
      <c r="J5128">
        <v>229.2</v>
      </c>
      <c r="K5128">
        <v>209.9</v>
      </c>
      <c r="L5128">
        <v>0</v>
      </c>
      <c r="M5128" t="s">
        <v>18</v>
      </c>
      <c r="N5128">
        <v>0</v>
      </c>
      <c r="O5128">
        <v>3</v>
      </c>
    </row>
    <row r="5129" spans="1:15" x14ac:dyDescent="0.2">
      <c r="A5129" s="6">
        <v>45804</v>
      </c>
      <c r="B5129" t="s">
        <v>15</v>
      </c>
      <c r="C5129" t="s">
        <v>16</v>
      </c>
      <c r="D5129" s="1">
        <v>45855</v>
      </c>
      <c r="E5129" t="s">
        <v>17</v>
      </c>
      <c r="F5129">
        <v>4350</v>
      </c>
      <c r="J5129">
        <v>819.5</v>
      </c>
      <c r="K5129">
        <v>872.2</v>
      </c>
      <c r="L5129">
        <v>0</v>
      </c>
      <c r="M5129" t="s">
        <v>18</v>
      </c>
      <c r="N5129">
        <v>0</v>
      </c>
      <c r="O5129">
        <v>0</v>
      </c>
    </row>
    <row r="5130" spans="1:15" x14ac:dyDescent="0.2">
      <c r="A5130" s="6">
        <v>45804</v>
      </c>
      <c r="B5130" t="s">
        <v>15</v>
      </c>
      <c r="C5130" t="s">
        <v>16</v>
      </c>
      <c r="D5130" s="1">
        <v>45855</v>
      </c>
      <c r="E5130" t="s">
        <v>17</v>
      </c>
      <c r="F5130">
        <v>5750</v>
      </c>
      <c r="J5130">
        <v>44</v>
      </c>
      <c r="K5130">
        <v>58</v>
      </c>
      <c r="L5130">
        <v>0</v>
      </c>
      <c r="M5130" t="s">
        <v>18</v>
      </c>
      <c r="N5130">
        <v>0</v>
      </c>
      <c r="O5130">
        <v>0</v>
      </c>
    </row>
    <row r="5131" spans="1:15" x14ac:dyDescent="0.2">
      <c r="A5131" s="6">
        <v>45804</v>
      </c>
      <c r="B5131" t="s">
        <v>15</v>
      </c>
      <c r="C5131" t="s">
        <v>16</v>
      </c>
      <c r="D5131" s="1">
        <v>45855</v>
      </c>
      <c r="E5131" t="s">
        <v>19</v>
      </c>
      <c r="F5131">
        <v>4800</v>
      </c>
      <c r="J5131">
        <v>71.8</v>
      </c>
      <c r="K5131">
        <v>100</v>
      </c>
      <c r="L5131">
        <v>0</v>
      </c>
      <c r="M5131" t="s">
        <v>18</v>
      </c>
      <c r="N5131">
        <v>0</v>
      </c>
      <c r="O5131">
        <v>1</v>
      </c>
    </row>
    <row r="5132" spans="1:15" x14ac:dyDescent="0.2">
      <c r="A5132" s="6">
        <v>45804</v>
      </c>
      <c r="B5132" t="s">
        <v>15</v>
      </c>
      <c r="C5132" t="s">
        <v>16</v>
      </c>
      <c r="D5132" s="1">
        <v>45855</v>
      </c>
      <c r="E5132" t="s">
        <v>17</v>
      </c>
      <c r="F5132">
        <v>3800</v>
      </c>
      <c r="J5132">
        <v>1355</v>
      </c>
      <c r="K5132">
        <v>1408.3</v>
      </c>
      <c r="L5132">
        <v>0</v>
      </c>
      <c r="M5132" t="s">
        <v>18</v>
      </c>
      <c r="N5132">
        <v>0</v>
      </c>
      <c r="O5132">
        <v>0</v>
      </c>
    </row>
    <row r="5133" spans="1:15" x14ac:dyDescent="0.2">
      <c r="A5133" s="6">
        <v>45804</v>
      </c>
      <c r="B5133" t="s">
        <v>15</v>
      </c>
      <c r="C5133" t="s">
        <v>16</v>
      </c>
      <c r="D5133" s="1">
        <v>45855</v>
      </c>
      <c r="E5133" t="s">
        <v>19</v>
      </c>
      <c r="F5133">
        <v>5900</v>
      </c>
      <c r="J5133">
        <v>753.5</v>
      </c>
      <c r="K5133">
        <v>709.8</v>
      </c>
      <c r="L5133">
        <v>0</v>
      </c>
      <c r="M5133" t="s">
        <v>18</v>
      </c>
      <c r="N5133">
        <v>0</v>
      </c>
      <c r="O5133">
        <v>0</v>
      </c>
    </row>
    <row r="5134" spans="1:15" x14ac:dyDescent="0.2">
      <c r="A5134" s="6">
        <v>45804</v>
      </c>
      <c r="B5134" t="s">
        <v>15</v>
      </c>
      <c r="C5134" t="s">
        <v>16</v>
      </c>
      <c r="D5134" s="1">
        <v>45855</v>
      </c>
      <c r="E5134" t="s">
        <v>19</v>
      </c>
      <c r="F5134">
        <v>4600</v>
      </c>
      <c r="J5134">
        <v>33</v>
      </c>
      <c r="K5134">
        <v>30</v>
      </c>
      <c r="L5134">
        <v>0</v>
      </c>
      <c r="M5134" t="s">
        <v>18</v>
      </c>
      <c r="N5134">
        <v>0</v>
      </c>
      <c r="O5134">
        <v>0</v>
      </c>
    </row>
    <row r="5135" spans="1:15" x14ac:dyDescent="0.2">
      <c r="A5135" s="6">
        <v>45804</v>
      </c>
      <c r="B5135" t="s">
        <v>15</v>
      </c>
      <c r="C5135" t="s">
        <v>16</v>
      </c>
      <c r="D5135" s="1">
        <v>45855</v>
      </c>
      <c r="E5135" t="s">
        <v>17</v>
      </c>
      <c r="F5135">
        <v>5600</v>
      </c>
      <c r="J5135">
        <v>69.3</v>
      </c>
      <c r="K5135">
        <v>88.1</v>
      </c>
      <c r="L5135">
        <v>0</v>
      </c>
      <c r="M5135" t="s">
        <v>18</v>
      </c>
      <c r="N5135">
        <v>0</v>
      </c>
      <c r="O5135">
        <v>0</v>
      </c>
    </row>
    <row r="5136" spans="1:15" x14ac:dyDescent="0.2">
      <c r="A5136" s="6">
        <v>45804</v>
      </c>
      <c r="B5136" t="s">
        <v>15</v>
      </c>
      <c r="C5136" t="s">
        <v>16</v>
      </c>
      <c r="D5136" s="1">
        <v>45855</v>
      </c>
      <c r="E5136" t="s">
        <v>17</v>
      </c>
      <c r="F5136">
        <v>5550</v>
      </c>
      <c r="J5136">
        <v>80</v>
      </c>
      <c r="K5136">
        <v>100.7</v>
      </c>
      <c r="L5136">
        <v>0</v>
      </c>
      <c r="M5136" t="s">
        <v>18</v>
      </c>
      <c r="N5136">
        <v>0</v>
      </c>
      <c r="O5136">
        <v>0</v>
      </c>
    </row>
    <row r="5137" spans="1:15" x14ac:dyDescent="0.2">
      <c r="A5137" s="6">
        <v>45804</v>
      </c>
      <c r="B5137" t="s">
        <v>15</v>
      </c>
      <c r="C5137" t="s">
        <v>16</v>
      </c>
      <c r="D5137" s="1">
        <v>45855</v>
      </c>
      <c r="E5137" t="s">
        <v>19</v>
      </c>
      <c r="F5137">
        <v>6200</v>
      </c>
      <c r="J5137">
        <v>1033</v>
      </c>
      <c r="K5137">
        <v>983.9</v>
      </c>
      <c r="L5137">
        <v>0</v>
      </c>
      <c r="M5137" t="s">
        <v>18</v>
      </c>
      <c r="N5137">
        <v>0</v>
      </c>
      <c r="O5137">
        <v>0</v>
      </c>
    </row>
    <row r="5138" spans="1:15" x14ac:dyDescent="0.2">
      <c r="A5138" s="6">
        <v>45804</v>
      </c>
      <c r="B5138" t="s">
        <v>15</v>
      </c>
      <c r="C5138" t="s">
        <v>16</v>
      </c>
      <c r="D5138" s="1">
        <v>45855</v>
      </c>
      <c r="E5138" t="s">
        <v>19</v>
      </c>
      <c r="F5138">
        <v>3700</v>
      </c>
      <c r="J5138">
        <v>0.1</v>
      </c>
      <c r="K5138">
        <v>0.1</v>
      </c>
      <c r="L5138">
        <v>0</v>
      </c>
      <c r="M5138" t="s">
        <v>18</v>
      </c>
      <c r="N5138">
        <v>0</v>
      </c>
      <c r="O5138">
        <v>0</v>
      </c>
    </row>
    <row r="5139" spans="1:15" x14ac:dyDescent="0.2">
      <c r="A5139" s="6">
        <v>45804</v>
      </c>
      <c r="B5139" t="s">
        <v>15</v>
      </c>
      <c r="C5139" t="s">
        <v>16</v>
      </c>
      <c r="D5139" s="1">
        <v>45855</v>
      </c>
      <c r="E5139" t="s">
        <v>19</v>
      </c>
      <c r="F5139">
        <v>5050</v>
      </c>
      <c r="J5139">
        <v>156.5</v>
      </c>
      <c r="K5139">
        <v>142.69999999999999</v>
      </c>
      <c r="L5139">
        <v>0</v>
      </c>
      <c r="M5139" t="s">
        <v>18</v>
      </c>
      <c r="N5139">
        <v>0</v>
      </c>
      <c r="O5139">
        <v>0</v>
      </c>
    </row>
    <row r="5140" spans="1:15" x14ac:dyDescent="0.2">
      <c r="A5140" s="6">
        <v>45804</v>
      </c>
      <c r="B5140" t="s">
        <v>15</v>
      </c>
      <c r="C5140" t="s">
        <v>16</v>
      </c>
      <c r="D5140" s="1">
        <v>45855</v>
      </c>
      <c r="E5140" t="s">
        <v>19</v>
      </c>
      <c r="F5140">
        <v>4250</v>
      </c>
      <c r="J5140">
        <v>5.6</v>
      </c>
      <c r="K5140">
        <v>5.2</v>
      </c>
      <c r="L5140">
        <v>0</v>
      </c>
      <c r="M5140" t="s">
        <v>18</v>
      </c>
      <c r="N5140">
        <v>0</v>
      </c>
      <c r="O5140">
        <v>0</v>
      </c>
    </row>
    <row r="5141" spans="1:15" x14ac:dyDescent="0.2">
      <c r="A5141" s="6">
        <v>45804</v>
      </c>
      <c r="B5141" t="s">
        <v>15</v>
      </c>
      <c r="C5141" t="s">
        <v>16</v>
      </c>
      <c r="D5141" s="1">
        <v>45855</v>
      </c>
      <c r="E5141" t="s">
        <v>19</v>
      </c>
      <c r="F5141">
        <v>4450</v>
      </c>
      <c r="J5141">
        <v>16.5</v>
      </c>
      <c r="K5141">
        <v>15.1</v>
      </c>
      <c r="L5141">
        <v>0</v>
      </c>
      <c r="M5141" t="s">
        <v>18</v>
      </c>
      <c r="N5141">
        <v>0</v>
      </c>
      <c r="O5141">
        <v>0</v>
      </c>
    </row>
    <row r="5142" spans="1:15" x14ac:dyDescent="0.2">
      <c r="A5142" s="6">
        <v>45804</v>
      </c>
      <c r="B5142" t="s">
        <v>15</v>
      </c>
      <c r="C5142" t="s">
        <v>16</v>
      </c>
      <c r="D5142" s="1">
        <v>45855</v>
      </c>
      <c r="E5142" t="s">
        <v>17</v>
      </c>
      <c r="F5142">
        <v>3850</v>
      </c>
      <c r="J5142">
        <v>1305.5999999999999</v>
      </c>
      <c r="K5142">
        <v>1358.8</v>
      </c>
      <c r="L5142">
        <v>0</v>
      </c>
      <c r="M5142" t="s">
        <v>18</v>
      </c>
      <c r="N5142">
        <v>0</v>
      </c>
      <c r="O5142">
        <v>0</v>
      </c>
    </row>
    <row r="5143" spans="1:15" x14ac:dyDescent="0.2">
      <c r="A5143" s="6">
        <v>45804</v>
      </c>
      <c r="B5143" t="s">
        <v>15</v>
      </c>
      <c r="C5143" t="s">
        <v>16</v>
      </c>
      <c r="D5143" s="1">
        <v>45855</v>
      </c>
      <c r="E5143" t="s">
        <v>19</v>
      </c>
      <c r="F5143">
        <v>4950</v>
      </c>
      <c r="J5143">
        <v>117.3</v>
      </c>
      <c r="K5143">
        <v>106.7</v>
      </c>
      <c r="L5143">
        <v>0</v>
      </c>
      <c r="M5143" t="s">
        <v>18</v>
      </c>
      <c r="N5143">
        <v>0</v>
      </c>
      <c r="O5143">
        <v>0</v>
      </c>
    </row>
    <row r="5144" spans="1:15" x14ac:dyDescent="0.2">
      <c r="A5144" s="6">
        <v>45804</v>
      </c>
      <c r="B5144" t="s">
        <v>15</v>
      </c>
      <c r="C5144" t="s">
        <v>16</v>
      </c>
      <c r="D5144" s="1">
        <v>45855</v>
      </c>
      <c r="E5144" t="s">
        <v>19</v>
      </c>
      <c r="F5144">
        <v>5400</v>
      </c>
      <c r="J5144">
        <v>351.3</v>
      </c>
      <c r="K5144">
        <v>324.10000000000002</v>
      </c>
      <c r="L5144">
        <v>0</v>
      </c>
      <c r="M5144" t="s">
        <v>18</v>
      </c>
      <c r="N5144">
        <v>0</v>
      </c>
      <c r="O5144">
        <v>0</v>
      </c>
    </row>
    <row r="5145" spans="1:15" x14ac:dyDescent="0.2">
      <c r="A5145" s="6">
        <v>45804</v>
      </c>
      <c r="B5145" t="s">
        <v>15</v>
      </c>
      <c r="C5145" t="s">
        <v>16</v>
      </c>
      <c r="D5145" s="1">
        <v>45855</v>
      </c>
      <c r="E5145" t="s">
        <v>19</v>
      </c>
      <c r="F5145">
        <v>5300</v>
      </c>
      <c r="J5145">
        <v>286.8</v>
      </c>
      <c r="K5145">
        <v>263.60000000000002</v>
      </c>
      <c r="L5145">
        <v>0</v>
      </c>
      <c r="M5145" t="s">
        <v>18</v>
      </c>
      <c r="N5145">
        <v>0</v>
      </c>
      <c r="O5145">
        <v>3</v>
      </c>
    </row>
    <row r="5146" spans="1:15" x14ac:dyDescent="0.2">
      <c r="A5146" s="6">
        <v>45804</v>
      </c>
      <c r="B5146" t="s">
        <v>15</v>
      </c>
      <c r="C5146" t="s">
        <v>16</v>
      </c>
      <c r="D5146" s="1">
        <v>45855</v>
      </c>
      <c r="E5146" t="s">
        <v>19</v>
      </c>
      <c r="F5146">
        <v>5700</v>
      </c>
      <c r="J5146">
        <v>579.6</v>
      </c>
      <c r="K5146">
        <v>541.5</v>
      </c>
      <c r="L5146">
        <v>0</v>
      </c>
      <c r="M5146" t="s">
        <v>18</v>
      </c>
      <c r="N5146">
        <v>0</v>
      </c>
      <c r="O5146">
        <v>0</v>
      </c>
    </row>
    <row r="5147" spans="1:15" x14ac:dyDescent="0.2">
      <c r="A5147" s="6">
        <v>45804</v>
      </c>
      <c r="B5147" t="s">
        <v>15</v>
      </c>
      <c r="C5147" t="s">
        <v>16</v>
      </c>
      <c r="D5147" s="1">
        <v>45855</v>
      </c>
      <c r="E5147" t="s">
        <v>17</v>
      </c>
      <c r="F5147">
        <v>6550</v>
      </c>
      <c r="J5147">
        <v>2.2999999999999998</v>
      </c>
      <c r="K5147">
        <v>3.8</v>
      </c>
      <c r="L5147">
        <v>0</v>
      </c>
      <c r="M5147" t="s">
        <v>18</v>
      </c>
      <c r="N5147">
        <v>0</v>
      </c>
      <c r="O5147">
        <v>0</v>
      </c>
    </row>
    <row r="5148" spans="1:15" x14ac:dyDescent="0.2">
      <c r="A5148" s="6">
        <v>45804</v>
      </c>
      <c r="B5148" t="s">
        <v>15</v>
      </c>
      <c r="C5148" t="s">
        <v>16</v>
      </c>
      <c r="D5148" s="1">
        <v>45855</v>
      </c>
      <c r="E5148" t="s">
        <v>19</v>
      </c>
      <c r="F5148">
        <v>5800</v>
      </c>
      <c r="J5148">
        <v>664.9</v>
      </c>
      <c r="K5148">
        <v>623.79999999999995</v>
      </c>
      <c r="L5148">
        <v>0</v>
      </c>
      <c r="M5148" t="s">
        <v>18</v>
      </c>
      <c r="N5148">
        <v>0</v>
      </c>
      <c r="O5148">
        <v>0</v>
      </c>
    </row>
    <row r="5149" spans="1:15" x14ac:dyDescent="0.2">
      <c r="A5149" s="6">
        <v>45804</v>
      </c>
      <c r="B5149" t="s">
        <v>15</v>
      </c>
      <c r="C5149" t="s">
        <v>16</v>
      </c>
      <c r="D5149" s="1">
        <v>45855</v>
      </c>
      <c r="E5149" t="s">
        <v>19</v>
      </c>
      <c r="F5149">
        <v>5450</v>
      </c>
      <c r="J5149">
        <v>386</v>
      </c>
      <c r="K5149">
        <v>356.8</v>
      </c>
      <c r="L5149">
        <v>0</v>
      </c>
      <c r="M5149" t="s">
        <v>18</v>
      </c>
      <c r="N5149">
        <v>0</v>
      </c>
      <c r="O5149">
        <v>0</v>
      </c>
    </row>
    <row r="5150" spans="1:15" x14ac:dyDescent="0.2">
      <c r="A5150" s="6">
        <v>45804</v>
      </c>
      <c r="B5150" t="s">
        <v>15</v>
      </c>
      <c r="C5150" t="s">
        <v>16</v>
      </c>
      <c r="D5150" s="1">
        <v>45855</v>
      </c>
      <c r="E5150" t="s">
        <v>17</v>
      </c>
      <c r="F5150">
        <v>3600</v>
      </c>
      <c r="J5150">
        <v>1553.1</v>
      </c>
      <c r="K5150">
        <v>1606.3</v>
      </c>
      <c r="L5150">
        <v>0</v>
      </c>
      <c r="M5150" t="s">
        <v>18</v>
      </c>
      <c r="N5150">
        <v>0</v>
      </c>
      <c r="O5150">
        <v>0</v>
      </c>
    </row>
    <row r="5151" spans="1:15" x14ac:dyDescent="0.2">
      <c r="A5151" s="6">
        <v>45804</v>
      </c>
      <c r="B5151" t="s">
        <v>15</v>
      </c>
      <c r="C5151" t="s">
        <v>16</v>
      </c>
      <c r="D5151" s="1">
        <v>45855</v>
      </c>
      <c r="E5151" t="s">
        <v>19</v>
      </c>
      <c r="F5151">
        <v>4550</v>
      </c>
      <c r="J5151">
        <v>26.5</v>
      </c>
      <c r="K5151">
        <v>24.2</v>
      </c>
      <c r="L5151">
        <v>0</v>
      </c>
      <c r="M5151" t="s">
        <v>18</v>
      </c>
      <c r="N5151">
        <v>0</v>
      </c>
      <c r="O5151">
        <v>0</v>
      </c>
    </row>
    <row r="5152" spans="1:15" x14ac:dyDescent="0.2">
      <c r="A5152" s="6">
        <v>45804</v>
      </c>
      <c r="B5152" t="s">
        <v>15</v>
      </c>
      <c r="C5152" t="s">
        <v>16</v>
      </c>
      <c r="D5152" s="1">
        <v>45855</v>
      </c>
      <c r="E5152" t="s">
        <v>17</v>
      </c>
      <c r="F5152">
        <v>6050</v>
      </c>
      <c r="J5152">
        <v>16</v>
      </c>
      <c r="K5152">
        <v>22.9</v>
      </c>
      <c r="L5152">
        <v>0</v>
      </c>
      <c r="M5152" t="s">
        <v>18</v>
      </c>
      <c r="N5152">
        <v>0</v>
      </c>
      <c r="O5152">
        <v>0</v>
      </c>
    </row>
    <row r="5153" spans="1:15" x14ac:dyDescent="0.2">
      <c r="A5153" s="6">
        <v>45804</v>
      </c>
      <c r="B5153" t="s">
        <v>15</v>
      </c>
      <c r="C5153" t="s">
        <v>16</v>
      </c>
      <c r="D5153" s="1">
        <v>45855</v>
      </c>
      <c r="E5153" t="s">
        <v>19</v>
      </c>
      <c r="F5153">
        <v>4700</v>
      </c>
      <c r="J5153">
        <v>49.6</v>
      </c>
      <c r="K5153">
        <v>45.1</v>
      </c>
      <c r="L5153">
        <v>0</v>
      </c>
      <c r="M5153" t="s">
        <v>18</v>
      </c>
      <c r="N5153">
        <v>0</v>
      </c>
      <c r="O5153">
        <v>0</v>
      </c>
    </row>
    <row r="5154" spans="1:15" x14ac:dyDescent="0.2">
      <c r="A5154" s="6">
        <v>45804</v>
      </c>
      <c r="B5154" t="s">
        <v>15</v>
      </c>
      <c r="C5154" t="s">
        <v>16</v>
      </c>
      <c r="D5154" s="1">
        <v>45855</v>
      </c>
      <c r="E5154" t="s">
        <v>17</v>
      </c>
      <c r="F5154">
        <v>3750</v>
      </c>
      <c r="J5154">
        <v>1404.5</v>
      </c>
      <c r="K5154">
        <v>1457.8</v>
      </c>
      <c r="L5154">
        <v>0</v>
      </c>
      <c r="M5154" t="s">
        <v>18</v>
      </c>
      <c r="N5154">
        <v>0</v>
      </c>
      <c r="O5154">
        <v>0</v>
      </c>
    </row>
    <row r="5155" spans="1:15" x14ac:dyDescent="0.2">
      <c r="A5155" s="6">
        <v>45804</v>
      </c>
      <c r="B5155" t="s">
        <v>15</v>
      </c>
      <c r="C5155" t="s">
        <v>16</v>
      </c>
      <c r="D5155" s="1">
        <v>45855</v>
      </c>
      <c r="E5155" t="s">
        <v>17</v>
      </c>
      <c r="F5155">
        <v>6650</v>
      </c>
      <c r="J5155">
        <v>1.5</v>
      </c>
      <c r="K5155">
        <v>2.5</v>
      </c>
      <c r="L5155">
        <v>0</v>
      </c>
      <c r="M5155" t="s">
        <v>18</v>
      </c>
      <c r="N5155">
        <v>0</v>
      </c>
      <c r="O5155">
        <v>0</v>
      </c>
    </row>
    <row r="5156" spans="1:15" x14ac:dyDescent="0.2">
      <c r="A5156" s="6">
        <v>45804</v>
      </c>
      <c r="B5156" t="s">
        <v>15</v>
      </c>
      <c r="C5156" t="s">
        <v>16</v>
      </c>
      <c r="D5156" s="1">
        <v>45855</v>
      </c>
      <c r="E5156" t="s">
        <v>19</v>
      </c>
      <c r="F5156">
        <v>3750</v>
      </c>
      <c r="J5156">
        <v>0.1</v>
      </c>
      <c r="K5156">
        <v>0.1</v>
      </c>
      <c r="L5156">
        <v>0</v>
      </c>
      <c r="M5156" t="s">
        <v>18</v>
      </c>
      <c r="N5156">
        <v>0</v>
      </c>
      <c r="O5156">
        <v>0</v>
      </c>
    </row>
    <row r="5157" spans="1:15" x14ac:dyDescent="0.2">
      <c r="A5157" s="6">
        <v>45804</v>
      </c>
      <c r="B5157" t="s">
        <v>15</v>
      </c>
      <c r="C5157" t="s">
        <v>16</v>
      </c>
      <c r="D5157" s="1">
        <v>45855</v>
      </c>
      <c r="E5157" t="s">
        <v>19</v>
      </c>
      <c r="F5157">
        <v>6400</v>
      </c>
      <c r="J5157">
        <v>1226.2</v>
      </c>
      <c r="K5157">
        <v>1175</v>
      </c>
      <c r="L5157">
        <v>0</v>
      </c>
      <c r="M5157" t="s">
        <v>18</v>
      </c>
      <c r="N5157">
        <v>0</v>
      </c>
      <c r="O5157">
        <v>0</v>
      </c>
    </row>
    <row r="5158" spans="1:15" x14ac:dyDescent="0.2">
      <c r="A5158" s="6">
        <v>45804</v>
      </c>
      <c r="B5158" t="s">
        <v>15</v>
      </c>
      <c r="C5158" t="s">
        <v>16</v>
      </c>
      <c r="D5158" s="1">
        <v>45855</v>
      </c>
      <c r="E5158" t="s">
        <v>17</v>
      </c>
      <c r="F5158">
        <v>5900</v>
      </c>
      <c r="J5158">
        <v>27</v>
      </c>
      <c r="K5158">
        <v>37</v>
      </c>
      <c r="L5158">
        <v>0</v>
      </c>
      <c r="M5158" t="s">
        <v>18</v>
      </c>
      <c r="N5158">
        <v>0</v>
      </c>
      <c r="O5158">
        <v>0</v>
      </c>
    </row>
    <row r="5159" spans="1:15" x14ac:dyDescent="0.2">
      <c r="A5159" s="6">
        <v>45804</v>
      </c>
      <c r="B5159" t="s">
        <v>15</v>
      </c>
      <c r="C5159" t="s">
        <v>16</v>
      </c>
      <c r="D5159" s="1">
        <v>45855</v>
      </c>
      <c r="E5159" t="s">
        <v>17</v>
      </c>
      <c r="F5159">
        <v>5200</v>
      </c>
      <c r="J5159">
        <v>196.5</v>
      </c>
      <c r="K5159">
        <v>230.7</v>
      </c>
      <c r="L5159">
        <v>0</v>
      </c>
      <c r="M5159" t="s">
        <v>18</v>
      </c>
      <c r="N5159">
        <v>0</v>
      </c>
      <c r="O5159">
        <v>0</v>
      </c>
    </row>
    <row r="5160" spans="1:15" x14ac:dyDescent="0.2">
      <c r="A5160" s="6">
        <v>45804</v>
      </c>
      <c r="B5160" t="s">
        <v>15</v>
      </c>
      <c r="C5160" t="s">
        <v>16</v>
      </c>
      <c r="D5160" s="1">
        <v>45855</v>
      </c>
      <c r="E5160" t="s">
        <v>17</v>
      </c>
      <c r="F5160">
        <v>4150</v>
      </c>
      <c r="J5160">
        <v>1010.9</v>
      </c>
      <c r="K5160">
        <v>1064.0999999999999</v>
      </c>
      <c r="L5160">
        <v>0</v>
      </c>
      <c r="M5160" t="s">
        <v>18</v>
      </c>
      <c r="N5160">
        <v>0</v>
      </c>
      <c r="O5160">
        <v>0</v>
      </c>
    </row>
    <row r="5161" spans="1:15" x14ac:dyDescent="0.2">
      <c r="A5161" s="6">
        <v>45804</v>
      </c>
      <c r="B5161" t="s">
        <v>15</v>
      </c>
      <c r="C5161" t="s">
        <v>16</v>
      </c>
      <c r="D5161" s="1">
        <v>45855</v>
      </c>
      <c r="E5161" t="s">
        <v>17</v>
      </c>
      <c r="F5161">
        <v>4250</v>
      </c>
      <c r="J5161">
        <v>914.4</v>
      </c>
      <c r="K5161">
        <v>967.3</v>
      </c>
      <c r="L5161">
        <v>0</v>
      </c>
      <c r="M5161" t="s">
        <v>18</v>
      </c>
      <c r="N5161">
        <v>0</v>
      </c>
      <c r="O5161">
        <v>0</v>
      </c>
    </row>
    <row r="5162" spans="1:15" x14ac:dyDescent="0.2">
      <c r="A5162" s="6">
        <v>45804</v>
      </c>
      <c r="B5162" t="s">
        <v>15</v>
      </c>
      <c r="C5162" t="s">
        <v>16</v>
      </c>
      <c r="D5162" s="1">
        <v>45855</v>
      </c>
      <c r="E5162" t="s">
        <v>17</v>
      </c>
      <c r="F5162">
        <v>5050</v>
      </c>
      <c r="J5162">
        <v>272.5</v>
      </c>
      <c r="K5162">
        <v>312.10000000000002</v>
      </c>
      <c r="L5162">
        <v>0</v>
      </c>
      <c r="M5162" t="s">
        <v>18</v>
      </c>
      <c r="N5162">
        <v>0</v>
      </c>
      <c r="O5162">
        <v>0</v>
      </c>
    </row>
    <row r="5163" spans="1:15" x14ac:dyDescent="0.2">
      <c r="A5163" s="6">
        <v>45804</v>
      </c>
      <c r="B5163" t="s">
        <v>15</v>
      </c>
      <c r="C5163" t="s">
        <v>16</v>
      </c>
      <c r="D5163" s="1">
        <v>45855</v>
      </c>
      <c r="E5163" t="s">
        <v>17</v>
      </c>
      <c r="F5163">
        <v>4500</v>
      </c>
      <c r="J5163">
        <v>682.1</v>
      </c>
      <c r="K5163">
        <v>733.7</v>
      </c>
      <c r="L5163">
        <v>0</v>
      </c>
      <c r="M5163" t="s">
        <v>18</v>
      </c>
      <c r="N5163">
        <v>0</v>
      </c>
      <c r="O5163">
        <v>0</v>
      </c>
    </row>
    <row r="5164" spans="1:15" x14ac:dyDescent="0.2">
      <c r="A5164" s="6">
        <v>45804</v>
      </c>
      <c r="B5164" t="s">
        <v>15</v>
      </c>
      <c r="C5164" t="s">
        <v>16</v>
      </c>
      <c r="D5164" s="1">
        <v>45855</v>
      </c>
      <c r="E5164" t="s">
        <v>17</v>
      </c>
      <c r="F5164">
        <v>5500</v>
      </c>
      <c r="G5164">
        <v>150</v>
      </c>
      <c r="H5164">
        <v>150</v>
      </c>
      <c r="I5164">
        <v>150</v>
      </c>
      <c r="J5164">
        <v>150</v>
      </c>
      <c r="K5164">
        <v>114.5</v>
      </c>
      <c r="L5164">
        <v>1</v>
      </c>
      <c r="M5164" t="s">
        <v>155</v>
      </c>
      <c r="N5164">
        <v>5.65</v>
      </c>
      <c r="O5164">
        <v>1</v>
      </c>
    </row>
    <row r="5165" spans="1:15" x14ac:dyDescent="0.2">
      <c r="A5165" s="6">
        <v>45804</v>
      </c>
      <c r="B5165" t="s">
        <v>15</v>
      </c>
      <c r="C5165" t="s">
        <v>16</v>
      </c>
      <c r="D5165" s="1">
        <v>45855</v>
      </c>
      <c r="E5165" t="s">
        <v>19</v>
      </c>
      <c r="F5165">
        <v>5150</v>
      </c>
      <c r="J5165">
        <v>203.1</v>
      </c>
      <c r="K5165">
        <v>185.7</v>
      </c>
      <c r="L5165">
        <v>0</v>
      </c>
      <c r="M5165" t="s">
        <v>18</v>
      </c>
      <c r="N5165">
        <v>0</v>
      </c>
      <c r="O5165">
        <v>0</v>
      </c>
    </row>
    <row r="5166" spans="1:15" x14ac:dyDescent="0.2">
      <c r="A5166" s="6">
        <v>45804</v>
      </c>
      <c r="B5166" t="s">
        <v>15</v>
      </c>
      <c r="C5166" t="s">
        <v>16</v>
      </c>
      <c r="D5166" s="1">
        <v>45855</v>
      </c>
      <c r="E5166" t="s">
        <v>19</v>
      </c>
      <c r="F5166">
        <v>6250</v>
      </c>
      <c r="J5166">
        <v>1081</v>
      </c>
      <c r="K5166">
        <v>1031.2</v>
      </c>
      <c r="L5166">
        <v>0</v>
      </c>
      <c r="M5166" t="s">
        <v>18</v>
      </c>
      <c r="N5166">
        <v>0</v>
      </c>
      <c r="O5166">
        <v>0</v>
      </c>
    </row>
    <row r="5167" spans="1:15" x14ac:dyDescent="0.2">
      <c r="A5167" s="6">
        <v>45804</v>
      </c>
      <c r="B5167" t="s">
        <v>15</v>
      </c>
      <c r="C5167" t="s">
        <v>16</v>
      </c>
      <c r="D5167" s="1">
        <v>45855</v>
      </c>
      <c r="E5167" t="s">
        <v>17</v>
      </c>
      <c r="F5167">
        <v>5800</v>
      </c>
      <c r="J5167">
        <v>37.5</v>
      </c>
      <c r="K5167">
        <v>50.1</v>
      </c>
      <c r="L5167">
        <v>0</v>
      </c>
      <c r="M5167" t="s">
        <v>18</v>
      </c>
      <c r="N5167">
        <v>0</v>
      </c>
      <c r="O5167">
        <v>0</v>
      </c>
    </row>
    <row r="5168" spans="1:15" x14ac:dyDescent="0.2">
      <c r="A5168" s="6">
        <v>45804</v>
      </c>
      <c r="B5168" t="s">
        <v>15</v>
      </c>
      <c r="C5168" t="s">
        <v>16</v>
      </c>
      <c r="D5168" s="1">
        <v>45855</v>
      </c>
      <c r="E5168" t="s">
        <v>17</v>
      </c>
      <c r="F5168">
        <v>4550</v>
      </c>
      <c r="J5168">
        <v>638</v>
      </c>
      <c r="K5168">
        <v>689.1</v>
      </c>
      <c r="L5168">
        <v>0</v>
      </c>
      <c r="M5168" t="s">
        <v>18</v>
      </c>
      <c r="N5168">
        <v>0</v>
      </c>
      <c r="O5168">
        <v>0</v>
      </c>
    </row>
    <row r="5169" spans="1:15" x14ac:dyDescent="0.2">
      <c r="A5169" s="6">
        <v>45804</v>
      </c>
      <c r="B5169" t="s">
        <v>15</v>
      </c>
      <c r="C5169" t="s">
        <v>16</v>
      </c>
      <c r="D5169" s="1">
        <v>45855</v>
      </c>
      <c r="E5169" t="s">
        <v>17</v>
      </c>
      <c r="F5169">
        <v>5450</v>
      </c>
      <c r="J5169">
        <v>105.5</v>
      </c>
      <c r="K5169">
        <v>129.9</v>
      </c>
      <c r="L5169">
        <v>0</v>
      </c>
      <c r="M5169" t="s">
        <v>18</v>
      </c>
      <c r="N5169">
        <v>0</v>
      </c>
      <c r="O5169">
        <v>0</v>
      </c>
    </row>
    <row r="5170" spans="1:15" x14ac:dyDescent="0.2">
      <c r="A5170" s="6">
        <v>45804</v>
      </c>
      <c r="B5170" t="s">
        <v>15</v>
      </c>
      <c r="C5170" t="s">
        <v>16</v>
      </c>
      <c r="D5170" s="1">
        <v>45855</v>
      </c>
      <c r="E5170" t="s">
        <v>17</v>
      </c>
      <c r="F5170">
        <v>5150</v>
      </c>
      <c r="J5170">
        <v>220</v>
      </c>
      <c r="K5170">
        <v>256</v>
      </c>
      <c r="L5170">
        <v>0</v>
      </c>
      <c r="M5170" t="s">
        <v>18</v>
      </c>
      <c r="N5170">
        <v>0</v>
      </c>
      <c r="O5170">
        <v>0</v>
      </c>
    </row>
    <row r="5171" spans="1:15" x14ac:dyDescent="0.2">
      <c r="A5171" s="6">
        <v>45804</v>
      </c>
      <c r="B5171" t="s">
        <v>15</v>
      </c>
      <c r="C5171" t="s">
        <v>16</v>
      </c>
      <c r="D5171" s="1">
        <v>45855</v>
      </c>
      <c r="E5171" t="s">
        <v>17</v>
      </c>
      <c r="F5171">
        <v>6250</v>
      </c>
      <c r="J5171">
        <v>7.6</v>
      </c>
      <c r="K5171">
        <v>11.5</v>
      </c>
      <c r="L5171">
        <v>0</v>
      </c>
      <c r="M5171" t="s">
        <v>18</v>
      </c>
      <c r="N5171">
        <v>0</v>
      </c>
      <c r="O5171">
        <v>0</v>
      </c>
    </row>
    <row r="5172" spans="1:15" x14ac:dyDescent="0.2">
      <c r="A5172" s="6">
        <v>45804</v>
      </c>
      <c r="B5172" t="s">
        <v>15</v>
      </c>
      <c r="C5172" t="s">
        <v>16</v>
      </c>
      <c r="D5172" s="1">
        <v>45855</v>
      </c>
      <c r="E5172" t="s">
        <v>19</v>
      </c>
      <c r="F5172">
        <v>4650</v>
      </c>
      <c r="J5172">
        <v>40.700000000000003</v>
      </c>
      <c r="K5172">
        <v>37</v>
      </c>
      <c r="L5172">
        <v>0</v>
      </c>
      <c r="M5172" t="s">
        <v>18</v>
      </c>
      <c r="N5172">
        <v>0</v>
      </c>
      <c r="O5172">
        <v>0</v>
      </c>
    </row>
    <row r="5173" spans="1:15" x14ac:dyDescent="0.2">
      <c r="A5173" s="6">
        <v>45804</v>
      </c>
      <c r="B5173" t="s">
        <v>15</v>
      </c>
      <c r="C5173" t="s">
        <v>16</v>
      </c>
      <c r="D5173" s="1">
        <v>45855</v>
      </c>
      <c r="E5173" t="s">
        <v>17</v>
      </c>
      <c r="F5173">
        <v>4000</v>
      </c>
      <c r="J5173">
        <v>1157.5999999999999</v>
      </c>
      <c r="K5173">
        <v>1210.9000000000001</v>
      </c>
      <c r="L5173">
        <v>0</v>
      </c>
      <c r="M5173" t="s">
        <v>18</v>
      </c>
      <c r="N5173">
        <v>0</v>
      </c>
      <c r="O5173">
        <v>0</v>
      </c>
    </row>
    <row r="5174" spans="1:15" x14ac:dyDescent="0.2">
      <c r="A5174" s="6">
        <v>45804</v>
      </c>
      <c r="B5174" t="s">
        <v>15</v>
      </c>
      <c r="C5174" t="s">
        <v>16</v>
      </c>
      <c r="D5174" s="1">
        <v>45855</v>
      </c>
      <c r="E5174" t="s">
        <v>17</v>
      </c>
      <c r="F5174">
        <v>4050</v>
      </c>
      <c r="J5174">
        <v>1108.5</v>
      </c>
      <c r="K5174">
        <v>1161.8</v>
      </c>
      <c r="L5174">
        <v>0</v>
      </c>
      <c r="M5174" t="s">
        <v>18</v>
      </c>
      <c r="N5174">
        <v>0</v>
      </c>
      <c r="O5174">
        <v>0</v>
      </c>
    </row>
    <row r="5175" spans="1:15" x14ac:dyDescent="0.2">
      <c r="A5175" s="6">
        <v>45804</v>
      </c>
      <c r="B5175" t="s">
        <v>15</v>
      </c>
      <c r="C5175" t="s">
        <v>16</v>
      </c>
      <c r="D5175" s="1">
        <v>45855</v>
      </c>
      <c r="E5175" t="s">
        <v>17</v>
      </c>
      <c r="F5175">
        <v>6350</v>
      </c>
      <c r="J5175">
        <v>5.2</v>
      </c>
      <c r="K5175">
        <v>8</v>
      </c>
      <c r="L5175">
        <v>0</v>
      </c>
      <c r="M5175" t="s">
        <v>18</v>
      </c>
      <c r="N5175">
        <v>0</v>
      </c>
      <c r="O5175">
        <v>0</v>
      </c>
    </row>
    <row r="5176" spans="1:15" x14ac:dyDescent="0.2">
      <c r="A5176" s="6">
        <v>45804</v>
      </c>
      <c r="B5176" t="s">
        <v>15</v>
      </c>
      <c r="C5176" t="s">
        <v>16</v>
      </c>
      <c r="D5176" s="1">
        <v>45855</v>
      </c>
      <c r="E5176" t="s">
        <v>19</v>
      </c>
      <c r="F5176">
        <v>4400</v>
      </c>
      <c r="J5176">
        <v>12.8</v>
      </c>
      <c r="K5176">
        <v>11.8</v>
      </c>
      <c r="L5176">
        <v>0</v>
      </c>
      <c r="M5176" t="s">
        <v>18</v>
      </c>
      <c r="N5176">
        <v>0</v>
      </c>
      <c r="O5176">
        <v>0</v>
      </c>
    </row>
    <row r="5177" spans="1:15" x14ac:dyDescent="0.2">
      <c r="A5177" s="6">
        <v>45804</v>
      </c>
      <c r="B5177" t="s">
        <v>15</v>
      </c>
      <c r="C5177" t="s">
        <v>16</v>
      </c>
      <c r="D5177" s="1">
        <v>45855</v>
      </c>
      <c r="E5177" t="s">
        <v>19</v>
      </c>
      <c r="F5177">
        <v>5350</v>
      </c>
      <c r="J5177">
        <v>318.3</v>
      </c>
      <c r="K5177">
        <v>293</v>
      </c>
      <c r="L5177">
        <v>0</v>
      </c>
      <c r="M5177" t="s">
        <v>18</v>
      </c>
      <c r="N5177">
        <v>0</v>
      </c>
      <c r="O5177">
        <v>0</v>
      </c>
    </row>
    <row r="5178" spans="1:15" x14ac:dyDescent="0.2">
      <c r="A5178" s="6">
        <v>45804</v>
      </c>
      <c r="B5178" t="s">
        <v>15</v>
      </c>
      <c r="C5178" t="s">
        <v>16</v>
      </c>
      <c r="D5178" s="1">
        <v>45855</v>
      </c>
      <c r="E5178" t="s">
        <v>19</v>
      </c>
      <c r="F5178">
        <v>4500</v>
      </c>
      <c r="J5178">
        <v>21</v>
      </c>
      <c r="K5178">
        <v>19.2</v>
      </c>
      <c r="L5178">
        <v>0</v>
      </c>
      <c r="M5178" t="s">
        <v>18</v>
      </c>
      <c r="N5178">
        <v>0</v>
      </c>
      <c r="O5178">
        <v>0</v>
      </c>
    </row>
    <row r="5179" spans="1:15" x14ac:dyDescent="0.2">
      <c r="A5179" s="6">
        <v>45804</v>
      </c>
      <c r="B5179" t="s">
        <v>15</v>
      </c>
      <c r="C5179" t="s">
        <v>16</v>
      </c>
      <c r="D5179" s="1">
        <v>45855</v>
      </c>
      <c r="E5179" t="s">
        <v>19</v>
      </c>
      <c r="F5179">
        <v>4100</v>
      </c>
      <c r="J5179">
        <v>2.1</v>
      </c>
      <c r="K5179">
        <v>2</v>
      </c>
      <c r="L5179">
        <v>0</v>
      </c>
      <c r="M5179" t="s">
        <v>18</v>
      </c>
      <c r="N5179">
        <v>0</v>
      </c>
      <c r="O5179">
        <v>0</v>
      </c>
    </row>
    <row r="5180" spans="1:15" x14ac:dyDescent="0.2">
      <c r="A5180" s="6">
        <v>45804</v>
      </c>
      <c r="B5180" t="s">
        <v>15</v>
      </c>
      <c r="C5180" t="s">
        <v>16</v>
      </c>
      <c r="D5180" s="1">
        <v>45855</v>
      </c>
      <c r="E5180" t="s">
        <v>17</v>
      </c>
      <c r="F5180">
        <v>6300</v>
      </c>
      <c r="J5180">
        <v>6.3</v>
      </c>
      <c r="K5180">
        <v>9.6</v>
      </c>
      <c r="L5180">
        <v>0</v>
      </c>
      <c r="M5180" t="s">
        <v>18</v>
      </c>
      <c r="N5180">
        <v>0</v>
      </c>
      <c r="O5180">
        <v>0</v>
      </c>
    </row>
    <row r="5181" spans="1:15" x14ac:dyDescent="0.2">
      <c r="A5181" s="6">
        <v>45804</v>
      </c>
      <c r="B5181" t="s">
        <v>15</v>
      </c>
      <c r="C5181" t="s">
        <v>16</v>
      </c>
      <c r="D5181" s="1">
        <v>45855</v>
      </c>
      <c r="E5181" t="s">
        <v>17</v>
      </c>
      <c r="F5181">
        <v>6500</v>
      </c>
      <c r="J5181">
        <v>2.8</v>
      </c>
      <c r="K5181">
        <v>4.5999999999999996</v>
      </c>
      <c r="L5181">
        <v>0</v>
      </c>
      <c r="M5181" t="s">
        <v>18</v>
      </c>
      <c r="N5181">
        <v>0</v>
      </c>
      <c r="O5181">
        <v>0</v>
      </c>
    </row>
    <row r="5182" spans="1:15" x14ac:dyDescent="0.2">
      <c r="A5182" s="6">
        <v>45804</v>
      </c>
      <c r="B5182" t="s">
        <v>15</v>
      </c>
      <c r="C5182" t="s">
        <v>16</v>
      </c>
      <c r="D5182" s="1">
        <v>45855</v>
      </c>
      <c r="E5182" t="s">
        <v>19</v>
      </c>
      <c r="F5182">
        <v>3650</v>
      </c>
      <c r="J5182">
        <v>0.1</v>
      </c>
      <c r="K5182">
        <v>0.1</v>
      </c>
      <c r="L5182">
        <v>0</v>
      </c>
      <c r="M5182" t="s">
        <v>18</v>
      </c>
      <c r="N5182">
        <v>0</v>
      </c>
      <c r="O5182">
        <v>0</v>
      </c>
    </row>
    <row r="5183" spans="1:15" x14ac:dyDescent="0.2">
      <c r="A5183" s="6">
        <v>45804</v>
      </c>
      <c r="B5183" t="s">
        <v>15</v>
      </c>
      <c r="C5183" t="s">
        <v>16</v>
      </c>
      <c r="D5183" s="1">
        <v>45855</v>
      </c>
      <c r="E5183" t="s">
        <v>17</v>
      </c>
      <c r="F5183">
        <v>4600</v>
      </c>
      <c r="J5183">
        <v>594.9</v>
      </c>
      <c r="K5183">
        <v>645.4</v>
      </c>
      <c r="L5183">
        <v>0</v>
      </c>
      <c r="M5183" t="s">
        <v>18</v>
      </c>
      <c r="N5183">
        <v>0</v>
      </c>
      <c r="O5183">
        <v>0</v>
      </c>
    </row>
    <row r="5184" spans="1:15" x14ac:dyDescent="0.2">
      <c r="A5184" s="6">
        <v>45804</v>
      </c>
      <c r="B5184" t="s">
        <v>15</v>
      </c>
      <c r="C5184" t="s">
        <v>16</v>
      </c>
      <c r="D5184" s="1">
        <v>45855</v>
      </c>
      <c r="E5184" t="s">
        <v>17</v>
      </c>
      <c r="F5184">
        <v>3650</v>
      </c>
      <c r="J5184">
        <v>1503.5</v>
      </c>
      <c r="K5184">
        <v>1556.8</v>
      </c>
      <c r="L5184">
        <v>0</v>
      </c>
      <c r="M5184" t="s">
        <v>18</v>
      </c>
      <c r="N5184">
        <v>0</v>
      </c>
      <c r="O5184">
        <v>0</v>
      </c>
    </row>
    <row r="5185" spans="1:15" x14ac:dyDescent="0.2">
      <c r="A5185" s="6">
        <v>45804</v>
      </c>
      <c r="B5185" t="s">
        <v>15</v>
      </c>
      <c r="C5185" t="s">
        <v>16</v>
      </c>
      <c r="D5185" s="1">
        <v>45855</v>
      </c>
      <c r="E5185" t="s">
        <v>17</v>
      </c>
      <c r="F5185">
        <v>5350</v>
      </c>
      <c r="J5185">
        <v>136.9</v>
      </c>
      <c r="K5185">
        <v>165.2</v>
      </c>
      <c r="L5185">
        <v>0</v>
      </c>
      <c r="M5185" t="s">
        <v>18</v>
      </c>
      <c r="N5185">
        <v>0</v>
      </c>
      <c r="O5185">
        <v>0</v>
      </c>
    </row>
    <row r="5186" spans="1:15" x14ac:dyDescent="0.2">
      <c r="A5186" s="6">
        <v>45804</v>
      </c>
      <c r="B5186" t="s">
        <v>15</v>
      </c>
      <c r="C5186" t="s">
        <v>16</v>
      </c>
      <c r="D5186" s="1">
        <v>45855</v>
      </c>
      <c r="E5186" t="s">
        <v>17</v>
      </c>
      <c r="F5186">
        <v>6100</v>
      </c>
      <c r="J5186">
        <v>13.4</v>
      </c>
      <c r="K5186">
        <v>19.399999999999999</v>
      </c>
      <c r="L5186">
        <v>0</v>
      </c>
      <c r="M5186" t="s">
        <v>18</v>
      </c>
      <c r="N5186">
        <v>0</v>
      </c>
      <c r="O5186">
        <v>0</v>
      </c>
    </row>
    <row r="5187" spans="1:15" x14ac:dyDescent="0.2">
      <c r="A5187" s="6">
        <v>45804</v>
      </c>
      <c r="B5187" t="s">
        <v>15</v>
      </c>
      <c r="C5187" t="s">
        <v>16</v>
      </c>
      <c r="D5187" s="1">
        <v>45855</v>
      </c>
      <c r="E5187" t="s">
        <v>19</v>
      </c>
      <c r="F5187">
        <v>4850</v>
      </c>
      <c r="J5187">
        <v>85.3</v>
      </c>
      <c r="K5187">
        <v>77.5</v>
      </c>
      <c r="L5187">
        <v>0</v>
      </c>
      <c r="M5187" t="s">
        <v>18</v>
      </c>
      <c r="N5187">
        <v>0</v>
      </c>
      <c r="O5187">
        <v>0</v>
      </c>
    </row>
    <row r="5188" spans="1:15" x14ac:dyDescent="0.2">
      <c r="A5188" s="6">
        <v>45804</v>
      </c>
      <c r="B5188" t="s">
        <v>15</v>
      </c>
      <c r="C5188" t="s">
        <v>16</v>
      </c>
      <c r="D5188" s="1">
        <v>45855</v>
      </c>
      <c r="E5188" t="s">
        <v>19</v>
      </c>
      <c r="F5188">
        <v>5600</v>
      </c>
      <c r="J5188">
        <v>498.4</v>
      </c>
      <c r="K5188">
        <v>463.7</v>
      </c>
      <c r="L5188">
        <v>0</v>
      </c>
      <c r="M5188" t="s">
        <v>18</v>
      </c>
      <c r="N5188">
        <v>0</v>
      </c>
      <c r="O5188">
        <v>0</v>
      </c>
    </row>
    <row r="5189" spans="1:15" x14ac:dyDescent="0.2">
      <c r="A5189" s="6">
        <v>45804</v>
      </c>
      <c r="B5189" t="s">
        <v>15</v>
      </c>
      <c r="C5189" t="s">
        <v>16</v>
      </c>
      <c r="D5189" s="1">
        <v>45855</v>
      </c>
      <c r="E5189" t="s">
        <v>19</v>
      </c>
      <c r="F5189">
        <v>4000</v>
      </c>
      <c r="J5189">
        <v>1</v>
      </c>
      <c r="K5189">
        <v>1</v>
      </c>
      <c r="L5189">
        <v>0</v>
      </c>
      <c r="M5189" t="s">
        <v>18</v>
      </c>
      <c r="N5189">
        <v>0</v>
      </c>
      <c r="O5189">
        <v>0</v>
      </c>
    </row>
    <row r="5190" spans="1:15" x14ac:dyDescent="0.2">
      <c r="A5190" s="6">
        <v>45804</v>
      </c>
      <c r="B5190" t="s">
        <v>15</v>
      </c>
      <c r="C5190" t="s">
        <v>16</v>
      </c>
      <c r="D5190" s="1">
        <v>45855</v>
      </c>
      <c r="E5190" t="s">
        <v>19</v>
      </c>
      <c r="F5190">
        <v>6350</v>
      </c>
      <c r="J5190">
        <v>1177.5999999999999</v>
      </c>
      <c r="K5190">
        <v>1126.8</v>
      </c>
      <c r="L5190">
        <v>0</v>
      </c>
      <c r="M5190" t="s">
        <v>18</v>
      </c>
      <c r="N5190">
        <v>0</v>
      </c>
      <c r="O5190">
        <v>0</v>
      </c>
    </row>
    <row r="5191" spans="1:15" x14ac:dyDescent="0.2">
      <c r="A5191" s="6">
        <v>45804</v>
      </c>
      <c r="B5191" t="s">
        <v>15</v>
      </c>
      <c r="C5191" t="s">
        <v>16</v>
      </c>
      <c r="D5191" s="1">
        <v>45855</v>
      </c>
      <c r="E5191" t="s">
        <v>19</v>
      </c>
      <c r="F5191">
        <v>5650</v>
      </c>
      <c r="J5191">
        <v>538.5</v>
      </c>
      <c r="K5191">
        <v>502</v>
      </c>
      <c r="L5191">
        <v>0</v>
      </c>
      <c r="M5191" t="s">
        <v>18</v>
      </c>
      <c r="N5191">
        <v>0</v>
      </c>
      <c r="O5191">
        <v>0</v>
      </c>
    </row>
    <row r="5192" spans="1:15" x14ac:dyDescent="0.2">
      <c r="A5192" s="6">
        <v>45804</v>
      </c>
      <c r="B5192" t="s">
        <v>15</v>
      </c>
      <c r="C5192" t="s">
        <v>16</v>
      </c>
      <c r="D5192" s="1">
        <v>45855</v>
      </c>
      <c r="E5192" t="s">
        <v>17</v>
      </c>
      <c r="F5192">
        <v>3950</v>
      </c>
      <c r="J5192">
        <v>1206.9000000000001</v>
      </c>
      <c r="K5192">
        <v>1260.0999999999999</v>
      </c>
      <c r="L5192">
        <v>0</v>
      </c>
      <c r="M5192" t="s">
        <v>18</v>
      </c>
      <c r="N5192">
        <v>0</v>
      </c>
      <c r="O5192">
        <v>0</v>
      </c>
    </row>
    <row r="5193" spans="1:15" x14ac:dyDescent="0.2">
      <c r="A5193" s="6">
        <v>45804</v>
      </c>
      <c r="B5193" t="s">
        <v>15</v>
      </c>
      <c r="C5193" t="s">
        <v>16</v>
      </c>
      <c r="D5193" s="1">
        <v>45855</v>
      </c>
      <c r="E5193" t="s">
        <v>19</v>
      </c>
      <c r="F5193">
        <v>4050</v>
      </c>
      <c r="J5193">
        <v>1.5</v>
      </c>
      <c r="K5193">
        <v>1.4</v>
      </c>
      <c r="L5193">
        <v>0</v>
      </c>
      <c r="M5193" t="s">
        <v>18</v>
      </c>
      <c r="N5193">
        <v>0</v>
      </c>
      <c r="O5193">
        <v>0</v>
      </c>
    </row>
    <row r="5194" spans="1:15" x14ac:dyDescent="0.2">
      <c r="A5194" s="6">
        <v>45804</v>
      </c>
      <c r="B5194" t="s">
        <v>15</v>
      </c>
      <c r="C5194" t="s">
        <v>16</v>
      </c>
      <c r="D5194" s="1">
        <v>45855</v>
      </c>
      <c r="E5194" t="s">
        <v>19</v>
      </c>
      <c r="F5194">
        <v>5750</v>
      </c>
      <c r="J5194">
        <v>621.79999999999995</v>
      </c>
      <c r="K5194">
        <v>582.20000000000005</v>
      </c>
      <c r="L5194">
        <v>0</v>
      </c>
      <c r="M5194" t="s">
        <v>18</v>
      </c>
      <c r="N5194">
        <v>0</v>
      </c>
      <c r="O5194">
        <v>0</v>
      </c>
    </row>
    <row r="5195" spans="1:15" x14ac:dyDescent="0.2">
      <c r="A5195" s="6">
        <v>45804</v>
      </c>
      <c r="B5195" t="s">
        <v>15</v>
      </c>
      <c r="C5195" t="s">
        <v>16</v>
      </c>
      <c r="D5195" s="1">
        <v>45855</v>
      </c>
      <c r="E5195" t="s">
        <v>19</v>
      </c>
      <c r="F5195">
        <v>5500</v>
      </c>
      <c r="J5195">
        <v>422.1</v>
      </c>
      <c r="K5195">
        <v>391</v>
      </c>
      <c r="L5195">
        <v>0</v>
      </c>
      <c r="M5195" t="s">
        <v>18</v>
      </c>
      <c r="N5195">
        <v>0</v>
      </c>
      <c r="O5195">
        <v>0</v>
      </c>
    </row>
    <row r="5196" spans="1:15" x14ac:dyDescent="0.2">
      <c r="A5196" s="6">
        <v>45804</v>
      </c>
      <c r="B5196" t="s">
        <v>15</v>
      </c>
      <c r="C5196" t="s">
        <v>16</v>
      </c>
      <c r="D5196" s="1">
        <v>45855</v>
      </c>
      <c r="E5196" t="s">
        <v>19</v>
      </c>
      <c r="F5196">
        <v>6100</v>
      </c>
      <c r="J5196">
        <v>938.1</v>
      </c>
      <c r="K5196">
        <v>890.4</v>
      </c>
      <c r="L5196">
        <v>0</v>
      </c>
      <c r="M5196" t="s">
        <v>18</v>
      </c>
      <c r="N5196">
        <v>0</v>
      </c>
      <c r="O5196">
        <v>0</v>
      </c>
    </row>
    <row r="5197" spans="1:15" x14ac:dyDescent="0.2">
      <c r="A5197" s="6">
        <v>45804</v>
      </c>
      <c r="B5197" t="s">
        <v>15</v>
      </c>
      <c r="C5197" t="s">
        <v>16</v>
      </c>
      <c r="D5197" s="1">
        <v>45855</v>
      </c>
      <c r="E5197" t="s">
        <v>19</v>
      </c>
      <c r="F5197">
        <v>3800</v>
      </c>
      <c r="J5197">
        <v>0.2</v>
      </c>
      <c r="K5197">
        <v>0.2</v>
      </c>
      <c r="L5197">
        <v>0</v>
      </c>
      <c r="M5197" t="s">
        <v>18</v>
      </c>
      <c r="N5197">
        <v>0</v>
      </c>
      <c r="O5197">
        <v>0</v>
      </c>
    </row>
    <row r="5198" spans="1:15" x14ac:dyDescent="0.2">
      <c r="A5198" s="6">
        <v>45804</v>
      </c>
      <c r="B5198" t="s">
        <v>15</v>
      </c>
      <c r="C5198" t="s">
        <v>16</v>
      </c>
      <c r="D5198" s="1">
        <v>45855</v>
      </c>
      <c r="E5198" t="s">
        <v>17</v>
      </c>
      <c r="F5198">
        <v>6000</v>
      </c>
      <c r="J5198">
        <v>19.100000000000001</v>
      </c>
      <c r="K5198">
        <v>26.9</v>
      </c>
      <c r="L5198">
        <v>0</v>
      </c>
      <c r="M5198" t="s">
        <v>18</v>
      </c>
      <c r="N5198">
        <v>0</v>
      </c>
      <c r="O5198">
        <v>1</v>
      </c>
    </row>
    <row r="5199" spans="1:15" x14ac:dyDescent="0.2">
      <c r="A5199" s="6">
        <v>45804</v>
      </c>
      <c r="B5199" t="s">
        <v>15</v>
      </c>
      <c r="C5199" t="s">
        <v>16</v>
      </c>
      <c r="D5199" s="1">
        <v>45855</v>
      </c>
      <c r="E5199" t="s">
        <v>19</v>
      </c>
      <c r="F5199">
        <v>4150</v>
      </c>
      <c r="J5199">
        <v>3</v>
      </c>
      <c r="K5199">
        <v>2.8</v>
      </c>
      <c r="L5199">
        <v>0</v>
      </c>
      <c r="M5199" t="s">
        <v>18</v>
      </c>
      <c r="N5199">
        <v>0</v>
      </c>
      <c r="O5199">
        <v>0</v>
      </c>
    </row>
    <row r="5200" spans="1:15" x14ac:dyDescent="0.2">
      <c r="A5200" s="6">
        <v>45804</v>
      </c>
      <c r="B5200" t="s">
        <v>15</v>
      </c>
      <c r="C5200" t="s">
        <v>16</v>
      </c>
      <c r="D5200" s="1">
        <v>45855</v>
      </c>
      <c r="E5200" t="s">
        <v>19</v>
      </c>
      <c r="F5200">
        <v>5000</v>
      </c>
      <c r="J5200">
        <v>136</v>
      </c>
      <c r="K5200">
        <v>138.19999999999999</v>
      </c>
      <c r="L5200">
        <v>0</v>
      </c>
      <c r="M5200" t="s">
        <v>18</v>
      </c>
      <c r="N5200">
        <v>0</v>
      </c>
      <c r="O5200">
        <v>1</v>
      </c>
    </row>
    <row r="5201" spans="1:15" x14ac:dyDescent="0.2">
      <c r="A5201" s="6">
        <v>45804</v>
      </c>
      <c r="B5201" t="s">
        <v>15</v>
      </c>
      <c r="C5201" t="s">
        <v>16</v>
      </c>
      <c r="D5201" s="1">
        <v>45855</v>
      </c>
      <c r="E5201" t="s">
        <v>19</v>
      </c>
      <c r="F5201">
        <v>5950</v>
      </c>
      <c r="J5201">
        <v>798.8</v>
      </c>
      <c r="K5201">
        <v>754</v>
      </c>
      <c r="L5201">
        <v>0</v>
      </c>
      <c r="M5201" t="s">
        <v>18</v>
      </c>
      <c r="N5201">
        <v>0</v>
      </c>
      <c r="O5201">
        <v>0</v>
      </c>
    </row>
    <row r="5202" spans="1:15" x14ac:dyDescent="0.2">
      <c r="A5202" s="6">
        <v>45804</v>
      </c>
      <c r="B5202" t="s">
        <v>15</v>
      </c>
      <c r="C5202" t="s">
        <v>16</v>
      </c>
      <c r="D5202" s="1">
        <v>45855</v>
      </c>
      <c r="E5202" t="s">
        <v>17</v>
      </c>
      <c r="F5202">
        <v>6450</v>
      </c>
      <c r="J5202">
        <v>3.4</v>
      </c>
      <c r="K5202">
        <v>5.5</v>
      </c>
      <c r="L5202">
        <v>0</v>
      </c>
      <c r="M5202" t="s">
        <v>18</v>
      </c>
      <c r="N5202">
        <v>0</v>
      </c>
      <c r="O5202">
        <v>0</v>
      </c>
    </row>
    <row r="5203" spans="1:15" x14ac:dyDescent="0.2">
      <c r="A5203" s="6">
        <v>45804</v>
      </c>
      <c r="B5203" t="s">
        <v>15</v>
      </c>
      <c r="C5203" t="s">
        <v>16</v>
      </c>
      <c r="D5203" s="1">
        <v>45855</v>
      </c>
      <c r="E5203" t="s">
        <v>17</v>
      </c>
      <c r="F5203">
        <v>4700</v>
      </c>
      <c r="J5203">
        <v>512.4</v>
      </c>
      <c r="K5203">
        <v>561.4</v>
      </c>
      <c r="L5203">
        <v>0</v>
      </c>
      <c r="M5203" t="s">
        <v>18</v>
      </c>
      <c r="N5203">
        <v>0</v>
      </c>
      <c r="O5203">
        <v>0</v>
      </c>
    </row>
    <row r="5204" spans="1:15" x14ac:dyDescent="0.2">
      <c r="A5204" s="6">
        <v>45804</v>
      </c>
      <c r="B5204" t="s">
        <v>15</v>
      </c>
      <c r="C5204" t="s">
        <v>16</v>
      </c>
      <c r="D5204" s="1">
        <v>45855</v>
      </c>
      <c r="E5204" t="s">
        <v>19</v>
      </c>
      <c r="F5204">
        <v>6600</v>
      </c>
      <c r="J5204">
        <v>1422.1</v>
      </c>
      <c r="K5204">
        <v>1369.6</v>
      </c>
      <c r="L5204">
        <v>0</v>
      </c>
      <c r="M5204" t="s">
        <v>18</v>
      </c>
      <c r="N5204">
        <v>0</v>
      </c>
      <c r="O5204">
        <v>0</v>
      </c>
    </row>
    <row r="5205" spans="1:15" x14ac:dyDescent="0.2">
      <c r="A5205" s="6">
        <v>45804</v>
      </c>
      <c r="B5205" t="s">
        <v>15</v>
      </c>
      <c r="C5205" t="s">
        <v>16</v>
      </c>
      <c r="D5205" s="1">
        <v>45855</v>
      </c>
      <c r="E5205" t="s">
        <v>17</v>
      </c>
      <c r="F5205">
        <v>6150</v>
      </c>
      <c r="J5205">
        <v>11.1</v>
      </c>
      <c r="K5205">
        <v>16.3</v>
      </c>
      <c r="L5205">
        <v>0</v>
      </c>
      <c r="M5205" t="s">
        <v>18</v>
      </c>
      <c r="N5205">
        <v>0</v>
      </c>
      <c r="O5205">
        <v>0</v>
      </c>
    </row>
    <row r="5206" spans="1:15" x14ac:dyDescent="0.2">
      <c r="A5206" s="6">
        <v>45804</v>
      </c>
      <c r="B5206" t="s">
        <v>15</v>
      </c>
      <c r="C5206" t="s">
        <v>16</v>
      </c>
      <c r="D5206" s="1">
        <v>45855</v>
      </c>
      <c r="E5206" t="s">
        <v>17</v>
      </c>
      <c r="F5206">
        <v>5400</v>
      </c>
      <c r="J5206">
        <v>120.4</v>
      </c>
      <c r="K5206">
        <v>146.69999999999999</v>
      </c>
      <c r="L5206">
        <v>0</v>
      </c>
      <c r="M5206" t="s">
        <v>18</v>
      </c>
      <c r="N5206">
        <v>0</v>
      </c>
      <c r="O5206">
        <v>0</v>
      </c>
    </row>
    <row r="5207" spans="1:15" x14ac:dyDescent="0.2">
      <c r="A5207" s="6">
        <v>45804</v>
      </c>
      <c r="B5207" t="s">
        <v>15</v>
      </c>
      <c r="C5207" t="s">
        <v>16</v>
      </c>
      <c r="D5207" s="1">
        <v>45855</v>
      </c>
      <c r="E5207" t="s">
        <v>19</v>
      </c>
      <c r="F5207">
        <v>6450</v>
      </c>
      <c r="J5207">
        <v>1275</v>
      </c>
      <c r="K5207">
        <v>1223.4000000000001</v>
      </c>
      <c r="L5207">
        <v>0</v>
      </c>
      <c r="M5207" t="s">
        <v>18</v>
      </c>
      <c r="N5207">
        <v>0</v>
      </c>
      <c r="O5207">
        <v>0</v>
      </c>
    </row>
    <row r="5208" spans="1:15" x14ac:dyDescent="0.2">
      <c r="A5208" s="6">
        <v>45804</v>
      </c>
      <c r="B5208" t="s">
        <v>15</v>
      </c>
      <c r="C5208" t="s">
        <v>16</v>
      </c>
      <c r="D5208" s="1">
        <v>45855</v>
      </c>
      <c r="E5208" t="s">
        <v>17</v>
      </c>
      <c r="F5208">
        <v>5650</v>
      </c>
      <c r="J5208">
        <v>59.8</v>
      </c>
      <c r="K5208">
        <v>76.900000000000006</v>
      </c>
      <c r="L5208">
        <v>0</v>
      </c>
      <c r="M5208" t="s">
        <v>18</v>
      </c>
      <c r="N5208">
        <v>0</v>
      </c>
      <c r="O5208">
        <v>0</v>
      </c>
    </row>
    <row r="5209" spans="1:15" x14ac:dyDescent="0.2">
      <c r="A5209" s="6">
        <v>45804</v>
      </c>
      <c r="B5209" t="s">
        <v>15</v>
      </c>
      <c r="C5209" t="s">
        <v>16</v>
      </c>
      <c r="D5209" s="1">
        <v>45855</v>
      </c>
      <c r="E5209" t="s">
        <v>19</v>
      </c>
      <c r="F5209">
        <v>4300</v>
      </c>
      <c r="J5209">
        <v>7.4</v>
      </c>
      <c r="K5209">
        <v>6.9</v>
      </c>
      <c r="L5209">
        <v>0</v>
      </c>
      <c r="M5209" t="s">
        <v>18</v>
      </c>
      <c r="N5209">
        <v>0</v>
      </c>
      <c r="O5209">
        <v>0</v>
      </c>
    </row>
    <row r="5210" spans="1:15" x14ac:dyDescent="0.2">
      <c r="A5210" s="6">
        <v>45804</v>
      </c>
      <c r="B5210" t="s">
        <v>15</v>
      </c>
      <c r="C5210" t="s">
        <v>16</v>
      </c>
      <c r="D5210" s="1">
        <v>45855</v>
      </c>
      <c r="E5210" t="s">
        <v>17</v>
      </c>
      <c r="F5210">
        <v>4300</v>
      </c>
      <c r="J5210">
        <v>866.7</v>
      </c>
      <c r="K5210">
        <v>919.5</v>
      </c>
      <c r="L5210">
        <v>0</v>
      </c>
      <c r="M5210" t="s">
        <v>18</v>
      </c>
      <c r="N5210">
        <v>0</v>
      </c>
      <c r="O5210">
        <v>0</v>
      </c>
    </row>
    <row r="5211" spans="1:15" x14ac:dyDescent="0.2">
      <c r="A5211" s="6">
        <v>45804</v>
      </c>
      <c r="B5211" t="s">
        <v>15</v>
      </c>
      <c r="C5211" t="s">
        <v>16</v>
      </c>
      <c r="D5211" s="1">
        <v>45855</v>
      </c>
      <c r="E5211" t="s">
        <v>19</v>
      </c>
      <c r="F5211">
        <v>4750</v>
      </c>
      <c r="J5211">
        <v>60</v>
      </c>
      <c r="K5211">
        <v>54.5</v>
      </c>
      <c r="L5211">
        <v>0</v>
      </c>
      <c r="M5211" t="s">
        <v>18</v>
      </c>
      <c r="N5211">
        <v>0</v>
      </c>
      <c r="O5211">
        <v>0</v>
      </c>
    </row>
    <row r="5212" spans="1:15" x14ac:dyDescent="0.2">
      <c r="A5212" s="6">
        <v>45804</v>
      </c>
      <c r="B5212" t="s">
        <v>15</v>
      </c>
      <c r="C5212" t="s">
        <v>16</v>
      </c>
      <c r="D5212" s="1">
        <v>45855</v>
      </c>
      <c r="E5212" t="s">
        <v>19</v>
      </c>
      <c r="F5212">
        <v>4350</v>
      </c>
      <c r="J5212">
        <v>9.8000000000000007</v>
      </c>
      <c r="K5212">
        <v>9.1</v>
      </c>
      <c r="L5212">
        <v>0</v>
      </c>
      <c r="M5212" t="s">
        <v>18</v>
      </c>
      <c r="N5212">
        <v>0</v>
      </c>
      <c r="O5212">
        <v>0</v>
      </c>
    </row>
    <row r="5213" spans="1:15" x14ac:dyDescent="0.2">
      <c r="A5213" s="6">
        <v>45804</v>
      </c>
      <c r="B5213" t="s">
        <v>15</v>
      </c>
      <c r="C5213" t="s">
        <v>16</v>
      </c>
      <c r="D5213" s="1">
        <v>45855</v>
      </c>
      <c r="E5213" t="s">
        <v>17</v>
      </c>
      <c r="F5213">
        <v>5850</v>
      </c>
      <c r="J5213">
        <v>31.9</v>
      </c>
      <c r="K5213">
        <v>43.1</v>
      </c>
      <c r="L5213">
        <v>0</v>
      </c>
      <c r="M5213" t="s">
        <v>18</v>
      </c>
      <c r="N5213">
        <v>0</v>
      </c>
      <c r="O5213">
        <v>0</v>
      </c>
    </row>
    <row r="5214" spans="1:15" x14ac:dyDescent="0.2">
      <c r="A5214" s="6">
        <v>45804</v>
      </c>
      <c r="B5214" t="s">
        <v>15</v>
      </c>
      <c r="C5214" t="s">
        <v>16</v>
      </c>
      <c r="D5214" s="1">
        <v>45855</v>
      </c>
      <c r="E5214" t="s">
        <v>19</v>
      </c>
      <c r="F5214">
        <v>6500</v>
      </c>
      <c r="J5214">
        <v>1323.9</v>
      </c>
      <c r="K5214">
        <v>1272</v>
      </c>
      <c r="L5214">
        <v>0</v>
      </c>
      <c r="M5214" t="s">
        <v>18</v>
      </c>
      <c r="N5214">
        <v>0</v>
      </c>
      <c r="O5214">
        <v>0</v>
      </c>
    </row>
    <row r="5215" spans="1:15" x14ac:dyDescent="0.2">
      <c r="A5215" s="6">
        <v>45804</v>
      </c>
      <c r="B5215" t="s">
        <v>15</v>
      </c>
      <c r="C5215" t="s">
        <v>16</v>
      </c>
      <c r="D5215" s="1">
        <v>45855</v>
      </c>
      <c r="E5215" t="s">
        <v>19</v>
      </c>
      <c r="F5215">
        <v>5850</v>
      </c>
      <c r="J5215">
        <v>708.8</v>
      </c>
      <c r="K5215">
        <v>666.4</v>
      </c>
      <c r="L5215">
        <v>0</v>
      </c>
      <c r="M5215" t="s">
        <v>18</v>
      </c>
      <c r="N5215">
        <v>0</v>
      </c>
      <c r="O5215">
        <v>0</v>
      </c>
    </row>
    <row r="5216" spans="1:15" x14ac:dyDescent="0.2">
      <c r="A5216" s="6">
        <v>45804</v>
      </c>
      <c r="B5216" t="s">
        <v>15</v>
      </c>
      <c r="C5216" t="s">
        <v>16</v>
      </c>
      <c r="D5216" s="1">
        <v>45855</v>
      </c>
      <c r="E5216" t="s">
        <v>17</v>
      </c>
      <c r="F5216">
        <v>3900</v>
      </c>
      <c r="J5216">
        <v>1256.2</v>
      </c>
      <c r="K5216">
        <v>1309.5</v>
      </c>
      <c r="L5216">
        <v>0</v>
      </c>
      <c r="M5216" t="s">
        <v>18</v>
      </c>
      <c r="N5216">
        <v>0</v>
      </c>
      <c r="O5216">
        <v>0</v>
      </c>
    </row>
    <row r="5217" spans="1:15" x14ac:dyDescent="0.2">
      <c r="A5217" s="6">
        <v>45804</v>
      </c>
      <c r="B5217" t="s">
        <v>15</v>
      </c>
      <c r="C5217" t="s">
        <v>16</v>
      </c>
      <c r="D5217" s="1">
        <v>45855</v>
      </c>
      <c r="E5217" t="s">
        <v>19</v>
      </c>
      <c r="F5217">
        <v>6000</v>
      </c>
      <c r="J5217">
        <v>844.7</v>
      </c>
      <c r="K5217">
        <v>798.9</v>
      </c>
      <c r="L5217">
        <v>0</v>
      </c>
      <c r="M5217" t="s">
        <v>18</v>
      </c>
      <c r="N5217">
        <v>0</v>
      </c>
      <c r="O5217">
        <v>0</v>
      </c>
    </row>
    <row r="5218" spans="1:15" x14ac:dyDescent="0.2">
      <c r="A5218" s="6">
        <v>45804</v>
      </c>
      <c r="B5218" t="s">
        <v>15</v>
      </c>
      <c r="C5218" t="s">
        <v>16</v>
      </c>
      <c r="D5218" s="1">
        <v>45855</v>
      </c>
      <c r="E5218" t="s">
        <v>19</v>
      </c>
      <c r="F5218">
        <v>6300</v>
      </c>
      <c r="J5218">
        <v>1129.2</v>
      </c>
      <c r="K5218">
        <v>1078.8</v>
      </c>
      <c r="L5218">
        <v>0</v>
      </c>
      <c r="M5218" t="s">
        <v>18</v>
      </c>
      <c r="N5218">
        <v>0</v>
      </c>
      <c r="O5218">
        <v>0</v>
      </c>
    </row>
    <row r="5219" spans="1:15" x14ac:dyDescent="0.2">
      <c r="A5219" s="6">
        <v>45804</v>
      </c>
      <c r="B5219" t="s">
        <v>15</v>
      </c>
      <c r="C5219" t="s">
        <v>16</v>
      </c>
      <c r="D5219" s="1">
        <v>45855</v>
      </c>
      <c r="E5219" t="s">
        <v>17</v>
      </c>
      <c r="F5219">
        <v>6600</v>
      </c>
      <c r="J5219">
        <v>1.8</v>
      </c>
      <c r="K5219">
        <v>3.1</v>
      </c>
      <c r="L5219">
        <v>0</v>
      </c>
      <c r="M5219" t="s">
        <v>18</v>
      </c>
      <c r="N5219">
        <v>0</v>
      </c>
      <c r="O5219">
        <v>0</v>
      </c>
    </row>
    <row r="5220" spans="1:15" x14ac:dyDescent="0.2">
      <c r="A5220" s="6">
        <v>45804</v>
      </c>
      <c r="B5220" t="s">
        <v>15</v>
      </c>
      <c r="C5220" t="s">
        <v>16</v>
      </c>
      <c r="D5220" s="1">
        <v>45855</v>
      </c>
      <c r="E5220" t="s">
        <v>19</v>
      </c>
      <c r="F5220">
        <v>5550</v>
      </c>
      <c r="J5220">
        <v>459.6</v>
      </c>
      <c r="K5220">
        <v>426.7</v>
      </c>
      <c r="L5220">
        <v>0</v>
      </c>
      <c r="M5220" t="s">
        <v>18</v>
      </c>
      <c r="N5220">
        <v>0</v>
      </c>
      <c r="O5220">
        <v>0</v>
      </c>
    </row>
    <row r="5221" spans="1:15" x14ac:dyDescent="0.2">
      <c r="A5221" s="6">
        <v>45804</v>
      </c>
      <c r="B5221" t="s">
        <v>15</v>
      </c>
      <c r="C5221" t="s">
        <v>16</v>
      </c>
      <c r="D5221" s="1">
        <v>45855</v>
      </c>
      <c r="E5221" t="s">
        <v>19</v>
      </c>
      <c r="F5221">
        <v>3850</v>
      </c>
      <c r="J5221">
        <v>0.3</v>
      </c>
      <c r="K5221">
        <v>0.3</v>
      </c>
      <c r="L5221">
        <v>0</v>
      </c>
      <c r="M5221" t="s">
        <v>18</v>
      </c>
      <c r="N5221">
        <v>0</v>
      </c>
      <c r="O5221">
        <v>0</v>
      </c>
    </row>
    <row r="5222" spans="1:15" x14ac:dyDescent="0.2">
      <c r="A5222" s="6">
        <v>45804</v>
      </c>
      <c r="B5222" t="s">
        <v>15</v>
      </c>
      <c r="C5222" t="s">
        <v>16</v>
      </c>
      <c r="D5222" s="1">
        <v>45855</v>
      </c>
      <c r="E5222" t="s">
        <v>19</v>
      </c>
      <c r="F5222">
        <v>3950</v>
      </c>
      <c r="J5222">
        <v>0.7</v>
      </c>
      <c r="K5222">
        <v>0.7</v>
      </c>
      <c r="L5222">
        <v>0</v>
      </c>
      <c r="M5222" t="s">
        <v>18</v>
      </c>
      <c r="N5222">
        <v>0</v>
      </c>
      <c r="O5222">
        <v>0</v>
      </c>
    </row>
    <row r="5223" spans="1:15" x14ac:dyDescent="0.2">
      <c r="A5223" s="6">
        <v>45804</v>
      </c>
      <c r="B5223" t="s">
        <v>15</v>
      </c>
      <c r="C5223" t="s">
        <v>16</v>
      </c>
      <c r="D5223" s="1">
        <v>45855</v>
      </c>
      <c r="E5223" t="s">
        <v>17</v>
      </c>
      <c r="F5223">
        <v>6400</v>
      </c>
      <c r="J5223">
        <v>4.2</v>
      </c>
      <c r="K5223">
        <v>6.7</v>
      </c>
      <c r="L5223">
        <v>0</v>
      </c>
      <c r="M5223" t="s">
        <v>18</v>
      </c>
      <c r="N5223">
        <v>0</v>
      </c>
      <c r="O5223">
        <v>0</v>
      </c>
    </row>
    <row r="5224" spans="1:15" x14ac:dyDescent="0.2">
      <c r="A5224" s="6">
        <v>45803</v>
      </c>
      <c r="B5224" t="s">
        <v>15</v>
      </c>
      <c r="C5224" t="s">
        <v>16</v>
      </c>
      <c r="D5224" s="1">
        <v>45855</v>
      </c>
      <c r="E5224" t="s">
        <v>17</v>
      </c>
      <c r="F5224">
        <v>4350</v>
      </c>
      <c r="J5224">
        <v>872.2</v>
      </c>
      <c r="K5224">
        <v>881.4</v>
      </c>
      <c r="L5224">
        <v>0</v>
      </c>
      <c r="M5224" t="s">
        <v>18</v>
      </c>
      <c r="N5224">
        <v>0</v>
      </c>
      <c r="O5224">
        <v>0</v>
      </c>
    </row>
    <row r="5225" spans="1:15" x14ac:dyDescent="0.2">
      <c r="A5225" s="6">
        <v>45803</v>
      </c>
      <c r="B5225" t="s">
        <v>15</v>
      </c>
      <c r="C5225" t="s">
        <v>16</v>
      </c>
      <c r="D5225" s="1">
        <v>45855</v>
      </c>
      <c r="E5225" t="s">
        <v>19</v>
      </c>
      <c r="F5225">
        <v>5250</v>
      </c>
      <c r="J5225">
        <v>235.9</v>
      </c>
      <c r="K5225">
        <v>245.9</v>
      </c>
      <c r="L5225">
        <v>0</v>
      </c>
      <c r="M5225" t="s">
        <v>18</v>
      </c>
      <c r="N5225">
        <v>0</v>
      </c>
      <c r="O5225">
        <v>0</v>
      </c>
    </row>
    <row r="5226" spans="1:15" x14ac:dyDescent="0.2">
      <c r="A5226" s="6">
        <v>45803</v>
      </c>
      <c r="B5226" t="s">
        <v>15</v>
      </c>
      <c r="C5226" t="s">
        <v>16</v>
      </c>
      <c r="D5226" s="1">
        <v>45855</v>
      </c>
      <c r="E5226" t="s">
        <v>17</v>
      </c>
      <c r="F5226">
        <v>3700</v>
      </c>
      <c r="J5226">
        <v>1507.3</v>
      </c>
      <c r="K5226">
        <v>1513.4</v>
      </c>
      <c r="L5226">
        <v>0</v>
      </c>
      <c r="M5226" t="s">
        <v>18</v>
      </c>
      <c r="N5226">
        <v>0</v>
      </c>
      <c r="O5226">
        <v>0</v>
      </c>
    </row>
    <row r="5227" spans="1:15" x14ac:dyDescent="0.2">
      <c r="A5227" s="6">
        <v>45803</v>
      </c>
      <c r="B5227" t="s">
        <v>15</v>
      </c>
      <c r="C5227" t="s">
        <v>16</v>
      </c>
      <c r="D5227" s="1">
        <v>45855</v>
      </c>
      <c r="E5227" t="s">
        <v>17</v>
      </c>
      <c r="F5227">
        <v>4850</v>
      </c>
      <c r="J5227">
        <v>445.1</v>
      </c>
      <c r="K5227">
        <v>460.6</v>
      </c>
      <c r="L5227">
        <v>0</v>
      </c>
      <c r="M5227" t="s">
        <v>18</v>
      </c>
      <c r="N5227">
        <v>0</v>
      </c>
      <c r="O5227">
        <v>0</v>
      </c>
    </row>
    <row r="5228" spans="1:15" x14ac:dyDescent="0.2">
      <c r="A5228" s="6">
        <v>45803</v>
      </c>
      <c r="B5228" t="s">
        <v>15</v>
      </c>
      <c r="C5228" t="s">
        <v>16</v>
      </c>
      <c r="D5228" s="1">
        <v>45855</v>
      </c>
      <c r="E5228" t="s">
        <v>17</v>
      </c>
      <c r="F5228">
        <v>5000</v>
      </c>
      <c r="J5228">
        <v>342.8</v>
      </c>
      <c r="K5228">
        <v>359.6</v>
      </c>
      <c r="L5228">
        <v>0</v>
      </c>
      <c r="M5228" t="s">
        <v>18</v>
      </c>
      <c r="N5228">
        <v>0</v>
      </c>
      <c r="O5228">
        <v>0</v>
      </c>
    </row>
    <row r="5229" spans="1:15" x14ac:dyDescent="0.2">
      <c r="A5229" s="6">
        <v>45803</v>
      </c>
      <c r="B5229" t="s">
        <v>15</v>
      </c>
      <c r="C5229" t="s">
        <v>16</v>
      </c>
      <c r="D5229" s="1">
        <v>45855</v>
      </c>
      <c r="E5229" t="s">
        <v>17</v>
      </c>
      <c r="F5229">
        <v>4750</v>
      </c>
      <c r="J5229">
        <v>521.20000000000005</v>
      </c>
      <c r="K5229">
        <v>535.5</v>
      </c>
      <c r="L5229">
        <v>0</v>
      </c>
      <c r="M5229" t="s">
        <v>18</v>
      </c>
      <c r="N5229">
        <v>0</v>
      </c>
      <c r="O5229">
        <v>0</v>
      </c>
    </row>
    <row r="5230" spans="1:15" x14ac:dyDescent="0.2">
      <c r="A5230" s="6">
        <v>45803</v>
      </c>
      <c r="B5230" t="s">
        <v>15</v>
      </c>
      <c r="C5230" t="s">
        <v>16</v>
      </c>
      <c r="D5230" s="1">
        <v>45855</v>
      </c>
      <c r="E5230" t="s">
        <v>17</v>
      </c>
      <c r="F5230">
        <v>4400</v>
      </c>
      <c r="J5230">
        <v>825.3</v>
      </c>
      <c r="K5230">
        <v>835.1</v>
      </c>
      <c r="L5230">
        <v>0</v>
      </c>
      <c r="M5230" t="s">
        <v>18</v>
      </c>
      <c r="N5230">
        <v>0</v>
      </c>
      <c r="O5230">
        <v>0</v>
      </c>
    </row>
    <row r="5231" spans="1:15" x14ac:dyDescent="0.2">
      <c r="A5231" s="6">
        <v>45803</v>
      </c>
      <c r="B5231" t="s">
        <v>15</v>
      </c>
      <c r="C5231" t="s">
        <v>16</v>
      </c>
      <c r="D5231" s="1">
        <v>45855</v>
      </c>
      <c r="E5231" t="s">
        <v>17</v>
      </c>
      <c r="F5231">
        <v>4100</v>
      </c>
      <c r="J5231">
        <v>1112.8</v>
      </c>
      <c r="K5231">
        <v>1120.0999999999999</v>
      </c>
      <c r="L5231">
        <v>0</v>
      </c>
      <c r="M5231" t="s">
        <v>18</v>
      </c>
      <c r="N5231">
        <v>0</v>
      </c>
      <c r="O5231">
        <v>0</v>
      </c>
    </row>
    <row r="5232" spans="1:15" x14ac:dyDescent="0.2">
      <c r="A5232" s="6">
        <v>45803</v>
      </c>
      <c r="B5232" t="s">
        <v>15</v>
      </c>
      <c r="C5232" t="s">
        <v>16</v>
      </c>
      <c r="D5232" s="1">
        <v>45855</v>
      </c>
      <c r="E5232" t="s">
        <v>17</v>
      </c>
      <c r="F5232">
        <v>4450</v>
      </c>
      <c r="J5232">
        <v>779.1</v>
      </c>
      <c r="K5232">
        <v>789.5</v>
      </c>
      <c r="L5232">
        <v>0</v>
      </c>
      <c r="M5232" t="s">
        <v>18</v>
      </c>
      <c r="N5232">
        <v>0</v>
      </c>
      <c r="O5232">
        <v>0</v>
      </c>
    </row>
    <row r="5233" spans="1:15" x14ac:dyDescent="0.2">
      <c r="A5233" s="6">
        <v>45803</v>
      </c>
      <c r="B5233" t="s">
        <v>15</v>
      </c>
      <c r="C5233" t="s">
        <v>16</v>
      </c>
      <c r="D5233" s="1">
        <v>45855</v>
      </c>
      <c r="E5233" t="s">
        <v>17</v>
      </c>
      <c r="F5233">
        <v>5300</v>
      </c>
      <c r="G5233">
        <v>245</v>
      </c>
      <c r="H5233">
        <v>245</v>
      </c>
      <c r="I5233">
        <v>245</v>
      </c>
      <c r="J5233">
        <v>245</v>
      </c>
      <c r="K5233">
        <v>202</v>
      </c>
      <c r="L5233">
        <v>1</v>
      </c>
      <c r="M5233" t="s">
        <v>155</v>
      </c>
      <c r="N5233">
        <v>5.55</v>
      </c>
      <c r="O5233">
        <v>1</v>
      </c>
    </row>
    <row r="5234" spans="1:15" x14ac:dyDescent="0.2">
      <c r="A5234" s="6">
        <v>45803</v>
      </c>
      <c r="B5234" t="s">
        <v>15</v>
      </c>
      <c r="C5234" t="s">
        <v>16</v>
      </c>
      <c r="D5234" s="1">
        <v>45855</v>
      </c>
      <c r="E5234" t="s">
        <v>19</v>
      </c>
      <c r="F5234">
        <v>6150</v>
      </c>
      <c r="J5234">
        <v>936.9</v>
      </c>
      <c r="K5234">
        <v>934.9</v>
      </c>
      <c r="L5234">
        <v>0</v>
      </c>
      <c r="M5234" t="s">
        <v>18</v>
      </c>
      <c r="N5234">
        <v>0</v>
      </c>
      <c r="O5234">
        <v>0</v>
      </c>
    </row>
    <row r="5235" spans="1:15" x14ac:dyDescent="0.2">
      <c r="A5235" s="6">
        <v>45803</v>
      </c>
      <c r="B5235" t="s">
        <v>15</v>
      </c>
      <c r="C5235" t="s">
        <v>16</v>
      </c>
      <c r="D5235" s="1">
        <v>45855</v>
      </c>
      <c r="E5235" t="s">
        <v>17</v>
      </c>
      <c r="F5235">
        <v>4950</v>
      </c>
      <c r="J5235">
        <v>375.2</v>
      </c>
      <c r="K5235">
        <v>391.7</v>
      </c>
      <c r="L5235">
        <v>0</v>
      </c>
      <c r="M5235" t="s">
        <v>18</v>
      </c>
      <c r="N5235">
        <v>0</v>
      </c>
      <c r="O5235">
        <v>0</v>
      </c>
    </row>
    <row r="5236" spans="1:15" x14ac:dyDescent="0.2">
      <c r="A5236" s="6">
        <v>45803</v>
      </c>
      <c r="B5236" t="s">
        <v>15</v>
      </c>
      <c r="C5236" t="s">
        <v>16</v>
      </c>
      <c r="D5236" s="1">
        <v>45855</v>
      </c>
      <c r="E5236" t="s">
        <v>17</v>
      </c>
      <c r="F5236">
        <v>6200</v>
      </c>
      <c r="J5236">
        <v>13.8</v>
      </c>
      <c r="K5236">
        <v>18.600000000000001</v>
      </c>
      <c r="L5236">
        <v>0</v>
      </c>
      <c r="M5236" t="s">
        <v>18</v>
      </c>
      <c r="N5236">
        <v>0</v>
      </c>
      <c r="O5236">
        <v>0</v>
      </c>
    </row>
    <row r="5237" spans="1:15" x14ac:dyDescent="0.2">
      <c r="A5237" s="6">
        <v>45803</v>
      </c>
      <c r="B5237" t="s">
        <v>15</v>
      </c>
      <c r="C5237" t="s">
        <v>16</v>
      </c>
      <c r="D5237" s="1">
        <v>45855</v>
      </c>
      <c r="E5237" t="s">
        <v>17</v>
      </c>
      <c r="F5237">
        <v>5700</v>
      </c>
      <c r="J5237">
        <v>66.900000000000006</v>
      </c>
      <c r="K5237">
        <v>78.8</v>
      </c>
      <c r="L5237">
        <v>0</v>
      </c>
      <c r="M5237" t="s">
        <v>18</v>
      </c>
      <c r="N5237">
        <v>0</v>
      </c>
      <c r="O5237">
        <v>0</v>
      </c>
    </row>
    <row r="5238" spans="1:15" x14ac:dyDescent="0.2">
      <c r="A5238" s="6">
        <v>45803</v>
      </c>
      <c r="B5238" t="s">
        <v>15</v>
      </c>
      <c r="C5238" t="s">
        <v>16</v>
      </c>
      <c r="D5238" s="1">
        <v>45855</v>
      </c>
      <c r="E5238" t="s">
        <v>17</v>
      </c>
      <c r="F5238">
        <v>4900</v>
      </c>
      <c r="J5238">
        <v>409.4</v>
      </c>
      <c r="K5238">
        <v>425.4</v>
      </c>
      <c r="L5238">
        <v>0</v>
      </c>
      <c r="M5238" t="s">
        <v>18</v>
      </c>
      <c r="N5238">
        <v>0</v>
      </c>
      <c r="O5238">
        <v>0</v>
      </c>
    </row>
    <row r="5239" spans="1:15" x14ac:dyDescent="0.2">
      <c r="A5239" s="6">
        <v>45803</v>
      </c>
      <c r="B5239" t="s">
        <v>15</v>
      </c>
      <c r="C5239" t="s">
        <v>16</v>
      </c>
      <c r="D5239" s="1">
        <v>45855</v>
      </c>
      <c r="E5239" t="s">
        <v>19</v>
      </c>
      <c r="F5239">
        <v>5200</v>
      </c>
      <c r="J5239">
        <v>209.9</v>
      </c>
      <c r="K5239">
        <v>300</v>
      </c>
      <c r="L5239">
        <v>0</v>
      </c>
      <c r="M5239" t="s">
        <v>18</v>
      </c>
      <c r="N5239">
        <v>0</v>
      </c>
      <c r="O5239">
        <v>3</v>
      </c>
    </row>
    <row r="5240" spans="1:15" x14ac:dyDescent="0.2">
      <c r="A5240" s="6">
        <v>45803</v>
      </c>
      <c r="B5240" t="s">
        <v>15</v>
      </c>
      <c r="C5240" t="s">
        <v>16</v>
      </c>
      <c r="D5240" s="1">
        <v>45855</v>
      </c>
      <c r="E5240" t="s">
        <v>19</v>
      </c>
      <c r="F5240">
        <v>6550</v>
      </c>
      <c r="J5240">
        <v>1320.7</v>
      </c>
      <c r="K5240">
        <v>1315.1</v>
      </c>
      <c r="L5240">
        <v>0</v>
      </c>
      <c r="M5240" t="s">
        <v>18</v>
      </c>
      <c r="N5240">
        <v>0</v>
      </c>
      <c r="O5240">
        <v>0</v>
      </c>
    </row>
    <row r="5241" spans="1:15" x14ac:dyDescent="0.2">
      <c r="A5241" s="6">
        <v>45803</v>
      </c>
      <c r="B5241" t="s">
        <v>15</v>
      </c>
      <c r="C5241" t="s">
        <v>16</v>
      </c>
      <c r="D5241" s="1">
        <v>45855</v>
      </c>
      <c r="E5241" t="s">
        <v>17</v>
      </c>
      <c r="F5241">
        <v>4800</v>
      </c>
      <c r="J5241">
        <v>482.4</v>
      </c>
      <c r="K5241">
        <v>497.4</v>
      </c>
      <c r="L5241">
        <v>0</v>
      </c>
      <c r="M5241" t="s">
        <v>18</v>
      </c>
      <c r="N5241">
        <v>0</v>
      </c>
      <c r="O5241">
        <v>0</v>
      </c>
    </row>
    <row r="5242" spans="1:15" x14ac:dyDescent="0.2">
      <c r="A5242" s="6">
        <v>45803</v>
      </c>
      <c r="B5242" t="s">
        <v>15</v>
      </c>
      <c r="C5242" t="s">
        <v>16</v>
      </c>
      <c r="D5242" s="1">
        <v>45855</v>
      </c>
      <c r="E5242" t="s">
        <v>17</v>
      </c>
      <c r="F5242">
        <v>5950</v>
      </c>
      <c r="J5242">
        <v>31.6</v>
      </c>
      <c r="K5242">
        <v>39.700000000000003</v>
      </c>
      <c r="L5242">
        <v>0</v>
      </c>
      <c r="M5242" t="s">
        <v>18</v>
      </c>
      <c r="N5242">
        <v>0</v>
      </c>
      <c r="O5242">
        <v>0</v>
      </c>
    </row>
    <row r="5243" spans="1:15" x14ac:dyDescent="0.2">
      <c r="A5243" s="6">
        <v>45803</v>
      </c>
      <c r="B5243" t="s">
        <v>15</v>
      </c>
      <c r="C5243" t="s">
        <v>16</v>
      </c>
      <c r="D5243" s="1">
        <v>45855</v>
      </c>
      <c r="E5243" t="s">
        <v>19</v>
      </c>
      <c r="F5243">
        <v>3900</v>
      </c>
      <c r="J5243">
        <v>0.5</v>
      </c>
      <c r="K5243">
        <v>0.8</v>
      </c>
      <c r="L5243">
        <v>0</v>
      </c>
      <c r="M5243" t="s">
        <v>18</v>
      </c>
      <c r="N5243">
        <v>0</v>
      </c>
      <c r="O5243">
        <v>0</v>
      </c>
    </row>
    <row r="5244" spans="1:15" x14ac:dyDescent="0.2">
      <c r="A5244" s="6">
        <v>45803</v>
      </c>
      <c r="B5244" t="s">
        <v>15</v>
      </c>
      <c r="C5244" t="s">
        <v>16</v>
      </c>
      <c r="D5244" s="1">
        <v>45855</v>
      </c>
      <c r="E5244" t="s">
        <v>19</v>
      </c>
      <c r="F5244">
        <v>3600</v>
      </c>
      <c r="J5244">
        <v>0.1</v>
      </c>
      <c r="K5244">
        <v>0.1</v>
      </c>
      <c r="L5244">
        <v>0</v>
      </c>
      <c r="M5244" t="s">
        <v>18</v>
      </c>
      <c r="N5244">
        <v>0</v>
      </c>
      <c r="O5244">
        <v>0</v>
      </c>
    </row>
    <row r="5245" spans="1:15" x14ac:dyDescent="0.2">
      <c r="A5245" s="6">
        <v>45803</v>
      </c>
      <c r="B5245" t="s">
        <v>15</v>
      </c>
      <c r="C5245" t="s">
        <v>16</v>
      </c>
      <c r="D5245" s="1">
        <v>45855</v>
      </c>
      <c r="E5245" t="s">
        <v>19</v>
      </c>
      <c r="F5245">
        <v>4200</v>
      </c>
      <c r="J5245">
        <v>3.8</v>
      </c>
      <c r="K5245">
        <v>5.4</v>
      </c>
      <c r="L5245">
        <v>0</v>
      </c>
      <c r="M5245" t="s">
        <v>18</v>
      </c>
      <c r="N5245">
        <v>0</v>
      </c>
      <c r="O5245">
        <v>0</v>
      </c>
    </row>
    <row r="5246" spans="1:15" x14ac:dyDescent="0.2">
      <c r="A5246" s="6">
        <v>45803</v>
      </c>
      <c r="B5246" t="s">
        <v>15</v>
      </c>
      <c r="C5246" t="s">
        <v>16</v>
      </c>
      <c r="D5246" s="1">
        <v>45855</v>
      </c>
      <c r="E5246" t="s">
        <v>19</v>
      </c>
      <c r="F5246">
        <v>4900</v>
      </c>
      <c r="J5246">
        <v>91.3</v>
      </c>
      <c r="K5246">
        <v>100.5</v>
      </c>
      <c r="L5246">
        <v>0</v>
      </c>
      <c r="M5246" t="s">
        <v>18</v>
      </c>
      <c r="N5246">
        <v>0</v>
      </c>
      <c r="O5246">
        <v>0</v>
      </c>
    </row>
    <row r="5247" spans="1:15" x14ac:dyDescent="0.2">
      <c r="A5247" s="6">
        <v>45803</v>
      </c>
      <c r="B5247" t="s">
        <v>15</v>
      </c>
      <c r="C5247" t="s">
        <v>16</v>
      </c>
      <c r="D5247" s="1">
        <v>45855</v>
      </c>
      <c r="E5247" t="s">
        <v>17</v>
      </c>
      <c r="F5247">
        <v>5100</v>
      </c>
      <c r="J5247">
        <v>283.2</v>
      </c>
      <c r="K5247">
        <v>300.3</v>
      </c>
      <c r="L5247">
        <v>0</v>
      </c>
      <c r="M5247" t="s">
        <v>18</v>
      </c>
      <c r="N5247">
        <v>0</v>
      </c>
      <c r="O5247">
        <v>0</v>
      </c>
    </row>
    <row r="5248" spans="1:15" x14ac:dyDescent="0.2">
      <c r="A5248" s="6">
        <v>45803</v>
      </c>
      <c r="B5248" t="s">
        <v>15</v>
      </c>
      <c r="C5248" t="s">
        <v>16</v>
      </c>
      <c r="D5248" s="1">
        <v>45855</v>
      </c>
      <c r="E5248" t="s">
        <v>17</v>
      </c>
      <c r="F5248">
        <v>5250</v>
      </c>
      <c r="J5248">
        <v>207.1</v>
      </c>
      <c r="K5248">
        <v>266.89999999999998</v>
      </c>
      <c r="L5248">
        <v>0</v>
      </c>
      <c r="M5248" t="s">
        <v>18</v>
      </c>
      <c r="N5248">
        <v>0</v>
      </c>
      <c r="O5248">
        <v>2</v>
      </c>
    </row>
    <row r="5249" spans="1:15" x14ac:dyDescent="0.2">
      <c r="A5249" s="6">
        <v>45803</v>
      </c>
      <c r="B5249" t="s">
        <v>15</v>
      </c>
      <c r="C5249" t="s">
        <v>16</v>
      </c>
      <c r="D5249" s="1">
        <v>45855</v>
      </c>
      <c r="E5249" t="s">
        <v>19</v>
      </c>
      <c r="F5249">
        <v>5100</v>
      </c>
      <c r="J5249">
        <v>163.30000000000001</v>
      </c>
      <c r="K5249">
        <v>173.6</v>
      </c>
      <c r="L5249">
        <v>0</v>
      </c>
      <c r="M5249" t="s">
        <v>18</v>
      </c>
      <c r="N5249">
        <v>0</v>
      </c>
      <c r="O5249">
        <v>0</v>
      </c>
    </row>
    <row r="5250" spans="1:15" x14ac:dyDescent="0.2">
      <c r="A5250" s="6">
        <v>45803</v>
      </c>
      <c r="B5250" t="s">
        <v>15</v>
      </c>
      <c r="C5250" t="s">
        <v>16</v>
      </c>
      <c r="D5250" s="1">
        <v>45855</v>
      </c>
      <c r="E5250" t="s">
        <v>19</v>
      </c>
      <c r="F5250">
        <v>6050</v>
      </c>
      <c r="J5250">
        <v>844.3</v>
      </c>
      <c r="K5250">
        <v>843.7</v>
      </c>
      <c r="L5250">
        <v>0</v>
      </c>
      <c r="M5250" t="s">
        <v>18</v>
      </c>
      <c r="N5250">
        <v>0</v>
      </c>
      <c r="O5250">
        <v>0</v>
      </c>
    </row>
    <row r="5251" spans="1:15" x14ac:dyDescent="0.2">
      <c r="A5251" s="6">
        <v>45803</v>
      </c>
      <c r="B5251" t="s">
        <v>15</v>
      </c>
      <c r="C5251" t="s">
        <v>16</v>
      </c>
      <c r="D5251" s="1">
        <v>45855</v>
      </c>
      <c r="E5251" t="s">
        <v>17</v>
      </c>
      <c r="F5251">
        <v>4200</v>
      </c>
      <c r="J5251">
        <v>1015.5</v>
      </c>
      <c r="K5251">
        <v>1023.5</v>
      </c>
      <c r="L5251">
        <v>0</v>
      </c>
      <c r="M5251" t="s">
        <v>18</v>
      </c>
      <c r="N5251">
        <v>0</v>
      </c>
      <c r="O5251">
        <v>0</v>
      </c>
    </row>
    <row r="5252" spans="1:15" x14ac:dyDescent="0.2">
      <c r="A5252" s="6">
        <v>45803</v>
      </c>
      <c r="B5252" t="s">
        <v>15</v>
      </c>
      <c r="C5252" t="s">
        <v>16</v>
      </c>
      <c r="D5252" s="1">
        <v>45855</v>
      </c>
      <c r="E5252" t="s">
        <v>19</v>
      </c>
      <c r="F5252">
        <v>6650</v>
      </c>
      <c r="J5252">
        <v>1418.6</v>
      </c>
      <c r="K5252">
        <v>1412.4</v>
      </c>
      <c r="L5252">
        <v>0</v>
      </c>
      <c r="M5252" t="s">
        <v>18</v>
      </c>
      <c r="N5252">
        <v>0</v>
      </c>
      <c r="O5252">
        <v>0</v>
      </c>
    </row>
    <row r="5253" spans="1:15" x14ac:dyDescent="0.2">
      <c r="A5253" s="6">
        <v>45803</v>
      </c>
      <c r="B5253" t="s">
        <v>15</v>
      </c>
      <c r="C5253" t="s">
        <v>16</v>
      </c>
      <c r="D5253" s="1">
        <v>45855</v>
      </c>
      <c r="E5253" t="s">
        <v>17</v>
      </c>
      <c r="F5253">
        <v>4650</v>
      </c>
      <c r="J5253">
        <v>602.79999999999995</v>
      </c>
      <c r="K5253">
        <v>615.79999999999995</v>
      </c>
      <c r="L5253">
        <v>0</v>
      </c>
      <c r="M5253" t="s">
        <v>18</v>
      </c>
      <c r="N5253">
        <v>0</v>
      </c>
      <c r="O5253">
        <v>0</v>
      </c>
    </row>
    <row r="5254" spans="1:15" x14ac:dyDescent="0.2">
      <c r="A5254" s="6">
        <v>45803</v>
      </c>
      <c r="B5254" t="s">
        <v>15</v>
      </c>
      <c r="C5254" t="s">
        <v>16</v>
      </c>
      <c r="D5254" s="1">
        <v>45855</v>
      </c>
      <c r="E5254" t="s">
        <v>17</v>
      </c>
      <c r="F5254">
        <v>3650</v>
      </c>
      <c r="J5254">
        <v>1556.8</v>
      </c>
      <c r="K5254">
        <v>1562.9</v>
      </c>
      <c r="L5254">
        <v>0</v>
      </c>
      <c r="M5254" t="s">
        <v>18</v>
      </c>
      <c r="N5254">
        <v>0</v>
      </c>
      <c r="O5254">
        <v>0</v>
      </c>
    </row>
    <row r="5255" spans="1:15" x14ac:dyDescent="0.2">
      <c r="A5255" s="6">
        <v>45803</v>
      </c>
      <c r="B5255" t="s">
        <v>15</v>
      </c>
      <c r="C5255" t="s">
        <v>16</v>
      </c>
      <c r="D5255" s="1">
        <v>45855</v>
      </c>
      <c r="E5255" t="s">
        <v>19</v>
      </c>
      <c r="F5255">
        <v>6400</v>
      </c>
      <c r="J5255">
        <v>1175</v>
      </c>
      <c r="K5255">
        <v>1170.4000000000001</v>
      </c>
      <c r="L5255">
        <v>0</v>
      </c>
      <c r="M5255" t="s">
        <v>18</v>
      </c>
      <c r="N5255">
        <v>0</v>
      </c>
      <c r="O5255">
        <v>0</v>
      </c>
    </row>
    <row r="5256" spans="1:15" x14ac:dyDescent="0.2">
      <c r="A5256" s="6">
        <v>45803</v>
      </c>
      <c r="B5256" t="s">
        <v>15</v>
      </c>
      <c r="C5256" t="s">
        <v>16</v>
      </c>
      <c r="D5256" s="1">
        <v>45855</v>
      </c>
      <c r="E5256" t="s">
        <v>17</v>
      </c>
      <c r="F5256">
        <v>6650</v>
      </c>
      <c r="J5256">
        <v>2.5</v>
      </c>
      <c r="K5256">
        <v>4.0999999999999996</v>
      </c>
      <c r="L5256">
        <v>0</v>
      </c>
      <c r="M5256" t="s">
        <v>18</v>
      </c>
      <c r="N5256">
        <v>0</v>
      </c>
      <c r="O5256">
        <v>0</v>
      </c>
    </row>
    <row r="5257" spans="1:15" x14ac:dyDescent="0.2">
      <c r="A5257" s="6">
        <v>45803</v>
      </c>
      <c r="B5257" t="s">
        <v>15</v>
      </c>
      <c r="C5257" t="s">
        <v>16</v>
      </c>
      <c r="D5257" s="1">
        <v>45855</v>
      </c>
      <c r="E5257" t="s">
        <v>19</v>
      </c>
      <c r="F5257">
        <v>4700</v>
      </c>
      <c r="J5257">
        <v>45.1</v>
      </c>
      <c r="K5257">
        <v>52.1</v>
      </c>
      <c r="L5257">
        <v>0</v>
      </c>
      <c r="M5257" t="s">
        <v>18</v>
      </c>
      <c r="N5257">
        <v>0</v>
      </c>
      <c r="O5257">
        <v>0</v>
      </c>
    </row>
    <row r="5258" spans="1:15" x14ac:dyDescent="0.2">
      <c r="A5258" s="6">
        <v>45803</v>
      </c>
      <c r="B5258" t="s">
        <v>15</v>
      </c>
      <c r="C5258" t="s">
        <v>16</v>
      </c>
      <c r="D5258" s="1">
        <v>45855</v>
      </c>
      <c r="E5258" t="s">
        <v>19</v>
      </c>
      <c r="F5258">
        <v>3750</v>
      </c>
      <c r="J5258">
        <v>0.1</v>
      </c>
      <c r="K5258">
        <v>0.2</v>
      </c>
      <c r="L5258">
        <v>0</v>
      </c>
      <c r="M5258" t="s">
        <v>18</v>
      </c>
      <c r="N5258">
        <v>0</v>
      </c>
      <c r="O5258">
        <v>0</v>
      </c>
    </row>
    <row r="5259" spans="1:15" x14ac:dyDescent="0.2">
      <c r="A5259" s="6">
        <v>45803</v>
      </c>
      <c r="B5259" t="s">
        <v>15</v>
      </c>
      <c r="C5259" t="s">
        <v>16</v>
      </c>
      <c r="D5259" s="1">
        <v>45855</v>
      </c>
      <c r="E5259" t="s">
        <v>17</v>
      </c>
      <c r="F5259">
        <v>3750</v>
      </c>
      <c r="J5259">
        <v>1457.8</v>
      </c>
      <c r="K5259">
        <v>1464</v>
      </c>
      <c r="L5259">
        <v>0</v>
      </c>
      <c r="M5259" t="s">
        <v>18</v>
      </c>
      <c r="N5259">
        <v>0</v>
      </c>
      <c r="O5259">
        <v>0</v>
      </c>
    </row>
    <row r="5260" spans="1:15" x14ac:dyDescent="0.2">
      <c r="A5260" s="6">
        <v>45803</v>
      </c>
      <c r="B5260" t="s">
        <v>15</v>
      </c>
      <c r="C5260" t="s">
        <v>16</v>
      </c>
      <c r="D5260" s="1">
        <v>45855</v>
      </c>
      <c r="E5260" t="s">
        <v>17</v>
      </c>
      <c r="F5260">
        <v>6050</v>
      </c>
      <c r="J5260">
        <v>22.9</v>
      </c>
      <c r="K5260">
        <v>29.6</v>
      </c>
      <c r="L5260">
        <v>0</v>
      </c>
      <c r="M5260" t="s">
        <v>18</v>
      </c>
      <c r="N5260">
        <v>0</v>
      </c>
      <c r="O5260">
        <v>0</v>
      </c>
    </row>
    <row r="5261" spans="1:15" x14ac:dyDescent="0.2">
      <c r="A5261" s="6">
        <v>45803</v>
      </c>
      <c r="B5261" t="s">
        <v>15</v>
      </c>
      <c r="C5261" t="s">
        <v>16</v>
      </c>
      <c r="D5261" s="1">
        <v>45855</v>
      </c>
      <c r="E5261" t="s">
        <v>17</v>
      </c>
      <c r="F5261">
        <v>3600</v>
      </c>
      <c r="J5261">
        <v>1606.3</v>
      </c>
      <c r="K5261">
        <v>1612.4</v>
      </c>
      <c r="L5261">
        <v>0</v>
      </c>
      <c r="M5261" t="s">
        <v>18</v>
      </c>
      <c r="N5261">
        <v>0</v>
      </c>
      <c r="O5261">
        <v>0</v>
      </c>
    </row>
    <row r="5262" spans="1:15" x14ac:dyDescent="0.2">
      <c r="A5262" s="6">
        <v>45803</v>
      </c>
      <c r="B5262" t="s">
        <v>15</v>
      </c>
      <c r="C5262" t="s">
        <v>16</v>
      </c>
      <c r="D5262" s="1">
        <v>45855</v>
      </c>
      <c r="E5262" t="s">
        <v>19</v>
      </c>
      <c r="F5262">
        <v>4550</v>
      </c>
      <c r="J5262">
        <v>24.2</v>
      </c>
      <c r="K5262">
        <v>29.3</v>
      </c>
      <c r="L5262">
        <v>0</v>
      </c>
      <c r="M5262" t="s">
        <v>18</v>
      </c>
      <c r="N5262">
        <v>0</v>
      </c>
      <c r="O5262">
        <v>0</v>
      </c>
    </row>
    <row r="5263" spans="1:15" x14ac:dyDescent="0.2">
      <c r="A5263" s="6">
        <v>45803</v>
      </c>
      <c r="B5263" t="s">
        <v>15</v>
      </c>
      <c r="C5263" t="s">
        <v>16</v>
      </c>
      <c r="D5263" s="1">
        <v>45855</v>
      </c>
      <c r="E5263" t="s">
        <v>19</v>
      </c>
      <c r="F5263">
        <v>5800</v>
      </c>
      <c r="J5263">
        <v>623.79999999999995</v>
      </c>
      <c r="K5263">
        <v>626.9</v>
      </c>
      <c r="L5263">
        <v>0</v>
      </c>
      <c r="M5263" t="s">
        <v>18</v>
      </c>
      <c r="N5263">
        <v>0</v>
      </c>
      <c r="O5263">
        <v>0</v>
      </c>
    </row>
    <row r="5264" spans="1:15" x14ac:dyDescent="0.2">
      <c r="A5264" s="6">
        <v>45803</v>
      </c>
      <c r="B5264" t="s">
        <v>15</v>
      </c>
      <c r="C5264" t="s">
        <v>16</v>
      </c>
      <c r="D5264" s="1">
        <v>45855</v>
      </c>
      <c r="E5264" t="s">
        <v>19</v>
      </c>
      <c r="F5264">
        <v>5450</v>
      </c>
      <c r="J5264">
        <v>356.8</v>
      </c>
      <c r="K5264">
        <v>365.1</v>
      </c>
      <c r="L5264">
        <v>0</v>
      </c>
      <c r="M5264" t="s">
        <v>18</v>
      </c>
      <c r="N5264">
        <v>0</v>
      </c>
      <c r="O5264">
        <v>0</v>
      </c>
    </row>
    <row r="5265" spans="1:15" x14ac:dyDescent="0.2">
      <c r="A5265" s="6">
        <v>45803</v>
      </c>
      <c r="B5265" t="s">
        <v>15</v>
      </c>
      <c r="C5265" t="s">
        <v>16</v>
      </c>
      <c r="D5265" s="1">
        <v>45855</v>
      </c>
      <c r="E5265" t="s">
        <v>19</v>
      </c>
      <c r="F5265">
        <v>5700</v>
      </c>
      <c r="J5265">
        <v>541.5</v>
      </c>
      <c r="K5265">
        <v>546.29999999999995</v>
      </c>
      <c r="L5265">
        <v>0</v>
      </c>
      <c r="M5265" t="s">
        <v>18</v>
      </c>
      <c r="N5265">
        <v>0</v>
      </c>
      <c r="O5265">
        <v>0</v>
      </c>
    </row>
    <row r="5266" spans="1:15" x14ac:dyDescent="0.2">
      <c r="A5266" s="6">
        <v>45803</v>
      </c>
      <c r="B5266" t="s">
        <v>15</v>
      </c>
      <c r="C5266" t="s">
        <v>16</v>
      </c>
      <c r="D5266" s="1">
        <v>45855</v>
      </c>
      <c r="E5266" t="s">
        <v>19</v>
      </c>
      <c r="F5266">
        <v>5300</v>
      </c>
      <c r="J5266">
        <v>263.60000000000002</v>
      </c>
      <c r="K5266">
        <v>273.3</v>
      </c>
      <c r="L5266">
        <v>0</v>
      </c>
      <c r="M5266" t="s">
        <v>18</v>
      </c>
      <c r="N5266">
        <v>0</v>
      </c>
      <c r="O5266">
        <v>3</v>
      </c>
    </row>
    <row r="5267" spans="1:15" x14ac:dyDescent="0.2">
      <c r="A5267" s="6">
        <v>45803</v>
      </c>
      <c r="B5267" t="s">
        <v>15</v>
      </c>
      <c r="C5267" t="s">
        <v>16</v>
      </c>
      <c r="D5267" s="1">
        <v>45855</v>
      </c>
      <c r="E5267" t="s">
        <v>19</v>
      </c>
      <c r="F5267">
        <v>4950</v>
      </c>
      <c r="J5267">
        <v>106.7</v>
      </c>
      <c r="K5267">
        <v>116.3</v>
      </c>
      <c r="L5267">
        <v>0</v>
      </c>
      <c r="M5267" t="s">
        <v>18</v>
      </c>
      <c r="N5267">
        <v>0</v>
      </c>
      <c r="O5267">
        <v>0</v>
      </c>
    </row>
    <row r="5268" spans="1:15" x14ac:dyDescent="0.2">
      <c r="A5268" s="6">
        <v>45803</v>
      </c>
      <c r="B5268" t="s">
        <v>15</v>
      </c>
      <c r="C5268" t="s">
        <v>16</v>
      </c>
      <c r="D5268" s="1">
        <v>45855</v>
      </c>
      <c r="E5268" t="s">
        <v>19</v>
      </c>
      <c r="F5268">
        <v>4450</v>
      </c>
      <c r="J5268">
        <v>15.1</v>
      </c>
      <c r="K5268">
        <v>19</v>
      </c>
      <c r="L5268">
        <v>0</v>
      </c>
      <c r="M5268" t="s">
        <v>18</v>
      </c>
      <c r="N5268">
        <v>0</v>
      </c>
      <c r="O5268">
        <v>0</v>
      </c>
    </row>
    <row r="5269" spans="1:15" x14ac:dyDescent="0.2">
      <c r="A5269" s="6">
        <v>45803</v>
      </c>
      <c r="B5269" t="s">
        <v>15</v>
      </c>
      <c r="C5269" t="s">
        <v>16</v>
      </c>
      <c r="D5269" s="1">
        <v>45855</v>
      </c>
      <c r="E5269" t="s">
        <v>19</v>
      </c>
      <c r="F5269">
        <v>4250</v>
      </c>
      <c r="J5269">
        <v>5.2</v>
      </c>
      <c r="K5269">
        <v>7.1</v>
      </c>
      <c r="L5269">
        <v>0</v>
      </c>
      <c r="M5269" t="s">
        <v>18</v>
      </c>
      <c r="N5269">
        <v>0</v>
      </c>
      <c r="O5269">
        <v>0</v>
      </c>
    </row>
    <row r="5270" spans="1:15" x14ac:dyDescent="0.2">
      <c r="A5270" s="6">
        <v>45803</v>
      </c>
      <c r="B5270" t="s">
        <v>15</v>
      </c>
      <c r="C5270" t="s">
        <v>16</v>
      </c>
      <c r="D5270" s="1">
        <v>45855</v>
      </c>
      <c r="E5270" t="s">
        <v>17</v>
      </c>
      <c r="F5270">
        <v>3850</v>
      </c>
      <c r="J5270">
        <v>1358.8</v>
      </c>
      <c r="K5270">
        <v>1365.3</v>
      </c>
      <c r="L5270">
        <v>0</v>
      </c>
      <c r="M5270" t="s">
        <v>18</v>
      </c>
      <c r="N5270">
        <v>0</v>
      </c>
      <c r="O5270">
        <v>0</v>
      </c>
    </row>
    <row r="5271" spans="1:15" x14ac:dyDescent="0.2">
      <c r="A5271" s="6">
        <v>45803</v>
      </c>
      <c r="B5271" t="s">
        <v>15</v>
      </c>
      <c r="C5271" t="s">
        <v>16</v>
      </c>
      <c r="D5271" s="1">
        <v>45855</v>
      </c>
      <c r="E5271" t="s">
        <v>17</v>
      </c>
      <c r="F5271">
        <v>6550</v>
      </c>
      <c r="J5271">
        <v>3.8</v>
      </c>
      <c r="K5271">
        <v>5.8</v>
      </c>
      <c r="L5271">
        <v>0</v>
      </c>
      <c r="M5271" t="s">
        <v>18</v>
      </c>
      <c r="N5271">
        <v>0</v>
      </c>
      <c r="O5271">
        <v>0</v>
      </c>
    </row>
    <row r="5272" spans="1:15" x14ac:dyDescent="0.2">
      <c r="A5272" s="6">
        <v>45803</v>
      </c>
      <c r="B5272" t="s">
        <v>15</v>
      </c>
      <c r="C5272" t="s">
        <v>16</v>
      </c>
      <c r="D5272" s="1">
        <v>45855</v>
      </c>
      <c r="E5272" t="s">
        <v>19</v>
      </c>
      <c r="F5272">
        <v>5050</v>
      </c>
      <c r="J5272">
        <v>142.69999999999999</v>
      </c>
      <c r="K5272">
        <v>152.80000000000001</v>
      </c>
      <c r="L5272">
        <v>0</v>
      </c>
      <c r="M5272" t="s">
        <v>18</v>
      </c>
      <c r="N5272">
        <v>0</v>
      </c>
      <c r="O5272">
        <v>0</v>
      </c>
    </row>
    <row r="5273" spans="1:15" x14ac:dyDescent="0.2">
      <c r="A5273" s="6">
        <v>45803</v>
      </c>
      <c r="B5273" t="s">
        <v>15</v>
      </c>
      <c r="C5273" t="s">
        <v>16</v>
      </c>
      <c r="D5273" s="1">
        <v>45855</v>
      </c>
      <c r="E5273" t="s">
        <v>19</v>
      </c>
      <c r="F5273">
        <v>5400</v>
      </c>
      <c r="J5273">
        <v>324.10000000000002</v>
      </c>
      <c r="K5273">
        <v>333</v>
      </c>
      <c r="L5273">
        <v>0</v>
      </c>
      <c r="M5273" t="s">
        <v>18</v>
      </c>
      <c r="N5273">
        <v>0</v>
      </c>
      <c r="O5273">
        <v>0</v>
      </c>
    </row>
    <row r="5274" spans="1:15" x14ac:dyDescent="0.2">
      <c r="A5274" s="6">
        <v>45803</v>
      </c>
      <c r="B5274" t="s">
        <v>15</v>
      </c>
      <c r="C5274" t="s">
        <v>16</v>
      </c>
      <c r="D5274" s="1">
        <v>45855</v>
      </c>
      <c r="E5274" t="s">
        <v>19</v>
      </c>
      <c r="F5274">
        <v>6200</v>
      </c>
      <c r="J5274">
        <v>983.9</v>
      </c>
      <c r="K5274">
        <v>981.3</v>
      </c>
      <c r="L5274">
        <v>0</v>
      </c>
      <c r="M5274" t="s">
        <v>18</v>
      </c>
      <c r="N5274">
        <v>0</v>
      </c>
      <c r="O5274">
        <v>0</v>
      </c>
    </row>
    <row r="5275" spans="1:15" x14ac:dyDescent="0.2">
      <c r="A5275" s="6">
        <v>45803</v>
      </c>
      <c r="B5275" t="s">
        <v>15</v>
      </c>
      <c r="C5275" t="s">
        <v>16</v>
      </c>
      <c r="D5275" s="1">
        <v>45855</v>
      </c>
      <c r="E5275" t="s">
        <v>19</v>
      </c>
      <c r="F5275">
        <v>3700</v>
      </c>
      <c r="J5275">
        <v>0.1</v>
      </c>
      <c r="K5275">
        <v>0.2</v>
      </c>
      <c r="L5275">
        <v>0</v>
      </c>
      <c r="M5275" t="s">
        <v>18</v>
      </c>
      <c r="N5275">
        <v>0</v>
      </c>
      <c r="O5275">
        <v>0</v>
      </c>
    </row>
    <row r="5276" spans="1:15" x14ac:dyDescent="0.2">
      <c r="A5276" s="6">
        <v>45803</v>
      </c>
      <c r="B5276" t="s">
        <v>15</v>
      </c>
      <c r="C5276" t="s">
        <v>16</v>
      </c>
      <c r="D5276" s="1">
        <v>45855</v>
      </c>
      <c r="E5276" t="s">
        <v>17</v>
      </c>
      <c r="F5276">
        <v>3800</v>
      </c>
      <c r="J5276">
        <v>1408.3</v>
      </c>
      <c r="K5276">
        <v>1414.6</v>
      </c>
      <c r="L5276">
        <v>0</v>
      </c>
      <c r="M5276" t="s">
        <v>18</v>
      </c>
      <c r="N5276">
        <v>0</v>
      </c>
      <c r="O5276">
        <v>0</v>
      </c>
    </row>
    <row r="5277" spans="1:15" x14ac:dyDescent="0.2">
      <c r="A5277" s="6">
        <v>45803</v>
      </c>
      <c r="B5277" t="s">
        <v>15</v>
      </c>
      <c r="C5277" t="s">
        <v>16</v>
      </c>
      <c r="D5277" s="1">
        <v>45855</v>
      </c>
      <c r="E5277" t="s">
        <v>17</v>
      </c>
      <c r="F5277">
        <v>5550</v>
      </c>
      <c r="J5277">
        <v>100.7</v>
      </c>
      <c r="K5277">
        <v>114.8</v>
      </c>
      <c r="L5277">
        <v>0</v>
      </c>
      <c r="M5277" t="s">
        <v>18</v>
      </c>
      <c r="N5277">
        <v>0</v>
      </c>
      <c r="O5277">
        <v>0</v>
      </c>
    </row>
    <row r="5278" spans="1:15" x14ac:dyDescent="0.2">
      <c r="A5278" s="6">
        <v>45803</v>
      </c>
      <c r="B5278" t="s">
        <v>15</v>
      </c>
      <c r="C5278" t="s">
        <v>16</v>
      </c>
      <c r="D5278" s="1">
        <v>45855</v>
      </c>
      <c r="E5278" t="s">
        <v>19</v>
      </c>
      <c r="F5278">
        <v>4800</v>
      </c>
      <c r="G5278">
        <v>100</v>
      </c>
      <c r="H5278">
        <v>100</v>
      </c>
      <c r="I5278">
        <v>100</v>
      </c>
      <c r="J5278">
        <v>100</v>
      </c>
      <c r="K5278">
        <v>73.5</v>
      </c>
      <c r="L5278">
        <v>1</v>
      </c>
      <c r="M5278" t="s">
        <v>155</v>
      </c>
      <c r="N5278">
        <v>4.9000000000000004</v>
      </c>
      <c r="O5278">
        <v>1</v>
      </c>
    </row>
    <row r="5279" spans="1:15" x14ac:dyDescent="0.2">
      <c r="A5279" s="6">
        <v>45803</v>
      </c>
      <c r="B5279" t="s">
        <v>15</v>
      </c>
      <c r="C5279" t="s">
        <v>16</v>
      </c>
      <c r="D5279" s="1">
        <v>45855</v>
      </c>
      <c r="E5279" t="s">
        <v>19</v>
      </c>
      <c r="F5279">
        <v>4600</v>
      </c>
      <c r="J5279">
        <v>30</v>
      </c>
      <c r="K5279">
        <v>35.799999999999997</v>
      </c>
      <c r="L5279">
        <v>0</v>
      </c>
      <c r="M5279" t="s">
        <v>18</v>
      </c>
      <c r="N5279">
        <v>0</v>
      </c>
      <c r="O5279">
        <v>0</v>
      </c>
    </row>
    <row r="5280" spans="1:15" x14ac:dyDescent="0.2">
      <c r="A5280" s="6">
        <v>45803</v>
      </c>
      <c r="B5280" t="s">
        <v>15</v>
      </c>
      <c r="C5280" t="s">
        <v>16</v>
      </c>
      <c r="D5280" s="1">
        <v>45855</v>
      </c>
      <c r="E5280" t="s">
        <v>17</v>
      </c>
      <c r="F5280">
        <v>5600</v>
      </c>
      <c r="J5280">
        <v>88.1</v>
      </c>
      <c r="K5280">
        <v>101.6</v>
      </c>
      <c r="L5280">
        <v>0</v>
      </c>
      <c r="M5280" t="s">
        <v>18</v>
      </c>
      <c r="N5280">
        <v>0</v>
      </c>
      <c r="O5280">
        <v>0</v>
      </c>
    </row>
    <row r="5281" spans="1:15" x14ac:dyDescent="0.2">
      <c r="A5281" s="6">
        <v>45803</v>
      </c>
      <c r="B5281" t="s">
        <v>15</v>
      </c>
      <c r="C5281" t="s">
        <v>16</v>
      </c>
      <c r="D5281" s="1">
        <v>45855</v>
      </c>
      <c r="E5281" t="s">
        <v>19</v>
      </c>
      <c r="F5281">
        <v>5900</v>
      </c>
      <c r="J5281">
        <v>709.8</v>
      </c>
      <c r="K5281">
        <v>711.3</v>
      </c>
      <c r="L5281">
        <v>0</v>
      </c>
      <c r="M5281" t="s">
        <v>18</v>
      </c>
      <c r="N5281">
        <v>0</v>
      </c>
      <c r="O5281">
        <v>0</v>
      </c>
    </row>
    <row r="5282" spans="1:15" x14ac:dyDescent="0.2">
      <c r="A5282" s="6">
        <v>45803</v>
      </c>
      <c r="B5282" t="s">
        <v>15</v>
      </c>
      <c r="C5282" t="s">
        <v>16</v>
      </c>
      <c r="D5282" s="1">
        <v>45855</v>
      </c>
      <c r="E5282" t="s">
        <v>17</v>
      </c>
      <c r="F5282">
        <v>5750</v>
      </c>
      <c r="J5282">
        <v>58</v>
      </c>
      <c r="K5282">
        <v>69.099999999999994</v>
      </c>
      <c r="L5282">
        <v>0</v>
      </c>
      <c r="M5282" t="s">
        <v>18</v>
      </c>
      <c r="N5282">
        <v>0</v>
      </c>
      <c r="O5282">
        <v>0</v>
      </c>
    </row>
    <row r="5283" spans="1:15" x14ac:dyDescent="0.2">
      <c r="A5283" s="6">
        <v>45803</v>
      </c>
      <c r="B5283" t="s">
        <v>15</v>
      </c>
      <c r="C5283" t="s">
        <v>16</v>
      </c>
      <c r="D5283" s="1">
        <v>45855</v>
      </c>
      <c r="E5283" t="s">
        <v>17</v>
      </c>
      <c r="F5283">
        <v>6500</v>
      </c>
      <c r="J5283">
        <v>4.5999999999999996</v>
      </c>
      <c r="K5283">
        <v>6.9</v>
      </c>
      <c r="L5283">
        <v>0</v>
      </c>
      <c r="M5283" t="s">
        <v>18</v>
      </c>
      <c r="N5283">
        <v>0</v>
      </c>
      <c r="O5283">
        <v>0</v>
      </c>
    </row>
    <row r="5284" spans="1:15" x14ac:dyDescent="0.2">
      <c r="A5284" s="6">
        <v>45803</v>
      </c>
      <c r="B5284" t="s">
        <v>15</v>
      </c>
      <c r="C5284" t="s">
        <v>16</v>
      </c>
      <c r="D5284" s="1">
        <v>45855</v>
      </c>
      <c r="E5284" t="s">
        <v>19</v>
      </c>
      <c r="F5284">
        <v>3800</v>
      </c>
      <c r="J5284">
        <v>0.2</v>
      </c>
      <c r="K5284">
        <v>0.4</v>
      </c>
      <c r="L5284">
        <v>0</v>
      </c>
      <c r="M5284" t="s">
        <v>18</v>
      </c>
      <c r="N5284">
        <v>0</v>
      </c>
      <c r="O5284">
        <v>0</v>
      </c>
    </row>
    <row r="5285" spans="1:15" x14ac:dyDescent="0.2">
      <c r="A5285" s="6">
        <v>45803</v>
      </c>
      <c r="B5285" t="s">
        <v>15</v>
      </c>
      <c r="C5285" t="s">
        <v>16</v>
      </c>
      <c r="D5285" s="1">
        <v>45855</v>
      </c>
      <c r="E5285" t="s">
        <v>17</v>
      </c>
      <c r="F5285">
        <v>6300</v>
      </c>
      <c r="J5285">
        <v>9.6</v>
      </c>
      <c r="K5285">
        <v>13.5</v>
      </c>
      <c r="L5285">
        <v>0</v>
      </c>
      <c r="M5285" t="s">
        <v>18</v>
      </c>
      <c r="N5285">
        <v>0</v>
      </c>
      <c r="O5285">
        <v>0</v>
      </c>
    </row>
    <row r="5286" spans="1:15" x14ac:dyDescent="0.2">
      <c r="A5286" s="6">
        <v>45803</v>
      </c>
      <c r="B5286" t="s">
        <v>15</v>
      </c>
      <c r="C5286" t="s">
        <v>16</v>
      </c>
      <c r="D5286" s="1">
        <v>45855</v>
      </c>
      <c r="E5286" t="s">
        <v>19</v>
      </c>
      <c r="F5286">
        <v>5500</v>
      </c>
      <c r="J5286">
        <v>391</v>
      </c>
      <c r="K5286">
        <v>398.7</v>
      </c>
      <c r="L5286">
        <v>0</v>
      </c>
      <c r="M5286" t="s">
        <v>18</v>
      </c>
      <c r="N5286">
        <v>0</v>
      </c>
      <c r="O5286">
        <v>0</v>
      </c>
    </row>
    <row r="5287" spans="1:15" x14ac:dyDescent="0.2">
      <c r="A5287" s="6">
        <v>45803</v>
      </c>
      <c r="B5287" t="s">
        <v>15</v>
      </c>
      <c r="C5287" t="s">
        <v>16</v>
      </c>
      <c r="D5287" s="1">
        <v>45855</v>
      </c>
      <c r="E5287" t="s">
        <v>19</v>
      </c>
      <c r="F5287">
        <v>4100</v>
      </c>
      <c r="J5287">
        <v>2</v>
      </c>
      <c r="K5287">
        <v>3</v>
      </c>
      <c r="L5287">
        <v>0</v>
      </c>
      <c r="M5287" t="s">
        <v>18</v>
      </c>
      <c r="N5287">
        <v>0</v>
      </c>
      <c r="O5287">
        <v>0</v>
      </c>
    </row>
    <row r="5288" spans="1:15" x14ac:dyDescent="0.2">
      <c r="A5288" s="6">
        <v>45803</v>
      </c>
      <c r="B5288" t="s">
        <v>15</v>
      </c>
      <c r="C5288" t="s">
        <v>16</v>
      </c>
      <c r="D5288" s="1">
        <v>45855</v>
      </c>
      <c r="E5288" t="s">
        <v>19</v>
      </c>
      <c r="F5288">
        <v>4500</v>
      </c>
      <c r="J5288">
        <v>19.2</v>
      </c>
      <c r="K5288">
        <v>23.7</v>
      </c>
      <c r="L5288">
        <v>0</v>
      </c>
      <c r="M5288" t="s">
        <v>18</v>
      </c>
      <c r="N5288">
        <v>0</v>
      </c>
      <c r="O5288">
        <v>0</v>
      </c>
    </row>
    <row r="5289" spans="1:15" x14ac:dyDescent="0.2">
      <c r="A5289" s="6">
        <v>45803</v>
      </c>
      <c r="B5289" t="s">
        <v>15</v>
      </c>
      <c r="C5289" t="s">
        <v>16</v>
      </c>
      <c r="D5289" s="1">
        <v>45855</v>
      </c>
      <c r="E5289" t="s">
        <v>19</v>
      </c>
      <c r="F5289">
        <v>5350</v>
      </c>
      <c r="J5289">
        <v>293</v>
      </c>
      <c r="K5289">
        <v>313.60000000000002</v>
      </c>
      <c r="L5289">
        <v>0</v>
      </c>
      <c r="M5289" t="s">
        <v>18</v>
      </c>
      <c r="N5289">
        <v>0</v>
      </c>
      <c r="O5289">
        <v>0</v>
      </c>
    </row>
    <row r="5290" spans="1:15" x14ac:dyDescent="0.2">
      <c r="A5290" s="6">
        <v>45803</v>
      </c>
      <c r="B5290" t="s">
        <v>15</v>
      </c>
      <c r="C5290" t="s">
        <v>16</v>
      </c>
      <c r="D5290" s="1">
        <v>45855</v>
      </c>
      <c r="E5290" t="s">
        <v>19</v>
      </c>
      <c r="F5290">
        <v>4400</v>
      </c>
      <c r="J5290">
        <v>11.8</v>
      </c>
      <c r="K5290">
        <v>15.1</v>
      </c>
      <c r="L5290">
        <v>0</v>
      </c>
      <c r="M5290" t="s">
        <v>18</v>
      </c>
      <c r="N5290">
        <v>0</v>
      </c>
      <c r="O5290">
        <v>0</v>
      </c>
    </row>
    <row r="5291" spans="1:15" x14ac:dyDescent="0.2">
      <c r="A5291" s="6">
        <v>45803</v>
      </c>
      <c r="B5291" t="s">
        <v>15</v>
      </c>
      <c r="C5291" t="s">
        <v>16</v>
      </c>
      <c r="D5291" s="1">
        <v>45855</v>
      </c>
      <c r="E5291" t="s">
        <v>17</v>
      </c>
      <c r="F5291">
        <v>6350</v>
      </c>
      <c r="J5291">
        <v>8</v>
      </c>
      <c r="K5291">
        <v>11.5</v>
      </c>
      <c r="L5291">
        <v>0</v>
      </c>
      <c r="M5291" t="s">
        <v>18</v>
      </c>
      <c r="N5291">
        <v>0</v>
      </c>
      <c r="O5291">
        <v>0</v>
      </c>
    </row>
    <row r="5292" spans="1:15" x14ac:dyDescent="0.2">
      <c r="A5292" s="6">
        <v>45803</v>
      </c>
      <c r="B5292" t="s">
        <v>15</v>
      </c>
      <c r="C5292" t="s">
        <v>16</v>
      </c>
      <c r="D5292" s="1">
        <v>45855</v>
      </c>
      <c r="E5292" t="s">
        <v>17</v>
      </c>
      <c r="F5292">
        <v>4050</v>
      </c>
      <c r="J5292">
        <v>1161.8</v>
      </c>
      <c r="K5292">
        <v>1168.9000000000001</v>
      </c>
      <c r="L5292">
        <v>0</v>
      </c>
      <c r="M5292" t="s">
        <v>18</v>
      </c>
      <c r="N5292">
        <v>0</v>
      </c>
      <c r="O5292">
        <v>0</v>
      </c>
    </row>
    <row r="5293" spans="1:15" x14ac:dyDescent="0.2">
      <c r="A5293" s="6">
        <v>45803</v>
      </c>
      <c r="B5293" t="s">
        <v>15</v>
      </c>
      <c r="C5293" t="s">
        <v>16</v>
      </c>
      <c r="D5293" s="1">
        <v>45855</v>
      </c>
      <c r="E5293" t="s">
        <v>17</v>
      </c>
      <c r="F5293">
        <v>4000</v>
      </c>
      <c r="J5293">
        <v>1210.9000000000001</v>
      </c>
      <c r="K5293">
        <v>1217.8</v>
      </c>
      <c r="L5293">
        <v>0</v>
      </c>
      <c r="M5293" t="s">
        <v>18</v>
      </c>
      <c r="N5293">
        <v>0</v>
      </c>
      <c r="O5293">
        <v>0</v>
      </c>
    </row>
    <row r="5294" spans="1:15" x14ac:dyDescent="0.2">
      <c r="A5294" s="6">
        <v>45803</v>
      </c>
      <c r="B5294" t="s">
        <v>15</v>
      </c>
      <c r="C5294" t="s">
        <v>16</v>
      </c>
      <c r="D5294" s="1">
        <v>45855</v>
      </c>
      <c r="E5294" t="s">
        <v>19</v>
      </c>
      <c r="F5294">
        <v>4650</v>
      </c>
      <c r="J5294">
        <v>37</v>
      </c>
      <c r="K5294">
        <v>43.4</v>
      </c>
      <c r="L5294">
        <v>0</v>
      </c>
      <c r="M5294" t="s">
        <v>18</v>
      </c>
      <c r="N5294">
        <v>0</v>
      </c>
      <c r="O5294">
        <v>0</v>
      </c>
    </row>
    <row r="5295" spans="1:15" x14ac:dyDescent="0.2">
      <c r="A5295" s="6">
        <v>45803</v>
      </c>
      <c r="B5295" t="s">
        <v>15</v>
      </c>
      <c r="C5295" t="s">
        <v>16</v>
      </c>
      <c r="D5295" s="1">
        <v>45855</v>
      </c>
      <c r="E5295" t="s">
        <v>17</v>
      </c>
      <c r="F5295">
        <v>6250</v>
      </c>
      <c r="J5295">
        <v>11.5</v>
      </c>
      <c r="K5295">
        <v>15.9</v>
      </c>
      <c r="L5295">
        <v>0</v>
      </c>
      <c r="M5295" t="s">
        <v>18</v>
      </c>
      <c r="N5295">
        <v>0</v>
      </c>
      <c r="O5295">
        <v>0</v>
      </c>
    </row>
    <row r="5296" spans="1:15" x14ac:dyDescent="0.2">
      <c r="A5296" s="6">
        <v>45803</v>
      </c>
      <c r="B5296" t="s">
        <v>15</v>
      </c>
      <c r="C5296" t="s">
        <v>16</v>
      </c>
      <c r="D5296" s="1">
        <v>45855</v>
      </c>
      <c r="E5296" t="s">
        <v>17</v>
      </c>
      <c r="F5296">
        <v>5150</v>
      </c>
      <c r="J5296">
        <v>256</v>
      </c>
      <c r="K5296">
        <v>273.2</v>
      </c>
      <c r="L5296">
        <v>0</v>
      </c>
      <c r="M5296" t="s">
        <v>18</v>
      </c>
      <c r="N5296">
        <v>0</v>
      </c>
      <c r="O5296">
        <v>0</v>
      </c>
    </row>
    <row r="5297" spans="1:15" x14ac:dyDescent="0.2">
      <c r="A5297" s="6">
        <v>45803</v>
      </c>
      <c r="B5297" t="s">
        <v>15</v>
      </c>
      <c r="C5297" t="s">
        <v>16</v>
      </c>
      <c r="D5297" s="1">
        <v>45855</v>
      </c>
      <c r="E5297" t="s">
        <v>17</v>
      </c>
      <c r="F5297">
        <v>4550</v>
      </c>
      <c r="J5297">
        <v>689.1</v>
      </c>
      <c r="K5297">
        <v>700.7</v>
      </c>
      <c r="L5297">
        <v>0</v>
      </c>
      <c r="M5297" t="s">
        <v>18</v>
      </c>
      <c r="N5297">
        <v>0</v>
      </c>
      <c r="O5297">
        <v>0</v>
      </c>
    </row>
    <row r="5298" spans="1:15" x14ac:dyDescent="0.2">
      <c r="A5298" s="6">
        <v>45803</v>
      </c>
      <c r="B5298" t="s">
        <v>15</v>
      </c>
      <c r="C5298" t="s">
        <v>16</v>
      </c>
      <c r="D5298" s="1">
        <v>45855</v>
      </c>
      <c r="E5298" t="s">
        <v>17</v>
      </c>
      <c r="F5298">
        <v>5800</v>
      </c>
      <c r="J5298">
        <v>50.1</v>
      </c>
      <c r="K5298">
        <v>60.4</v>
      </c>
      <c r="L5298">
        <v>0</v>
      </c>
      <c r="M5298" t="s">
        <v>18</v>
      </c>
      <c r="N5298">
        <v>0</v>
      </c>
      <c r="O5298">
        <v>0</v>
      </c>
    </row>
    <row r="5299" spans="1:15" x14ac:dyDescent="0.2">
      <c r="A5299" s="6">
        <v>45803</v>
      </c>
      <c r="B5299" t="s">
        <v>15</v>
      </c>
      <c r="C5299" t="s">
        <v>16</v>
      </c>
      <c r="D5299" s="1">
        <v>45855</v>
      </c>
      <c r="E5299" t="s">
        <v>17</v>
      </c>
      <c r="F5299">
        <v>5450</v>
      </c>
      <c r="J5299">
        <v>129.9</v>
      </c>
      <c r="K5299">
        <v>145.19999999999999</v>
      </c>
      <c r="L5299">
        <v>0</v>
      </c>
      <c r="M5299" t="s">
        <v>18</v>
      </c>
      <c r="N5299">
        <v>0</v>
      </c>
      <c r="O5299">
        <v>0</v>
      </c>
    </row>
    <row r="5300" spans="1:15" x14ac:dyDescent="0.2">
      <c r="A5300" s="6">
        <v>45803</v>
      </c>
      <c r="B5300" t="s">
        <v>15</v>
      </c>
      <c r="C5300" t="s">
        <v>16</v>
      </c>
      <c r="D5300" s="1">
        <v>45855</v>
      </c>
      <c r="E5300" t="s">
        <v>19</v>
      </c>
      <c r="F5300">
        <v>6250</v>
      </c>
      <c r="J5300">
        <v>1031.2</v>
      </c>
      <c r="K5300">
        <v>1028.0999999999999</v>
      </c>
      <c r="L5300">
        <v>0</v>
      </c>
      <c r="M5300" t="s">
        <v>18</v>
      </c>
      <c r="N5300">
        <v>0</v>
      </c>
      <c r="O5300">
        <v>0</v>
      </c>
    </row>
    <row r="5301" spans="1:15" x14ac:dyDescent="0.2">
      <c r="A5301" s="6">
        <v>45803</v>
      </c>
      <c r="B5301" t="s">
        <v>15</v>
      </c>
      <c r="C5301" t="s">
        <v>16</v>
      </c>
      <c r="D5301" s="1">
        <v>45855</v>
      </c>
      <c r="E5301" t="s">
        <v>19</v>
      </c>
      <c r="F5301">
        <v>5150</v>
      </c>
      <c r="J5301">
        <v>185.7</v>
      </c>
      <c r="K5301">
        <v>196</v>
      </c>
      <c r="L5301">
        <v>0</v>
      </c>
      <c r="M5301" t="s">
        <v>18</v>
      </c>
      <c r="N5301">
        <v>0</v>
      </c>
      <c r="O5301">
        <v>0</v>
      </c>
    </row>
    <row r="5302" spans="1:15" x14ac:dyDescent="0.2">
      <c r="A5302" s="6">
        <v>45803</v>
      </c>
      <c r="B5302" t="s">
        <v>15</v>
      </c>
      <c r="C5302" t="s">
        <v>16</v>
      </c>
      <c r="D5302" s="1">
        <v>45855</v>
      </c>
      <c r="E5302" t="s">
        <v>17</v>
      </c>
      <c r="F5302">
        <v>4500</v>
      </c>
      <c r="J5302">
        <v>733.7</v>
      </c>
      <c r="K5302">
        <v>744.7</v>
      </c>
      <c r="L5302">
        <v>0</v>
      </c>
      <c r="M5302" t="s">
        <v>18</v>
      </c>
      <c r="N5302">
        <v>0</v>
      </c>
      <c r="O5302">
        <v>0</v>
      </c>
    </row>
    <row r="5303" spans="1:15" x14ac:dyDescent="0.2">
      <c r="A5303" s="6">
        <v>45803</v>
      </c>
      <c r="B5303" t="s">
        <v>15</v>
      </c>
      <c r="C5303" t="s">
        <v>16</v>
      </c>
      <c r="D5303" s="1">
        <v>45855</v>
      </c>
      <c r="E5303" t="s">
        <v>17</v>
      </c>
      <c r="F5303">
        <v>5050</v>
      </c>
      <c r="J5303">
        <v>312.10000000000002</v>
      </c>
      <c r="K5303">
        <v>329.1</v>
      </c>
      <c r="L5303">
        <v>0</v>
      </c>
      <c r="M5303" t="s">
        <v>18</v>
      </c>
      <c r="N5303">
        <v>0</v>
      </c>
      <c r="O5303">
        <v>0</v>
      </c>
    </row>
    <row r="5304" spans="1:15" x14ac:dyDescent="0.2">
      <c r="A5304" s="6">
        <v>45803</v>
      </c>
      <c r="B5304" t="s">
        <v>15</v>
      </c>
      <c r="C5304" t="s">
        <v>16</v>
      </c>
      <c r="D5304" s="1">
        <v>45855</v>
      </c>
      <c r="E5304" t="s">
        <v>17</v>
      </c>
      <c r="F5304">
        <v>5500</v>
      </c>
      <c r="J5304">
        <v>114.5</v>
      </c>
      <c r="K5304">
        <v>129.30000000000001</v>
      </c>
      <c r="L5304">
        <v>0</v>
      </c>
      <c r="M5304" t="s">
        <v>18</v>
      </c>
      <c r="N5304">
        <v>0</v>
      </c>
      <c r="O5304">
        <v>0</v>
      </c>
    </row>
    <row r="5305" spans="1:15" x14ac:dyDescent="0.2">
      <c r="A5305" s="6">
        <v>45803</v>
      </c>
      <c r="B5305" t="s">
        <v>15</v>
      </c>
      <c r="C5305" t="s">
        <v>16</v>
      </c>
      <c r="D5305" s="1">
        <v>45855</v>
      </c>
      <c r="E5305" t="s">
        <v>17</v>
      </c>
      <c r="F5305">
        <v>4250</v>
      </c>
      <c r="J5305">
        <v>967.3</v>
      </c>
      <c r="K5305">
        <v>975.7</v>
      </c>
      <c r="L5305">
        <v>0</v>
      </c>
      <c r="M5305" t="s">
        <v>18</v>
      </c>
      <c r="N5305">
        <v>0</v>
      </c>
      <c r="O5305">
        <v>0</v>
      </c>
    </row>
    <row r="5306" spans="1:15" x14ac:dyDescent="0.2">
      <c r="A5306" s="6">
        <v>45803</v>
      </c>
      <c r="B5306" t="s">
        <v>15</v>
      </c>
      <c r="C5306" t="s">
        <v>16</v>
      </c>
      <c r="D5306" s="1">
        <v>45855</v>
      </c>
      <c r="E5306" t="s">
        <v>17</v>
      </c>
      <c r="F5306">
        <v>4150</v>
      </c>
      <c r="J5306">
        <v>1064.0999999999999</v>
      </c>
      <c r="K5306">
        <v>1071.7</v>
      </c>
      <c r="L5306">
        <v>0</v>
      </c>
      <c r="M5306" t="s">
        <v>18</v>
      </c>
      <c r="N5306">
        <v>0</v>
      </c>
      <c r="O5306">
        <v>0</v>
      </c>
    </row>
    <row r="5307" spans="1:15" x14ac:dyDescent="0.2">
      <c r="A5307" s="6">
        <v>45803</v>
      </c>
      <c r="B5307" t="s">
        <v>15</v>
      </c>
      <c r="C5307" t="s">
        <v>16</v>
      </c>
      <c r="D5307" s="1">
        <v>45855</v>
      </c>
      <c r="E5307" t="s">
        <v>17</v>
      </c>
      <c r="F5307">
        <v>5200</v>
      </c>
      <c r="J5307">
        <v>230.7</v>
      </c>
      <c r="K5307">
        <v>247.8</v>
      </c>
      <c r="L5307">
        <v>0</v>
      </c>
      <c r="M5307" t="s">
        <v>18</v>
      </c>
      <c r="N5307">
        <v>0</v>
      </c>
      <c r="O5307">
        <v>0</v>
      </c>
    </row>
    <row r="5308" spans="1:15" x14ac:dyDescent="0.2">
      <c r="A5308" s="6">
        <v>45803</v>
      </c>
      <c r="B5308" t="s">
        <v>15</v>
      </c>
      <c r="C5308" t="s">
        <v>16</v>
      </c>
      <c r="D5308" s="1">
        <v>45855</v>
      </c>
      <c r="E5308" t="s">
        <v>17</v>
      </c>
      <c r="F5308">
        <v>5900</v>
      </c>
      <c r="J5308">
        <v>37</v>
      </c>
      <c r="K5308">
        <v>45.8</v>
      </c>
      <c r="L5308">
        <v>0</v>
      </c>
      <c r="M5308" t="s">
        <v>18</v>
      </c>
      <c r="N5308">
        <v>0</v>
      </c>
      <c r="O5308">
        <v>0</v>
      </c>
    </row>
    <row r="5309" spans="1:15" x14ac:dyDescent="0.2">
      <c r="A5309" s="6">
        <v>45803</v>
      </c>
      <c r="B5309" t="s">
        <v>15</v>
      </c>
      <c r="C5309" t="s">
        <v>16</v>
      </c>
      <c r="D5309" s="1">
        <v>45855</v>
      </c>
      <c r="E5309" t="s">
        <v>17</v>
      </c>
      <c r="F5309">
        <v>3950</v>
      </c>
      <c r="J5309">
        <v>1260.0999999999999</v>
      </c>
      <c r="K5309">
        <v>1266.8</v>
      </c>
      <c r="L5309">
        <v>0</v>
      </c>
      <c r="M5309" t="s">
        <v>18</v>
      </c>
      <c r="N5309">
        <v>0</v>
      </c>
      <c r="O5309">
        <v>0</v>
      </c>
    </row>
    <row r="5310" spans="1:15" x14ac:dyDescent="0.2">
      <c r="A5310" s="6">
        <v>45803</v>
      </c>
      <c r="B5310" t="s">
        <v>15</v>
      </c>
      <c r="C5310" t="s">
        <v>16</v>
      </c>
      <c r="D5310" s="1">
        <v>45855</v>
      </c>
      <c r="E5310" t="s">
        <v>19</v>
      </c>
      <c r="F5310">
        <v>6350</v>
      </c>
      <c r="J5310">
        <v>1126.8</v>
      </c>
      <c r="K5310">
        <v>1122.7</v>
      </c>
      <c r="L5310">
        <v>0</v>
      </c>
      <c r="M5310" t="s">
        <v>18</v>
      </c>
      <c r="N5310">
        <v>0</v>
      </c>
      <c r="O5310">
        <v>0</v>
      </c>
    </row>
    <row r="5311" spans="1:15" x14ac:dyDescent="0.2">
      <c r="A5311" s="6">
        <v>45803</v>
      </c>
      <c r="B5311" t="s">
        <v>15</v>
      </c>
      <c r="C5311" t="s">
        <v>16</v>
      </c>
      <c r="D5311" s="1">
        <v>45855</v>
      </c>
      <c r="E5311" t="s">
        <v>19</v>
      </c>
      <c r="F5311">
        <v>5650</v>
      </c>
      <c r="J5311">
        <v>502</v>
      </c>
      <c r="K5311">
        <v>507.6</v>
      </c>
      <c r="L5311">
        <v>0</v>
      </c>
      <c r="M5311" t="s">
        <v>18</v>
      </c>
      <c r="N5311">
        <v>0</v>
      </c>
      <c r="O5311">
        <v>0</v>
      </c>
    </row>
    <row r="5312" spans="1:15" x14ac:dyDescent="0.2">
      <c r="A5312" s="6">
        <v>45803</v>
      </c>
      <c r="B5312" t="s">
        <v>15</v>
      </c>
      <c r="C5312" t="s">
        <v>16</v>
      </c>
      <c r="D5312" s="1">
        <v>45855</v>
      </c>
      <c r="E5312" t="s">
        <v>19</v>
      </c>
      <c r="F5312">
        <v>4000</v>
      </c>
      <c r="J5312">
        <v>1</v>
      </c>
      <c r="K5312">
        <v>1.6</v>
      </c>
      <c r="L5312">
        <v>0</v>
      </c>
      <c r="M5312" t="s">
        <v>18</v>
      </c>
      <c r="N5312">
        <v>0</v>
      </c>
      <c r="O5312">
        <v>0</v>
      </c>
    </row>
    <row r="5313" spans="1:15" x14ac:dyDescent="0.2">
      <c r="A5313" s="6">
        <v>45803</v>
      </c>
      <c r="B5313" t="s">
        <v>15</v>
      </c>
      <c r="C5313" t="s">
        <v>16</v>
      </c>
      <c r="D5313" s="1">
        <v>45855</v>
      </c>
      <c r="E5313" t="s">
        <v>19</v>
      </c>
      <c r="F5313">
        <v>5600</v>
      </c>
      <c r="J5313">
        <v>463.7</v>
      </c>
      <c r="K5313">
        <v>470</v>
      </c>
      <c r="L5313">
        <v>0</v>
      </c>
      <c r="M5313" t="s">
        <v>18</v>
      </c>
      <c r="N5313">
        <v>0</v>
      </c>
      <c r="O5313">
        <v>0</v>
      </c>
    </row>
    <row r="5314" spans="1:15" x14ac:dyDescent="0.2">
      <c r="A5314" s="6">
        <v>45803</v>
      </c>
      <c r="B5314" t="s">
        <v>15</v>
      </c>
      <c r="C5314" t="s">
        <v>16</v>
      </c>
      <c r="D5314" s="1">
        <v>45855</v>
      </c>
      <c r="E5314" t="s">
        <v>19</v>
      </c>
      <c r="F5314">
        <v>4850</v>
      </c>
      <c r="J5314">
        <v>77.5</v>
      </c>
      <c r="K5314">
        <v>86.2</v>
      </c>
      <c r="L5314">
        <v>0</v>
      </c>
      <c r="M5314" t="s">
        <v>18</v>
      </c>
      <c r="N5314">
        <v>0</v>
      </c>
      <c r="O5314">
        <v>0</v>
      </c>
    </row>
    <row r="5315" spans="1:15" x14ac:dyDescent="0.2">
      <c r="A5315" s="6">
        <v>45803</v>
      </c>
      <c r="B5315" t="s">
        <v>15</v>
      </c>
      <c r="C5315" t="s">
        <v>16</v>
      </c>
      <c r="D5315" s="1">
        <v>45855</v>
      </c>
      <c r="E5315" t="s">
        <v>17</v>
      </c>
      <c r="F5315">
        <v>6100</v>
      </c>
      <c r="J5315">
        <v>19.399999999999999</v>
      </c>
      <c r="K5315">
        <v>25.4</v>
      </c>
      <c r="L5315">
        <v>0</v>
      </c>
      <c r="M5315" t="s">
        <v>18</v>
      </c>
      <c r="N5315">
        <v>0</v>
      </c>
      <c r="O5315">
        <v>0</v>
      </c>
    </row>
    <row r="5316" spans="1:15" x14ac:dyDescent="0.2">
      <c r="A5316" s="6">
        <v>45803</v>
      </c>
      <c r="B5316" t="s">
        <v>15</v>
      </c>
      <c r="C5316" t="s">
        <v>16</v>
      </c>
      <c r="D5316" s="1">
        <v>45855</v>
      </c>
      <c r="E5316" t="s">
        <v>17</v>
      </c>
      <c r="F5316">
        <v>5350</v>
      </c>
      <c r="J5316">
        <v>165.2</v>
      </c>
      <c r="K5316">
        <v>181.5</v>
      </c>
      <c r="L5316">
        <v>0</v>
      </c>
      <c r="M5316" t="s">
        <v>18</v>
      </c>
      <c r="N5316">
        <v>0</v>
      </c>
      <c r="O5316">
        <v>0</v>
      </c>
    </row>
    <row r="5317" spans="1:15" x14ac:dyDescent="0.2">
      <c r="A5317" s="6">
        <v>45803</v>
      </c>
      <c r="B5317" t="s">
        <v>15</v>
      </c>
      <c r="C5317" t="s">
        <v>16</v>
      </c>
      <c r="D5317" s="1">
        <v>45855</v>
      </c>
      <c r="E5317" t="s">
        <v>17</v>
      </c>
      <c r="F5317">
        <v>4600</v>
      </c>
      <c r="J5317">
        <v>645.4</v>
      </c>
      <c r="K5317">
        <v>657.7</v>
      </c>
      <c r="L5317">
        <v>0</v>
      </c>
      <c r="M5317" t="s">
        <v>18</v>
      </c>
      <c r="N5317">
        <v>0</v>
      </c>
      <c r="O5317">
        <v>0</v>
      </c>
    </row>
    <row r="5318" spans="1:15" x14ac:dyDescent="0.2">
      <c r="A5318" s="6">
        <v>45803</v>
      </c>
      <c r="B5318" t="s">
        <v>15</v>
      </c>
      <c r="C5318" t="s">
        <v>16</v>
      </c>
      <c r="D5318" s="1">
        <v>45855</v>
      </c>
      <c r="E5318" t="s">
        <v>19</v>
      </c>
      <c r="F5318">
        <v>3650</v>
      </c>
      <c r="J5318">
        <v>0.1</v>
      </c>
      <c r="K5318">
        <v>0.1</v>
      </c>
      <c r="L5318">
        <v>0</v>
      </c>
      <c r="M5318" t="s">
        <v>18</v>
      </c>
      <c r="N5318">
        <v>0</v>
      </c>
      <c r="O5318">
        <v>0</v>
      </c>
    </row>
    <row r="5319" spans="1:15" x14ac:dyDescent="0.2">
      <c r="A5319" s="6">
        <v>45803</v>
      </c>
      <c r="B5319" t="s">
        <v>15</v>
      </c>
      <c r="C5319" t="s">
        <v>16</v>
      </c>
      <c r="D5319" s="1">
        <v>45855</v>
      </c>
      <c r="E5319" t="s">
        <v>17</v>
      </c>
      <c r="F5319">
        <v>6400</v>
      </c>
      <c r="J5319">
        <v>6.7</v>
      </c>
      <c r="K5319">
        <v>9.6999999999999993</v>
      </c>
      <c r="L5319">
        <v>0</v>
      </c>
      <c r="M5319" t="s">
        <v>18</v>
      </c>
      <c r="N5319">
        <v>0</v>
      </c>
      <c r="O5319">
        <v>0</v>
      </c>
    </row>
    <row r="5320" spans="1:15" x14ac:dyDescent="0.2">
      <c r="A5320" s="6">
        <v>45803</v>
      </c>
      <c r="B5320" t="s">
        <v>15</v>
      </c>
      <c r="C5320" t="s">
        <v>16</v>
      </c>
      <c r="D5320" s="1">
        <v>45855</v>
      </c>
      <c r="E5320" t="s">
        <v>19</v>
      </c>
      <c r="F5320">
        <v>3950</v>
      </c>
      <c r="J5320">
        <v>0.7</v>
      </c>
      <c r="K5320">
        <v>1.1000000000000001</v>
      </c>
      <c r="L5320">
        <v>0</v>
      </c>
      <c r="M5320" t="s">
        <v>18</v>
      </c>
      <c r="N5320">
        <v>0</v>
      </c>
      <c r="O5320">
        <v>0</v>
      </c>
    </row>
    <row r="5321" spans="1:15" x14ac:dyDescent="0.2">
      <c r="A5321" s="6">
        <v>45803</v>
      </c>
      <c r="B5321" t="s">
        <v>15</v>
      </c>
      <c r="C5321" t="s">
        <v>16</v>
      </c>
      <c r="D5321" s="1">
        <v>45855</v>
      </c>
      <c r="E5321" t="s">
        <v>19</v>
      </c>
      <c r="F5321">
        <v>5550</v>
      </c>
      <c r="J5321">
        <v>426.7</v>
      </c>
      <c r="K5321">
        <v>433.7</v>
      </c>
      <c r="L5321">
        <v>0</v>
      </c>
      <c r="M5321" t="s">
        <v>18</v>
      </c>
      <c r="N5321">
        <v>0</v>
      </c>
      <c r="O5321">
        <v>0</v>
      </c>
    </row>
    <row r="5322" spans="1:15" x14ac:dyDescent="0.2">
      <c r="A5322" s="6">
        <v>45803</v>
      </c>
      <c r="B5322" t="s">
        <v>15</v>
      </c>
      <c r="C5322" t="s">
        <v>16</v>
      </c>
      <c r="D5322" s="1">
        <v>45855</v>
      </c>
      <c r="E5322" t="s">
        <v>19</v>
      </c>
      <c r="F5322">
        <v>6000</v>
      </c>
      <c r="J5322">
        <v>798.9</v>
      </c>
      <c r="K5322">
        <v>798.9</v>
      </c>
      <c r="L5322">
        <v>0</v>
      </c>
      <c r="M5322" t="s">
        <v>18</v>
      </c>
      <c r="N5322">
        <v>0</v>
      </c>
      <c r="O5322">
        <v>0</v>
      </c>
    </row>
    <row r="5323" spans="1:15" x14ac:dyDescent="0.2">
      <c r="A5323" s="6">
        <v>45803</v>
      </c>
      <c r="B5323" t="s">
        <v>15</v>
      </c>
      <c r="C5323" t="s">
        <v>16</v>
      </c>
      <c r="D5323" s="1">
        <v>45855</v>
      </c>
      <c r="E5323" t="s">
        <v>19</v>
      </c>
      <c r="F5323">
        <v>6300</v>
      </c>
      <c r="J5323">
        <v>1078.8</v>
      </c>
      <c r="K5323">
        <v>1075.2</v>
      </c>
      <c r="L5323">
        <v>0</v>
      </c>
      <c r="M5323" t="s">
        <v>18</v>
      </c>
      <c r="N5323">
        <v>0</v>
      </c>
      <c r="O5323">
        <v>0</v>
      </c>
    </row>
    <row r="5324" spans="1:15" x14ac:dyDescent="0.2">
      <c r="A5324" s="6">
        <v>45803</v>
      </c>
      <c r="B5324" t="s">
        <v>15</v>
      </c>
      <c r="C5324" t="s">
        <v>16</v>
      </c>
      <c r="D5324" s="1">
        <v>45855</v>
      </c>
      <c r="E5324" t="s">
        <v>17</v>
      </c>
      <c r="F5324">
        <v>6600</v>
      </c>
      <c r="J5324">
        <v>3.1</v>
      </c>
      <c r="K5324">
        <v>4.9000000000000004</v>
      </c>
      <c r="L5324">
        <v>0</v>
      </c>
      <c r="M5324" t="s">
        <v>18</v>
      </c>
      <c r="N5324">
        <v>0</v>
      </c>
      <c r="O5324">
        <v>0</v>
      </c>
    </row>
    <row r="5325" spans="1:15" x14ac:dyDescent="0.2">
      <c r="A5325" s="6">
        <v>45803</v>
      </c>
      <c r="B5325" t="s">
        <v>15</v>
      </c>
      <c r="C5325" t="s">
        <v>16</v>
      </c>
      <c r="D5325" s="1">
        <v>45855</v>
      </c>
      <c r="E5325" t="s">
        <v>19</v>
      </c>
      <c r="F5325">
        <v>5850</v>
      </c>
      <c r="J5325">
        <v>666.4</v>
      </c>
      <c r="K5325">
        <v>668.7</v>
      </c>
      <c r="L5325">
        <v>0</v>
      </c>
      <c r="M5325" t="s">
        <v>18</v>
      </c>
      <c r="N5325">
        <v>0</v>
      </c>
      <c r="O5325">
        <v>0</v>
      </c>
    </row>
    <row r="5326" spans="1:15" x14ac:dyDescent="0.2">
      <c r="A5326" s="6">
        <v>45803</v>
      </c>
      <c r="B5326" t="s">
        <v>15</v>
      </c>
      <c r="C5326" t="s">
        <v>16</v>
      </c>
      <c r="D5326" s="1">
        <v>45855</v>
      </c>
      <c r="E5326" t="s">
        <v>19</v>
      </c>
      <c r="F5326">
        <v>3850</v>
      </c>
      <c r="J5326">
        <v>0.3</v>
      </c>
      <c r="K5326">
        <v>0.5</v>
      </c>
      <c r="L5326">
        <v>0</v>
      </c>
      <c r="M5326" t="s">
        <v>18</v>
      </c>
      <c r="N5326">
        <v>0</v>
      </c>
      <c r="O5326">
        <v>0</v>
      </c>
    </row>
    <row r="5327" spans="1:15" x14ac:dyDescent="0.2">
      <c r="A5327" s="6">
        <v>45803</v>
      </c>
      <c r="B5327" t="s">
        <v>15</v>
      </c>
      <c r="C5327" t="s">
        <v>16</v>
      </c>
      <c r="D5327" s="1">
        <v>45855</v>
      </c>
      <c r="E5327" t="s">
        <v>19</v>
      </c>
      <c r="F5327">
        <v>6500</v>
      </c>
      <c r="J5327">
        <v>1272</v>
      </c>
      <c r="K5327">
        <v>1266.5999999999999</v>
      </c>
      <c r="L5327">
        <v>0</v>
      </c>
      <c r="M5327" t="s">
        <v>18</v>
      </c>
      <c r="N5327">
        <v>0</v>
      </c>
      <c r="O5327">
        <v>0</v>
      </c>
    </row>
    <row r="5328" spans="1:15" x14ac:dyDescent="0.2">
      <c r="A5328" s="6">
        <v>45803</v>
      </c>
      <c r="B5328" t="s">
        <v>15</v>
      </c>
      <c r="C5328" t="s">
        <v>16</v>
      </c>
      <c r="D5328" s="1">
        <v>45855</v>
      </c>
      <c r="E5328" t="s">
        <v>17</v>
      </c>
      <c r="F5328">
        <v>5850</v>
      </c>
      <c r="J5328">
        <v>43.1</v>
      </c>
      <c r="K5328">
        <v>52.7</v>
      </c>
      <c r="L5328">
        <v>0</v>
      </c>
      <c r="M5328" t="s">
        <v>18</v>
      </c>
      <c r="N5328">
        <v>0</v>
      </c>
      <c r="O5328">
        <v>0</v>
      </c>
    </row>
    <row r="5329" spans="1:15" x14ac:dyDescent="0.2">
      <c r="A5329" s="6">
        <v>45803</v>
      </c>
      <c r="B5329" t="s">
        <v>15</v>
      </c>
      <c r="C5329" t="s">
        <v>16</v>
      </c>
      <c r="D5329" s="1">
        <v>45855</v>
      </c>
      <c r="E5329" t="s">
        <v>19</v>
      </c>
      <c r="F5329">
        <v>4350</v>
      </c>
      <c r="J5329">
        <v>9.1</v>
      </c>
      <c r="K5329">
        <v>11.9</v>
      </c>
      <c r="L5329">
        <v>0</v>
      </c>
      <c r="M5329" t="s">
        <v>18</v>
      </c>
      <c r="N5329">
        <v>0</v>
      </c>
      <c r="O5329">
        <v>0</v>
      </c>
    </row>
    <row r="5330" spans="1:15" x14ac:dyDescent="0.2">
      <c r="A5330" s="6">
        <v>45803</v>
      </c>
      <c r="B5330" t="s">
        <v>15</v>
      </c>
      <c r="C5330" t="s">
        <v>16</v>
      </c>
      <c r="D5330" s="1">
        <v>45855</v>
      </c>
      <c r="E5330" t="s">
        <v>19</v>
      </c>
      <c r="F5330">
        <v>4750</v>
      </c>
      <c r="J5330">
        <v>54.5</v>
      </c>
      <c r="K5330">
        <v>62.1</v>
      </c>
      <c r="L5330">
        <v>0</v>
      </c>
      <c r="M5330" t="s">
        <v>18</v>
      </c>
      <c r="N5330">
        <v>0</v>
      </c>
      <c r="O5330">
        <v>0</v>
      </c>
    </row>
    <row r="5331" spans="1:15" x14ac:dyDescent="0.2">
      <c r="A5331" s="6">
        <v>45803</v>
      </c>
      <c r="B5331" t="s">
        <v>15</v>
      </c>
      <c r="C5331" t="s">
        <v>16</v>
      </c>
      <c r="D5331" s="1">
        <v>45855</v>
      </c>
      <c r="E5331" t="s">
        <v>17</v>
      </c>
      <c r="F5331">
        <v>4300</v>
      </c>
      <c r="J5331">
        <v>919.5</v>
      </c>
      <c r="K5331">
        <v>928.3</v>
      </c>
      <c r="L5331">
        <v>0</v>
      </c>
      <c r="M5331" t="s">
        <v>18</v>
      </c>
      <c r="N5331">
        <v>0</v>
      </c>
      <c r="O5331">
        <v>0</v>
      </c>
    </row>
    <row r="5332" spans="1:15" x14ac:dyDescent="0.2">
      <c r="A5332" s="6">
        <v>45803</v>
      </c>
      <c r="B5332" t="s">
        <v>15</v>
      </c>
      <c r="C5332" t="s">
        <v>16</v>
      </c>
      <c r="D5332" s="1">
        <v>45855</v>
      </c>
      <c r="E5332" t="s">
        <v>17</v>
      </c>
      <c r="F5332">
        <v>3900</v>
      </c>
      <c r="J5332">
        <v>1309.5</v>
      </c>
      <c r="K5332">
        <v>1316</v>
      </c>
      <c r="L5332">
        <v>0</v>
      </c>
      <c r="M5332" t="s">
        <v>18</v>
      </c>
      <c r="N5332">
        <v>0</v>
      </c>
      <c r="O5332">
        <v>0</v>
      </c>
    </row>
    <row r="5333" spans="1:15" x14ac:dyDescent="0.2">
      <c r="A5333" s="6">
        <v>45803</v>
      </c>
      <c r="B5333" t="s">
        <v>15</v>
      </c>
      <c r="C5333" t="s">
        <v>16</v>
      </c>
      <c r="D5333" s="1">
        <v>45855</v>
      </c>
      <c r="E5333" t="s">
        <v>19</v>
      </c>
      <c r="F5333">
        <v>6450</v>
      </c>
      <c r="J5333">
        <v>1223.4000000000001</v>
      </c>
      <c r="K5333">
        <v>1218.4000000000001</v>
      </c>
      <c r="L5333">
        <v>0</v>
      </c>
      <c r="M5333" t="s">
        <v>18</v>
      </c>
      <c r="N5333">
        <v>0</v>
      </c>
      <c r="O5333">
        <v>0</v>
      </c>
    </row>
    <row r="5334" spans="1:15" x14ac:dyDescent="0.2">
      <c r="A5334" s="6">
        <v>45803</v>
      </c>
      <c r="B5334" t="s">
        <v>15</v>
      </c>
      <c r="C5334" t="s">
        <v>16</v>
      </c>
      <c r="D5334" s="1">
        <v>45855</v>
      </c>
      <c r="E5334" t="s">
        <v>17</v>
      </c>
      <c r="F5334">
        <v>5400</v>
      </c>
      <c r="J5334">
        <v>146.69999999999999</v>
      </c>
      <c r="K5334">
        <v>162.6</v>
      </c>
      <c r="L5334">
        <v>0</v>
      </c>
      <c r="M5334" t="s">
        <v>18</v>
      </c>
      <c r="N5334">
        <v>0</v>
      </c>
      <c r="O5334">
        <v>0</v>
      </c>
    </row>
    <row r="5335" spans="1:15" x14ac:dyDescent="0.2">
      <c r="A5335" s="6">
        <v>45803</v>
      </c>
      <c r="B5335" t="s">
        <v>15</v>
      </c>
      <c r="C5335" t="s">
        <v>16</v>
      </c>
      <c r="D5335" s="1">
        <v>45855</v>
      </c>
      <c r="E5335" t="s">
        <v>19</v>
      </c>
      <c r="F5335">
        <v>4300</v>
      </c>
      <c r="J5335">
        <v>6.9</v>
      </c>
      <c r="K5335">
        <v>9.1999999999999993</v>
      </c>
      <c r="L5335">
        <v>0</v>
      </c>
      <c r="M5335" t="s">
        <v>18</v>
      </c>
      <c r="N5335">
        <v>0</v>
      </c>
      <c r="O5335">
        <v>0</v>
      </c>
    </row>
    <row r="5336" spans="1:15" x14ac:dyDescent="0.2">
      <c r="A5336" s="6">
        <v>45803</v>
      </c>
      <c r="B5336" t="s">
        <v>15</v>
      </c>
      <c r="C5336" t="s">
        <v>16</v>
      </c>
      <c r="D5336" s="1">
        <v>45855</v>
      </c>
      <c r="E5336" t="s">
        <v>17</v>
      </c>
      <c r="F5336">
        <v>5650</v>
      </c>
      <c r="J5336">
        <v>76.900000000000006</v>
      </c>
      <c r="K5336">
        <v>89.6</v>
      </c>
      <c r="L5336">
        <v>0</v>
      </c>
      <c r="M5336" t="s">
        <v>18</v>
      </c>
      <c r="N5336">
        <v>0</v>
      </c>
      <c r="O5336">
        <v>0</v>
      </c>
    </row>
    <row r="5337" spans="1:15" x14ac:dyDescent="0.2">
      <c r="A5337" s="6">
        <v>45803</v>
      </c>
      <c r="B5337" t="s">
        <v>15</v>
      </c>
      <c r="C5337" t="s">
        <v>16</v>
      </c>
      <c r="D5337" s="1">
        <v>45855</v>
      </c>
      <c r="E5337" t="s">
        <v>17</v>
      </c>
      <c r="F5337">
        <v>6150</v>
      </c>
      <c r="J5337">
        <v>16.3</v>
      </c>
      <c r="K5337">
        <v>21.8</v>
      </c>
      <c r="L5337">
        <v>0</v>
      </c>
      <c r="M5337" t="s">
        <v>18</v>
      </c>
      <c r="N5337">
        <v>0</v>
      </c>
      <c r="O5337">
        <v>0</v>
      </c>
    </row>
    <row r="5338" spans="1:15" x14ac:dyDescent="0.2">
      <c r="A5338" s="6">
        <v>45803</v>
      </c>
      <c r="B5338" t="s">
        <v>15</v>
      </c>
      <c r="C5338" t="s">
        <v>16</v>
      </c>
      <c r="D5338" s="1">
        <v>45855</v>
      </c>
      <c r="E5338" t="s">
        <v>17</v>
      </c>
      <c r="F5338">
        <v>4700</v>
      </c>
      <c r="J5338">
        <v>561.4</v>
      </c>
      <c r="K5338">
        <v>575</v>
      </c>
      <c r="L5338">
        <v>0</v>
      </c>
      <c r="M5338" t="s">
        <v>18</v>
      </c>
      <c r="N5338">
        <v>0</v>
      </c>
      <c r="O5338">
        <v>0</v>
      </c>
    </row>
    <row r="5339" spans="1:15" x14ac:dyDescent="0.2">
      <c r="A5339" s="6">
        <v>45803</v>
      </c>
      <c r="B5339" t="s">
        <v>15</v>
      </c>
      <c r="C5339" t="s">
        <v>16</v>
      </c>
      <c r="D5339" s="1">
        <v>45855</v>
      </c>
      <c r="E5339" t="s">
        <v>17</v>
      </c>
      <c r="F5339">
        <v>6450</v>
      </c>
      <c r="J5339">
        <v>5.5</v>
      </c>
      <c r="K5339">
        <v>8.1999999999999993</v>
      </c>
      <c r="L5339">
        <v>0</v>
      </c>
      <c r="M5339" t="s">
        <v>18</v>
      </c>
      <c r="N5339">
        <v>0</v>
      </c>
      <c r="O5339">
        <v>0</v>
      </c>
    </row>
    <row r="5340" spans="1:15" x14ac:dyDescent="0.2">
      <c r="A5340" s="6">
        <v>45803</v>
      </c>
      <c r="B5340" t="s">
        <v>15</v>
      </c>
      <c r="C5340" t="s">
        <v>16</v>
      </c>
      <c r="D5340" s="1">
        <v>45855</v>
      </c>
      <c r="E5340" t="s">
        <v>19</v>
      </c>
      <c r="F5340">
        <v>6600</v>
      </c>
      <c r="J5340">
        <v>1369.6</v>
      </c>
      <c r="K5340">
        <v>1363.6</v>
      </c>
      <c r="L5340">
        <v>0</v>
      </c>
      <c r="M5340" t="s">
        <v>18</v>
      </c>
      <c r="N5340">
        <v>0</v>
      </c>
      <c r="O5340">
        <v>0</v>
      </c>
    </row>
    <row r="5341" spans="1:15" x14ac:dyDescent="0.2">
      <c r="A5341" s="6">
        <v>45803</v>
      </c>
      <c r="B5341" t="s">
        <v>15</v>
      </c>
      <c r="C5341" t="s">
        <v>16</v>
      </c>
      <c r="D5341" s="1">
        <v>45855</v>
      </c>
      <c r="E5341" t="s">
        <v>19</v>
      </c>
      <c r="F5341">
        <v>5950</v>
      </c>
      <c r="J5341">
        <v>754</v>
      </c>
      <c r="K5341">
        <v>754.8</v>
      </c>
      <c r="L5341">
        <v>0</v>
      </c>
      <c r="M5341" t="s">
        <v>18</v>
      </c>
      <c r="N5341">
        <v>0</v>
      </c>
      <c r="O5341">
        <v>0</v>
      </c>
    </row>
    <row r="5342" spans="1:15" x14ac:dyDescent="0.2">
      <c r="A5342" s="6">
        <v>45803</v>
      </c>
      <c r="B5342" t="s">
        <v>15</v>
      </c>
      <c r="C5342" t="s">
        <v>16</v>
      </c>
      <c r="D5342" s="1">
        <v>45855</v>
      </c>
      <c r="E5342" t="s">
        <v>19</v>
      </c>
      <c r="F5342">
        <v>5000</v>
      </c>
      <c r="G5342">
        <v>138.19999999999999</v>
      </c>
      <c r="H5342">
        <v>138.19999999999999</v>
      </c>
      <c r="I5342">
        <v>138.19999999999999</v>
      </c>
      <c r="J5342">
        <v>138.19999999999999</v>
      </c>
      <c r="K5342">
        <v>133.80000000000001</v>
      </c>
      <c r="L5342">
        <v>1</v>
      </c>
      <c r="M5342" t="s">
        <v>155</v>
      </c>
      <c r="N5342">
        <v>5.14</v>
      </c>
      <c r="O5342">
        <v>1</v>
      </c>
    </row>
    <row r="5343" spans="1:15" x14ac:dyDescent="0.2">
      <c r="A5343" s="6">
        <v>45803</v>
      </c>
      <c r="B5343" t="s">
        <v>15</v>
      </c>
      <c r="C5343" t="s">
        <v>16</v>
      </c>
      <c r="D5343" s="1">
        <v>45855</v>
      </c>
      <c r="E5343" t="s">
        <v>19</v>
      </c>
      <c r="F5343">
        <v>4150</v>
      </c>
      <c r="J5343">
        <v>2.8</v>
      </c>
      <c r="K5343">
        <v>4</v>
      </c>
      <c r="L5343">
        <v>0</v>
      </c>
      <c r="M5343" t="s">
        <v>18</v>
      </c>
      <c r="N5343">
        <v>0</v>
      </c>
      <c r="O5343">
        <v>0</v>
      </c>
    </row>
    <row r="5344" spans="1:15" x14ac:dyDescent="0.2">
      <c r="A5344" s="6">
        <v>45803</v>
      </c>
      <c r="B5344" t="s">
        <v>15</v>
      </c>
      <c r="C5344" t="s">
        <v>16</v>
      </c>
      <c r="D5344" s="1">
        <v>45855</v>
      </c>
      <c r="E5344" t="s">
        <v>17</v>
      </c>
      <c r="F5344">
        <v>6000</v>
      </c>
      <c r="J5344">
        <v>26.9</v>
      </c>
      <c r="K5344">
        <v>34.299999999999997</v>
      </c>
      <c r="L5344">
        <v>0</v>
      </c>
      <c r="M5344" t="s">
        <v>18</v>
      </c>
      <c r="N5344">
        <v>0</v>
      </c>
      <c r="O5344">
        <v>1</v>
      </c>
    </row>
    <row r="5345" spans="1:15" x14ac:dyDescent="0.2">
      <c r="A5345" s="6">
        <v>45803</v>
      </c>
      <c r="B5345" t="s">
        <v>15</v>
      </c>
      <c r="C5345" t="s">
        <v>16</v>
      </c>
      <c r="D5345" s="1">
        <v>45855</v>
      </c>
      <c r="E5345" t="s">
        <v>19</v>
      </c>
      <c r="F5345">
        <v>6100</v>
      </c>
      <c r="J5345">
        <v>890.4</v>
      </c>
      <c r="K5345">
        <v>889</v>
      </c>
      <c r="L5345">
        <v>0</v>
      </c>
      <c r="M5345" t="s">
        <v>18</v>
      </c>
      <c r="N5345">
        <v>0</v>
      </c>
      <c r="O5345">
        <v>0</v>
      </c>
    </row>
    <row r="5346" spans="1:15" x14ac:dyDescent="0.2">
      <c r="A5346" s="6">
        <v>45803</v>
      </c>
      <c r="B5346" t="s">
        <v>15</v>
      </c>
      <c r="C5346" t="s">
        <v>16</v>
      </c>
      <c r="D5346" s="1">
        <v>45855</v>
      </c>
      <c r="E5346" t="s">
        <v>19</v>
      </c>
      <c r="F5346">
        <v>5750</v>
      </c>
      <c r="J5346">
        <v>582.20000000000005</v>
      </c>
      <c r="K5346">
        <v>586.1</v>
      </c>
      <c r="L5346">
        <v>0</v>
      </c>
      <c r="M5346" t="s">
        <v>18</v>
      </c>
      <c r="N5346">
        <v>0</v>
      </c>
      <c r="O5346">
        <v>0</v>
      </c>
    </row>
    <row r="5347" spans="1:15" x14ac:dyDescent="0.2">
      <c r="A5347" s="6">
        <v>45803</v>
      </c>
      <c r="B5347" t="s">
        <v>15</v>
      </c>
      <c r="C5347" t="s">
        <v>16</v>
      </c>
      <c r="D5347" s="1">
        <v>45855</v>
      </c>
      <c r="E5347" t="s">
        <v>19</v>
      </c>
      <c r="F5347">
        <v>4050</v>
      </c>
      <c r="J5347">
        <v>1.4</v>
      </c>
      <c r="K5347">
        <v>2.2000000000000002</v>
      </c>
      <c r="L5347">
        <v>0</v>
      </c>
      <c r="M5347" t="s">
        <v>18</v>
      </c>
      <c r="N5347">
        <v>0</v>
      </c>
      <c r="O5347">
        <v>0</v>
      </c>
    </row>
    <row r="5348" spans="1:15" x14ac:dyDescent="0.2">
      <c r="A5348" s="6">
        <v>45800</v>
      </c>
      <c r="B5348" t="s">
        <v>15</v>
      </c>
      <c r="C5348" t="s">
        <v>16</v>
      </c>
      <c r="D5348" s="1">
        <v>45855</v>
      </c>
      <c r="E5348" t="s">
        <v>17</v>
      </c>
      <c r="F5348">
        <v>5100</v>
      </c>
      <c r="J5348">
        <v>300.3</v>
      </c>
      <c r="K5348">
        <v>317.39999999999998</v>
      </c>
      <c r="L5348">
        <v>0</v>
      </c>
      <c r="M5348" t="s">
        <v>18</v>
      </c>
      <c r="N5348">
        <v>0</v>
      </c>
      <c r="O5348">
        <v>0</v>
      </c>
    </row>
    <row r="5349" spans="1:15" x14ac:dyDescent="0.2">
      <c r="A5349" s="6">
        <v>45800</v>
      </c>
      <c r="B5349" t="s">
        <v>15</v>
      </c>
      <c r="C5349" t="s">
        <v>16</v>
      </c>
      <c r="D5349" s="1">
        <v>45855</v>
      </c>
      <c r="E5349" t="s">
        <v>19</v>
      </c>
      <c r="F5349">
        <v>6650</v>
      </c>
      <c r="J5349">
        <v>1412.4</v>
      </c>
      <c r="K5349">
        <v>1400.8</v>
      </c>
      <c r="L5349">
        <v>0</v>
      </c>
      <c r="M5349" t="s">
        <v>18</v>
      </c>
      <c r="N5349">
        <v>0</v>
      </c>
      <c r="O5349">
        <v>0</v>
      </c>
    </row>
    <row r="5350" spans="1:15" x14ac:dyDescent="0.2">
      <c r="A5350" s="6">
        <v>45800</v>
      </c>
      <c r="B5350" t="s">
        <v>15</v>
      </c>
      <c r="C5350" t="s">
        <v>16</v>
      </c>
      <c r="D5350" s="1">
        <v>45855</v>
      </c>
      <c r="E5350" t="s">
        <v>17</v>
      </c>
      <c r="F5350">
        <v>4650</v>
      </c>
      <c r="J5350">
        <v>615.79999999999995</v>
      </c>
      <c r="K5350">
        <v>632.1</v>
      </c>
      <c r="L5350">
        <v>0</v>
      </c>
      <c r="M5350" t="s">
        <v>18</v>
      </c>
      <c r="N5350">
        <v>0</v>
      </c>
      <c r="O5350">
        <v>0</v>
      </c>
    </row>
    <row r="5351" spans="1:15" x14ac:dyDescent="0.2">
      <c r="A5351" s="6">
        <v>45800</v>
      </c>
      <c r="B5351" t="s">
        <v>15</v>
      </c>
      <c r="C5351" t="s">
        <v>16</v>
      </c>
      <c r="D5351" s="1">
        <v>45855</v>
      </c>
      <c r="E5351" t="s">
        <v>19</v>
      </c>
      <c r="F5351">
        <v>5100</v>
      </c>
      <c r="J5351">
        <v>173.6</v>
      </c>
      <c r="K5351">
        <v>177.8</v>
      </c>
      <c r="L5351">
        <v>0</v>
      </c>
      <c r="M5351" t="s">
        <v>18</v>
      </c>
      <c r="N5351">
        <v>0</v>
      </c>
      <c r="O5351">
        <v>0</v>
      </c>
    </row>
    <row r="5352" spans="1:15" x14ac:dyDescent="0.2">
      <c r="A5352" s="6">
        <v>45800</v>
      </c>
      <c r="B5352" t="s">
        <v>15</v>
      </c>
      <c r="C5352" t="s">
        <v>16</v>
      </c>
      <c r="D5352" s="1">
        <v>45855</v>
      </c>
      <c r="E5352" t="s">
        <v>17</v>
      </c>
      <c r="F5352">
        <v>5250</v>
      </c>
      <c r="G5352">
        <v>266.89999999999998</v>
      </c>
      <c r="H5352">
        <v>266.89999999999998</v>
      </c>
      <c r="I5352">
        <v>266.89999999999998</v>
      </c>
      <c r="J5352">
        <v>266.89999999999998</v>
      </c>
      <c r="K5352">
        <v>240.3</v>
      </c>
      <c r="L5352">
        <v>2</v>
      </c>
      <c r="M5352" t="s">
        <v>28</v>
      </c>
      <c r="N5352">
        <v>11.03</v>
      </c>
      <c r="O5352">
        <v>2</v>
      </c>
    </row>
    <row r="5353" spans="1:15" x14ac:dyDescent="0.2">
      <c r="A5353" s="6">
        <v>45800</v>
      </c>
      <c r="B5353" t="s">
        <v>15</v>
      </c>
      <c r="C5353" t="s">
        <v>16</v>
      </c>
      <c r="D5353" s="1">
        <v>45855</v>
      </c>
      <c r="E5353" t="s">
        <v>17</v>
      </c>
      <c r="F5353">
        <v>4200</v>
      </c>
      <c r="J5353">
        <v>1023.5</v>
      </c>
      <c r="K5353">
        <v>1037.3</v>
      </c>
      <c r="L5353">
        <v>0</v>
      </c>
      <c r="M5353" t="s">
        <v>18</v>
      </c>
      <c r="N5353">
        <v>0</v>
      </c>
      <c r="O5353">
        <v>0</v>
      </c>
    </row>
    <row r="5354" spans="1:15" x14ac:dyDescent="0.2">
      <c r="A5354" s="6">
        <v>45800</v>
      </c>
      <c r="B5354" t="s">
        <v>15</v>
      </c>
      <c r="C5354" t="s">
        <v>16</v>
      </c>
      <c r="D5354" s="1">
        <v>45855</v>
      </c>
      <c r="E5354" t="s">
        <v>17</v>
      </c>
      <c r="F5354">
        <v>4800</v>
      </c>
      <c r="J5354">
        <v>497.4</v>
      </c>
      <c r="K5354">
        <v>514.4</v>
      </c>
      <c r="L5354">
        <v>0</v>
      </c>
      <c r="M5354" t="s">
        <v>18</v>
      </c>
      <c r="N5354">
        <v>0</v>
      </c>
      <c r="O5354">
        <v>0</v>
      </c>
    </row>
    <row r="5355" spans="1:15" x14ac:dyDescent="0.2">
      <c r="A5355" s="6">
        <v>45800</v>
      </c>
      <c r="B5355" t="s">
        <v>15</v>
      </c>
      <c r="C5355" t="s">
        <v>16</v>
      </c>
      <c r="D5355" s="1">
        <v>45855</v>
      </c>
      <c r="E5355" t="s">
        <v>19</v>
      </c>
      <c r="F5355">
        <v>6050</v>
      </c>
      <c r="J5355">
        <v>843.7</v>
      </c>
      <c r="K5355">
        <v>836.9</v>
      </c>
      <c r="L5355">
        <v>0</v>
      </c>
      <c r="M5355" t="s">
        <v>18</v>
      </c>
      <c r="N5355">
        <v>0</v>
      </c>
      <c r="O5355">
        <v>0</v>
      </c>
    </row>
    <row r="5356" spans="1:15" x14ac:dyDescent="0.2">
      <c r="A5356" s="6">
        <v>45800</v>
      </c>
      <c r="B5356" t="s">
        <v>15</v>
      </c>
      <c r="C5356" t="s">
        <v>16</v>
      </c>
      <c r="D5356" s="1">
        <v>45855</v>
      </c>
      <c r="E5356" t="s">
        <v>17</v>
      </c>
      <c r="F5356">
        <v>5700</v>
      </c>
      <c r="J5356">
        <v>78.8</v>
      </c>
      <c r="K5356">
        <v>89.7</v>
      </c>
      <c r="L5356">
        <v>0</v>
      </c>
      <c r="M5356" t="s">
        <v>18</v>
      </c>
      <c r="N5356">
        <v>0</v>
      </c>
      <c r="O5356">
        <v>0</v>
      </c>
    </row>
    <row r="5357" spans="1:15" x14ac:dyDescent="0.2">
      <c r="A5357" s="6">
        <v>45800</v>
      </c>
      <c r="B5357" t="s">
        <v>15</v>
      </c>
      <c r="C5357" t="s">
        <v>16</v>
      </c>
      <c r="D5357" s="1">
        <v>45855</v>
      </c>
      <c r="E5357" t="s">
        <v>19</v>
      </c>
      <c r="F5357">
        <v>4200</v>
      </c>
      <c r="J5357">
        <v>5.4</v>
      </c>
      <c r="K5357">
        <v>6.5</v>
      </c>
      <c r="L5357">
        <v>0</v>
      </c>
      <c r="M5357" t="s">
        <v>18</v>
      </c>
      <c r="N5357">
        <v>0</v>
      </c>
      <c r="O5357">
        <v>0</v>
      </c>
    </row>
    <row r="5358" spans="1:15" x14ac:dyDescent="0.2">
      <c r="A5358" s="6">
        <v>45800</v>
      </c>
      <c r="B5358" t="s">
        <v>15</v>
      </c>
      <c r="C5358" t="s">
        <v>16</v>
      </c>
      <c r="D5358" s="1">
        <v>45855</v>
      </c>
      <c r="E5358" t="s">
        <v>17</v>
      </c>
      <c r="F5358">
        <v>4900</v>
      </c>
      <c r="J5358">
        <v>425.4</v>
      </c>
      <c r="K5358">
        <v>442.6</v>
      </c>
      <c r="L5358">
        <v>0</v>
      </c>
      <c r="M5358" t="s">
        <v>18</v>
      </c>
      <c r="N5358">
        <v>0</v>
      </c>
      <c r="O5358">
        <v>0</v>
      </c>
    </row>
    <row r="5359" spans="1:15" x14ac:dyDescent="0.2">
      <c r="A5359" s="6">
        <v>45800</v>
      </c>
      <c r="B5359" t="s">
        <v>15</v>
      </c>
      <c r="C5359" t="s">
        <v>16</v>
      </c>
      <c r="D5359" s="1">
        <v>45855</v>
      </c>
      <c r="E5359" t="s">
        <v>17</v>
      </c>
      <c r="F5359">
        <v>4950</v>
      </c>
      <c r="J5359">
        <v>391.7</v>
      </c>
      <c r="K5359">
        <v>409</v>
      </c>
      <c r="L5359">
        <v>0</v>
      </c>
      <c r="M5359" t="s">
        <v>18</v>
      </c>
      <c r="N5359">
        <v>0</v>
      </c>
      <c r="O5359">
        <v>0</v>
      </c>
    </row>
    <row r="5360" spans="1:15" x14ac:dyDescent="0.2">
      <c r="A5360" s="6">
        <v>45800</v>
      </c>
      <c r="B5360" t="s">
        <v>15</v>
      </c>
      <c r="C5360" t="s">
        <v>16</v>
      </c>
      <c r="D5360" s="1">
        <v>45855</v>
      </c>
      <c r="E5360" t="s">
        <v>17</v>
      </c>
      <c r="F5360">
        <v>5300</v>
      </c>
      <c r="J5360">
        <v>202</v>
      </c>
      <c r="K5360">
        <v>217.8</v>
      </c>
      <c r="L5360">
        <v>0</v>
      </c>
      <c r="M5360" t="s">
        <v>18</v>
      </c>
      <c r="N5360">
        <v>0</v>
      </c>
      <c r="O5360">
        <v>0</v>
      </c>
    </row>
    <row r="5361" spans="1:15" x14ac:dyDescent="0.2">
      <c r="A5361" s="6">
        <v>45800</v>
      </c>
      <c r="B5361" t="s">
        <v>15</v>
      </c>
      <c r="C5361" t="s">
        <v>16</v>
      </c>
      <c r="D5361" s="1">
        <v>45855</v>
      </c>
      <c r="E5361" t="s">
        <v>19</v>
      </c>
      <c r="F5361">
        <v>5250</v>
      </c>
      <c r="J5361">
        <v>245.9</v>
      </c>
      <c r="K5361">
        <v>249.2</v>
      </c>
      <c r="L5361">
        <v>0</v>
      </c>
      <c r="M5361" t="s">
        <v>18</v>
      </c>
      <c r="N5361">
        <v>0</v>
      </c>
      <c r="O5361">
        <v>0</v>
      </c>
    </row>
    <row r="5362" spans="1:15" x14ac:dyDescent="0.2">
      <c r="A5362" s="6">
        <v>45800</v>
      </c>
      <c r="B5362" t="s">
        <v>15</v>
      </c>
      <c r="C5362" t="s">
        <v>16</v>
      </c>
      <c r="D5362" s="1">
        <v>45855</v>
      </c>
      <c r="E5362" t="s">
        <v>17</v>
      </c>
      <c r="F5362">
        <v>4450</v>
      </c>
      <c r="J5362">
        <v>789.5</v>
      </c>
      <c r="K5362">
        <v>804.7</v>
      </c>
      <c r="L5362">
        <v>0</v>
      </c>
      <c r="M5362" t="s">
        <v>18</v>
      </c>
      <c r="N5362">
        <v>0</v>
      </c>
      <c r="O5362">
        <v>0</v>
      </c>
    </row>
    <row r="5363" spans="1:15" x14ac:dyDescent="0.2">
      <c r="A5363" s="6">
        <v>45800</v>
      </c>
      <c r="B5363" t="s">
        <v>15</v>
      </c>
      <c r="C5363" t="s">
        <v>16</v>
      </c>
      <c r="D5363" s="1">
        <v>45855</v>
      </c>
      <c r="E5363" t="s">
        <v>17</v>
      </c>
      <c r="F5363">
        <v>4750</v>
      </c>
      <c r="J5363">
        <v>535.5</v>
      </c>
      <c r="K5363">
        <v>552.4</v>
      </c>
      <c r="L5363">
        <v>0</v>
      </c>
      <c r="M5363" t="s">
        <v>18</v>
      </c>
      <c r="N5363">
        <v>0</v>
      </c>
      <c r="O5363">
        <v>0</v>
      </c>
    </row>
    <row r="5364" spans="1:15" x14ac:dyDescent="0.2">
      <c r="A5364" s="6">
        <v>45800</v>
      </c>
      <c r="B5364" t="s">
        <v>15</v>
      </c>
      <c r="C5364" t="s">
        <v>16</v>
      </c>
      <c r="D5364" s="1">
        <v>45855</v>
      </c>
      <c r="E5364" t="s">
        <v>17</v>
      </c>
      <c r="F5364">
        <v>5200</v>
      </c>
      <c r="J5364">
        <v>247.8</v>
      </c>
      <c r="K5364">
        <v>264.39999999999998</v>
      </c>
      <c r="L5364">
        <v>0</v>
      </c>
      <c r="M5364" t="s">
        <v>18</v>
      </c>
      <c r="N5364">
        <v>0</v>
      </c>
      <c r="O5364">
        <v>0</v>
      </c>
    </row>
    <row r="5365" spans="1:15" x14ac:dyDescent="0.2">
      <c r="A5365" s="6">
        <v>45800</v>
      </c>
      <c r="B5365" t="s">
        <v>15</v>
      </c>
      <c r="C5365" t="s">
        <v>16</v>
      </c>
      <c r="D5365" s="1">
        <v>45855</v>
      </c>
      <c r="E5365" t="s">
        <v>19</v>
      </c>
      <c r="F5365">
        <v>4900</v>
      </c>
      <c r="J5365">
        <v>100.5</v>
      </c>
      <c r="K5365">
        <v>105</v>
      </c>
      <c r="L5365">
        <v>0</v>
      </c>
      <c r="M5365" t="s">
        <v>18</v>
      </c>
      <c r="N5365">
        <v>0</v>
      </c>
      <c r="O5365">
        <v>0</v>
      </c>
    </row>
    <row r="5366" spans="1:15" x14ac:dyDescent="0.2">
      <c r="A5366" s="6">
        <v>45800</v>
      </c>
      <c r="B5366" t="s">
        <v>15</v>
      </c>
      <c r="C5366" t="s">
        <v>16</v>
      </c>
      <c r="D5366" s="1">
        <v>45855</v>
      </c>
      <c r="E5366" t="s">
        <v>19</v>
      </c>
      <c r="F5366">
        <v>6150</v>
      </c>
      <c r="J5366">
        <v>934.9</v>
      </c>
      <c r="K5366">
        <v>927</v>
      </c>
      <c r="L5366">
        <v>0</v>
      </c>
      <c r="M5366" t="s">
        <v>18</v>
      </c>
      <c r="N5366">
        <v>0</v>
      </c>
      <c r="O5366">
        <v>0</v>
      </c>
    </row>
    <row r="5367" spans="1:15" x14ac:dyDescent="0.2">
      <c r="A5367" s="6">
        <v>45800</v>
      </c>
      <c r="B5367" t="s">
        <v>15</v>
      </c>
      <c r="C5367" t="s">
        <v>16</v>
      </c>
      <c r="D5367" s="1">
        <v>45855</v>
      </c>
      <c r="E5367" t="s">
        <v>19</v>
      </c>
      <c r="F5367">
        <v>3600</v>
      </c>
      <c r="J5367">
        <v>0.1</v>
      </c>
      <c r="K5367">
        <v>0.1</v>
      </c>
      <c r="L5367">
        <v>0</v>
      </c>
      <c r="M5367" t="s">
        <v>18</v>
      </c>
      <c r="N5367">
        <v>0</v>
      </c>
      <c r="O5367">
        <v>0</v>
      </c>
    </row>
    <row r="5368" spans="1:15" x14ac:dyDescent="0.2">
      <c r="A5368" s="6">
        <v>45800</v>
      </c>
      <c r="B5368" t="s">
        <v>15</v>
      </c>
      <c r="C5368" t="s">
        <v>16</v>
      </c>
      <c r="D5368" s="1">
        <v>45855</v>
      </c>
      <c r="E5368" t="s">
        <v>17</v>
      </c>
      <c r="F5368">
        <v>4100</v>
      </c>
      <c r="J5368">
        <v>1120.0999999999999</v>
      </c>
      <c r="K5368">
        <v>1133.5</v>
      </c>
      <c r="L5368">
        <v>0</v>
      </c>
      <c r="M5368" t="s">
        <v>18</v>
      </c>
      <c r="N5368">
        <v>0</v>
      </c>
      <c r="O5368">
        <v>0</v>
      </c>
    </row>
    <row r="5369" spans="1:15" x14ac:dyDescent="0.2">
      <c r="A5369" s="6">
        <v>45800</v>
      </c>
      <c r="B5369" t="s">
        <v>15</v>
      </c>
      <c r="C5369" t="s">
        <v>16</v>
      </c>
      <c r="D5369" s="1">
        <v>45855</v>
      </c>
      <c r="E5369" t="s">
        <v>17</v>
      </c>
      <c r="F5369">
        <v>4400</v>
      </c>
      <c r="J5369">
        <v>835.1</v>
      </c>
      <c r="K5369">
        <v>850</v>
      </c>
      <c r="L5369">
        <v>0</v>
      </c>
      <c r="M5369" t="s">
        <v>18</v>
      </c>
      <c r="N5369">
        <v>0</v>
      </c>
      <c r="O5369">
        <v>0</v>
      </c>
    </row>
    <row r="5370" spans="1:15" x14ac:dyDescent="0.2">
      <c r="A5370" s="6">
        <v>45800</v>
      </c>
      <c r="B5370" t="s">
        <v>15</v>
      </c>
      <c r="C5370" t="s">
        <v>16</v>
      </c>
      <c r="D5370" s="1">
        <v>45855</v>
      </c>
      <c r="E5370" t="s">
        <v>17</v>
      </c>
      <c r="F5370">
        <v>5000</v>
      </c>
      <c r="J5370">
        <v>359.6</v>
      </c>
      <c r="K5370">
        <v>376.9</v>
      </c>
      <c r="L5370">
        <v>0</v>
      </c>
      <c r="M5370" t="s">
        <v>18</v>
      </c>
      <c r="N5370">
        <v>0</v>
      </c>
      <c r="O5370">
        <v>0</v>
      </c>
    </row>
    <row r="5371" spans="1:15" x14ac:dyDescent="0.2">
      <c r="A5371" s="6">
        <v>45800</v>
      </c>
      <c r="B5371" t="s">
        <v>15</v>
      </c>
      <c r="C5371" t="s">
        <v>16</v>
      </c>
      <c r="D5371" s="1">
        <v>45855</v>
      </c>
      <c r="E5371" t="s">
        <v>17</v>
      </c>
      <c r="F5371">
        <v>5150</v>
      </c>
      <c r="J5371">
        <v>273.2</v>
      </c>
      <c r="K5371">
        <v>290.10000000000002</v>
      </c>
      <c r="L5371">
        <v>0</v>
      </c>
      <c r="M5371" t="s">
        <v>18</v>
      </c>
      <c r="N5371">
        <v>0</v>
      </c>
      <c r="O5371">
        <v>0</v>
      </c>
    </row>
    <row r="5372" spans="1:15" x14ac:dyDescent="0.2">
      <c r="A5372" s="6">
        <v>45800</v>
      </c>
      <c r="B5372" t="s">
        <v>15</v>
      </c>
      <c r="C5372" t="s">
        <v>16</v>
      </c>
      <c r="D5372" s="1">
        <v>45855</v>
      </c>
      <c r="E5372" t="s">
        <v>17</v>
      </c>
      <c r="F5372">
        <v>3700</v>
      </c>
      <c r="J5372">
        <v>1513.4</v>
      </c>
      <c r="K5372">
        <v>1526.1</v>
      </c>
      <c r="L5372">
        <v>0</v>
      </c>
      <c r="M5372" t="s">
        <v>18</v>
      </c>
      <c r="N5372">
        <v>0</v>
      </c>
      <c r="O5372">
        <v>0</v>
      </c>
    </row>
    <row r="5373" spans="1:15" x14ac:dyDescent="0.2">
      <c r="A5373" s="6">
        <v>45800</v>
      </c>
      <c r="B5373" t="s">
        <v>15</v>
      </c>
      <c r="C5373" t="s">
        <v>16</v>
      </c>
      <c r="D5373" s="1">
        <v>45855</v>
      </c>
      <c r="E5373" t="s">
        <v>17</v>
      </c>
      <c r="F5373">
        <v>5950</v>
      </c>
      <c r="J5373">
        <v>39.700000000000003</v>
      </c>
      <c r="K5373">
        <v>47.2</v>
      </c>
      <c r="L5373">
        <v>0</v>
      </c>
      <c r="M5373" t="s">
        <v>18</v>
      </c>
      <c r="N5373">
        <v>0</v>
      </c>
      <c r="O5373">
        <v>0</v>
      </c>
    </row>
    <row r="5374" spans="1:15" x14ac:dyDescent="0.2">
      <c r="A5374" s="6">
        <v>45800</v>
      </c>
      <c r="B5374" t="s">
        <v>15</v>
      </c>
      <c r="C5374" t="s">
        <v>16</v>
      </c>
      <c r="D5374" s="1">
        <v>45855</v>
      </c>
      <c r="E5374" t="s">
        <v>17</v>
      </c>
      <c r="F5374">
        <v>4350</v>
      </c>
      <c r="J5374">
        <v>881.4</v>
      </c>
      <c r="K5374">
        <v>896</v>
      </c>
      <c r="L5374">
        <v>0</v>
      </c>
      <c r="M5374" t="s">
        <v>18</v>
      </c>
      <c r="N5374">
        <v>0</v>
      </c>
      <c r="O5374">
        <v>0</v>
      </c>
    </row>
    <row r="5375" spans="1:15" x14ac:dyDescent="0.2">
      <c r="A5375" s="6">
        <v>45800</v>
      </c>
      <c r="B5375" t="s">
        <v>15</v>
      </c>
      <c r="C5375" t="s">
        <v>16</v>
      </c>
      <c r="D5375" s="1">
        <v>45855</v>
      </c>
      <c r="E5375" t="s">
        <v>17</v>
      </c>
      <c r="F5375">
        <v>4500</v>
      </c>
      <c r="J5375">
        <v>744.7</v>
      </c>
      <c r="K5375">
        <v>760.1</v>
      </c>
      <c r="L5375">
        <v>0</v>
      </c>
      <c r="M5375" t="s">
        <v>18</v>
      </c>
      <c r="N5375">
        <v>0</v>
      </c>
      <c r="O5375">
        <v>0</v>
      </c>
    </row>
    <row r="5376" spans="1:15" x14ac:dyDescent="0.2">
      <c r="A5376" s="6">
        <v>45800</v>
      </c>
      <c r="B5376" t="s">
        <v>15</v>
      </c>
      <c r="C5376" t="s">
        <v>16</v>
      </c>
      <c r="D5376" s="1">
        <v>45855</v>
      </c>
      <c r="E5376" t="s">
        <v>19</v>
      </c>
      <c r="F5376">
        <v>5200</v>
      </c>
      <c r="G5376">
        <v>300</v>
      </c>
      <c r="H5376">
        <v>300</v>
      </c>
      <c r="I5376">
        <v>300</v>
      </c>
      <c r="J5376">
        <v>300</v>
      </c>
      <c r="K5376">
        <v>418.9</v>
      </c>
      <c r="L5376">
        <v>1</v>
      </c>
      <c r="M5376" t="s">
        <v>155</v>
      </c>
      <c r="N5376">
        <v>5.5</v>
      </c>
      <c r="O5376">
        <v>3</v>
      </c>
    </row>
    <row r="5377" spans="1:15" x14ac:dyDescent="0.2">
      <c r="A5377" s="6">
        <v>45800</v>
      </c>
      <c r="B5377" t="s">
        <v>15</v>
      </c>
      <c r="C5377" t="s">
        <v>16</v>
      </c>
      <c r="D5377" s="1">
        <v>45855</v>
      </c>
      <c r="E5377" t="s">
        <v>17</v>
      </c>
      <c r="F5377">
        <v>3800</v>
      </c>
      <c r="J5377">
        <v>1414.6</v>
      </c>
      <c r="K5377">
        <v>1427.4</v>
      </c>
      <c r="L5377">
        <v>0</v>
      </c>
      <c r="M5377" t="s">
        <v>18</v>
      </c>
      <c r="N5377">
        <v>0</v>
      </c>
      <c r="O5377">
        <v>0</v>
      </c>
    </row>
    <row r="5378" spans="1:15" x14ac:dyDescent="0.2">
      <c r="A5378" s="6">
        <v>45800</v>
      </c>
      <c r="B5378" t="s">
        <v>15</v>
      </c>
      <c r="C5378" t="s">
        <v>16</v>
      </c>
      <c r="D5378" s="1">
        <v>45855</v>
      </c>
      <c r="E5378" t="s">
        <v>19</v>
      </c>
      <c r="F5378">
        <v>4250</v>
      </c>
      <c r="J5378">
        <v>7.1</v>
      </c>
      <c r="K5378">
        <v>8.4</v>
      </c>
      <c r="L5378">
        <v>0</v>
      </c>
      <c r="M5378" t="s">
        <v>18</v>
      </c>
      <c r="N5378">
        <v>0</v>
      </c>
      <c r="O5378">
        <v>0</v>
      </c>
    </row>
    <row r="5379" spans="1:15" x14ac:dyDescent="0.2">
      <c r="A5379" s="6">
        <v>45800</v>
      </c>
      <c r="B5379" t="s">
        <v>15</v>
      </c>
      <c r="C5379" t="s">
        <v>16</v>
      </c>
      <c r="D5379" s="1">
        <v>45855</v>
      </c>
      <c r="E5379" t="s">
        <v>17</v>
      </c>
      <c r="F5379">
        <v>5600</v>
      </c>
      <c r="J5379">
        <v>101.6</v>
      </c>
      <c r="K5379">
        <v>113.8</v>
      </c>
      <c r="L5379">
        <v>0</v>
      </c>
      <c r="M5379" t="s">
        <v>18</v>
      </c>
      <c r="N5379">
        <v>0</v>
      </c>
      <c r="O5379">
        <v>0</v>
      </c>
    </row>
    <row r="5380" spans="1:15" x14ac:dyDescent="0.2">
      <c r="A5380" s="6">
        <v>45800</v>
      </c>
      <c r="B5380" t="s">
        <v>15</v>
      </c>
      <c r="C5380" t="s">
        <v>16</v>
      </c>
      <c r="D5380" s="1">
        <v>45855</v>
      </c>
      <c r="E5380" t="s">
        <v>17</v>
      </c>
      <c r="F5380">
        <v>3850</v>
      </c>
      <c r="J5380">
        <v>1365.3</v>
      </c>
      <c r="K5380">
        <v>1378.1</v>
      </c>
      <c r="L5380">
        <v>0</v>
      </c>
      <c r="M5380" t="s">
        <v>18</v>
      </c>
      <c r="N5380">
        <v>0</v>
      </c>
      <c r="O5380">
        <v>0</v>
      </c>
    </row>
    <row r="5381" spans="1:15" x14ac:dyDescent="0.2">
      <c r="A5381" s="6">
        <v>45800</v>
      </c>
      <c r="B5381" t="s">
        <v>15</v>
      </c>
      <c r="C5381" t="s">
        <v>16</v>
      </c>
      <c r="D5381" s="1">
        <v>45855</v>
      </c>
      <c r="E5381" t="s">
        <v>19</v>
      </c>
      <c r="F5381">
        <v>4950</v>
      </c>
      <c r="J5381">
        <v>116.3</v>
      </c>
      <c r="K5381">
        <v>120.8</v>
      </c>
      <c r="L5381">
        <v>0</v>
      </c>
      <c r="M5381" t="s">
        <v>18</v>
      </c>
      <c r="N5381">
        <v>0</v>
      </c>
      <c r="O5381">
        <v>0</v>
      </c>
    </row>
    <row r="5382" spans="1:15" x14ac:dyDescent="0.2">
      <c r="A5382" s="6">
        <v>45800</v>
      </c>
      <c r="B5382" t="s">
        <v>15</v>
      </c>
      <c r="C5382" t="s">
        <v>16</v>
      </c>
      <c r="D5382" s="1">
        <v>45855</v>
      </c>
      <c r="E5382" t="s">
        <v>19</v>
      </c>
      <c r="F5382">
        <v>6200</v>
      </c>
      <c r="J5382">
        <v>981.3</v>
      </c>
      <c r="K5382">
        <v>972.9</v>
      </c>
      <c r="L5382">
        <v>0</v>
      </c>
      <c r="M5382" t="s">
        <v>18</v>
      </c>
      <c r="N5382">
        <v>0</v>
      </c>
      <c r="O5382">
        <v>0</v>
      </c>
    </row>
    <row r="5383" spans="1:15" x14ac:dyDescent="0.2">
      <c r="A5383" s="6">
        <v>45800</v>
      </c>
      <c r="B5383" t="s">
        <v>15</v>
      </c>
      <c r="C5383" t="s">
        <v>16</v>
      </c>
      <c r="D5383" s="1">
        <v>45855</v>
      </c>
      <c r="E5383" t="s">
        <v>17</v>
      </c>
      <c r="F5383">
        <v>5750</v>
      </c>
      <c r="J5383">
        <v>69.099999999999994</v>
      </c>
      <c r="K5383">
        <v>79.3</v>
      </c>
      <c r="L5383">
        <v>0</v>
      </c>
      <c r="M5383" t="s">
        <v>18</v>
      </c>
      <c r="N5383">
        <v>0</v>
      </c>
      <c r="O5383">
        <v>0</v>
      </c>
    </row>
    <row r="5384" spans="1:15" x14ac:dyDescent="0.2">
      <c r="A5384" s="6">
        <v>45800</v>
      </c>
      <c r="B5384" t="s">
        <v>15</v>
      </c>
      <c r="C5384" t="s">
        <v>16</v>
      </c>
      <c r="D5384" s="1">
        <v>45855</v>
      </c>
      <c r="E5384" t="s">
        <v>19</v>
      </c>
      <c r="F5384">
        <v>4450</v>
      </c>
      <c r="J5384">
        <v>19</v>
      </c>
      <c r="K5384">
        <v>21.4</v>
      </c>
      <c r="L5384">
        <v>0</v>
      </c>
      <c r="M5384" t="s">
        <v>18</v>
      </c>
      <c r="N5384">
        <v>0</v>
      </c>
      <c r="O5384">
        <v>0</v>
      </c>
    </row>
    <row r="5385" spans="1:15" x14ac:dyDescent="0.2">
      <c r="A5385" s="6">
        <v>45800</v>
      </c>
      <c r="B5385" t="s">
        <v>15</v>
      </c>
      <c r="C5385" t="s">
        <v>16</v>
      </c>
      <c r="D5385" s="1">
        <v>45855</v>
      </c>
      <c r="E5385" t="s">
        <v>19</v>
      </c>
      <c r="F5385">
        <v>4600</v>
      </c>
      <c r="J5385">
        <v>35.799999999999997</v>
      </c>
      <c r="K5385">
        <v>39.1</v>
      </c>
      <c r="L5385">
        <v>0</v>
      </c>
      <c r="M5385" t="s">
        <v>18</v>
      </c>
      <c r="N5385">
        <v>0</v>
      </c>
      <c r="O5385">
        <v>0</v>
      </c>
    </row>
    <row r="5386" spans="1:15" x14ac:dyDescent="0.2">
      <c r="A5386" s="6">
        <v>45800</v>
      </c>
      <c r="B5386" t="s">
        <v>15</v>
      </c>
      <c r="C5386" t="s">
        <v>16</v>
      </c>
      <c r="D5386" s="1">
        <v>45855</v>
      </c>
      <c r="E5386" t="s">
        <v>19</v>
      </c>
      <c r="F5386">
        <v>5900</v>
      </c>
      <c r="J5386">
        <v>711.3</v>
      </c>
      <c r="K5386">
        <v>706.4</v>
      </c>
      <c r="L5386">
        <v>0</v>
      </c>
      <c r="M5386" t="s">
        <v>18</v>
      </c>
      <c r="N5386">
        <v>0</v>
      </c>
      <c r="O5386">
        <v>0</v>
      </c>
    </row>
    <row r="5387" spans="1:15" x14ac:dyDescent="0.2">
      <c r="A5387" s="6">
        <v>45800</v>
      </c>
      <c r="B5387" t="s">
        <v>15</v>
      </c>
      <c r="C5387" t="s">
        <v>16</v>
      </c>
      <c r="D5387" s="1">
        <v>45855</v>
      </c>
      <c r="E5387" t="s">
        <v>19</v>
      </c>
      <c r="F5387">
        <v>5050</v>
      </c>
      <c r="J5387">
        <v>152.80000000000001</v>
      </c>
      <c r="K5387">
        <v>157.19999999999999</v>
      </c>
      <c r="L5387">
        <v>0</v>
      </c>
      <c r="M5387" t="s">
        <v>18</v>
      </c>
      <c r="N5387">
        <v>0</v>
      </c>
      <c r="O5387">
        <v>0</v>
      </c>
    </row>
    <row r="5388" spans="1:15" x14ac:dyDescent="0.2">
      <c r="A5388" s="6">
        <v>45800</v>
      </c>
      <c r="B5388" t="s">
        <v>15</v>
      </c>
      <c r="C5388" t="s">
        <v>16</v>
      </c>
      <c r="D5388" s="1">
        <v>45855</v>
      </c>
      <c r="E5388" t="s">
        <v>17</v>
      </c>
      <c r="F5388">
        <v>6550</v>
      </c>
      <c r="J5388">
        <v>5.8</v>
      </c>
      <c r="K5388">
        <v>7.8</v>
      </c>
      <c r="L5388">
        <v>0</v>
      </c>
      <c r="M5388" t="s">
        <v>18</v>
      </c>
      <c r="N5388">
        <v>0</v>
      </c>
      <c r="O5388">
        <v>0</v>
      </c>
    </row>
    <row r="5389" spans="1:15" x14ac:dyDescent="0.2">
      <c r="A5389" s="6">
        <v>45800</v>
      </c>
      <c r="B5389" t="s">
        <v>15</v>
      </c>
      <c r="C5389" t="s">
        <v>16</v>
      </c>
      <c r="D5389" s="1">
        <v>45855</v>
      </c>
      <c r="E5389" t="s">
        <v>19</v>
      </c>
      <c r="F5389">
        <v>5400</v>
      </c>
      <c r="J5389">
        <v>333</v>
      </c>
      <c r="K5389">
        <v>334.8</v>
      </c>
      <c r="L5389">
        <v>0</v>
      </c>
      <c r="M5389" t="s">
        <v>18</v>
      </c>
      <c r="N5389">
        <v>0</v>
      </c>
      <c r="O5389">
        <v>0</v>
      </c>
    </row>
    <row r="5390" spans="1:15" x14ac:dyDescent="0.2">
      <c r="A5390" s="6">
        <v>45800</v>
      </c>
      <c r="B5390" t="s">
        <v>15</v>
      </c>
      <c r="C5390" t="s">
        <v>16</v>
      </c>
      <c r="D5390" s="1">
        <v>45855</v>
      </c>
      <c r="E5390" t="s">
        <v>19</v>
      </c>
      <c r="F5390">
        <v>6400</v>
      </c>
      <c r="J5390">
        <v>1170.4000000000001</v>
      </c>
      <c r="K5390">
        <v>1160.3</v>
      </c>
      <c r="L5390">
        <v>0</v>
      </c>
      <c r="M5390" t="s">
        <v>18</v>
      </c>
      <c r="N5390">
        <v>0</v>
      </c>
      <c r="O5390">
        <v>0</v>
      </c>
    </row>
    <row r="5391" spans="1:15" x14ac:dyDescent="0.2">
      <c r="A5391" s="6">
        <v>45800</v>
      </c>
      <c r="B5391" t="s">
        <v>15</v>
      </c>
      <c r="C5391" t="s">
        <v>16</v>
      </c>
      <c r="D5391" s="1">
        <v>45855</v>
      </c>
      <c r="E5391" t="s">
        <v>19</v>
      </c>
      <c r="F5391">
        <v>5300</v>
      </c>
      <c r="J5391">
        <v>273.3</v>
      </c>
      <c r="K5391">
        <v>276.2</v>
      </c>
      <c r="L5391">
        <v>0</v>
      </c>
      <c r="M5391" t="s">
        <v>18</v>
      </c>
      <c r="N5391">
        <v>0</v>
      </c>
      <c r="O5391">
        <v>3</v>
      </c>
    </row>
    <row r="5392" spans="1:15" x14ac:dyDescent="0.2">
      <c r="A5392" s="6">
        <v>45800</v>
      </c>
      <c r="B5392" t="s">
        <v>15</v>
      </c>
      <c r="C5392" t="s">
        <v>16</v>
      </c>
      <c r="D5392" s="1">
        <v>45855</v>
      </c>
      <c r="E5392" t="s">
        <v>19</v>
      </c>
      <c r="F5392">
        <v>3700</v>
      </c>
      <c r="J5392">
        <v>0.2</v>
      </c>
      <c r="K5392">
        <v>0.2</v>
      </c>
      <c r="L5392">
        <v>0</v>
      </c>
      <c r="M5392" t="s">
        <v>18</v>
      </c>
      <c r="N5392">
        <v>0</v>
      </c>
      <c r="O5392">
        <v>0</v>
      </c>
    </row>
    <row r="5393" spans="1:15" x14ac:dyDescent="0.2">
      <c r="A5393" s="6">
        <v>45800</v>
      </c>
      <c r="B5393" t="s">
        <v>15</v>
      </c>
      <c r="C5393" t="s">
        <v>16</v>
      </c>
      <c r="D5393" s="1">
        <v>45855</v>
      </c>
      <c r="E5393" t="s">
        <v>17</v>
      </c>
      <c r="F5393">
        <v>6650</v>
      </c>
      <c r="J5393">
        <v>4.0999999999999996</v>
      </c>
      <c r="K5393">
        <v>5.6</v>
      </c>
      <c r="L5393">
        <v>0</v>
      </c>
      <c r="M5393" t="s">
        <v>18</v>
      </c>
      <c r="N5393">
        <v>0</v>
      </c>
      <c r="O5393">
        <v>0</v>
      </c>
    </row>
    <row r="5394" spans="1:15" x14ac:dyDescent="0.2">
      <c r="A5394" s="6">
        <v>45800</v>
      </c>
      <c r="B5394" t="s">
        <v>15</v>
      </c>
      <c r="C5394" t="s">
        <v>16</v>
      </c>
      <c r="D5394" s="1">
        <v>45855</v>
      </c>
      <c r="E5394" t="s">
        <v>17</v>
      </c>
      <c r="F5394">
        <v>3750</v>
      </c>
      <c r="J5394">
        <v>1464</v>
      </c>
      <c r="K5394">
        <v>1476.7</v>
      </c>
      <c r="L5394">
        <v>0</v>
      </c>
      <c r="M5394" t="s">
        <v>18</v>
      </c>
      <c r="N5394">
        <v>0</v>
      </c>
      <c r="O5394">
        <v>0</v>
      </c>
    </row>
    <row r="5395" spans="1:15" x14ac:dyDescent="0.2">
      <c r="A5395" s="6">
        <v>45800</v>
      </c>
      <c r="B5395" t="s">
        <v>15</v>
      </c>
      <c r="C5395" t="s">
        <v>16</v>
      </c>
      <c r="D5395" s="1">
        <v>45855</v>
      </c>
      <c r="E5395" t="s">
        <v>19</v>
      </c>
      <c r="F5395">
        <v>5450</v>
      </c>
      <c r="J5395">
        <v>365.1</v>
      </c>
      <c r="K5395">
        <v>366.4</v>
      </c>
      <c r="L5395">
        <v>0</v>
      </c>
      <c r="M5395" t="s">
        <v>18</v>
      </c>
      <c r="N5395">
        <v>0</v>
      </c>
      <c r="O5395">
        <v>0</v>
      </c>
    </row>
    <row r="5396" spans="1:15" x14ac:dyDescent="0.2">
      <c r="A5396" s="6">
        <v>45800</v>
      </c>
      <c r="B5396" t="s">
        <v>15</v>
      </c>
      <c r="C5396" t="s">
        <v>16</v>
      </c>
      <c r="D5396" s="1">
        <v>45855</v>
      </c>
      <c r="E5396" t="s">
        <v>17</v>
      </c>
      <c r="F5396">
        <v>6050</v>
      </c>
      <c r="J5396">
        <v>29.6</v>
      </c>
      <c r="K5396">
        <v>35.799999999999997</v>
      </c>
      <c r="L5396">
        <v>0</v>
      </c>
      <c r="M5396" t="s">
        <v>18</v>
      </c>
      <c r="N5396">
        <v>0</v>
      </c>
      <c r="O5396">
        <v>0</v>
      </c>
    </row>
    <row r="5397" spans="1:15" x14ac:dyDescent="0.2">
      <c r="A5397" s="6">
        <v>45800</v>
      </c>
      <c r="B5397" t="s">
        <v>15</v>
      </c>
      <c r="C5397" t="s">
        <v>16</v>
      </c>
      <c r="D5397" s="1">
        <v>45855</v>
      </c>
      <c r="E5397" t="s">
        <v>19</v>
      </c>
      <c r="F5397">
        <v>5700</v>
      </c>
      <c r="J5397">
        <v>546.29999999999995</v>
      </c>
      <c r="K5397">
        <v>544.20000000000005</v>
      </c>
      <c r="L5397">
        <v>0</v>
      </c>
      <c r="M5397" t="s">
        <v>18</v>
      </c>
      <c r="N5397">
        <v>0</v>
      </c>
      <c r="O5397">
        <v>0</v>
      </c>
    </row>
    <row r="5398" spans="1:15" x14ac:dyDescent="0.2">
      <c r="A5398" s="6">
        <v>45800</v>
      </c>
      <c r="B5398" t="s">
        <v>15</v>
      </c>
      <c r="C5398" t="s">
        <v>16</v>
      </c>
      <c r="D5398" s="1">
        <v>45855</v>
      </c>
      <c r="E5398" t="s">
        <v>19</v>
      </c>
      <c r="F5398">
        <v>4700</v>
      </c>
      <c r="J5398">
        <v>52.1</v>
      </c>
      <c r="K5398">
        <v>55.9</v>
      </c>
      <c r="L5398">
        <v>0</v>
      </c>
      <c r="M5398" t="s">
        <v>18</v>
      </c>
      <c r="N5398">
        <v>0</v>
      </c>
      <c r="O5398">
        <v>0</v>
      </c>
    </row>
    <row r="5399" spans="1:15" x14ac:dyDescent="0.2">
      <c r="A5399" s="6">
        <v>45800</v>
      </c>
      <c r="B5399" t="s">
        <v>15</v>
      </c>
      <c r="C5399" t="s">
        <v>16</v>
      </c>
      <c r="D5399" s="1">
        <v>45855</v>
      </c>
      <c r="E5399" t="s">
        <v>19</v>
      </c>
      <c r="F5399">
        <v>3750</v>
      </c>
      <c r="J5399">
        <v>0.2</v>
      </c>
      <c r="K5399">
        <v>0.4</v>
      </c>
      <c r="L5399">
        <v>0</v>
      </c>
      <c r="M5399" t="s">
        <v>18</v>
      </c>
      <c r="N5399">
        <v>0</v>
      </c>
      <c r="O5399">
        <v>0</v>
      </c>
    </row>
    <row r="5400" spans="1:15" x14ac:dyDescent="0.2">
      <c r="A5400" s="6">
        <v>45800</v>
      </c>
      <c r="B5400" t="s">
        <v>15</v>
      </c>
      <c r="C5400" t="s">
        <v>16</v>
      </c>
      <c r="D5400" s="1">
        <v>45855</v>
      </c>
      <c r="E5400" t="s">
        <v>19</v>
      </c>
      <c r="F5400">
        <v>4550</v>
      </c>
      <c r="J5400">
        <v>29.3</v>
      </c>
      <c r="K5400">
        <v>32.200000000000003</v>
      </c>
      <c r="L5400">
        <v>0</v>
      </c>
      <c r="M5400" t="s">
        <v>18</v>
      </c>
      <c r="N5400">
        <v>0</v>
      </c>
      <c r="O5400">
        <v>0</v>
      </c>
    </row>
    <row r="5401" spans="1:15" x14ac:dyDescent="0.2">
      <c r="A5401" s="6">
        <v>45800</v>
      </c>
      <c r="B5401" t="s">
        <v>15</v>
      </c>
      <c r="C5401" t="s">
        <v>16</v>
      </c>
      <c r="D5401" s="1">
        <v>45855</v>
      </c>
      <c r="E5401" t="s">
        <v>17</v>
      </c>
      <c r="F5401">
        <v>4250</v>
      </c>
      <c r="J5401">
        <v>975.7</v>
      </c>
      <c r="K5401">
        <v>989.7</v>
      </c>
      <c r="L5401">
        <v>0</v>
      </c>
      <c r="M5401" t="s">
        <v>18</v>
      </c>
      <c r="N5401">
        <v>0</v>
      </c>
      <c r="O5401">
        <v>0</v>
      </c>
    </row>
    <row r="5402" spans="1:15" x14ac:dyDescent="0.2">
      <c r="A5402" s="6">
        <v>45800</v>
      </c>
      <c r="B5402" t="s">
        <v>15</v>
      </c>
      <c r="C5402" t="s">
        <v>16</v>
      </c>
      <c r="D5402" s="1">
        <v>45855</v>
      </c>
      <c r="E5402" t="s">
        <v>19</v>
      </c>
      <c r="F5402">
        <v>6250</v>
      </c>
      <c r="J5402">
        <v>1028.0999999999999</v>
      </c>
      <c r="K5402">
        <v>1019.2</v>
      </c>
      <c r="L5402">
        <v>0</v>
      </c>
      <c r="M5402" t="s">
        <v>18</v>
      </c>
      <c r="N5402">
        <v>0</v>
      </c>
      <c r="O5402">
        <v>0</v>
      </c>
    </row>
    <row r="5403" spans="1:15" x14ac:dyDescent="0.2">
      <c r="A5403" s="6">
        <v>45800</v>
      </c>
      <c r="B5403" t="s">
        <v>15</v>
      </c>
      <c r="C5403" t="s">
        <v>16</v>
      </c>
      <c r="D5403" s="1">
        <v>45855</v>
      </c>
      <c r="E5403" t="s">
        <v>17</v>
      </c>
      <c r="F5403">
        <v>6200</v>
      </c>
      <c r="J5403">
        <v>18.600000000000001</v>
      </c>
      <c r="K5403">
        <v>23.3</v>
      </c>
      <c r="L5403">
        <v>0</v>
      </c>
      <c r="M5403" t="s">
        <v>18</v>
      </c>
      <c r="N5403">
        <v>0</v>
      </c>
      <c r="O5403">
        <v>0</v>
      </c>
    </row>
    <row r="5404" spans="1:15" x14ac:dyDescent="0.2">
      <c r="A5404" s="6">
        <v>45800</v>
      </c>
      <c r="B5404" t="s">
        <v>15</v>
      </c>
      <c r="C5404" t="s">
        <v>16</v>
      </c>
      <c r="D5404" s="1">
        <v>45855</v>
      </c>
      <c r="E5404" t="s">
        <v>17</v>
      </c>
      <c r="F5404">
        <v>6250</v>
      </c>
      <c r="J5404">
        <v>15.9</v>
      </c>
      <c r="K5404">
        <v>20</v>
      </c>
      <c r="L5404">
        <v>0</v>
      </c>
      <c r="M5404" t="s">
        <v>18</v>
      </c>
      <c r="N5404">
        <v>0</v>
      </c>
      <c r="O5404">
        <v>0</v>
      </c>
    </row>
    <row r="5405" spans="1:15" x14ac:dyDescent="0.2">
      <c r="A5405" s="6">
        <v>45800</v>
      </c>
      <c r="B5405" t="s">
        <v>15</v>
      </c>
      <c r="C5405" t="s">
        <v>16</v>
      </c>
      <c r="D5405" s="1">
        <v>45855</v>
      </c>
      <c r="E5405" t="s">
        <v>17</v>
      </c>
      <c r="F5405">
        <v>5050</v>
      </c>
      <c r="J5405">
        <v>329.1</v>
      </c>
      <c r="K5405">
        <v>346.3</v>
      </c>
      <c r="L5405">
        <v>0</v>
      </c>
      <c r="M5405" t="s">
        <v>18</v>
      </c>
      <c r="N5405">
        <v>0</v>
      </c>
      <c r="O5405">
        <v>0</v>
      </c>
    </row>
    <row r="5406" spans="1:15" x14ac:dyDescent="0.2">
      <c r="A5406" s="6">
        <v>45800</v>
      </c>
      <c r="B5406" t="s">
        <v>15</v>
      </c>
      <c r="C5406" t="s">
        <v>16</v>
      </c>
      <c r="D5406" s="1">
        <v>45855</v>
      </c>
      <c r="E5406" t="s">
        <v>19</v>
      </c>
      <c r="F5406">
        <v>3900</v>
      </c>
      <c r="J5406">
        <v>0.8</v>
      </c>
      <c r="K5406">
        <v>1.1000000000000001</v>
      </c>
      <c r="L5406">
        <v>0</v>
      </c>
      <c r="M5406" t="s">
        <v>18</v>
      </c>
      <c r="N5406">
        <v>0</v>
      </c>
      <c r="O5406">
        <v>0</v>
      </c>
    </row>
    <row r="5407" spans="1:15" x14ac:dyDescent="0.2">
      <c r="A5407" s="6">
        <v>45800</v>
      </c>
      <c r="B5407" t="s">
        <v>15</v>
      </c>
      <c r="C5407" t="s">
        <v>16</v>
      </c>
      <c r="D5407" s="1">
        <v>45855</v>
      </c>
      <c r="E5407" t="s">
        <v>17</v>
      </c>
      <c r="F5407">
        <v>5900</v>
      </c>
      <c r="J5407">
        <v>45.8</v>
      </c>
      <c r="K5407">
        <v>53.9</v>
      </c>
      <c r="L5407">
        <v>0</v>
      </c>
      <c r="M5407" t="s">
        <v>18</v>
      </c>
      <c r="N5407">
        <v>0</v>
      </c>
      <c r="O5407">
        <v>0</v>
      </c>
    </row>
    <row r="5408" spans="1:15" x14ac:dyDescent="0.2">
      <c r="A5408" s="6">
        <v>45800</v>
      </c>
      <c r="B5408" t="s">
        <v>15</v>
      </c>
      <c r="C5408" t="s">
        <v>16</v>
      </c>
      <c r="D5408" s="1">
        <v>45855</v>
      </c>
      <c r="E5408" t="s">
        <v>17</v>
      </c>
      <c r="F5408">
        <v>6500</v>
      </c>
      <c r="J5408">
        <v>6.9</v>
      </c>
      <c r="K5408">
        <v>9.1999999999999993</v>
      </c>
      <c r="L5408">
        <v>0</v>
      </c>
      <c r="M5408" t="s">
        <v>18</v>
      </c>
      <c r="N5408">
        <v>0</v>
      </c>
      <c r="O5408">
        <v>0</v>
      </c>
    </row>
    <row r="5409" spans="1:15" x14ac:dyDescent="0.2">
      <c r="A5409" s="6">
        <v>45800</v>
      </c>
      <c r="B5409" t="s">
        <v>15</v>
      </c>
      <c r="C5409" t="s">
        <v>16</v>
      </c>
      <c r="D5409" s="1">
        <v>45855</v>
      </c>
      <c r="E5409" t="s">
        <v>17</v>
      </c>
      <c r="F5409">
        <v>4150</v>
      </c>
      <c r="J5409">
        <v>1071.7</v>
      </c>
      <c r="K5409">
        <v>1085.2</v>
      </c>
      <c r="L5409">
        <v>0</v>
      </c>
      <c r="M5409" t="s">
        <v>18</v>
      </c>
      <c r="N5409">
        <v>0</v>
      </c>
      <c r="O5409">
        <v>0</v>
      </c>
    </row>
    <row r="5410" spans="1:15" x14ac:dyDescent="0.2">
      <c r="A5410" s="6">
        <v>45800</v>
      </c>
      <c r="B5410" t="s">
        <v>15</v>
      </c>
      <c r="C5410" t="s">
        <v>16</v>
      </c>
      <c r="D5410" s="1">
        <v>45855</v>
      </c>
      <c r="E5410" t="s">
        <v>19</v>
      </c>
      <c r="F5410">
        <v>4650</v>
      </c>
      <c r="J5410">
        <v>43.4</v>
      </c>
      <c r="K5410">
        <v>46.9</v>
      </c>
      <c r="L5410">
        <v>0</v>
      </c>
      <c r="M5410" t="s">
        <v>18</v>
      </c>
      <c r="N5410">
        <v>0</v>
      </c>
      <c r="O5410">
        <v>0</v>
      </c>
    </row>
    <row r="5411" spans="1:15" x14ac:dyDescent="0.2">
      <c r="A5411" s="6">
        <v>45800</v>
      </c>
      <c r="B5411" t="s">
        <v>15</v>
      </c>
      <c r="C5411" t="s">
        <v>16</v>
      </c>
      <c r="D5411" s="1">
        <v>45855</v>
      </c>
      <c r="E5411" t="s">
        <v>17</v>
      </c>
      <c r="F5411">
        <v>4600</v>
      </c>
      <c r="J5411">
        <v>657.7</v>
      </c>
      <c r="K5411">
        <v>673.8</v>
      </c>
      <c r="L5411">
        <v>0</v>
      </c>
      <c r="M5411" t="s">
        <v>18</v>
      </c>
      <c r="N5411">
        <v>0</v>
      </c>
      <c r="O5411">
        <v>0</v>
      </c>
    </row>
    <row r="5412" spans="1:15" x14ac:dyDescent="0.2">
      <c r="A5412" s="6">
        <v>45800</v>
      </c>
      <c r="B5412" t="s">
        <v>15</v>
      </c>
      <c r="C5412" t="s">
        <v>16</v>
      </c>
      <c r="D5412" s="1">
        <v>45855</v>
      </c>
      <c r="E5412" t="s">
        <v>19</v>
      </c>
      <c r="F5412">
        <v>5150</v>
      </c>
      <c r="J5412">
        <v>196</v>
      </c>
      <c r="K5412">
        <v>200</v>
      </c>
      <c r="L5412">
        <v>0</v>
      </c>
      <c r="M5412" t="s">
        <v>18</v>
      </c>
      <c r="N5412">
        <v>0</v>
      </c>
      <c r="O5412">
        <v>0</v>
      </c>
    </row>
    <row r="5413" spans="1:15" x14ac:dyDescent="0.2">
      <c r="A5413" s="6">
        <v>45800</v>
      </c>
      <c r="B5413" t="s">
        <v>15</v>
      </c>
      <c r="C5413" t="s">
        <v>16</v>
      </c>
      <c r="D5413" s="1">
        <v>45855</v>
      </c>
      <c r="E5413" t="s">
        <v>17</v>
      </c>
      <c r="F5413">
        <v>6350</v>
      </c>
      <c r="J5413">
        <v>11.5</v>
      </c>
      <c r="K5413">
        <v>14.8</v>
      </c>
      <c r="L5413">
        <v>0</v>
      </c>
      <c r="M5413" t="s">
        <v>18</v>
      </c>
      <c r="N5413">
        <v>0</v>
      </c>
      <c r="O5413">
        <v>0</v>
      </c>
    </row>
    <row r="5414" spans="1:15" x14ac:dyDescent="0.2">
      <c r="A5414" s="6">
        <v>45800</v>
      </c>
      <c r="B5414" t="s">
        <v>15</v>
      </c>
      <c r="C5414" t="s">
        <v>16</v>
      </c>
      <c r="D5414" s="1">
        <v>45855</v>
      </c>
      <c r="E5414" t="s">
        <v>19</v>
      </c>
      <c r="F5414">
        <v>6550</v>
      </c>
      <c r="J5414">
        <v>1315.1</v>
      </c>
      <c r="K5414">
        <v>1304</v>
      </c>
      <c r="L5414">
        <v>0</v>
      </c>
      <c r="M5414" t="s">
        <v>18</v>
      </c>
      <c r="N5414">
        <v>0</v>
      </c>
      <c r="O5414">
        <v>0</v>
      </c>
    </row>
    <row r="5415" spans="1:15" x14ac:dyDescent="0.2">
      <c r="A5415" s="6">
        <v>45800</v>
      </c>
      <c r="B5415" t="s">
        <v>15</v>
      </c>
      <c r="C5415" t="s">
        <v>16</v>
      </c>
      <c r="D5415" s="1">
        <v>45855</v>
      </c>
      <c r="E5415" t="s">
        <v>17</v>
      </c>
      <c r="F5415">
        <v>5800</v>
      </c>
      <c r="J5415">
        <v>60.4</v>
      </c>
      <c r="K5415">
        <v>69.900000000000006</v>
      </c>
      <c r="L5415">
        <v>0</v>
      </c>
      <c r="M5415" t="s">
        <v>18</v>
      </c>
      <c r="N5415">
        <v>0</v>
      </c>
      <c r="O5415">
        <v>0</v>
      </c>
    </row>
    <row r="5416" spans="1:15" x14ac:dyDescent="0.2">
      <c r="A5416" s="6">
        <v>45800</v>
      </c>
      <c r="B5416" t="s">
        <v>15</v>
      </c>
      <c r="C5416" t="s">
        <v>16</v>
      </c>
      <c r="D5416" s="1">
        <v>45855</v>
      </c>
      <c r="E5416" t="s">
        <v>17</v>
      </c>
      <c r="F5416">
        <v>5450</v>
      </c>
      <c r="J5416">
        <v>145.19999999999999</v>
      </c>
      <c r="K5416">
        <v>159.4</v>
      </c>
      <c r="L5416">
        <v>0</v>
      </c>
      <c r="M5416" t="s">
        <v>18</v>
      </c>
      <c r="N5416">
        <v>0</v>
      </c>
      <c r="O5416">
        <v>0</v>
      </c>
    </row>
    <row r="5417" spans="1:15" x14ac:dyDescent="0.2">
      <c r="A5417" s="6">
        <v>45800</v>
      </c>
      <c r="B5417" t="s">
        <v>15</v>
      </c>
      <c r="C5417" t="s">
        <v>16</v>
      </c>
      <c r="D5417" s="1">
        <v>45855</v>
      </c>
      <c r="E5417" t="s">
        <v>19</v>
      </c>
      <c r="F5417">
        <v>5950</v>
      </c>
      <c r="J5417">
        <v>754.8</v>
      </c>
      <c r="K5417">
        <v>749.2</v>
      </c>
      <c r="L5417">
        <v>0</v>
      </c>
      <c r="M5417" t="s">
        <v>18</v>
      </c>
      <c r="N5417">
        <v>0</v>
      </c>
      <c r="O5417">
        <v>0</v>
      </c>
    </row>
    <row r="5418" spans="1:15" x14ac:dyDescent="0.2">
      <c r="A5418" s="6">
        <v>45800</v>
      </c>
      <c r="B5418" t="s">
        <v>15</v>
      </c>
      <c r="C5418" t="s">
        <v>16</v>
      </c>
      <c r="D5418" s="1">
        <v>45855</v>
      </c>
      <c r="E5418" t="s">
        <v>19</v>
      </c>
      <c r="F5418">
        <v>4050</v>
      </c>
      <c r="J5418">
        <v>2.2000000000000002</v>
      </c>
      <c r="K5418">
        <v>2.8</v>
      </c>
      <c r="L5418">
        <v>0</v>
      </c>
      <c r="M5418" t="s">
        <v>18</v>
      </c>
      <c r="N5418">
        <v>0</v>
      </c>
      <c r="O5418">
        <v>0</v>
      </c>
    </row>
    <row r="5419" spans="1:15" x14ac:dyDescent="0.2">
      <c r="A5419" s="6">
        <v>45800</v>
      </c>
      <c r="B5419" t="s">
        <v>15</v>
      </c>
      <c r="C5419" t="s">
        <v>16</v>
      </c>
      <c r="D5419" s="1">
        <v>45855</v>
      </c>
      <c r="E5419" t="s">
        <v>17</v>
      </c>
      <c r="F5419">
        <v>6300</v>
      </c>
      <c r="J5419">
        <v>13.5</v>
      </c>
      <c r="K5419">
        <v>17.2</v>
      </c>
      <c r="L5419">
        <v>0</v>
      </c>
      <c r="M5419" t="s">
        <v>18</v>
      </c>
      <c r="N5419">
        <v>0</v>
      </c>
      <c r="O5419">
        <v>0</v>
      </c>
    </row>
    <row r="5420" spans="1:15" x14ac:dyDescent="0.2">
      <c r="A5420" s="6">
        <v>45800</v>
      </c>
      <c r="B5420" t="s">
        <v>15</v>
      </c>
      <c r="C5420" t="s">
        <v>16</v>
      </c>
      <c r="D5420" s="1">
        <v>45855</v>
      </c>
      <c r="E5420" t="s">
        <v>17</v>
      </c>
      <c r="F5420">
        <v>5500</v>
      </c>
      <c r="J5420">
        <v>129.30000000000001</v>
      </c>
      <c r="K5420">
        <v>142.9</v>
      </c>
      <c r="L5420">
        <v>0</v>
      </c>
      <c r="M5420" t="s">
        <v>18</v>
      </c>
      <c r="N5420">
        <v>0</v>
      </c>
      <c r="O5420">
        <v>0</v>
      </c>
    </row>
    <row r="5421" spans="1:15" x14ac:dyDescent="0.2">
      <c r="A5421" s="6">
        <v>45800</v>
      </c>
      <c r="B5421" t="s">
        <v>15</v>
      </c>
      <c r="C5421" t="s">
        <v>16</v>
      </c>
      <c r="D5421" s="1">
        <v>45855</v>
      </c>
      <c r="E5421" t="s">
        <v>17</v>
      </c>
      <c r="F5421">
        <v>4550</v>
      </c>
      <c r="J5421">
        <v>700.7</v>
      </c>
      <c r="K5421">
        <v>716.5</v>
      </c>
      <c r="L5421">
        <v>0</v>
      </c>
      <c r="M5421" t="s">
        <v>18</v>
      </c>
      <c r="N5421">
        <v>0</v>
      </c>
      <c r="O5421">
        <v>0</v>
      </c>
    </row>
    <row r="5422" spans="1:15" x14ac:dyDescent="0.2">
      <c r="A5422" s="6">
        <v>45800</v>
      </c>
      <c r="B5422" t="s">
        <v>15</v>
      </c>
      <c r="C5422" t="s">
        <v>16</v>
      </c>
      <c r="D5422" s="1">
        <v>45855</v>
      </c>
      <c r="E5422" t="s">
        <v>19</v>
      </c>
      <c r="F5422">
        <v>4100</v>
      </c>
      <c r="J5422">
        <v>3</v>
      </c>
      <c r="K5422">
        <v>3.7</v>
      </c>
      <c r="L5422">
        <v>0</v>
      </c>
      <c r="M5422" t="s">
        <v>18</v>
      </c>
      <c r="N5422">
        <v>0</v>
      </c>
      <c r="O5422">
        <v>0</v>
      </c>
    </row>
    <row r="5423" spans="1:15" x14ac:dyDescent="0.2">
      <c r="A5423" s="6">
        <v>45800</v>
      </c>
      <c r="B5423" t="s">
        <v>15</v>
      </c>
      <c r="C5423" t="s">
        <v>16</v>
      </c>
      <c r="D5423" s="1">
        <v>45855</v>
      </c>
      <c r="E5423" t="s">
        <v>17</v>
      </c>
      <c r="F5423">
        <v>6000</v>
      </c>
      <c r="J5423">
        <v>34.299999999999997</v>
      </c>
      <c r="K5423">
        <v>41.1</v>
      </c>
      <c r="L5423">
        <v>0</v>
      </c>
      <c r="M5423" t="s">
        <v>18</v>
      </c>
      <c r="N5423">
        <v>0</v>
      </c>
      <c r="O5423">
        <v>1</v>
      </c>
    </row>
    <row r="5424" spans="1:15" x14ac:dyDescent="0.2">
      <c r="A5424" s="6">
        <v>45800</v>
      </c>
      <c r="B5424" t="s">
        <v>15</v>
      </c>
      <c r="C5424" t="s">
        <v>16</v>
      </c>
      <c r="D5424" s="1">
        <v>45855</v>
      </c>
      <c r="E5424" t="s">
        <v>19</v>
      </c>
      <c r="F5424">
        <v>4500</v>
      </c>
      <c r="J5424">
        <v>23.7</v>
      </c>
      <c r="K5424">
        <v>26.4</v>
      </c>
      <c r="L5424">
        <v>0</v>
      </c>
      <c r="M5424" t="s">
        <v>18</v>
      </c>
      <c r="N5424">
        <v>0</v>
      </c>
      <c r="O5424">
        <v>0</v>
      </c>
    </row>
    <row r="5425" spans="1:15" x14ac:dyDescent="0.2">
      <c r="A5425" s="6">
        <v>45800</v>
      </c>
      <c r="B5425" t="s">
        <v>15</v>
      </c>
      <c r="C5425" t="s">
        <v>16</v>
      </c>
      <c r="D5425" s="1">
        <v>45855</v>
      </c>
      <c r="E5425" t="s">
        <v>19</v>
      </c>
      <c r="F5425">
        <v>4400</v>
      </c>
      <c r="J5425">
        <v>15.1</v>
      </c>
      <c r="K5425">
        <v>17.2</v>
      </c>
      <c r="L5425">
        <v>0</v>
      </c>
      <c r="M5425" t="s">
        <v>18</v>
      </c>
      <c r="N5425">
        <v>0</v>
      </c>
      <c r="O5425">
        <v>0</v>
      </c>
    </row>
    <row r="5426" spans="1:15" x14ac:dyDescent="0.2">
      <c r="A5426" s="6">
        <v>45800</v>
      </c>
      <c r="B5426" t="s">
        <v>15</v>
      </c>
      <c r="C5426" t="s">
        <v>16</v>
      </c>
      <c r="D5426" s="1">
        <v>45855</v>
      </c>
      <c r="E5426" t="s">
        <v>19</v>
      </c>
      <c r="F5426">
        <v>5000</v>
      </c>
      <c r="J5426">
        <v>133.80000000000001</v>
      </c>
      <c r="K5426">
        <v>138.19999999999999</v>
      </c>
      <c r="L5426">
        <v>0</v>
      </c>
      <c r="M5426" t="s">
        <v>18</v>
      </c>
      <c r="N5426">
        <v>0</v>
      </c>
      <c r="O5426">
        <v>0</v>
      </c>
    </row>
    <row r="5427" spans="1:15" x14ac:dyDescent="0.2">
      <c r="A5427" s="6">
        <v>45800</v>
      </c>
      <c r="B5427" t="s">
        <v>15</v>
      </c>
      <c r="C5427" t="s">
        <v>16</v>
      </c>
      <c r="D5427" s="1">
        <v>45855</v>
      </c>
      <c r="E5427" t="s">
        <v>17</v>
      </c>
      <c r="F5427">
        <v>4850</v>
      </c>
      <c r="J5427">
        <v>460.6</v>
      </c>
      <c r="K5427">
        <v>477.8</v>
      </c>
      <c r="L5427">
        <v>0</v>
      </c>
      <c r="M5427" t="s">
        <v>18</v>
      </c>
      <c r="N5427">
        <v>0</v>
      </c>
      <c r="O5427">
        <v>0</v>
      </c>
    </row>
    <row r="5428" spans="1:15" x14ac:dyDescent="0.2">
      <c r="A5428" s="6">
        <v>45800</v>
      </c>
      <c r="B5428" t="s">
        <v>15</v>
      </c>
      <c r="C5428" t="s">
        <v>16</v>
      </c>
      <c r="D5428" s="1">
        <v>45855</v>
      </c>
      <c r="E5428" t="s">
        <v>19</v>
      </c>
      <c r="F5428">
        <v>5350</v>
      </c>
      <c r="G5428">
        <v>313.60000000000002</v>
      </c>
      <c r="H5428">
        <v>313.60000000000002</v>
      </c>
      <c r="I5428">
        <v>313.60000000000002</v>
      </c>
      <c r="J5428">
        <v>313.60000000000002</v>
      </c>
      <c r="K5428">
        <v>304.7</v>
      </c>
      <c r="L5428">
        <v>1</v>
      </c>
      <c r="M5428" t="s">
        <v>155</v>
      </c>
      <c r="N5428">
        <v>5.66</v>
      </c>
      <c r="O5428">
        <v>0</v>
      </c>
    </row>
    <row r="5429" spans="1:15" x14ac:dyDescent="0.2">
      <c r="A5429" s="6">
        <v>45800</v>
      </c>
      <c r="B5429" t="s">
        <v>15</v>
      </c>
      <c r="C5429" t="s">
        <v>16</v>
      </c>
      <c r="D5429" s="1">
        <v>45855</v>
      </c>
      <c r="E5429" t="s">
        <v>17</v>
      </c>
      <c r="F5429">
        <v>4000</v>
      </c>
      <c r="J5429">
        <v>1217.8</v>
      </c>
      <c r="K5429">
        <v>1230.9000000000001</v>
      </c>
      <c r="L5429">
        <v>0</v>
      </c>
      <c r="M5429" t="s">
        <v>18</v>
      </c>
      <c r="N5429">
        <v>0</v>
      </c>
      <c r="O5429">
        <v>0</v>
      </c>
    </row>
    <row r="5430" spans="1:15" x14ac:dyDescent="0.2">
      <c r="A5430" s="6">
        <v>45800</v>
      </c>
      <c r="B5430" t="s">
        <v>15</v>
      </c>
      <c r="C5430" t="s">
        <v>16</v>
      </c>
      <c r="D5430" s="1">
        <v>45855</v>
      </c>
      <c r="E5430" t="s">
        <v>17</v>
      </c>
      <c r="F5430">
        <v>6450</v>
      </c>
      <c r="J5430">
        <v>8.1999999999999993</v>
      </c>
      <c r="K5430">
        <v>10.8</v>
      </c>
      <c r="L5430">
        <v>0</v>
      </c>
      <c r="M5430" t="s">
        <v>18</v>
      </c>
      <c r="N5430">
        <v>0</v>
      </c>
      <c r="O5430">
        <v>0</v>
      </c>
    </row>
    <row r="5431" spans="1:15" x14ac:dyDescent="0.2">
      <c r="A5431" s="6">
        <v>45800</v>
      </c>
      <c r="B5431" t="s">
        <v>15</v>
      </c>
      <c r="C5431" t="s">
        <v>16</v>
      </c>
      <c r="D5431" s="1">
        <v>45855</v>
      </c>
      <c r="E5431" t="s">
        <v>19</v>
      </c>
      <c r="F5431">
        <v>3650</v>
      </c>
      <c r="J5431">
        <v>0.1</v>
      </c>
      <c r="K5431">
        <v>0.2</v>
      </c>
      <c r="L5431">
        <v>0</v>
      </c>
      <c r="M5431" t="s">
        <v>18</v>
      </c>
      <c r="N5431">
        <v>0</v>
      </c>
      <c r="O5431">
        <v>0</v>
      </c>
    </row>
    <row r="5432" spans="1:15" x14ac:dyDescent="0.2">
      <c r="A5432" s="6">
        <v>45800</v>
      </c>
      <c r="B5432" t="s">
        <v>15</v>
      </c>
      <c r="C5432" t="s">
        <v>16</v>
      </c>
      <c r="D5432" s="1">
        <v>45855</v>
      </c>
      <c r="E5432" t="s">
        <v>19</v>
      </c>
      <c r="F5432">
        <v>5800</v>
      </c>
      <c r="J5432">
        <v>626.9</v>
      </c>
      <c r="K5432">
        <v>623.4</v>
      </c>
      <c r="L5432">
        <v>0</v>
      </c>
      <c r="M5432" t="s">
        <v>18</v>
      </c>
      <c r="N5432">
        <v>0</v>
      </c>
      <c r="O5432">
        <v>0</v>
      </c>
    </row>
    <row r="5433" spans="1:15" x14ac:dyDescent="0.2">
      <c r="A5433" s="6">
        <v>45800</v>
      </c>
      <c r="B5433" t="s">
        <v>15</v>
      </c>
      <c r="C5433" t="s">
        <v>16</v>
      </c>
      <c r="D5433" s="1">
        <v>45855</v>
      </c>
      <c r="E5433" t="s">
        <v>17</v>
      </c>
      <c r="F5433">
        <v>3650</v>
      </c>
      <c r="J5433">
        <v>1562.9</v>
      </c>
      <c r="K5433">
        <v>1575.6</v>
      </c>
      <c r="L5433">
        <v>0</v>
      </c>
      <c r="M5433" t="s">
        <v>18</v>
      </c>
      <c r="N5433">
        <v>0</v>
      </c>
      <c r="O5433">
        <v>0</v>
      </c>
    </row>
    <row r="5434" spans="1:15" x14ac:dyDescent="0.2">
      <c r="A5434" s="6">
        <v>45800</v>
      </c>
      <c r="B5434" t="s">
        <v>15</v>
      </c>
      <c r="C5434" t="s">
        <v>16</v>
      </c>
      <c r="D5434" s="1">
        <v>45855</v>
      </c>
      <c r="E5434" t="s">
        <v>17</v>
      </c>
      <c r="F5434">
        <v>3600</v>
      </c>
      <c r="J5434">
        <v>1612.4</v>
      </c>
      <c r="K5434">
        <v>1625</v>
      </c>
      <c r="L5434">
        <v>0</v>
      </c>
      <c r="M5434" t="s">
        <v>18</v>
      </c>
      <c r="N5434">
        <v>0</v>
      </c>
      <c r="O5434">
        <v>0</v>
      </c>
    </row>
    <row r="5435" spans="1:15" x14ac:dyDescent="0.2">
      <c r="A5435" s="6">
        <v>45800</v>
      </c>
      <c r="B5435" t="s">
        <v>15</v>
      </c>
      <c r="C5435" t="s">
        <v>16</v>
      </c>
      <c r="D5435" s="1">
        <v>45855</v>
      </c>
      <c r="E5435" t="s">
        <v>17</v>
      </c>
      <c r="F5435">
        <v>5350</v>
      </c>
      <c r="J5435">
        <v>181.5</v>
      </c>
      <c r="K5435">
        <v>196.8</v>
      </c>
      <c r="L5435">
        <v>0</v>
      </c>
      <c r="M5435" t="s">
        <v>18</v>
      </c>
      <c r="N5435">
        <v>0</v>
      </c>
      <c r="O5435">
        <v>0</v>
      </c>
    </row>
    <row r="5436" spans="1:15" x14ac:dyDescent="0.2">
      <c r="A5436" s="6">
        <v>45800</v>
      </c>
      <c r="B5436" t="s">
        <v>15</v>
      </c>
      <c r="C5436" t="s">
        <v>16</v>
      </c>
      <c r="D5436" s="1">
        <v>45855</v>
      </c>
      <c r="E5436" t="s">
        <v>19</v>
      </c>
      <c r="F5436">
        <v>4850</v>
      </c>
      <c r="J5436">
        <v>86.2</v>
      </c>
      <c r="K5436">
        <v>90.6</v>
      </c>
      <c r="L5436">
        <v>0</v>
      </c>
      <c r="M5436" t="s">
        <v>18</v>
      </c>
      <c r="N5436">
        <v>0</v>
      </c>
      <c r="O5436">
        <v>0</v>
      </c>
    </row>
    <row r="5437" spans="1:15" x14ac:dyDescent="0.2">
      <c r="A5437" s="6">
        <v>45800</v>
      </c>
      <c r="B5437" t="s">
        <v>15</v>
      </c>
      <c r="C5437" t="s">
        <v>16</v>
      </c>
      <c r="D5437" s="1">
        <v>45855</v>
      </c>
      <c r="E5437" t="s">
        <v>17</v>
      </c>
      <c r="F5437">
        <v>6100</v>
      </c>
      <c r="J5437">
        <v>25.4</v>
      </c>
      <c r="K5437">
        <v>31.1</v>
      </c>
      <c r="L5437">
        <v>0</v>
      </c>
      <c r="M5437" t="s">
        <v>18</v>
      </c>
      <c r="N5437">
        <v>0</v>
      </c>
      <c r="O5437">
        <v>0</v>
      </c>
    </row>
    <row r="5438" spans="1:15" x14ac:dyDescent="0.2">
      <c r="A5438" s="6">
        <v>45800</v>
      </c>
      <c r="B5438" t="s">
        <v>15</v>
      </c>
      <c r="C5438" t="s">
        <v>16</v>
      </c>
      <c r="D5438" s="1">
        <v>45855</v>
      </c>
      <c r="E5438" t="s">
        <v>19</v>
      </c>
      <c r="F5438">
        <v>4000</v>
      </c>
      <c r="J5438">
        <v>1.6</v>
      </c>
      <c r="K5438">
        <v>2</v>
      </c>
      <c r="L5438">
        <v>0</v>
      </c>
      <c r="M5438" t="s">
        <v>18</v>
      </c>
      <c r="N5438">
        <v>0</v>
      </c>
      <c r="O5438">
        <v>0</v>
      </c>
    </row>
    <row r="5439" spans="1:15" x14ac:dyDescent="0.2">
      <c r="A5439" s="6">
        <v>45800</v>
      </c>
      <c r="B5439" t="s">
        <v>15</v>
      </c>
      <c r="C5439" t="s">
        <v>16</v>
      </c>
      <c r="D5439" s="1">
        <v>45855</v>
      </c>
      <c r="E5439" t="s">
        <v>19</v>
      </c>
      <c r="F5439">
        <v>5600</v>
      </c>
      <c r="J5439">
        <v>470</v>
      </c>
      <c r="K5439">
        <v>469.3</v>
      </c>
      <c r="L5439">
        <v>0</v>
      </c>
      <c r="M5439" t="s">
        <v>18</v>
      </c>
      <c r="N5439">
        <v>0</v>
      </c>
      <c r="O5439">
        <v>0</v>
      </c>
    </row>
    <row r="5440" spans="1:15" x14ac:dyDescent="0.2">
      <c r="A5440" s="6">
        <v>45800</v>
      </c>
      <c r="B5440" t="s">
        <v>15</v>
      </c>
      <c r="C5440" t="s">
        <v>16</v>
      </c>
      <c r="D5440" s="1">
        <v>45855</v>
      </c>
      <c r="E5440" t="s">
        <v>19</v>
      </c>
      <c r="F5440">
        <v>5650</v>
      </c>
      <c r="J5440">
        <v>507.6</v>
      </c>
      <c r="K5440">
        <v>506.1</v>
      </c>
      <c r="L5440">
        <v>0</v>
      </c>
      <c r="M5440" t="s">
        <v>18</v>
      </c>
      <c r="N5440">
        <v>0</v>
      </c>
      <c r="O5440">
        <v>0</v>
      </c>
    </row>
    <row r="5441" spans="1:15" x14ac:dyDescent="0.2">
      <c r="A5441" s="6">
        <v>45800</v>
      </c>
      <c r="B5441" t="s">
        <v>15</v>
      </c>
      <c r="C5441" t="s">
        <v>16</v>
      </c>
      <c r="D5441" s="1">
        <v>45855</v>
      </c>
      <c r="E5441" t="s">
        <v>19</v>
      </c>
      <c r="F5441">
        <v>6350</v>
      </c>
      <c r="J5441">
        <v>1122.7</v>
      </c>
      <c r="K5441">
        <v>1112.9000000000001</v>
      </c>
      <c r="L5441">
        <v>0</v>
      </c>
      <c r="M5441" t="s">
        <v>18</v>
      </c>
      <c r="N5441">
        <v>0</v>
      </c>
      <c r="O5441">
        <v>0</v>
      </c>
    </row>
    <row r="5442" spans="1:15" x14ac:dyDescent="0.2">
      <c r="A5442" s="6">
        <v>45800</v>
      </c>
      <c r="B5442" t="s">
        <v>15</v>
      </c>
      <c r="C5442" t="s">
        <v>16</v>
      </c>
      <c r="D5442" s="1">
        <v>45855</v>
      </c>
      <c r="E5442" t="s">
        <v>17</v>
      </c>
      <c r="F5442">
        <v>3950</v>
      </c>
      <c r="J5442">
        <v>1266.8</v>
      </c>
      <c r="K5442">
        <v>1279.8</v>
      </c>
      <c r="L5442">
        <v>0</v>
      </c>
      <c r="M5442" t="s">
        <v>18</v>
      </c>
      <c r="N5442">
        <v>0</v>
      </c>
      <c r="O5442">
        <v>0</v>
      </c>
    </row>
    <row r="5443" spans="1:15" x14ac:dyDescent="0.2">
      <c r="A5443" s="6">
        <v>45800</v>
      </c>
      <c r="B5443" t="s">
        <v>15</v>
      </c>
      <c r="C5443" t="s">
        <v>16</v>
      </c>
      <c r="D5443" s="1">
        <v>45855</v>
      </c>
      <c r="E5443" t="s">
        <v>19</v>
      </c>
      <c r="F5443">
        <v>6100</v>
      </c>
      <c r="J5443">
        <v>889</v>
      </c>
      <c r="K5443">
        <v>881.7</v>
      </c>
      <c r="L5443">
        <v>0</v>
      </c>
      <c r="M5443" t="s">
        <v>18</v>
      </c>
      <c r="N5443">
        <v>0</v>
      </c>
      <c r="O5443">
        <v>0</v>
      </c>
    </row>
    <row r="5444" spans="1:15" x14ac:dyDescent="0.2">
      <c r="A5444" s="6">
        <v>45800</v>
      </c>
      <c r="B5444" t="s">
        <v>15</v>
      </c>
      <c r="C5444" t="s">
        <v>16</v>
      </c>
      <c r="D5444" s="1">
        <v>45855</v>
      </c>
      <c r="E5444" t="s">
        <v>17</v>
      </c>
      <c r="F5444">
        <v>4700</v>
      </c>
      <c r="J5444">
        <v>575</v>
      </c>
      <c r="K5444">
        <v>591.6</v>
      </c>
      <c r="L5444">
        <v>0</v>
      </c>
      <c r="M5444" t="s">
        <v>18</v>
      </c>
      <c r="N5444">
        <v>0</v>
      </c>
      <c r="O5444">
        <v>0</v>
      </c>
    </row>
    <row r="5445" spans="1:15" x14ac:dyDescent="0.2">
      <c r="A5445" s="6">
        <v>45800</v>
      </c>
      <c r="B5445" t="s">
        <v>15</v>
      </c>
      <c r="C5445" t="s">
        <v>16</v>
      </c>
      <c r="D5445" s="1">
        <v>45855</v>
      </c>
      <c r="E5445" t="s">
        <v>19</v>
      </c>
      <c r="F5445">
        <v>5500</v>
      </c>
      <c r="J5445">
        <v>398.7</v>
      </c>
      <c r="K5445">
        <v>399.3</v>
      </c>
      <c r="L5445">
        <v>0</v>
      </c>
      <c r="M5445" t="s">
        <v>18</v>
      </c>
      <c r="N5445">
        <v>0</v>
      </c>
      <c r="O5445">
        <v>0</v>
      </c>
    </row>
    <row r="5446" spans="1:15" x14ac:dyDescent="0.2">
      <c r="A5446" s="6">
        <v>45800</v>
      </c>
      <c r="B5446" t="s">
        <v>15</v>
      </c>
      <c r="C5446" t="s">
        <v>16</v>
      </c>
      <c r="D5446" s="1">
        <v>45855</v>
      </c>
      <c r="E5446" t="s">
        <v>19</v>
      </c>
      <c r="F5446">
        <v>3800</v>
      </c>
      <c r="J5446">
        <v>0.4</v>
      </c>
      <c r="K5446">
        <v>0.5</v>
      </c>
      <c r="L5446">
        <v>0</v>
      </c>
      <c r="M5446" t="s">
        <v>18</v>
      </c>
      <c r="N5446">
        <v>0</v>
      </c>
      <c r="O5446">
        <v>0</v>
      </c>
    </row>
    <row r="5447" spans="1:15" x14ac:dyDescent="0.2">
      <c r="A5447" s="6">
        <v>45800</v>
      </c>
      <c r="B5447" t="s">
        <v>15</v>
      </c>
      <c r="C5447" t="s">
        <v>16</v>
      </c>
      <c r="D5447" s="1">
        <v>45855</v>
      </c>
      <c r="E5447" t="s">
        <v>19</v>
      </c>
      <c r="F5447">
        <v>5750</v>
      </c>
      <c r="J5447">
        <v>586.1</v>
      </c>
      <c r="K5447">
        <v>583.29999999999995</v>
      </c>
      <c r="L5447">
        <v>0</v>
      </c>
      <c r="M5447" t="s">
        <v>18</v>
      </c>
      <c r="N5447">
        <v>0</v>
      </c>
      <c r="O5447">
        <v>0</v>
      </c>
    </row>
    <row r="5448" spans="1:15" x14ac:dyDescent="0.2">
      <c r="A5448" s="6">
        <v>45800</v>
      </c>
      <c r="B5448" t="s">
        <v>15</v>
      </c>
      <c r="C5448" t="s">
        <v>16</v>
      </c>
      <c r="D5448" s="1">
        <v>45855</v>
      </c>
      <c r="E5448" t="s">
        <v>19</v>
      </c>
      <c r="F5448">
        <v>4150</v>
      </c>
      <c r="J5448">
        <v>4</v>
      </c>
      <c r="K5448">
        <v>4.9000000000000004</v>
      </c>
      <c r="L5448">
        <v>0</v>
      </c>
      <c r="M5448" t="s">
        <v>18</v>
      </c>
      <c r="N5448">
        <v>0</v>
      </c>
      <c r="O5448">
        <v>0</v>
      </c>
    </row>
    <row r="5449" spans="1:15" x14ac:dyDescent="0.2">
      <c r="A5449" s="6">
        <v>45800</v>
      </c>
      <c r="B5449" t="s">
        <v>15</v>
      </c>
      <c r="C5449" t="s">
        <v>16</v>
      </c>
      <c r="D5449" s="1">
        <v>45855</v>
      </c>
      <c r="E5449" t="s">
        <v>19</v>
      </c>
      <c r="F5449">
        <v>4300</v>
      </c>
      <c r="J5449">
        <v>9.1999999999999993</v>
      </c>
      <c r="K5449">
        <v>10.8</v>
      </c>
      <c r="L5449">
        <v>0</v>
      </c>
      <c r="M5449" t="s">
        <v>18</v>
      </c>
      <c r="N5449">
        <v>0</v>
      </c>
      <c r="O5449">
        <v>0</v>
      </c>
    </row>
    <row r="5450" spans="1:15" x14ac:dyDescent="0.2">
      <c r="A5450" s="6">
        <v>45800</v>
      </c>
      <c r="B5450" t="s">
        <v>15</v>
      </c>
      <c r="C5450" t="s">
        <v>16</v>
      </c>
      <c r="D5450" s="1">
        <v>45855</v>
      </c>
      <c r="E5450" t="s">
        <v>19</v>
      </c>
      <c r="F5450">
        <v>6450</v>
      </c>
      <c r="J5450">
        <v>1218.4000000000001</v>
      </c>
      <c r="K5450">
        <v>1208</v>
      </c>
      <c r="L5450">
        <v>0</v>
      </c>
      <c r="M5450" t="s">
        <v>18</v>
      </c>
      <c r="N5450">
        <v>0</v>
      </c>
      <c r="O5450">
        <v>0</v>
      </c>
    </row>
    <row r="5451" spans="1:15" x14ac:dyDescent="0.2">
      <c r="A5451" s="6">
        <v>45800</v>
      </c>
      <c r="B5451" t="s">
        <v>15</v>
      </c>
      <c r="C5451" t="s">
        <v>16</v>
      </c>
      <c r="D5451" s="1">
        <v>45855</v>
      </c>
      <c r="E5451" t="s">
        <v>17</v>
      </c>
      <c r="F5451">
        <v>6400</v>
      </c>
      <c r="J5451">
        <v>9.6999999999999993</v>
      </c>
      <c r="K5451">
        <v>12.7</v>
      </c>
      <c r="L5451">
        <v>0</v>
      </c>
      <c r="M5451" t="s">
        <v>18</v>
      </c>
      <c r="N5451">
        <v>0</v>
      </c>
      <c r="O5451">
        <v>0</v>
      </c>
    </row>
    <row r="5452" spans="1:15" x14ac:dyDescent="0.2">
      <c r="A5452" s="6">
        <v>45800</v>
      </c>
      <c r="B5452" t="s">
        <v>15</v>
      </c>
      <c r="C5452" t="s">
        <v>16</v>
      </c>
      <c r="D5452" s="1">
        <v>45855</v>
      </c>
      <c r="E5452" t="s">
        <v>17</v>
      </c>
      <c r="F5452">
        <v>5650</v>
      </c>
      <c r="J5452">
        <v>89.6</v>
      </c>
      <c r="K5452">
        <v>101.2</v>
      </c>
      <c r="L5452">
        <v>0</v>
      </c>
      <c r="M5452" t="s">
        <v>18</v>
      </c>
      <c r="N5452">
        <v>0</v>
      </c>
      <c r="O5452">
        <v>0</v>
      </c>
    </row>
    <row r="5453" spans="1:15" x14ac:dyDescent="0.2">
      <c r="A5453" s="6">
        <v>45800</v>
      </c>
      <c r="B5453" t="s">
        <v>15</v>
      </c>
      <c r="C5453" t="s">
        <v>16</v>
      </c>
      <c r="D5453" s="1">
        <v>45855</v>
      </c>
      <c r="E5453" t="s">
        <v>17</v>
      </c>
      <c r="F5453">
        <v>4300</v>
      </c>
      <c r="J5453">
        <v>928.3</v>
      </c>
      <c r="K5453">
        <v>942.6</v>
      </c>
      <c r="L5453">
        <v>0</v>
      </c>
      <c r="M5453" t="s">
        <v>18</v>
      </c>
      <c r="N5453">
        <v>0</v>
      </c>
      <c r="O5453">
        <v>0</v>
      </c>
    </row>
    <row r="5454" spans="1:15" x14ac:dyDescent="0.2">
      <c r="A5454" s="6">
        <v>45800</v>
      </c>
      <c r="B5454" t="s">
        <v>15</v>
      </c>
      <c r="C5454" t="s">
        <v>16</v>
      </c>
      <c r="D5454" s="1">
        <v>45855</v>
      </c>
      <c r="E5454" t="s">
        <v>17</v>
      </c>
      <c r="F5454">
        <v>4050</v>
      </c>
      <c r="J5454">
        <v>1168.9000000000001</v>
      </c>
      <c r="K5454">
        <v>1182.0999999999999</v>
      </c>
      <c r="L5454">
        <v>0</v>
      </c>
      <c r="M5454" t="s">
        <v>18</v>
      </c>
      <c r="N5454">
        <v>0</v>
      </c>
      <c r="O5454">
        <v>0</v>
      </c>
    </row>
    <row r="5455" spans="1:15" x14ac:dyDescent="0.2">
      <c r="A5455" s="6">
        <v>45800</v>
      </c>
      <c r="B5455" t="s">
        <v>15</v>
      </c>
      <c r="C5455" t="s">
        <v>16</v>
      </c>
      <c r="D5455" s="1">
        <v>45855</v>
      </c>
      <c r="E5455" t="s">
        <v>17</v>
      </c>
      <c r="F5455">
        <v>6150</v>
      </c>
      <c r="J5455">
        <v>21.8</v>
      </c>
      <c r="K5455">
        <v>26.9</v>
      </c>
      <c r="L5455">
        <v>0</v>
      </c>
      <c r="M5455" t="s">
        <v>18</v>
      </c>
      <c r="N5455">
        <v>0</v>
      </c>
      <c r="O5455">
        <v>0</v>
      </c>
    </row>
    <row r="5456" spans="1:15" x14ac:dyDescent="0.2">
      <c r="A5456" s="6">
        <v>45800</v>
      </c>
      <c r="B5456" t="s">
        <v>15</v>
      </c>
      <c r="C5456" t="s">
        <v>16</v>
      </c>
      <c r="D5456" s="1">
        <v>45855</v>
      </c>
      <c r="E5456" t="s">
        <v>19</v>
      </c>
      <c r="F5456">
        <v>5550</v>
      </c>
      <c r="J5456">
        <v>433.7</v>
      </c>
      <c r="K5456">
        <v>433.7</v>
      </c>
      <c r="L5456">
        <v>0</v>
      </c>
      <c r="M5456" t="s">
        <v>18</v>
      </c>
      <c r="N5456">
        <v>0</v>
      </c>
      <c r="O5456">
        <v>0</v>
      </c>
    </row>
    <row r="5457" spans="1:15" x14ac:dyDescent="0.2">
      <c r="A5457" s="6">
        <v>45800</v>
      </c>
      <c r="B5457" t="s">
        <v>15</v>
      </c>
      <c r="C5457" t="s">
        <v>16</v>
      </c>
      <c r="D5457" s="1">
        <v>45855</v>
      </c>
      <c r="E5457" t="s">
        <v>19</v>
      </c>
      <c r="F5457">
        <v>6600</v>
      </c>
      <c r="J5457">
        <v>1363.6</v>
      </c>
      <c r="K5457">
        <v>1352.3</v>
      </c>
      <c r="L5457">
        <v>0</v>
      </c>
      <c r="M5457" t="s">
        <v>18</v>
      </c>
      <c r="N5457">
        <v>0</v>
      </c>
      <c r="O5457">
        <v>0</v>
      </c>
    </row>
    <row r="5458" spans="1:15" x14ac:dyDescent="0.2">
      <c r="A5458" s="6">
        <v>45800</v>
      </c>
      <c r="B5458" t="s">
        <v>15</v>
      </c>
      <c r="C5458" t="s">
        <v>16</v>
      </c>
      <c r="D5458" s="1">
        <v>45855</v>
      </c>
      <c r="E5458" t="s">
        <v>19</v>
      </c>
      <c r="F5458">
        <v>4350</v>
      </c>
      <c r="J5458">
        <v>11.9</v>
      </c>
      <c r="K5458">
        <v>13.7</v>
      </c>
      <c r="L5458">
        <v>0</v>
      </c>
      <c r="M5458" t="s">
        <v>18</v>
      </c>
      <c r="N5458">
        <v>0</v>
      </c>
      <c r="O5458">
        <v>0</v>
      </c>
    </row>
    <row r="5459" spans="1:15" x14ac:dyDescent="0.2">
      <c r="A5459" s="6">
        <v>45800</v>
      </c>
      <c r="B5459" t="s">
        <v>15</v>
      </c>
      <c r="C5459" t="s">
        <v>16</v>
      </c>
      <c r="D5459" s="1">
        <v>45855</v>
      </c>
      <c r="E5459" t="s">
        <v>17</v>
      </c>
      <c r="F5459">
        <v>5400</v>
      </c>
      <c r="J5459">
        <v>162.6</v>
      </c>
      <c r="K5459">
        <v>177.4</v>
      </c>
      <c r="L5459">
        <v>0</v>
      </c>
      <c r="M5459" t="s">
        <v>18</v>
      </c>
      <c r="N5459">
        <v>0</v>
      </c>
      <c r="O5459">
        <v>0</v>
      </c>
    </row>
    <row r="5460" spans="1:15" x14ac:dyDescent="0.2">
      <c r="A5460" s="6">
        <v>45800</v>
      </c>
      <c r="B5460" t="s">
        <v>15</v>
      </c>
      <c r="C5460" t="s">
        <v>16</v>
      </c>
      <c r="D5460" s="1">
        <v>45855</v>
      </c>
      <c r="E5460" t="s">
        <v>19</v>
      </c>
      <c r="F5460">
        <v>3950</v>
      </c>
      <c r="J5460">
        <v>1.1000000000000001</v>
      </c>
      <c r="K5460">
        <v>1.5</v>
      </c>
      <c r="L5460">
        <v>0</v>
      </c>
      <c r="M5460" t="s">
        <v>18</v>
      </c>
      <c r="N5460">
        <v>0</v>
      </c>
      <c r="O5460">
        <v>0</v>
      </c>
    </row>
    <row r="5461" spans="1:15" x14ac:dyDescent="0.2">
      <c r="A5461" s="6">
        <v>45800</v>
      </c>
      <c r="B5461" t="s">
        <v>15</v>
      </c>
      <c r="C5461" t="s">
        <v>16</v>
      </c>
      <c r="D5461" s="1">
        <v>45855</v>
      </c>
      <c r="E5461" t="s">
        <v>17</v>
      </c>
      <c r="F5461">
        <v>5850</v>
      </c>
      <c r="J5461">
        <v>52.7</v>
      </c>
      <c r="K5461">
        <v>61.5</v>
      </c>
      <c r="L5461">
        <v>0</v>
      </c>
      <c r="M5461" t="s">
        <v>18</v>
      </c>
      <c r="N5461">
        <v>0</v>
      </c>
      <c r="O5461">
        <v>0</v>
      </c>
    </row>
    <row r="5462" spans="1:15" x14ac:dyDescent="0.2">
      <c r="A5462" s="6">
        <v>45800</v>
      </c>
      <c r="B5462" t="s">
        <v>15</v>
      </c>
      <c r="C5462" t="s">
        <v>16</v>
      </c>
      <c r="D5462" s="1">
        <v>45855</v>
      </c>
      <c r="E5462" t="s">
        <v>17</v>
      </c>
      <c r="F5462">
        <v>3900</v>
      </c>
      <c r="J5462">
        <v>1316</v>
      </c>
      <c r="K5462">
        <v>1328.9</v>
      </c>
      <c r="L5462">
        <v>0</v>
      </c>
      <c r="M5462" t="s">
        <v>18</v>
      </c>
      <c r="N5462">
        <v>0</v>
      </c>
      <c r="O5462">
        <v>0</v>
      </c>
    </row>
    <row r="5463" spans="1:15" x14ac:dyDescent="0.2">
      <c r="A5463" s="6">
        <v>45800</v>
      </c>
      <c r="B5463" t="s">
        <v>15</v>
      </c>
      <c r="C5463" t="s">
        <v>16</v>
      </c>
      <c r="D5463" s="1">
        <v>45855</v>
      </c>
      <c r="E5463" t="s">
        <v>19</v>
      </c>
      <c r="F5463">
        <v>6300</v>
      </c>
      <c r="J5463">
        <v>1075.2</v>
      </c>
      <c r="K5463">
        <v>1065.9000000000001</v>
      </c>
      <c r="L5463">
        <v>0</v>
      </c>
      <c r="M5463" t="s">
        <v>18</v>
      </c>
      <c r="N5463">
        <v>0</v>
      </c>
      <c r="O5463">
        <v>0</v>
      </c>
    </row>
    <row r="5464" spans="1:15" x14ac:dyDescent="0.2">
      <c r="A5464" s="6">
        <v>45800</v>
      </c>
      <c r="B5464" t="s">
        <v>15</v>
      </c>
      <c r="C5464" t="s">
        <v>16</v>
      </c>
      <c r="D5464" s="1">
        <v>45855</v>
      </c>
      <c r="E5464" t="s">
        <v>19</v>
      </c>
      <c r="F5464">
        <v>5850</v>
      </c>
      <c r="J5464">
        <v>668.7</v>
      </c>
      <c r="K5464">
        <v>664.5</v>
      </c>
      <c r="L5464">
        <v>0</v>
      </c>
      <c r="M5464" t="s">
        <v>18</v>
      </c>
      <c r="N5464">
        <v>0</v>
      </c>
      <c r="O5464">
        <v>0</v>
      </c>
    </row>
    <row r="5465" spans="1:15" x14ac:dyDescent="0.2">
      <c r="A5465" s="6">
        <v>45800</v>
      </c>
      <c r="B5465" t="s">
        <v>15</v>
      </c>
      <c r="C5465" t="s">
        <v>16</v>
      </c>
      <c r="D5465" s="1">
        <v>45855</v>
      </c>
      <c r="E5465" t="s">
        <v>19</v>
      </c>
      <c r="F5465">
        <v>6500</v>
      </c>
      <c r="J5465">
        <v>1266.5999999999999</v>
      </c>
      <c r="K5465">
        <v>1255.9000000000001</v>
      </c>
      <c r="L5465">
        <v>0</v>
      </c>
      <c r="M5465" t="s">
        <v>18</v>
      </c>
      <c r="N5465">
        <v>0</v>
      </c>
      <c r="O5465">
        <v>0</v>
      </c>
    </row>
    <row r="5466" spans="1:15" x14ac:dyDescent="0.2">
      <c r="A5466" s="6">
        <v>45800</v>
      </c>
      <c r="B5466" t="s">
        <v>15</v>
      </c>
      <c r="C5466" t="s">
        <v>16</v>
      </c>
      <c r="D5466" s="1">
        <v>45855</v>
      </c>
      <c r="E5466" t="s">
        <v>17</v>
      </c>
      <c r="F5466">
        <v>6600</v>
      </c>
      <c r="J5466">
        <v>4.9000000000000004</v>
      </c>
      <c r="K5466">
        <v>6.6</v>
      </c>
      <c r="L5466">
        <v>0</v>
      </c>
      <c r="M5466" t="s">
        <v>18</v>
      </c>
      <c r="N5466">
        <v>0</v>
      </c>
      <c r="O5466">
        <v>0</v>
      </c>
    </row>
    <row r="5467" spans="1:15" x14ac:dyDescent="0.2">
      <c r="A5467" s="6">
        <v>45800</v>
      </c>
      <c r="B5467" t="s">
        <v>15</v>
      </c>
      <c r="C5467" t="s">
        <v>16</v>
      </c>
      <c r="D5467" s="1">
        <v>45855</v>
      </c>
      <c r="E5467" t="s">
        <v>19</v>
      </c>
      <c r="F5467">
        <v>4800</v>
      </c>
      <c r="J5467">
        <v>73.5</v>
      </c>
      <c r="K5467">
        <v>77.7</v>
      </c>
      <c r="L5467">
        <v>0</v>
      </c>
      <c r="M5467" t="s">
        <v>18</v>
      </c>
      <c r="N5467">
        <v>0</v>
      </c>
      <c r="O5467">
        <v>0</v>
      </c>
    </row>
    <row r="5468" spans="1:15" x14ac:dyDescent="0.2">
      <c r="A5468" s="6">
        <v>45800</v>
      </c>
      <c r="B5468" t="s">
        <v>15</v>
      </c>
      <c r="C5468" t="s">
        <v>16</v>
      </c>
      <c r="D5468" s="1">
        <v>45855</v>
      </c>
      <c r="E5468" t="s">
        <v>19</v>
      </c>
      <c r="F5468">
        <v>4750</v>
      </c>
      <c r="J5468">
        <v>62.1</v>
      </c>
      <c r="K5468">
        <v>66.2</v>
      </c>
      <c r="L5468">
        <v>0</v>
      </c>
      <c r="M5468" t="s">
        <v>18</v>
      </c>
      <c r="N5468">
        <v>0</v>
      </c>
      <c r="O5468">
        <v>0</v>
      </c>
    </row>
    <row r="5469" spans="1:15" x14ac:dyDescent="0.2">
      <c r="A5469" s="6">
        <v>45800</v>
      </c>
      <c r="B5469" t="s">
        <v>15</v>
      </c>
      <c r="C5469" t="s">
        <v>16</v>
      </c>
      <c r="D5469" s="1">
        <v>45855</v>
      </c>
      <c r="E5469" t="s">
        <v>19</v>
      </c>
      <c r="F5469">
        <v>3850</v>
      </c>
      <c r="J5469">
        <v>0.5</v>
      </c>
      <c r="K5469">
        <v>0.7</v>
      </c>
      <c r="L5469">
        <v>0</v>
      </c>
      <c r="M5469" t="s">
        <v>18</v>
      </c>
      <c r="N5469">
        <v>0</v>
      </c>
      <c r="O5469">
        <v>0</v>
      </c>
    </row>
    <row r="5470" spans="1:15" x14ac:dyDescent="0.2">
      <c r="A5470" s="6">
        <v>45800</v>
      </c>
      <c r="B5470" t="s">
        <v>15</v>
      </c>
      <c r="C5470" t="s">
        <v>16</v>
      </c>
      <c r="D5470" s="1">
        <v>45855</v>
      </c>
      <c r="E5470" t="s">
        <v>17</v>
      </c>
      <c r="F5470">
        <v>5550</v>
      </c>
      <c r="J5470">
        <v>114.8</v>
      </c>
      <c r="K5470">
        <v>127.7</v>
      </c>
      <c r="L5470">
        <v>0</v>
      </c>
      <c r="M5470" t="s">
        <v>18</v>
      </c>
      <c r="N5470">
        <v>0</v>
      </c>
      <c r="O5470">
        <v>0</v>
      </c>
    </row>
    <row r="5471" spans="1:15" x14ac:dyDescent="0.2">
      <c r="A5471" s="6">
        <v>45800</v>
      </c>
      <c r="B5471" t="s">
        <v>15</v>
      </c>
      <c r="C5471" t="s">
        <v>16</v>
      </c>
      <c r="D5471" s="1">
        <v>45855</v>
      </c>
      <c r="E5471" t="s">
        <v>19</v>
      </c>
      <c r="F5471">
        <v>6000</v>
      </c>
      <c r="J5471">
        <v>798.9</v>
      </c>
      <c r="K5471">
        <v>792.7</v>
      </c>
      <c r="L5471">
        <v>0</v>
      </c>
      <c r="M5471" t="s">
        <v>18</v>
      </c>
      <c r="N5471">
        <v>0</v>
      </c>
      <c r="O5471">
        <v>0</v>
      </c>
    </row>
    <row r="5472" spans="1:15" x14ac:dyDescent="0.2">
      <c r="A5472" s="6">
        <v>45799</v>
      </c>
      <c r="B5472" t="s">
        <v>15</v>
      </c>
      <c r="C5472" t="s">
        <v>16</v>
      </c>
      <c r="D5472" s="1">
        <v>45855</v>
      </c>
      <c r="E5472" t="s">
        <v>19</v>
      </c>
      <c r="F5472">
        <v>6150</v>
      </c>
      <c r="J5472">
        <v>927</v>
      </c>
      <c r="K5472">
        <v>900.9</v>
      </c>
      <c r="L5472">
        <v>0</v>
      </c>
      <c r="M5472" t="s">
        <v>18</v>
      </c>
      <c r="N5472">
        <v>0</v>
      </c>
      <c r="O5472">
        <v>0</v>
      </c>
    </row>
    <row r="5473" spans="1:15" x14ac:dyDescent="0.2">
      <c r="A5473" s="6">
        <v>45799</v>
      </c>
      <c r="B5473" t="s">
        <v>15</v>
      </c>
      <c r="C5473" t="s">
        <v>16</v>
      </c>
      <c r="D5473" s="1">
        <v>45855</v>
      </c>
      <c r="E5473" t="s">
        <v>17</v>
      </c>
      <c r="F5473">
        <v>4500</v>
      </c>
      <c r="J5473">
        <v>760.1</v>
      </c>
      <c r="K5473">
        <v>794.3</v>
      </c>
      <c r="L5473">
        <v>0</v>
      </c>
      <c r="M5473" t="s">
        <v>18</v>
      </c>
      <c r="N5473">
        <v>0</v>
      </c>
      <c r="O5473">
        <v>0</v>
      </c>
    </row>
    <row r="5474" spans="1:15" x14ac:dyDescent="0.2">
      <c r="A5474" s="6">
        <v>45799</v>
      </c>
      <c r="B5474" t="s">
        <v>15</v>
      </c>
      <c r="C5474" t="s">
        <v>16</v>
      </c>
      <c r="D5474" s="1">
        <v>45855</v>
      </c>
      <c r="E5474" t="s">
        <v>17</v>
      </c>
      <c r="F5474">
        <v>5950</v>
      </c>
      <c r="J5474">
        <v>47.2</v>
      </c>
      <c r="K5474">
        <v>58.3</v>
      </c>
      <c r="L5474">
        <v>0</v>
      </c>
      <c r="M5474" t="s">
        <v>18</v>
      </c>
      <c r="N5474">
        <v>0</v>
      </c>
      <c r="O5474">
        <v>0</v>
      </c>
    </row>
    <row r="5475" spans="1:15" x14ac:dyDescent="0.2">
      <c r="A5475" s="6">
        <v>45799</v>
      </c>
      <c r="B5475" t="s">
        <v>15</v>
      </c>
      <c r="C5475" t="s">
        <v>16</v>
      </c>
      <c r="D5475" s="1">
        <v>45855</v>
      </c>
      <c r="E5475" t="s">
        <v>19</v>
      </c>
      <c r="F5475">
        <v>5250</v>
      </c>
      <c r="J5475">
        <v>249.2</v>
      </c>
      <c r="K5475">
        <v>242.2</v>
      </c>
      <c r="L5475">
        <v>0</v>
      </c>
      <c r="M5475" t="s">
        <v>18</v>
      </c>
      <c r="N5475">
        <v>0</v>
      </c>
      <c r="O5475">
        <v>0</v>
      </c>
    </row>
    <row r="5476" spans="1:15" x14ac:dyDescent="0.2">
      <c r="A5476" s="6">
        <v>45799</v>
      </c>
      <c r="B5476" t="s">
        <v>15</v>
      </c>
      <c r="C5476" t="s">
        <v>16</v>
      </c>
      <c r="D5476" s="1">
        <v>45855</v>
      </c>
      <c r="E5476" t="s">
        <v>17</v>
      </c>
      <c r="F5476">
        <v>3700</v>
      </c>
      <c r="J5476">
        <v>1526.1</v>
      </c>
      <c r="K5476">
        <v>1559.6</v>
      </c>
      <c r="L5476">
        <v>0</v>
      </c>
      <c r="M5476" t="s">
        <v>18</v>
      </c>
      <c r="N5476">
        <v>0</v>
      </c>
      <c r="O5476">
        <v>0</v>
      </c>
    </row>
    <row r="5477" spans="1:15" x14ac:dyDescent="0.2">
      <c r="A5477" s="6">
        <v>45799</v>
      </c>
      <c r="B5477" t="s">
        <v>15</v>
      </c>
      <c r="C5477" t="s">
        <v>16</v>
      </c>
      <c r="D5477" s="1">
        <v>45855</v>
      </c>
      <c r="E5477" t="s">
        <v>17</v>
      </c>
      <c r="F5477">
        <v>4350</v>
      </c>
      <c r="J5477">
        <v>896</v>
      </c>
      <c r="K5477">
        <v>930.1</v>
      </c>
      <c r="L5477">
        <v>0</v>
      </c>
      <c r="M5477" t="s">
        <v>18</v>
      </c>
      <c r="N5477">
        <v>0</v>
      </c>
      <c r="O5477">
        <v>0</v>
      </c>
    </row>
    <row r="5478" spans="1:15" x14ac:dyDescent="0.2">
      <c r="A5478" s="6">
        <v>45799</v>
      </c>
      <c r="B5478" t="s">
        <v>15</v>
      </c>
      <c r="C5478" t="s">
        <v>16</v>
      </c>
      <c r="D5478" s="1">
        <v>45855</v>
      </c>
      <c r="E5478" t="s">
        <v>17</v>
      </c>
      <c r="F5478">
        <v>5150</v>
      </c>
      <c r="J5478">
        <v>290.10000000000002</v>
      </c>
      <c r="K5478">
        <v>318.60000000000002</v>
      </c>
      <c r="L5478">
        <v>0</v>
      </c>
      <c r="M5478" t="s">
        <v>18</v>
      </c>
      <c r="N5478">
        <v>0</v>
      </c>
      <c r="O5478">
        <v>0</v>
      </c>
    </row>
    <row r="5479" spans="1:15" x14ac:dyDescent="0.2">
      <c r="A5479" s="6">
        <v>45799</v>
      </c>
      <c r="B5479" t="s">
        <v>15</v>
      </c>
      <c r="C5479" t="s">
        <v>16</v>
      </c>
      <c r="D5479" s="1">
        <v>45855</v>
      </c>
      <c r="E5479" t="s">
        <v>17</v>
      </c>
      <c r="F5479">
        <v>5000</v>
      </c>
      <c r="J5479">
        <v>376.9</v>
      </c>
      <c r="K5479">
        <v>407.8</v>
      </c>
      <c r="L5479">
        <v>0</v>
      </c>
      <c r="M5479" t="s">
        <v>18</v>
      </c>
      <c r="N5479">
        <v>0</v>
      </c>
      <c r="O5479">
        <v>0</v>
      </c>
    </row>
    <row r="5480" spans="1:15" x14ac:dyDescent="0.2">
      <c r="A5480" s="6">
        <v>45799</v>
      </c>
      <c r="B5480" t="s">
        <v>15</v>
      </c>
      <c r="C5480" t="s">
        <v>16</v>
      </c>
      <c r="D5480" s="1">
        <v>45855</v>
      </c>
      <c r="E5480" t="s">
        <v>17</v>
      </c>
      <c r="F5480">
        <v>4100</v>
      </c>
      <c r="J5480">
        <v>1133.5</v>
      </c>
      <c r="K5480">
        <v>1167.4000000000001</v>
      </c>
      <c r="L5480">
        <v>0</v>
      </c>
      <c r="M5480" t="s">
        <v>18</v>
      </c>
      <c r="N5480">
        <v>0</v>
      </c>
      <c r="O5480">
        <v>0</v>
      </c>
    </row>
    <row r="5481" spans="1:15" x14ac:dyDescent="0.2">
      <c r="A5481" s="6">
        <v>45799</v>
      </c>
      <c r="B5481" t="s">
        <v>15</v>
      </c>
      <c r="C5481" t="s">
        <v>16</v>
      </c>
      <c r="D5481" s="1">
        <v>45855</v>
      </c>
      <c r="E5481" t="s">
        <v>17</v>
      </c>
      <c r="F5481">
        <v>4400</v>
      </c>
      <c r="J5481">
        <v>850</v>
      </c>
      <c r="K5481">
        <v>884.1</v>
      </c>
      <c r="L5481">
        <v>0</v>
      </c>
      <c r="M5481" t="s">
        <v>18</v>
      </c>
      <c r="N5481">
        <v>0</v>
      </c>
      <c r="O5481">
        <v>0</v>
      </c>
    </row>
    <row r="5482" spans="1:15" x14ac:dyDescent="0.2">
      <c r="A5482" s="6">
        <v>45799</v>
      </c>
      <c r="B5482" t="s">
        <v>15</v>
      </c>
      <c r="C5482" t="s">
        <v>16</v>
      </c>
      <c r="D5482" s="1">
        <v>45855</v>
      </c>
      <c r="E5482" t="s">
        <v>17</v>
      </c>
      <c r="F5482">
        <v>5300</v>
      </c>
      <c r="J5482">
        <v>217.8</v>
      </c>
      <c r="K5482">
        <v>243.4</v>
      </c>
      <c r="L5482">
        <v>0</v>
      </c>
      <c r="M5482" t="s">
        <v>18</v>
      </c>
      <c r="N5482">
        <v>0</v>
      </c>
      <c r="O5482">
        <v>0</v>
      </c>
    </row>
    <row r="5483" spans="1:15" x14ac:dyDescent="0.2">
      <c r="A5483" s="6">
        <v>45799</v>
      </c>
      <c r="B5483" t="s">
        <v>15</v>
      </c>
      <c r="C5483" t="s">
        <v>16</v>
      </c>
      <c r="D5483" s="1">
        <v>45855</v>
      </c>
      <c r="E5483" t="s">
        <v>17</v>
      </c>
      <c r="F5483">
        <v>6200</v>
      </c>
      <c r="J5483">
        <v>23.3</v>
      </c>
      <c r="K5483">
        <v>30.2</v>
      </c>
      <c r="L5483">
        <v>0</v>
      </c>
      <c r="M5483" t="s">
        <v>18</v>
      </c>
      <c r="N5483">
        <v>0</v>
      </c>
      <c r="O5483">
        <v>0</v>
      </c>
    </row>
    <row r="5484" spans="1:15" x14ac:dyDescent="0.2">
      <c r="A5484" s="6">
        <v>45799</v>
      </c>
      <c r="B5484" t="s">
        <v>15</v>
      </c>
      <c r="C5484" t="s">
        <v>16</v>
      </c>
      <c r="D5484" s="1">
        <v>45855</v>
      </c>
      <c r="E5484" t="s">
        <v>19</v>
      </c>
      <c r="F5484">
        <v>6550</v>
      </c>
      <c r="J5484">
        <v>1304</v>
      </c>
      <c r="K5484">
        <v>1273.3</v>
      </c>
      <c r="L5484">
        <v>0</v>
      </c>
      <c r="M5484" t="s">
        <v>18</v>
      </c>
      <c r="N5484">
        <v>0</v>
      </c>
      <c r="O5484">
        <v>0</v>
      </c>
    </row>
    <row r="5485" spans="1:15" x14ac:dyDescent="0.2">
      <c r="A5485" s="6">
        <v>45799</v>
      </c>
      <c r="B5485" t="s">
        <v>15</v>
      </c>
      <c r="C5485" t="s">
        <v>16</v>
      </c>
      <c r="D5485" s="1">
        <v>45855</v>
      </c>
      <c r="E5485" t="s">
        <v>17</v>
      </c>
      <c r="F5485">
        <v>4750</v>
      </c>
      <c r="J5485">
        <v>552.4</v>
      </c>
      <c r="K5485">
        <v>585.70000000000005</v>
      </c>
      <c r="L5485">
        <v>0</v>
      </c>
      <c r="M5485" t="s">
        <v>18</v>
      </c>
      <c r="N5485">
        <v>0</v>
      </c>
      <c r="O5485">
        <v>0</v>
      </c>
    </row>
    <row r="5486" spans="1:15" x14ac:dyDescent="0.2">
      <c r="A5486" s="6">
        <v>45799</v>
      </c>
      <c r="B5486" t="s">
        <v>15</v>
      </c>
      <c r="C5486" t="s">
        <v>16</v>
      </c>
      <c r="D5486" s="1">
        <v>45855</v>
      </c>
      <c r="E5486" t="s">
        <v>19</v>
      </c>
      <c r="F5486">
        <v>3900</v>
      </c>
      <c r="J5486">
        <v>1.1000000000000001</v>
      </c>
      <c r="K5486">
        <v>1.2</v>
      </c>
      <c r="L5486">
        <v>0</v>
      </c>
      <c r="M5486" t="s">
        <v>18</v>
      </c>
      <c r="N5486">
        <v>0</v>
      </c>
      <c r="O5486">
        <v>0</v>
      </c>
    </row>
    <row r="5487" spans="1:15" x14ac:dyDescent="0.2">
      <c r="A5487" s="6">
        <v>45799</v>
      </c>
      <c r="B5487" t="s">
        <v>15</v>
      </c>
      <c r="C5487" t="s">
        <v>16</v>
      </c>
      <c r="D5487" s="1">
        <v>45855</v>
      </c>
      <c r="E5487" t="s">
        <v>17</v>
      </c>
      <c r="F5487">
        <v>4450</v>
      </c>
      <c r="J5487">
        <v>804.7</v>
      </c>
      <c r="K5487">
        <v>838.8</v>
      </c>
      <c r="L5487">
        <v>0</v>
      </c>
      <c r="M5487" t="s">
        <v>18</v>
      </c>
      <c r="N5487">
        <v>0</v>
      </c>
      <c r="O5487">
        <v>0</v>
      </c>
    </row>
    <row r="5488" spans="1:15" x14ac:dyDescent="0.2">
      <c r="A5488" s="6">
        <v>45799</v>
      </c>
      <c r="B5488" t="s">
        <v>15</v>
      </c>
      <c r="C5488" t="s">
        <v>16</v>
      </c>
      <c r="D5488" s="1">
        <v>45855</v>
      </c>
      <c r="E5488" t="s">
        <v>19</v>
      </c>
      <c r="F5488">
        <v>3600</v>
      </c>
      <c r="J5488">
        <v>0.1</v>
      </c>
      <c r="K5488">
        <v>0.1</v>
      </c>
      <c r="L5488">
        <v>0</v>
      </c>
      <c r="M5488" t="s">
        <v>18</v>
      </c>
      <c r="N5488">
        <v>0</v>
      </c>
      <c r="O5488">
        <v>0</v>
      </c>
    </row>
    <row r="5489" spans="1:15" x14ac:dyDescent="0.2">
      <c r="A5489" s="6">
        <v>45799</v>
      </c>
      <c r="B5489" t="s">
        <v>15</v>
      </c>
      <c r="C5489" t="s">
        <v>16</v>
      </c>
      <c r="D5489" s="1">
        <v>45855</v>
      </c>
      <c r="E5489" t="s">
        <v>19</v>
      </c>
      <c r="F5489">
        <v>4900</v>
      </c>
      <c r="J5489">
        <v>105</v>
      </c>
      <c r="K5489">
        <v>103.5</v>
      </c>
      <c r="L5489">
        <v>0</v>
      </c>
      <c r="M5489" t="s">
        <v>18</v>
      </c>
      <c r="N5489">
        <v>0</v>
      </c>
      <c r="O5489">
        <v>0</v>
      </c>
    </row>
    <row r="5490" spans="1:15" x14ac:dyDescent="0.2">
      <c r="A5490" s="6">
        <v>45799</v>
      </c>
      <c r="B5490" t="s">
        <v>15</v>
      </c>
      <c r="C5490" t="s">
        <v>16</v>
      </c>
      <c r="D5490" s="1">
        <v>45855</v>
      </c>
      <c r="E5490" t="s">
        <v>17</v>
      </c>
      <c r="F5490">
        <v>4950</v>
      </c>
      <c r="J5490">
        <v>409</v>
      </c>
      <c r="K5490">
        <v>440.5</v>
      </c>
      <c r="L5490">
        <v>0</v>
      </c>
      <c r="M5490" t="s">
        <v>18</v>
      </c>
      <c r="N5490">
        <v>0</v>
      </c>
      <c r="O5490">
        <v>0</v>
      </c>
    </row>
    <row r="5491" spans="1:15" x14ac:dyDescent="0.2">
      <c r="A5491" s="6">
        <v>45799</v>
      </c>
      <c r="B5491" t="s">
        <v>15</v>
      </c>
      <c r="C5491" t="s">
        <v>16</v>
      </c>
      <c r="D5491" s="1">
        <v>45855</v>
      </c>
      <c r="E5491" t="s">
        <v>17</v>
      </c>
      <c r="F5491">
        <v>4900</v>
      </c>
      <c r="J5491">
        <v>442.6</v>
      </c>
      <c r="K5491">
        <v>474.7</v>
      </c>
      <c r="L5491">
        <v>0</v>
      </c>
      <c r="M5491" t="s">
        <v>18</v>
      </c>
      <c r="N5491">
        <v>0</v>
      </c>
      <c r="O5491">
        <v>0</v>
      </c>
    </row>
    <row r="5492" spans="1:15" x14ac:dyDescent="0.2">
      <c r="A5492" s="6">
        <v>45799</v>
      </c>
      <c r="B5492" t="s">
        <v>15</v>
      </c>
      <c r="C5492" t="s">
        <v>16</v>
      </c>
      <c r="D5492" s="1">
        <v>45855</v>
      </c>
      <c r="E5492" t="s">
        <v>17</v>
      </c>
      <c r="F5492">
        <v>4800</v>
      </c>
      <c r="J5492">
        <v>514.4</v>
      </c>
      <c r="K5492">
        <v>547.4</v>
      </c>
      <c r="L5492">
        <v>0</v>
      </c>
      <c r="M5492" t="s">
        <v>18</v>
      </c>
      <c r="N5492">
        <v>0</v>
      </c>
      <c r="O5492">
        <v>0</v>
      </c>
    </row>
    <row r="5493" spans="1:15" x14ac:dyDescent="0.2">
      <c r="A5493" s="6">
        <v>45799</v>
      </c>
      <c r="B5493" t="s">
        <v>15</v>
      </c>
      <c r="C5493" t="s">
        <v>16</v>
      </c>
      <c r="D5493" s="1">
        <v>45855</v>
      </c>
      <c r="E5493" t="s">
        <v>17</v>
      </c>
      <c r="F5493">
        <v>5250</v>
      </c>
      <c r="J5493">
        <v>240.3</v>
      </c>
      <c r="K5493">
        <v>266.89999999999998</v>
      </c>
      <c r="L5493">
        <v>0</v>
      </c>
      <c r="M5493" t="s">
        <v>18</v>
      </c>
      <c r="N5493">
        <v>0</v>
      </c>
      <c r="O5493">
        <v>0</v>
      </c>
    </row>
    <row r="5494" spans="1:15" x14ac:dyDescent="0.2">
      <c r="A5494" s="6">
        <v>45799</v>
      </c>
      <c r="B5494" t="s">
        <v>15</v>
      </c>
      <c r="C5494" t="s">
        <v>16</v>
      </c>
      <c r="D5494" s="1">
        <v>45855</v>
      </c>
      <c r="E5494" t="s">
        <v>19</v>
      </c>
      <c r="F5494">
        <v>4200</v>
      </c>
      <c r="J5494">
        <v>6.5</v>
      </c>
      <c r="K5494">
        <v>7</v>
      </c>
      <c r="L5494">
        <v>0</v>
      </c>
      <c r="M5494" t="s">
        <v>18</v>
      </c>
      <c r="N5494">
        <v>0</v>
      </c>
      <c r="O5494">
        <v>0</v>
      </c>
    </row>
    <row r="5495" spans="1:15" x14ac:dyDescent="0.2">
      <c r="A5495" s="6">
        <v>45799</v>
      </c>
      <c r="B5495" t="s">
        <v>15</v>
      </c>
      <c r="C5495" t="s">
        <v>16</v>
      </c>
      <c r="D5495" s="1">
        <v>45855</v>
      </c>
      <c r="E5495" t="s">
        <v>17</v>
      </c>
      <c r="F5495">
        <v>5700</v>
      </c>
      <c r="J5495">
        <v>89.7</v>
      </c>
      <c r="K5495">
        <v>106.1</v>
      </c>
      <c r="L5495">
        <v>0</v>
      </c>
      <c r="M5495" t="s">
        <v>18</v>
      </c>
      <c r="N5495">
        <v>0</v>
      </c>
      <c r="O5495">
        <v>0</v>
      </c>
    </row>
    <row r="5496" spans="1:15" x14ac:dyDescent="0.2">
      <c r="A5496" s="6">
        <v>45799</v>
      </c>
      <c r="B5496" t="s">
        <v>15</v>
      </c>
      <c r="C5496" t="s">
        <v>16</v>
      </c>
      <c r="D5496" s="1">
        <v>45855</v>
      </c>
      <c r="E5496" t="s">
        <v>17</v>
      </c>
      <c r="F5496">
        <v>4200</v>
      </c>
      <c r="J5496">
        <v>1037.3</v>
      </c>
      <c r="K5496">
        <v>1071.3</v>
      </c>
      <c r="L5496">
        <v>0</v>
      </c>
      <c r="M5496" t="s">
        <v>18</v>
      </c>
      <c r="N5496">
        <v>0</v>
      </c>
      <c r="O5496">
        <v>0</v>
      </c>
    </row>
    <row r="5497" spans="1:15" x14ac:dyDescent="0.2">
      <c r="A5497" s="6">
        <v>45799</v>
      </c>
      <c r="B5497" t="s">
        <v>15</v>
      </c>
      <c r="C5497" t="s">
        <v>16</v>
      </c>
      <c r="D5497" s="1">
        <v>45855</v>
      </c>
      <c r="E5497" t="s">
        <v>19</v>
      </c>
      <c r="F5497">
        <v>6650</v>
      </c>
      <c r="J5497">
        <v>1400.8</v>
      </c>
      <c r="K5497">
        <v>1369.4</v>
      </c>
      <c r="L5497">
        <v>0</v>
      </c>
      <c r="M5497" t="s">
        <v>18</v>
      </c>
      <c r="N5497">
        <v>0</v>
      </c>
      <c r="O5497">
        <v>0</v>
      </c>
    </row>
    <row r="5498" spans="1:15" x14ac:dyDescent="0.2">
      <c r="A5498" s="6">
        <v>45799</v>
      </c>
      <c r="B5498" t="s">
        <v>15</v>
      </c>
      <c r="C5498" t="s">
        <v>16</v>
      </c>
      <c r="D5498" s="1">
        <v>45855</v>
      </c>
      <c r="E5498" t="s">
        <v>17</v>
      </c>
      <c r="F5498">
        <v>4650</v>
      </c>
      <c r="J5498">
        <v>632.1</v>
      </c>
      <c r="K5498">
        <v>665.9</v>
      </c>
      <c r="L5498">
        <v>0</v>
      </c>
      <c r="M5498" t="s">
        <v>18</v>
      </c>
      <c r="N5498">
        <v>0</v>
      </c>
      <c r="O5498">
        <v>0</v>
      </c>
    </row>
    <row r="5499" spans="1:15" x14ac:dyDescent="0.2">
      <c r="A5499" s="6">
        <v>45799</v>
      </c>
      <c r="B5499" t="s">
        <v>15</v>
      </c>
      <c r="C5499" t="s">
        <v>16</v>
      </c>
      <c r="D5499" s="1">
        <v>45855</v>
      </c>
      <c r="E5499" t="s">
        <v>19</v>
      </c>
      <c r="F5499">
        <v>6050</v>
      </c>
      <c r="J5499">
        <v>836.9</v>
      </c>
      <c r="K5499">
        <v>812.4</v>
      </c>
      <c r="L5499">
        <v>0</v>
      </c>
      <c r="M5499" t="s">
        <v>18</v>
      </c>
      <c r="N5499">
        <v>0</v>
      </c>
      <c r="O5499">
        <v>0</v>
      </c>
    </row>
    <row r="5500" spans="1:15" x14ac:dyDescent="0.2">
      <c r="A5500" s="6">
        <v>45799</v>
      </c>
      <c r="B5500" t="s">
        <v>15</v>
      </c>
      <c r="C5500" t="s">
        <v>16</v>
      </c>
      <c r="D5500" s="1">
        <v>45855</v>
      </c>
      <c r="E5500" t="s">
        <v>17</v>
      </c>
      <c r="F5500">
        <v>5100</v>
      </c>
      <c r="J5500">
        <v>317.39999999999998</v>
      </c>
      <c r="K5500">
        <v>346.8</v>
      </c>
      <c r="L5500">
        <v>0</v>
      </c>
      <c r="M5500" t="s">
        <v>18</v>
      </c>
      <c r="N5500">
        <v>0</v>
      </c>
      <c r="O5500">
        <v>0</v>
      </c>
    </row>
    <row r="5501" spans="1:15" x14ac:dyDescent="0.2">
      <c r="A5501" s="6">
        <v>45799</v>
      </c>
      <c r="B5501" t="s">
        <v>15</v>
      </c>
      <c r="C5501" t="s">
        <v>16</v>
      </c>
      <c r="D5501" s="1">
        <v>45855</v>
      </c>
      <c r="E5501" t="s">
        <v>19</v>
      </c>
      <c r="F5501">
        <v>5100</v>
      </c>
      <c r="J5501">
        <v>177.8</v>
      </c>
      <c r="K5501">
        <v>173.5</v>
      </c>
      <c r="L5501">
        <v>0</v>
      </c>
      <c r="M5501" t="s">
        <v>18</v>
      </c>
      <c r="N5501">
        <v>0</v>
      </c>
      <c r="O5501">
        <v>0</v>
      </c>
    </row>
    <row r="5502" spans="1:15" x14ac:dyDescent="0.2">
      <c r="A5502" s="6">
        <v>45799</v>
      </c>
      <c r="B5502" t="s">
        <v>15</v>
      </c>
      <c r="C5502" t="s">
        <v>16</v>
      </c>
      <c r="D5502" s="1">
        <v>45855</v>
      </c>
      <c r="E5502" t="s">
        <v>19</v>
      </c>
      <c r="F5502">
        <v>4550</v>
      </c>
      <c r="J5502">
        <v>32.200000000000003</v>
      </c>
      <c r="K5502">
        <v>32.799999999999997</v>
      </c>
      <c r="L5502">
        <v>0</v>
      </c>
      <c r="M5502" t="s">
        <v>18</v>
      </c>
      <c r="N5502">
        <v>0</v>
      </c>
      <c r="O5502">
        <v>0</v>
      </c>
    </row>
    <row r="5503" spans="1:15" x14ac:dyDescent="0.2">
      <c r="A5503" s="6">
        <v>45799</v>
      </c>
      <c r="B5503" t="s">
        <v>15</v>
      </c>
      <c r="C5503" t="s">
        <v>16</v>
      </c>
      <c r="D5503" s="1">
        <v>45855</v>
      </c>
      <c r="E5503" t="s">
        <v>19</v>
      </c>
      <c r="F5503">
        <v>6400</v>
      </c>
      <c r="J5503">
        <v>1160.3</v>
      </c>
      <c r="K5503">
        <v>1131</v>
      </c>
      <c r="L5503">
        <v>0</v>
      </c>
      <c r="M5503" t="s">
        <v>18</v>
      </c>
      <c r="N5503">
        <v>0</v>
      </c>
      <c r="O5503">
        <v>0</v>
      </c>
    </row>
    <row r="5504" spans="1:15" x14ac:dyDescent="0.2">
      <c r="A5504" s="6">
        <v>45799</v>
      </c>
      <c r="B5504" t="s">
        <v>15</v>
      </c>
      <c r="C5504" t="s">
        <v>16</v>
      </c>
      <c r="D5504" s="1">
        <v>45855</v>
      </c>
      <c r="E5504" t="s">
        <v>19</v>
      </c>
      <c r="F5504">
        <v>3750</v>
      </c>
      <c r="J5504">
        <v>0.4</v>
      </c>
      <c r="K5504">
        <v>0.4</v>
      </c>
      <c r="L5504">
        <v>0</v>
      </c>
      <c r="M5504" t="s">
        <v>18</v>
      </c>
      <c r="N5504">
        <v>0</v>
      </c>
      <c r="O5504">
        <v>0</v>
      </c>
    </row>
    <row r="5505" spans="1:15" x14ac:dyDescent="0.2">
      <c r="A5505" s="6">
        <v>45799</v>
      </c>
      <c r="B5505" t="s">
        <v>15</v>
      </c>
      <c r="C5505" t="s">
        <v>16</v>
      </c>
      <c r="D5505" s="1">
        <v>45855</v>
      </c>
      <c r="E5505" t="s">
        <v>19</v>
      </c>
      <c r="F5505">
        <v>4700</v>
      </c>
      <c r="J5505">
        <v>55.9</v>
      </c>
      <c r="K5505">
        <v>56</v>
      </c>
      <c r="L5505">
        <v>0</v>
      </c>
      <c r="M5505" t="s">
        <v>18</v>
      </c>
      <c r="N5505">
        <v>0</v>
      </c>
      <c r="O5505">
        <v>0</v>
      </c>
    </row>
    <row r="5506" spans="1:15" x14ac:dyDescent="0.2">
      <c r="A5506" s="6">
        <v>45799</v>
      </c>
      <c r="B5506" t="s">
        <v>15</v>
      </c>
      <c r="C5506" t="s">
        <v>16</v>
      </c>
      <c r="D5506" s="1">
        <v>45855</v>
      </c>
      <c r="E5506" t="s">
        <v>19</v>
      </c>
      <c r="F5506">
        <v>5700</v>
      </c>
      <c r="J5506">
        <v>544.20000000000005</v>
      </c>
      <c r="K5506">
        <v>526.9</v>
      </c>
      <c r="L5506">
        <v>0</v>
      </c>
      <c r="M5506" t="s">
        <v>18</v>
      </c>
      <c r="N5506">
        <v>0</v>
      </c>
      <c r="O5506">
        <v>0</v>
      </c>
    </row>
    <row r="5507" spans="1:15" x14ac:dyDescent="0.2">
      <c r="A5507" s="6">
        <v>45799</v>
      </c>
      <c r="B5507" t="s">
        <v>15</v>
      </c>
      <c r="C5507" t="s">
        <v>16</v>
      </c>
      <c r="D5507" s="1">
        <v>45855</v>
      </c>
      <c r="E5507" t="s">
        <v>17</v>
      </c>
      <c r="F5507">
        <v>6050</v>
      </c>
      <c r="J5507">
        <v>35.799999999999997</v>
      </c>
      <c r="K5507">
        <v>45.1</v>
      </c>
      <c r="L5507">
        <v>0</v>
      </c>
      <c r="M5507" t="s">
        <v>18</v>
      </c>
      <c r="N5507">
        <v>0</v>
      </c>
      <c r="O5507">
        <v>0</v>
      </c>
    </row>
    <row r="5508" spans="1:15" x14ac:dyDescent="0.2">
      <c r="A5508" s="6">
        <v>45799</v>
      </c>
      <c r="B5508" t="s">
        <v>15</v>
      </c>
      <c r="C5508" t="s">
        <v>16</v>
      </c>
      <c r="D5508" s="1">
        <v>45855</v>
      </c>
      <c r="E5508" t="s">
        <v>17</v>
      </c>
      <c r="F5508">
        <v>6550</v>
      </c>
      <c r="J5508">
        <v>7.8</v>
      </c>
      <c r="K5508">
        <v>11</v>
      </c>
      <c r="L5508">
        <v>0</v>
      </c>
      <c r="M5508" t="s">
        <v>18</v>
      </c>
      <c r="N5508">
        <v>0</v>
      </c>
      <c r="O5508">
        <v>0</v>
      </c>
    </row>
    <row r="5509" spans="1:15" x14ac:dyDescent="0.2">
      <c r="A5509" s="6">
        <v>45799</v>
      </c>
      <c r="B5509" t="s">
        <v>15</v>
      </c>
      <c r="C5509" t="s">
        <v>16</v>
      </c>
      <c r="D5509" s="1">
        <v>45855</v>
      </c>
      <c r="E5509" t="s">
        <v>19</v>
      </c>
      <c r="F5509">
        <v>5450</v>
      </c>
      <c r="J5509">
        <v>366.4</v>
      </c>
      <c r="K5509">
        <v>354.9</v>
      </c>
      <c r="L5509">
        <v>0</v>
      </c>
      <c r="M5509" t="s">
        <v>18</v>
      </c>
      <c r="N5509">
        <v>0</v>
      </c>
      <c r="O5509">
        <v>0</v>
      </c>
    </row>
    <row r="5510" spans="1:15" x14ac:dyDescent="0.2">
      <c r="A5510" s="6">
        <v>45799</v>
      </c>
      <c r="B5510" t="s">
        <v>15</v>
      </c>
      <c r="C5510" t="s">
        <v>16</v>
      </c>
      <c r="D5510" s="1">
        <v>45855</v>
      </c>
      <c r="E5510" t="s">
        <v>17</v>
      </c>
      <c r="F5510">
        <v>6650</v>
      </c>
      <c r="J5510">
        <v>5.6</v>
      </c>
      <c r="K5510">
        <v>8.1</v>
      </c>
      <c r="L5510">
        <v>0</v>
      </c>
      <c r="M5510" t="s">
        <v>18</v>
      </c>
      <c r="N5510">
        <v>0</v>
      </c>
      <c r="O5510">
        <v>0</v>
      </c>
    </row>
    <row r="5511" spans="1:15" x14ac:dyDescent="0.2">
      <c r="A5511" s="6">
        <v>45799</v>
      </c>
      <c r="B5511" t="s">
        <v>15</v>
      </c>
      <c r="C5511" t="s">
        <v>16</v>
      </c>
      <c r="D5511" s="1">
        <v>45855</v>
      </c>
      <c r="E5511" t="s">
        <v>17</v>
      </c>
      <c r="F5511">
        <v>3750</v>
      </c>
      <c r="J5511">
        <v>1476.7</v>
      </c>
      <c r="K5511">
        <v>1510.2</v>
      </c>
      <c r="L5511">
        <v>0</v>
      </c>
      <c r="M5511" t="s">
        <v>18</v>
      </c>
      <c r="N5511">
        <v>0</v>
      </c>
      <c r="O5511">
        <v>0</v>
      </c>
    </row>
    <row r="5512" spans="1:15" x14ac:dyDescent="0.2">
      <c r="A5512" s="6">
        <v>45799</v>
      </c>
      <c r="B5512" t="s">
        <v>15</v>
      </c>
      <c r="C5512" t="s">
        <v>16</v>
      </c>
      <c r="D5512" s="1">
        <v>45855</v>
      </c>
      <c r="E5512" t="s">
        <v>17</v>
      </c>
      <c r="F5512">
        <v>3600</v>
      </c>
      <c r="J5512">
        <v>1625</v>
      </c>
      <c r="K5512">
        <v>1658.4</v>
      </c>
      <c r="L5512">
        <v>0</v>
      </c>
      <c r="M5512" t="s">
        <v>18</v>
      </c>
      <c r="N5512">
        <v>0</v>
      </c>
      <c r="O5512">
        <v>0</v>
      </c>
    </row>
    <row r="5513" spans="1:15" x14ac:dyDescent="0.2">
      <c r="A5513" s="6">
        <v>45799</v>
      </c>
      <c r="B5513" t="s">
        <v>15</v>
      </c>
      <c r="C5513" t="s">
        <v>16</v>
      </c>
      <c r="D5513" s="1">
        <v>45855</v>
      </c>
      <c r="E5513" t="s">
        <v>19</v>
      </c>
      <c r="F5513">
        <v>5400</v>
      </c>
      <c r="J5513">
        <v>334.8</v>
      </c>
      <c r="K5513">
        <v>324.5</v>
      </c>
      <c r="L5513">
        <v>0</v>
      </c>
      <c r="M5513" t="s">
        <v>18</v>
      </c>
      <c r="N5513">
        <v>0</v>
      </c>
      <c r="O5513">
        <v>0</v>
      </c>
    </row>
    <row r="5514" spans="1:15" x14ac:dyDescent="0.2">
      <c r="A5514" s="6">
        <v>45799</v>
      </c>
      <c r="B5514" t="s">
        <v>15</v>
      </c>
      <c r="C5514" t="s">
        <v>16</v>
      </c>
      <c r="D5514" s="1">
        <v>45855</v>
      </c>
      <c r="E5514" t="s">
        <v>19</v>
      </c>
      <c r="F5514">
        <v>5300</v>
      </c>
      <c r="J5514">
        <v>276.2</v>
      </c>
      <c r="K5514">
        <v>268.10000000000002</v>
      </c>
      <c r="L5514">
        <v>0</v>
      </c>
      <c r="M5514" t="s">
        <v>18</v>
      </c>
      <c r="N5514">
        <v>0</v>
      </c>
      <c r="O5514">
        <v>3</v>
      </c>
    </row>
    <row r="5515" spans="1:15" x14ac:dyDescent="0.2">
      <c r="A5515" s="6">
        <v>45799</v>
      </c>
      <c r="B5515" t="s">
        <v>15</v>
      </c>
      <c r="C5515" t="s">
        <v>16</v>
      </c>
      <c r="D5515" s="1">
        <v>45855</v>
      </c>
      <c r="E5515" t="s">
        <v>19</v>
      </c>
      <c r="F5515">
        <v>5900</v>
      </c>
      <c r="J5515">
        <v>706.4</v>
      </c>
      <c r="K5515">
        <v>684.8</v>
      </c>
      <c r="L5515">
        <v>0</v>
      </c>
      <c r="M5515" t="s">
        <v>18</v>
      </c>
      <c r="N5515">
        <v>0</v>
      </c>
      <c r="O5515">
        <v>0</v>
      </c>
    </row>
    <row r="5516" spans="1:15" x14ac:dyDescent="0.2">
      <c r="A5516" s="6">
        <v>45799</v>
      </c>
      <c r="B5516" t="s">
        <v>15</v>
      </c>
      <c r="C5516" t="s">
        <v>16</v>
      </c>
      <c r="D5516" s="1">
        <v>45855</v>
      </c>
      <c r="E5516" t="s">
        <v>17</v>
      </c>
      <c r="F5516">
        <v>3850</v>
      </c>
      <c r="J5516">
        <v>1378.1</v>
      </c>
      <c r="K5516">
        <v>1411.7</v>
      </c>
      <c r="L5516">
        <v>0</v>
      </c>
      <c r="M5516" t="s">
        <v>18</v>
      </c>
      <c r="N5516">
        <v>0</v>
      </c>
      <c r="O5516">
        <v>0</v>
      </c>
    </row>
    <row r="5517" spans="1:15" x14ac:dyDescent="0.2">
      <c r="A5517" s="6">
        <v>45799</v>
      </c>
      <c r="B5517" t="s">
        <v>15</v>
      </c>
      <c r="C5517" t="s">
        <v>16</v>
      </c>
      <c r="D5517" s="1">
        <v>45855</v>
      </c>
      <c r="E5517" t="s">
        <v>19</v>
      </c>
      <c r="F5517">
        <v>4600</v>
      </c>
      <c r="J5517">
        <v>39.1</v>
      </c>
      <c r="K5517">
        <v>39.5</v>
      </c>
      <c r="L5517">
        <v>0</v>
      </c>
      <c r="M5517" t="s">
        <v>18</v>
      </c>
      <c r="N5517">
        <v>0</v>
      </c>
      <c r="O5517">
        <v>0</v>
      </c>
    </row>
    <row r="5518" spans="1:15" x14ac:dyDescent="0.2">
      <c r="A5518" s="6">
        <v>45799</v>
      </c>
      <c r="B5518" t="s">
        <v>15</v>
      </c>
      <c r="C5518" t="s">
        <v>16</v>
      </c>
      <c r="D5518" s="1">
        <v>45855</v>
      </c>
      <c r="E5518" t="s">
        <v>19</v>
      </c>
      <c r="F5518">
        <v>4950</v>
      </c>
      <c r="J5518">
        <v>120.8</v>
      </c>
      <c r="K5518">
        <v>118.7</v>
      </c>
      <c r="L5518">
        <v>0</v>
      </c>
      <c r="M5518" t="s">
        <v>18</v>
      </c>
      <c r="N5518">
        <v>0</v>
      </c>
      <c r="O5518">
        <v>0</v>
      </c>
    </row>
    <row r="5519" spans="1:15" x14ac:dyDescent="0.2">
      <c r="A5519" s="6">
        <v>45799</v>
      </c>
      <c r="B5519" t="s">
        <v>15</v>
      </c>
      <c r="C5519" t="s">
        <v>16</v>
      </c>
      <c r="D5519" s="1">
        <v>45855</v>
      </c>
      <c r="E5519" t="s">
        <v>19</v>
      </c>
      <c r="F5519">
        <v>5050</v>
      </c>
      <c r="J5519">
        <v>157.19999999999999</v>
      </c>
      <c r="K5519">
        <v>153.80000000000001</v>
      </c>
      <c r="L5519">
        <v>0</v>
      </c>
      <c r="M5519" t="s">
        <v>18</v>
      </c>
      <c r="N5519">
        <v>0</v>
      </c>
      <c r="O5519">
        <v>0</v>
      </c>
    </row>
    <row r="5520" spans="1:15" x14ac:dyDescent="0.2">
      <c r="A5520" s="6">
        <v>45799</v>
      </c>
      <c r="B5520" t="s">
        <v>15</v>
      </c>
      <c r="C5520" t="s">
        <v>16</v>
      </c>
      <c r="D5520" s="1">
        <v>45855</v>
      </c>
      <c r="E5520" t="s">
        <v>19</v>
      </c>
      <c r="F5520">
        <v>3700</v>
      </c>
      <c r="J5520">
        <v>0.2</v>
      </c>
      <c r="K5520">
        <v>0.3</v>
      </c>
      <c r="L5520">
        <v>0</v>
      </c>
      <c r="M5520" t="s">
        <v>18</v>
      </c>
      <c r="N5520">
        <v>0</v>
      </c>
      <c r="O5520">
        <v>0</v>
      </c>
    </row>
    <row r="5521" spans="1:15" x14ac:dyDescent="0.2">
      <c r="A5521" s="6">
        <v>45799</v>
      </c>
      <c r="B5521" t="s">
        <v>15</v>
      </c>
      <c r="C5521" t="s">
        <v>16</v>
      </c>
      <c r="D5521" s="1">
        <v>45855</v>
      </c>
      <c r="E5521" t="s">
        <v>19</v>
      </c>
      <c r="F5521">
        <v>4450</v>
      </c>
      <c r="J5521">
        <v>21.4</v>
      </c>
      <c r="K5521">
        <v>22</v>
      </c>
      <c r="L5521">
        <v>0</v>
      </c>
      <c r="M5521" t="s">
        <v>18</v>
      </c>
      <c r="N5521">
        <v>0</v>
      </c>
      <c r="O5521">
        <v>0</v>
      </c>
    </row>
    <row r="5522" spans="1:15" x14ac:dyDescent="0.2">
      <c r="A5522" s="6">
        <v>45799</v>
      </c>
      <c r="B5522" t="s">
        <v>15</v>
      </c>
      <c r="C5522" t="s">
        <v>16</v>
      </c>
      <c r="D5522" s="1">
        <v>45855</v>
      </c>
      <c r="E5522" t="s">
        <v>17</v>
      </c>
      <c r="F5522">
        <v>5750</v>
      </c>
      <c r="J5522">
        <v>79.3</v>
      </c>
      <c r="K5522">
        <v>94.6</v>
      </c>
      <c r="L5522">
        <v>0</v>
      </c>
      <c r="M5522" t="s">
        <v>18</v>
      </c>
      <c r="N5522">
        <v>0</v>
      </c>
      <c r="O5522">
        <v>0</v>
      </c>
    </row>
    <row r="5523" spans="1:15" x14ac:dyDescent="0.2">
      <c r="A5523" s="6">
        <v>45799</v>
      </c>
      <c r="B5523" t="s">
        <v>15</v>
      </c>
      <c r="C5523" t="s">
        <v>16</v>
      </c>
      <c r="D5523" s="1">
        <v>45855</v>
      </c>
      <c r="E5523" t="s">
        <v>17</v>
      </c>
      <c r="F5523">
        <v>5550</v>
      </c>
      <c r="J5523">
        <v>127.7</v>
      </c>
      <c r="K5523">
        <v>147.6</v>
      </c>
      <c r="L5523">
        <v>0</v>
      </c>
      <c r="M5523" t="s">
        <v>18</v>
      </c>
      <c r="N5523">
        <v>0</v>
      </c>
      <c r="O5523">
        <v>0</v>
      </c>
    </row>
    <row r="5524" spans="1:15" x14ac:dyDescent="0.2">
      <c r="A5524" s="6">
        <v>45799</v>
      </c>
      <c r="B5524" t="s">
        <v>15</v>
      </c>
      <c r="C5524" t="s">
        <v>16</v>
      </c>
      <c r="D5524" s="1">
        <v>45855</v>
      </c>
      <c r="E5524" t="s">
        <v>19</v>
      </c>
      <c r="F5524">
        <v>4250</v>
      </c>
      <c r="J5524">
        <v>8.4</v>
      </c>
      <c r="K5524">
        <v>8.9</v>
      </c>
      <c r="L5524">
        <v>0</v>
      </c>
      <c r="M5524" t="s">
        <v>18</v>
      </c>
      <c r="N5524">
        <v>0</v>
      </c>
      <c r="O5524">
        <v>0</v>
      </c>
    </row>
    <row r="5525" spans="1:15" x14ac:dyDescent="0.2">
      <c r="A5525" s="6">
        <v>45799</v>
      </c>
      <c r="B5525" t="s">
        <v>15</v>
      </c>
      <c r="C5525" t="s">
        <v>16</v>
      </c>
      <c r="D5525" s="1">
        <v>45855</v>
      </c>
      <c r="E5525" t="s">
        <v>17</v>
      </c>
      <c r="F5525">
        <v>5600</v>
      </c>
      <c r="J5525">
        <v>113.8</v>
      </c>
      <c r="K5525">
        <v>132.6</v>
      </c>
      <c r="L5525">
        <v>0</v>
      </c>
      <c r="M5525" t="s">
        <v>18</v>
      </c>
      <c r="N5525">
        <v>0</v>
      </c>
      <c r="O5525">
        <v>0</v>
      </c>
    </row>
    <row r="5526" spans="1:15" x14ac:dyDescent="0.2">
      <c r="A5526" s="6">
        <v>45799</v>
      </c>
      <c r="B5526" t="s">
        <v>15</v>
      </c>
      <c r="C5526" t="s">
        <v>16</v>
      </c>
      <c r="D5526" s="1">
        <v>45855</v>
      </c>
      <c r="E5526" t="s">
        <v>17</v>
      </c>
      <c r="F5526">
        <v>3800</v>
      </c>
      <c r="J5526">
        <v>1427.4</v>
      </c>
      <c r="K5526">
        <v>1460.9</v>
      </c>
      <c r="L5526">
        <v>0</v>
      </c>
      <c r="M5526" t="s">
        <v>18</v>
      </c>
      <c r="N5526">
        <v>0</v>
      </c>
      <c r="O5526">
        <v>0</v>
      </c>
    </row>
    <row r="5527" spans="1:15" x14ac:dyDescent="0.2">
      <c r="A5527" s="6">
        <v>45799</v>
      </c>
      <c r="B5527" t="s">
        <v>15</v>
      </c>
      <c r="C5527" t="s">
        <v>16</v>
      </c>
      <c r="D5527" s="1">
        <v>45855</v>
      </c>
      <c r="E5527" t="s">
        <v>19</v>
      </c>
      <c r="F5527">
        <v>6200</v>
      </c>
      <c r="J5527">
        <v>972.9</v>
      </c>
      <c r="K5527">
        <v>946</v>
      </c>
      <c r="L5527">
        <v>0</v>
      </c>
      <c r="M5527" t="s">
        <v>18</v>
      </c>
      <c r="N5527">
        <v>0</v>
      </c>
      <c r="O5527">
        <v>0</v>
      </c>
    </row>
    <row r="5528" spans="1:15" x14ac:dyDescent="0.2">
      <c r="A5528" s="6">
        <v>45799</v>
      </c>
      <c r="B5528" t="s">
        <v>15</v>
      </c>
      <c r="C5528" t="s">
        <v>16</v>
      </c>
      <c r="D5528" s="1">
        <v>45855</v>
      </c>
      <c r="E5528" t="s">
        <v>17</v>
      </c>
      <c r="F5528">
        <v>6600</v>
      </c>
      <c r="J5528">
        <v>6.6</v>
      </c>
      <c r="K5528">
        <v>9.4</v>
      </c>
      <c r="L5528">
        <v>0</v>
      </c>
      <c r="M5528" t="s">
        <v>18</v>
      </c>
      <c r="N5528">
        <v>0</v>
      </c>
      <c r="O5528">
        <v>0</v>
      </c>
    </row>
    <row r="5529" spans="1:15" x14ac:dyDescent="0.2">
      <c r="A5529" s="6">
        <v>45799</v>
      </c>
      <c r="B5529" t="s">
        <v>15</v>
      </c>
      <c r="C5529" t="s">
        <v>16</v>
      </c>
      <c r="D5529" s="1">
        <v>45855</v>
      </c>
      <c r="E5529" t="s">
        <v>17</v>
      </c>
      <c r="F5529">
        <v>6300</v>
      </c>
      <c r="J5529">
        <v>17.2</v>
      </c>
      <c r="K5529">
        <v>22.9</v>
      </c>
      <c r="L5529">
        <v>0</v>
      </c>
      <c r="M5529" t="s">
        <v>18</v>
      </c>
      <c r="N5529">
        <v>0</v>
      </c>
      <c r="O5529">
        <v>0</v>
      </c>
    </row>
    <row r="5530" spans="1:15" x14ac:dyDescent="0.2">
      <c r="A5530" s="6">
        <v>45799</v>
      </c>
      <c r="B5530" t="s">
        <v>15</v>
      </c>
      <c r="C5530" t="s">
        <v>16</v>
      </c>
      <c r="D5530" s="1">
        <v>45855</v>
      </c>
      <c r="E5530" t="s">
        <v>17</v>
      </c>
      <c r="F5530">
        <v>4250</v>
      </c>
      <c r="J5530">
        <v>989.7</v>
      </c>
      <c r="K5530">
        <v>1023.7</v>
      </c>
      <c r="L5530">
        <v>0</v>
      </c>
      <c r="M5530" t="s">
        <v>18</v>
      </c>
      <c r="N5530">
        <v>0</v>
      </c>
      <c r="O5530">
        <v>0</v>
      </c>
    </row>
    <row r="5531" spans="1:15" x14ac:dyDescent="0.2">
      <c r="A5531" s="6">
        <v>45799</v>
      </c>
      <c r="B5531" t="s">
        <v>15</v>
      </c>
      <c r="C5531" t="s">
        <v>16</v>
      </c>
      <c r="D5531" s="1">
        <v>45855</v>
      </c>
      <c r="E5531" t="s">
        <v>17</v>
      </c>
      <c r="F5531">
        <v>5800</v>
      </c>
      <c r="J5531">
        <v>69.900000000000006</v>
      </c>
      <c r="K5531">
        <v>84.1</v>
      </c>
      <c r="L5531">
        <v>0</v>
      </c>
      <c r="M5531" t="s">
        <v>18</v>
      </c>
      <c r="N5531">
        <v>0</v>
      </c>
      <c r="O5531">
        <v>0</v>
      </c>
    </row>
    <row r="5532" spans="1:15" x14ac:dyDescent="0.2">
      <c r="A5532" s="6">
        <v>45799</v>
      </c>
      <c r="B5532" t="s">
        <v>15</v>
      </c>
      <c r="C5532" t="s">
        <v>16</v>
      </c>
      <c r="D5532" s="1">
        <v>45855</v>
      </c>
      <c r="E5532" t="s">
        <v>17</v>
      </c>
      <c r="F5532">
        <v>4850</v>
      </c>
      <c r="J5532">
        <v>477.8</v>
      </c>
      <c r="K5532">
        <v>510.4</v>
      </c>
      <c r="L5532">
        <v>0</v>
      </c>
      <c r="M5532" t="s">
        <v>18</v>
      </c>
      <c r="N5532">
        <v>0</v>
      </c>
      <c r="O5532">
        <v>0</v>
      </c>
    </row>
    <row r="5533" spans="1:15" x14ac:dyDescent="0.2">
      <c r="A5533" s="6">
        <v>45799</v>
      </c>
      <c r="B5533" t="s">
        <v>15</v>
      </c>
      <c r="C5533" t="s">
        <v>16</v>
      </c>
      <c r="D5533" s="1">
        <v>45855</v>
      </c>
      <c r="E5533" t="s">
        <v>19</v>
      </c>
      <c r="F5533">
        <v>5350</v>
      </c>
      <c r="J5533">
        <v>304.7</v>
      </c>
      <c r="K5533">
        <v>313.60000000000002</v>
      </c>
      <c r="L5533">
        <v>0</v>
      </c>
      <c r="M5533" t="s">
        <v>18</v>
      </c>
      <c r="N5533">
        <v>0</v>
      </c>
      <c r="O5533">
        <v>1</v>
      </c>
    </row>
    <row r="5534" spans="1:15" x14ac:dyDescent="0.2">
      <c r="A5534" s="6">
        <v>45799</v>
      </c>
      <c r="B5534" t="s">
        <v>15</v>
      </c>
      <c r="C5534" t="s">
        <v>16</v>
      </c>
      <c r="D5534" s="1">
        <v>45855</v>
      </c>
      <c r="E5534" t="s">
        <v>17</v>
      </c>
      <c r="F5534">
        <v>6000</v>
      </c>
      <c r="J5534">
        <v>41.1</v>
      </c>
      <c r="K5534">
        <v>51.4</v>
      </c>
      <c r="L5534">
        <v>0</v>
      </c>
      <c r="M5534" t="s">
        <v>18</v>
      </c>
      <c r="N5534">
        <v>0</v>
      </c>
      <c r="O5534">
        <v>1</v>
      </c>
    </row>
    <row r="5535" spans="1:15" x14ac:dyDescent="0.2">
      <c r="A5535" s="6">
        <v>45799</v>
      </c>
      <c r="B5535" t="s">
        <v>15</v>
      </c>
      <c r="C5535" t="s">
        <v>16</v>
      </c>
      <c r="D5535" s="1">
        <v>45855</v>
      </c>
      <c r="E5535" t="s">
        <v>19</v>
      </c>
      <c r="F5535">
        <v>4100</v>
      </c>
      <c r="J5535">
        <v>3.7</v>
      </c>
      <c r="K5535">
        <v>4.0999999999999996</v>
      </c>
      <c r="L5535">
        <v>0</v>
      </c>
      <c r="M5535" t="s">
        <v>18</v>
      </c>
      <c r="N5535">
        <v>0</v>
      </c>
      <c r="O5535">
        <v>0</v>
      </c>
    </row>
    <row r="5536" spans="1:15" x14ac:dyDescent="0.2">
      <c r="A5536" s="6">
        <v>45799</v>
      </c>
      <c r="B5536" t="s">
        <v>15</v>
      </c>
      <c r="C5536" t="s">
        <v>16</v>
      </c>
      <c r="D5536" s="1">
        <v>45855</v>
      </c>
      <c r="E5536" t="s">
        <v>17</v>
      </c>
      <c r="F5536">
        <v>4550</v>
      </c>
      <c r="J5536">
        <v>716.5</v>
      </c>
      <c r="K5536">
        <v>750.5</v>
      </c>
      <c r="L5536">
        <v>0</v>
      </c>
      <c r="M5536" t="s">
        <v>18</v>
      </c>
      <c r="N5536">
        <v>0</v>
      </c>
      <c r="O5536">
        <v>0</v>
      </c>
    </row>
    <row r="5537" spans="1:15" x14ac:dyDescent="0.2">
      <c r="A5537" s="6">
        <v>45799</v>
      </c>
      <c r="B5537" t="s">
        <v>15</v>
      </c>
      <c r="C5537" t="s">
        <v>16</v>
      </c>
      <c r="D5537" s="1">
        <v>45855</v>
      </c>
      <c r="E5537" t="s">
        <v>19</v>
      </c>
      <c r="F5537">
        <v>5950</v>
      </c>
      <c r="J5537">
        <v>749.2</v>
      </c>
      <c r="K5537">
        <v>726.6</v>
      </c>
      <c r="L5537">
        <v>0</v>
      </c>
      <c r="M5537" t="s">
        <v>18</v>
      </c>
      <c r="N5537">
        <v>0</v>
      </c>
      <c r="O5537">
        <v>0</v>
      </c>
    </row>
    <row r="5538" spans="1:15" x14ac:dyDescent="0.2">
      <c r="A5538" s="6">
        <v>45799</v>
      </c>
      <c r="B5538" t="s">
        <v>15</v>
      </c>
      <c r="C5538" t="s">
        <v>16</v>
      </c>
      <c r="D5538" s="1">
        <v>45855</v>
      </c>
      <c r="E5538" t="s">
        <v>19</v>
      </c>
      <c r="F5538">
        <v>4500</v>
      </c>
      <c r="J5538">
        <v>26.4</v>
      </c>
      <c r="K5538">
        <v>27</v>
      </c>
      <c r="L5538">
        <v>0</v>
      </c>
      <c r="M5538" t="s">
        <v>18</v>
      </c>
      <c r="N5538">
        <v>0</v>
      </c>
      <c r="O5538">
        <v>0</v>
      </c>
    </row>
    <row r="5539" spans="1:15" x14ac:dyDescent="0.2">
      <c r="A5539" s="6">
        <v>45799</v>
      </c>
      <c r="B5539" t="s">
        <v>15</v>
      </c>
      <c r="C5539" t="s">
        <v>16</v>
      </c>
      <c r="D5539" s="1">
        <v>45855</v>
      </c>
      <c r="E5539" t="s">
        <v>17</v>
      </c>
      <c r="F5539">
        <v>4000</v>
      </c>
      <c r="J5539">
        <v>1230.9000000000001</v>
      </c>
      <c r="K5539">
        <v>1264.5999999999999</v>
      </c>
      <c r="L5539">
        <v>0</v>
      </c>
      <c r="M5539" t="s">
        <v>18</v>
      </c>
      <c r="N5539">
        <v>0</v>
      </c>
      <c r="O5539">
        <v>0</v>
      </c>
    </row>
    <row r="5540" spans="1:15" x14ac:dyDescent="0.2">
      <c r="A5540" s="6">
        <v>45799</v>
      </c>
      <c r="B5540" t="s">
        <v>15</v>
      </c>
      <c r="C5540" t="s">
        <v>16</v>
      </c>
      <c r="D5540" s="1">
        <v>45855</v>
      </c>
      <c r="E5540" t="s">
        <v>17</v>
      </c>
      <c r="F5540">
        <v>4050</v>
      </c>
      <c r="J5540">
        <v>1182.0999999999999</v>
      </c>
      <c r="K5540">
        <v>1215.9000000000001</v>
      </c>
      <c r="L5540">
        <v>0</v>
      </c>
      <c r="M5540" t="s">
        <v>18</v>
      </c>
      <c r="N5540">
        <v>0</v>
      </c>
      <c r="O5540">
        <v>0</v>
      </c>
    </row>
    <row r="5541" spans="1:15" x14ac:dyDescent="0.2">
      <c r="A5541" s="6">
        <v>45799</v>
      </c>
      <c r="B5541" t="s">
        <v>15</v>
      </c>
      <c r="C5541" t="s">
        <v>16</v>
      </c>
      <c r="D5541" s="1">
        <v>45855</v>
      </c>
      <c r="E5541" t="s">
        <v>17</v>
      </c>
      <c r="F5541">
        <v>6350</v>
      </c>
      <c r="J5541">
        <v>14.8</v>
      </c>
      <c r="K5541">
        <v>19.8</v>
      </c>
      <c r="L5541">
        <v>0</v>
      </c>
      <c r="M5541" t="s">
        <v>18</v>
      </c>
      <c r="N5541">
        <v>0</v>
      </c>
      <c r="O5541">
        <v>0</v>
      </c>
    </row>
    <row r="5542" spans="1:15" x14ac:dyDescent="0.2">
      <c r="A5542" s="6">
        <v>45799</v>
      </c>
      <c r="B5542" t="s">
        <v>15</v>
      </c>
      <c r="C5542" t="s">
        <v>16</v>
      </c>
      <c r="D5542" s="1">
        <v>45855</v>
      </c>
      <c r="E5542" t="s">
        <v>19</v>
      </c>
      <c r="F5542">
        <v>4400</v>
      </c>
      <c r="J5542">
        <v>17.2</v>
      </c>
      <c r="K5542">
        <v>17.8</v>
      </c>
      <c r="L5542">
        <v>0</v>
      </c>
      <c r="M5542" t="s">
        <v>18</v>
      </c>
      <c r="N5542">
        <v>0</v>
      </c>
      <c r="O5542">
        <v>0</v>
      </c>
    </row>
    <row r="5543" spans="1:15" x14ac:dyDescent="0.2">
      <c r="A5543" s="6">
        <v>45799</v>
      </c>
      <c r="B5543" t="s">
        <v>15</v>
      </c>
      <c r="C5543" t="s">
        <v>16</v>
      </c>
      <c r="D5543" s="1">
        <v>45855</v>
      </c>
      <c r="E5543" t="s">
        <v>17</v>
      </c>
      <c r="F5543">
        <v>4600</v>
      </c>
      <c r="J5543">
        <v>673.8</v>
      </c>
      <c r="K5543">
        <v>707.7</v>
      </c>
      <c r="L5543">
        <v>0</v>
      </c>
      <c r="M5543" t="s">
        <v>18</v>
      </c>
      <c r="N5543">
        <v>0</v>
      </c>
      <c r="O5543">
        <v>0</v>
      </c>
    </row>
    <row r="5544" spans="1:15" x14ac:dyDescent="0.2">
      <c r="A5544" s="6">
        <v>45799</v>
      </c>
      <c r="B5544" t="s">
        <v>15</v>
      </c>
      <c r="C5544" t="s">
        <v>16</v>
      </c>
      <c r="D5544" s="1">
        <v>45855</v>
      </c>
      <c r="E5544" t="s">
        <v>17</v>
      </c>
      <c r="F5544">
        <v>6250</v>
      </c>
      <c r="J5544">
        <v>20</v>
      </c>
      <c r="K5544">
        <v>26.3</v>
      </c>
      <c r="L5544">
        <v>0</v>
      </c>
      <c r="M5544" t="s">
        <v>18</v>
      </c>
      <c r="N5544">
        <v>0</v>
      </c>
      <c r="O5544">
        <v>0</v>
      </c>
    </row>
    <row r="5545" spans="1:15" x14ac:dyDescent="0.2">
      <c r="A5545" s="6">
        <v>45799</v>
      </c>
      <c r="B5545" t="s">
        <v>15</v>
      </c>
      <c r="C5545" t="s">
        <v>16</v>
      </c>
      <c r="D5545" s="1">
        <v>45855</v>
      </c>
      <c r="E5545" t="s">
        <v>19</v>
      </c>
      <c r="F5545">
        <v>4650</v>
      </c>
      <c r="J5545">
        <v>46.9</v>
      </c>
      <c r="K5545">
        <v>47.2</v>
      </c>
      <c r="L5545">
        <v>0</v>
      </c>
      <c r="M5545" t="s">
        <v>18</v>
      </c>
      <c r="N5545">
        <v>0</v>
      </c>
      <c r="O5545">
        <v>0</v>
      </c>
    </row>
    <row r="5546" spans="1:15" x14ac:dyDescent="0.2">
      <c r="A5546" s="6">
        <v>45799</v>
      </c>
      <c r="B5546" t="s">
        <v>15</v>
      </c>
      <c r="C5546" t="s">
        <v>16</v>
      </c>
      <c r="D5546" s="1">
        <v>45855</v>
      </c>
      <c r="E5546" t="s">
        <v>17</v>
      </c>
      <c r="F5546">
        <v>5450</v>
      </c>
      <c r="J5546">
        <v>159.4</v>
      </c>
      <c r="K5546">
        <v>181.7</v>
      </c>
      <c r="L5546">
        <v>0</v>
      </c>
      <c r="M5546" t="s">
        <v>18</v>
      </c>
      <c r="N5546">
        <v>0</v>
      </c>
      <c r="O5546">
        <v>0</v>
      </c>
    </row>
    <row r="5547" spans="1:15" x14ac:dyDescent="0.2">
      <c r="A5547" s="6">
        <v>45799</v>
      </c>
      <c r="B5547" t="s">
        <v>15</v>
      </c>
      <c r="C5547" t="s">
        <v>16</v>
      </c>
      <c r="D5547" s="1">
        <v>45855</v>
      </c>
      <c r="E5547" t="s">
        <v>17</v>
      </c>
      <c r="F5547">
        <v>6500</v>
      </c>
      <c r="J5547">
        <v>9.1999999999999993</v>
      </c>
      <c r="K5547">
        <v>12.8</v>
      </c>
      <c r="L5547">
        <v>0</v>
      </c>
      <c r="M5547" t="s">
        <v>18</v>
      </c>
      <c r="N5547">
        <v>0</v>
      </c>
      <c r="O5547">
        <v>0</v>
      </c>
    </row>
    <row r="5548" spans="1:15" x14ac:dyDescent="0.2">
      <c r="A5548" s="6">
        <v>45799</v>
      </c>
      <c r="B5548" t="s">
        <v>15</v>
      </c>
      <c r="C5548" t="s">
        <v>16</v>
      </c>
      <c r="D5548" s="1">
        <v>45855</v>
      </c>
      <c r="E5548" t="s">
        <v>17</v>
      </c>
      <c r="F5548">
        <v>5900</v>
      </c>
      <c r="J5548">
        <v>53.9</v>
      </c>
      <c r="K5548">
        <v>66.099999999999994</v>
      </c>
      <c r="L5548">
        <v>0</v>
      </c>
      <c r="M5548" t="s">
        <v>18</v>
      </c>
      <c r="N5548">
        <v>0</v>
      </c>
      <c r="O5548">
        <v>0</v>
      </c>
    </row>
    <row r="5549" spans="1:15" x14ac:dyDescent="0.2">
      <c r="A5549" s="6">
        <v>45799</v>
      </c>
      <c r="B5549" t="s">
        <v>15</v>
      </c>
      <c r="C5549" t="s">
        <v>16</v>
      </c>
      <c r="D5549" s="1">
        <v>45855</v>
      </c>
      <c r="E5549" t="s">
        <v>19</v>
      </c>
      <c r="F5549">
        <v>6250</v>
      </c>
      <c r="J5549">
        <v>1019.2</v>
      </c>
      <c r="K5549">
        <v>991.6</v>
      </c>
      <c r="L5549">
        <v>0</v>
      </c>
      <c r="M5549" t="s">
        <v>18</v>
      </c>
      <c r="N5549">
        <v>0</v>
      </c>
      <c r="O5549">
        <v>0</v>
      </c>
    </row>
    <row r="5550" spans="1:15" x14ac:dyDescent="0.2">
      <c r="A5550" s="6">
        <v>45799</v>
      </c>
      <c r="B5550" t="s">
        <v>15</v>
      </c>
      <c r="C5550" t="s">
        <v>16</v>
      </c>
      <c r="D5550" s="1">
        <v>45855</v>
      </c>
      <c r="E5550" t="s">
        <v>17</v>
      </c>
      <c r="F5550">
        <v>5050</v>
      </c>
      <c r="J5550">
        <v>346.3</v>
      </c>
      <c r="K5550">
        <v>376.5</v>
      </c>
      <c r="L5550">
        <v>0</v>
      </c>
      <c r="M5550" t="s">
        <v>18</v>
      </c>
      <c r="N5550">
        <v>0</v>
      </c>
      <c r="O5550">
        <v>0</v>
      </c>
    </row>
    <row r="5551" spans="1:15" x14ac:dyDescent="0.2">
      <c r="A5551" s="6">
        <v>45799</v>
      </c>
      <c r="B5551" t="s">
        <v>15</v>
      </c>
      <c r="C5551" t="s">
        <v>16</v>
      </c>
      <c r="D5551" s="1">
        <v>45855</v>
      </c>
      <c r="E5551" t="s">
        <v>19</v>
      </c>
      <c r="F5551">
        <v>5150</v>
      </c>
      <c r="J5551">
        <v>200</v>
      </c>
      <c r="K5551">
        <v>194.9</v>
      </c>
      <c r="L5551">
        <v>0</v>
      </c>
      <c r="M5551" t="s">
        <v>18</v>
      </c>
      <c r="N5551">
        <v>0</v>
      </c>
      <c r="O5551">
        <v>0</v>
      </c>
    </row>
    <row r="5552" spans="1:15" x14ac:dyDescent="0.2">
      <c r="A5552" s="6">
        <v>45799</v>
      </c>
      <c r="B5552" t="s">
        <v>15</v>
      </c>
      <c r="C5552" t="s">
        <v>16</v>
      </c>
      <c r="D5552" s="1">
        <v>45855</v>
      </c>
      <c r="E5552" t="s">
        <v>19</v>
      </c>
      <c r="F5552">
        <v>5200</v>
      </c>
      <c r="G5552">
        <v>418.9</v>
      </c>
      <c r="H5552">
        <v>418.9</v>
      </c>
      <c r="I5552">
        <v>418.9</v>
      </c>
      <c r="J5552">
        <v>418.9</v>
      </c>
      <c r="K5552">
        <v>217.7</v>
      </c>
      <c r="L5552">
        <v>2</v>
      </c>
      <c r="M5552" t="s">
        <v>28</v>
      </c>
      <c r="N5552">
        <v>11.24</v>
      </c>
      <c r="O5552">
        <v>2</v>
      </c>
    </row>
    <row r="5553" spans="1:15" x14ac:dyDescent="0.2">
      <c r="A5553" s="6">
        <v>45799</v>
      </c>
      <c r="B5553" t="s">
        <v>15</v>
      </c>
      <c r="C5553" t="s">
        <v>16</v>
      </c>
      <c r="D5553" s="1">
        <v>45855</v>
      </c>
      <c r="E5553" t="s">
        <v>17</v>
      </c>
      <c r="F5553">
        <v>5500</v>
      </c>
      <c r="J5553">
        <v>142.9</v>
      </c>
      <c r="K5553">
        <v>164</v>
      </c>
      <c r="L5553">
        <v>0</v>
      </c>
      <c r="M5553" t="s">
        <v>18</v>
      </c>
      <c r="N5553">
        <v>0</v>
      </c>
      <c r="O5553">
        <v>0</v>
      </c>
    </row>
    <row r="5554" spans="1:15" x14ac:dyDescent="0.2">
      <c r="A5554" s="6">
        <v>45799</v>
      </c>
      <c r="B5554" t="s">
        <v>15</v>
      </c>
      <c r="C5554" t="s">
        <v>16</v>
      </c>
      <c r="D5554" s="1">
        <v>45855</v>
      </c>
      <c r="E5554" t="s">
        <v>17</v>
      </c>
      <c r="F5554">
        <v>4150</v>
      </c>
      <c r="J5554">
        <v>1085.2</v>
      </c>
      <c r="K5554">
        <v>1119.2</v>
      </c>
      <c r="L5554">
        <v>0</v>
      </c>
      <c r="M5554" t="s">
        <v>18</v>
      </c>
      <c r="N5554">
        <v>0</v>
      </c>
      <c r="O5554">
        <v>0</v>
      </c>
    </row>
    <row r="5555" spans="1:15" x14ac:dyDescent="0.2">
      <c r="A5555" s="6">
        <v>45799</v>
      </c>
      <c r="B5555" t="s">
        <v>15</v>
      </c>
      <c r="C5555" t="s">
        <v>16</v>
      </c>
      <c r="D5555" s="1">
        <v>45855</v>
      </c>
      <c r="E5555" t="s">
        <v>17</v>
      </c>
      <c r="F5555">
        <v>5200</v>
      </c>
      <c r="J5555">
        <v>264.39999999999998</v>
      </c>
      <c r="K5555">
        <v>292</v>
      </c>
      <c r="L5555">
        <v>0</v>
      </c>
      <c r="M5555" t="s">
        <v>18</v>
      </c>
      <c r="N5555">
        <v>0</v>
      </c>
      <c r="O5555">
        <v>0</v>
      </c>
    </row>
    <row r="5556" spans="1:15" x14ac:dyDescent="0.2">
      <c r="A5556" s="6">
        <v>45799</v>
      </c>
      <c r="B5556" t="s">
        <v>15</v>
      </c>
      <c r="C5556" t="s">
        <v>16</v>
      </c>
      <c r="D5556" s="1">
        <v>45855</v>
      </c>
      <c r="E5556" t="s">
        <v>17</v>
      </c>
      <c r="F5556">
        <v>3950</v>
      </c>
      <c r="J5556">
        <v>1279.8</v>
      </c>
      <c r="K5556">
        <v>1313.5</v>
      </c>
      <c r="L5556">
        <v>0</v>
      </c>
      <c r="M5556" t="s">
        <v>18</v>
      </c>
      <c r="N5556">
        <v>0</v>
      </c>
      <c r="O5556">
        <v>0</v>
      </c>
    </row>
    <row r="5557" spans="1:15" x14ac:dyDescent="0.2">
      <c r="A5557" s="6">
        <v>45799</v>
      </c>
      <c r="B5557" t="s">
        <v>15</v>
      </c>
      <c r="C5557" t="s">
        <v>16</v>
      </c>
      <c r="D5557" s="1">
        <v>45855</v>
      </c>
      <c r="E5557" t="s">
        <v>19</v>
      </c>
      <c r="F5557">
        <v>6350</v>
      </c>
      <c r="J5557">
        <v>1112.9000000000001</v>
      </c>
      <c r="K5557">
        <v>1084.0999999999999</v>
      </c>
      <c r="L5557">
        <v>0</v>
      </c>
      <c r="M5557" t="s">
        <v>18</v>
      </c>
      <c r="N5557">
        <v>0</v>
      </c>
      <c r="O5557">
        <v>0</v>
      </c>
    </row>
    <row r="5558" spans="1:15" x14ac:dyDescent="0.2">
      <c r="A5558" s="6">
        <v>45799</v>
      </c>
      <c r="B5558" t="s">
        <v>15</v>
      </c>
      <c r="C5558" t="s">
        <v>16</v>
      </c>
      <c r="D5558" s="1">
        <v>45855</v>
      </c>
      <c r="E5558" t="s">
        <v>19</v>
      </c>
      <c r="F5558">
        <v>5650</v>
      </c>
      <c r="J5558">
        <v>506.1</v>
      </c>
      <c r="K5558">
        <v>490</v>
      </c>
      <c r="L5558">
        <v>0</v>
      </c>
      <c r="M5558" t="s">
        <v>18</v>
      </c>
      <c r="N5558">
        <v>0</v>
      </c>
      <c r="O5558">
        <v>0</v>
      </c>
    </row>
    <row r="5559" spans="1:15" x14ac:dyDescent="0.2">
      <c r="A5559" s="6">
        <v>45799</v>
      </c>
      <c r="B5559" t="s">
        <v>15</v>
      </c>
      <c r="C5559" t="s">
        <v>16</v>
      </c>
      <c r="D5559" s="1">
        <v>45855</v>
      </c>
      <c r="E5559" t="s">
        <v>19</v>
      </c>
      <c r="F5559">
        <v>5600</v>
      </c>
      <c r="J5559">
        <v>469.3</v>
      </c>
      <c r="K5559">
        <v>454.3</v>
      </c>
      <c r="L5559">
        <v>0</v>
      </c>
      <c r="M5559" t="s">
        <v>18</v>
      </c>
      <c r="N5559">
        <v>0</v>
      </c>
      <c r="O5559">
        <v>0</v>
      </c>
    </row>
    <row r="5560" spans="1:15" x14ac:dyDescent="0.2">
      <c r="A5560" s="6">
        <v>45799</v>
      </c>
      <c r="B5560" t="s">
        <v>15</v>
      </c>
      <c r="C5560" t="s">
        <v>16</v>
      </c>
      <c r="D5560" s="1">
        <v>45855</v>
      </c>
      <c r="E5560" t="s">
        <v>19</v>
      </c>
      <c r="F5560">
        <v>4000</v>
      </c>
      <c r="J5560">
        <v>2</v>
      </c>
      <c r="K5560">
        <v>2.2999999999999998</v>
      </c>
      <c r="L5560">
        <v>0</v>
      </c>
      <c r="M5560" t="s">
        <v>18</v>
      </c>
      <c r="N5560">
        <v>0</v>
      </c>
      <c r="O5560">
        <v>0</v>
      </c>
    </row>
    <row r="5561" spans="1:15" x14ac:dyDescent="0.2">
      <c r="A5561" s="6">
        <v>45799</v>
      </c>
      <c r="B5561" t="s">
        <v>15</v>
      </c>
      <c r="C5561" t="s">
        <v>16</v>
      </c>
      <c r="D5561" s="1">
        <v>45855</v>
      </c>
      <c r="E5561" t="s">
        <v>19</v>
      </c>
      <c r="F5561">
        <v>4850</v>
      </c>
      <c r="J5561">
        <v>90.6</v>
      </c>
      <c r="K5561">
        <v>89.6</v>
      </c>
      <c r="L5561">
        <v>0</v>
      </c>
      <c r="M5561" t="s">
        <v>18</v>
      </c>
      <c r="N5561">
        <v>0</v>
      </c>
      <c r="O5561">
        <v>0</v>
      </c>
    </row>
    <row r="5562" spans="1:15" x14ac:dyDescent="0.2">
      <c r="A5562" s="6">
        <v>45799</v>
      </c>
      <c r="B5562" t="s">
        <v>15</v>
      </c>
      <c r="C5562" t="s">
        <v>16</v>
      </c>
      <c r="D5562" s="1">
        <v>45855</v>
      </c>
      <c r="E5562" t="s">
        <v>17</v>
      </c>
      <c r="F5562">
        <v>6100</v>
      </c>
      <c r="J5562">
        <v>31.1</v>
      </c>
      <c r="K5562">
        <v>39.6</v>
      </c>
      <c r="L5562">
        <v>0</v>
      </c>
      <c r="M5562" t="s">
        <v>18</v>
      </c>
      <c r="N5562">
        <v>0</v>
      </c>
      <c r="O5562">
        <v>0</v>
      </c>
    </row>
    <row r="5563" spans="1:15" x14ac:dyDescent="0.2">
      <c r="A5563" s="6">
        <v>45799</v>
      </c>
      <c r="B5563" t="s">
        <v>15</v>
      </c>
      <c r="C5563" t="s">
        <v>16</v>
      </c>
      <c r="D5563" s="1">
        <v>45855</v>
      </c>
      <c r="E5563" t="s">
        <v>17</v>
      </c>
      <c r="F5563">
        <v>5350</v>
      </c>
      <c r="J5563">
        <v>196.8</v>
      </c>
      <c r="K5563">
        <v>221.3</v>
      </c>
      <c r="L5563">
        <v>0</v>
      </c>
      <c r="M5563" t="s">
        <v>18</v>
      </c>
      <c r="N5563">
        <v>0</v>
      </c>
      <c r="O5563">
        <v>0</v>
      </c>
    </row>
    <row r="5564" spans="1:15" x14ac:dyDescent="0.2">
      <c r="A5564" s="6">
        <v>45799</v>
      </c>
      <c r="B5564" t="s">
        <v>15</v>
      </c>
      <c r="C5564" t="s">
        <v>16</v>
      </c>
      <c r="D5564" s="1">
        <v>45855</v>
      </c>
      <c r="E5564" t="s">
        <v>17</v>
      </c>
      <c r="F5564">
        <v>3650</v>
      </c>
      <c r="J5564">
        <v>1575.6</v>
      </c>
      <c r="K5564">
        <v>1609</v>
      </c>
      <c r="L5564">
        <v>0</v>
      </c>
      <c r="M5564" t="s">
        <v>18</v>
      </c>
      <c r="N5564">
        <v>0</v>
      </c>
      <c r="O5564">
        <v>0</v>
      </c>
    </row>
    <row r="5565" spans="1:15" x14ac:dyDescent="0.2">
      <c r="A5565" s="6">
        <v>45799</v>
      </c>
      <c r="B5565" t="s">
        <v>15</v>
      </c>
      <c r="C5565" t="s">
        <v>16</v>
      </c>
      <c r="D5565" s="1">
        <v>45855</v>
      </c>
      <c r="E5565" t="s">
        <v>19</v>
      </c>
      <c r="F5565">
        <v>5800</v>
      </c>
      <c r="J5565">
        <v>623.4</v>
      </c>
      <c r="K5565">
        <v>603.9</v>
      </c>
      <c r="L5565">
        <v>0</v>
      </c>
      <c r="M5565" t="s">
        <v>18</v>
      </c>
      <c r="N5565">
        <v>0</v>
      </c>
      <c r="O5565">
        <v>0</v>
      </c>
    </row>
    <row r="5566" spans="1:15" x14ac:dyDescent="0.2">
      <c r="A5566" s="6">
        <v>45799</v>
      </c>
      <c r="B5566" t="s">
        <v>15</v>
      </c>
      <c r="C5566" t="s">
        <v>16</v>
      </c>
      <c r="D5566" s="1">
        <v>45855</v>
      </c>
      <c r="E5566" t="s">
        <v>19</v>
      </c>
      <c r="F5566">
        <v>3650</v>
      </c>
      <c r="J5566">
        <v>0.2</v>
      </c>
      <c r="K5566">
        <v>0.2</v>
      </c>
      <c r="L5566">
        <v>0</v>
      </c>
      <c r="M5566" t="s">
        <v>18</v>
      </c>
      <c r="N5566">
        <v>0</v>
      </c>
      <c r="O5566">
        <v>0</v>
      </c>
    </row>
    <row r="5567" spans="1:15" x14ac:dyDescent="0.2">
      <c r="A5567" s="6">
        <v>45799</v>
      </c>
      <c r="B5567" t="s">
        <v>15</v>
      </c>
      <c r="C5567" t="s">
        <v>16</v>
      </c>
      <c r="D5567" s="1">
        <v>45855</v>
      </c>
      <c r="E5567" t="s">
        <v>19</v>
      </c>
      <c r="F5567">
        <v>6000</v>
      </c>
      <c r="J5567">
        <v>792.7</v>
      </c>
      <c r="K5567">
        <v>769.2</v>
      </c>
      <c r="L5567">
        <v>0</v>
      </c>
      <c r="M5567" t="s">
        <v>18</v>
      </c>
      <c r="N5567">
        <v>0</v>
      </c>
      <c r="O5567">
        <v>0</v>
      </c>
    </row>
    <row r="5568" spans="1:15" x14ac:dyDescent="0.2">
      <c r="A5568" s="6">
        <v>45799</v>
      </c>
      <c r="B5568" t="s">
        <v>15</v>
      </c>
      <c r="C5568" t="s">
        <v>16</v>
      </c>
      <c r="D5568" s="1">
        <v>45855</v>
      </c>
      <c r="E5568" t="s">
        <v>17</v>
      </c>
      <c r="F5568">
        <v>6400</v>
      </c>
      <c r="J5568">
        <v>12.7</v>
      </c>
      <c r="K5568">
        <v>17.2</v>
      </c>
      <c r="L5568">
        <v>0</v>
      </c>
      <c r="M5568" t="s">
        <v>18</v>
      </c>
      <c r="N5568">
        <v>0</v>
      </c>
      <c r="O5568">
        <v>0</v>
      </c>
    </row>
    <row r="5569" spans="1:15" x14ac:dyDescent="0.2">
      <c r="A5569" s="6">
        <v>45799</v>
      </c>
      <c r="B5569" t="s">
        <v>15</v>
      </c>
      <c r="C5569" t="s">
        <v>16</v>
      </c>
      <c r="D5569" s="1">
        <v>45855</v>
      </c>
      <c r="E5569" t="s">
        <v>19</v>
      </c>
      <c r="F5569">
        <v>3950</v>
      </c>
      <c r="J5569">
        <v>1.5</v>
      </c>
      <c r="K5569">
        <v>1.7</v>
      </c>
      <c r="L5569">
        <v>0</v>
      </c>
      <c r="M5569" t="s">
        <v>18</v>
      </c>
      <c r="N5569">
        <v>0</v>
      </c>
      <c r="O5569">
        <v>0</v>
      </c>
    </row>
    <row r="5570" spans="1:15" x14ac:dyDescent="0.2">
      <c r="A5570" s="6">
        <v>45799</v>
      </c>
      <c r="B5570" t="s">
        <v>15</v>
      </c>
      <c r="C5570" t="s">
        <v>16</v>
      </c>
      <c r="D5570" s="1">
        <v>45855</v>
      </c>
      <c r="E5570" t="s">
        <v>19</v>
      </c>
      <c r="F5570">
        <v>4750</v>
      </c>
      <c r="J5570">
        <v>66.2</v>
      </c>
      <c r="K5570">
        <v>65.900000000000006</v>
      </c>
      <c r="L5570">
        <v>0</v>
      </c>
      <c r="M5570" t="s">
        <v>18</v>
      </c>
      <c r="N5570">
        <v>0</v>
      </c>
      <c r="O5570">
        <v>0</v>
      </c>
    </row>
    <row r="5571" spans="1:15" x14ac:dyDescent="0.2">
      <c r="A5571" s="6">
        <v>45799</v>
      </c>
      <c r="B5571" t="s">
        <v>15</v>
      </c>
      <c r="C5571" t="s">
        <v>16</v>
      </c>
      <c r="D5571" s="1">
        <v>45855</v>
      </c>
      <c r="E5571" t="s">
        <v>19</v>
      </c>
      <c r="F5571">
        <v>3850</v>
      </c>
      <c r="J5571">
        <v>0.7</v>
      </c>
      <c r="K5571">
        <v>0.9</v>
      </c>
      <c r="L5571">
        <v>0</v>
      </c>
      <c r="M5571" t="s">
        <v>18</v>
      </c>
      <c r="N5571">
        <v>0</v>
      </c>
      <c r="O5571">
        <v>0</v>
      </c>
    </row>
    <row r="5572" spans="1:15" x14ac:dyDescent="0.2">
      <c r="A5572" s="6">
        <v>45799</v>
      </c>
      <c r="B5572" t="s">
        <v>15</v>
      </c>
      <c r="C5572" t="s">
        <v>16</v>
      </c>
      <c r="D5572" s="1">
        <v>45855</v>
      </c>
      <c r="E5572" t="s">
        <v>19</v>
      </c>
      <c r="F5572">
        <v>4800</v>
      </c>
      <c r="J5572">
        <v>77.7</v>
      </c>
      <c r="K5572">
        <v>77.099999999999994</v>
      </c>
      <c r="L5572">
        <v>0</v>
      </c>
      <c r="M5572" t="s">
        <v>18</v>
      </c>
      <c r="N5572">
        <v>0</v>
      </c>
      <c r="O5572">
        <v>0</v>
      </c>
    </row>
    <row r="5573" spans="1:15" x14ac:dyDescent="0.2">
      <c r="A5573" s="6">
        <v>45799</v>
      </c>
      <c r="B5573" t="s">
        <v>15</v>
      </c>
      <c r="C5573" t="s">
        <v>16</v>
      </c>
      <c r="D5573" s="1">
        <v>45855</v>
      </c>
      <c r="E5573" t="s">
        <v>19</v>
      </c>
      <c r="F5573">
        <v>6300</v>
      </c>
      <c r="J5573">
        <v>1065.9000000000001</v>
      </c>
      <c r="K5573">
        <v>1037.7</v>
      </c>
      <c r="L5573">
        <v>0</v>
      </c>
      <c r="M5573" t="s">
        <v>18</v>
      </c>
      <c r="N5573">
        <v>0</v>
      </c>
      <c r="O5573">
        <v>0</v>
      </c>
    </row>
    <row r="5574" spans="1:15" x14ac:dyDescent="0.2">
      <c r="A5574" s="6">
        <v>45799</v>
      </c>
      <c r="B5574" t="s">
        <v>15</v>
      </c>
      <c r="C5574" t="s">
        <v>16</v>
      </c>
      <c r="D5574" s="1">
        <v>45855</v>
      </c>
      <c r="E5574" t="s">
        <v>19</v>
      </c>
      <c r="F5574">
        <v>5850</v>
      </c>
      <c r="J5574">
        <v>664.5</v>
      </c>
      <c r="K5574">
        <v>643.9</v>
      </c>
      <c r="L5574">
        <v>0</v>
      </c>
      <c r="M5574" t="s">
        <v>18</v>
      </c>
      <c r="N5574">
        <v>0</v>
      </c>
      <c r="O5574">
        <v>0</v>
      </c>
    </row>
    <row r="5575" spans="1:15" x14ac:dyDescent="0.2">
      <c r="A5575" s="6">
        <v>45799</v>
      </c>
      <c r="B5575" t="s">
        <v>15</v>
      </c>
      <c r="C5575" t="s">
        <v>16</v>
      </c>
      <c r="D5575" s="1">
        <v>45855</v>
      </c>
      <c r="E5575" t="s">
        <v>17</v>
      </c>
      <c r="F5575">
        <v>5850</v>
      </c>
      <c r="J5575">
        <v>61.5</v>
      </c>
      <c r="K5575">
        <v>74.599999999999994</v>
      </c>
      <c r="L5575">
        <v>0</v>
      </c>
      <c r="M5575" t="s">
        <v>18</v>
      </c>
      <c r="N5575">
        <v>0</v>
      </c>
      <c r="O5575">
        <v>0</v>
      </c>
    </row>
    <row r="5576" spans="1:15" x14ac:dyDescent="0.2">
      <c r="A5576" s="6">
        <v>45799</v>
      </c>
      <c r="B5576" t="s">
        <v>15</v>
      </c>
      <c r="C5576" t="s">
        <v>16</v>
      </c>
      <c r="D5576" s="1">
        <v>45855</v>
      </c>
      <c r="E5576" t="s">
        <v>17</v>
      </c>
      <c r="F5576">
        <v>3900</v>
      </c>
      <c r="J5576">
        <v>1328.9</v>
      </c>
      <c r="K5576">
        <v>1362.5</v>
      </c>
      <c r="L5576">
        <v>0</v>
      </c>
      <c r="M5576" t="s">
        <v>18</v>
      </c>
      <c r="N5576">
        <v>0</v>
      </c>
      <c r="O5576">
        <v>0</v>
      </c>
    </row>
    <row r="5577" spans="1:15" x14ac:dyDescent="0.2">
      <c r="A5577" s="6">
        <v>45799</v>
      </c>
      <c r="B5577" t="s">
        <v>15</v>
      </c>
      <c r="C5577" t="s">
        <v>16</v>
      </c>
      <c r="D5577" s="1">
        <v>45855</v>
      </c>
      <c r="E5577" t="s">
        <v>19</v>
      </c>
      <c r="F5577">
        <v>6500</v>
      </c>
      <c r="J5577">
        <v>1255.9000000000001</v>
      </c>
      <c r="K5577">
        <v>1225.5999999999999</v>
      </c>
      <c r="L5577">
        <v>0</v>
      </c>
      <c r="M5577" t="s">
        <v>18</v>
      </c>
      <c r="N5577">
        <v>0</v>
      </c>
      <c r="O5577">
        <v>0</v>
      </c>
    </row>
    <row r="5578" spans="1:15" x14ac:dyDescent="0.2">
      <c r="A5578" s="6">
        <v>45799</v>
      </c>
      <c r="B5578" t="s">
        <v>15</v>
      </c>
      <c r="C5578" t="s">
        <v>16</v>
      </c>
      <c r="D5578" s="1">
        <v>45855</v>
      </c>
      <c r="E5578" t="s">
        <v>19</v>
      </c>
      <c r="F5578">
        <v>5550</v>
      </c>
      <c r="J5578">
        <v>433.7</v>
      </c>
      <c r="K5578">
        <v>419.9</v>
      </c>
      <c r="L5578">
        <v>0</v>
      </c>
      <c r="M5578" t="s">
        <v>18</v>
      </c>
      <c r="N5578">
        <v>0</v>
      </c>
      <c r="O5578">
        <v>0</v>
      </c>
    </row>
    <row r="5579" spans="1:15" x14ac:dyDescent="0.2">
      <c r="A5579" s="6">
        <v>45799</v>
      </c>
      <c r="B5579" t="s">
        <v>15</v>
      </c>
      <c r="C5579" t="s">
        <v>16</v>
      </c>
      <c r="D5579" s="1">
        <v>45855</v>
      </c>
      <c r="E5579" t="s">
        <v>19</v>
      </c>
      <c r="F5579">
        <v>4150</v>
      </c>
      <c r="J5579">
        <v>4.9000000000000004</v>
      </c>
      <c r="K5579">
        <v>5.4</v>
      </c>
      <c r="L5579">
        <v>0</v>
      </c>
      <c r="M5579" t="s">
        <v>18</v>
      </c>
      <c r="N5579">
        <v>0</v>
      </c>
      <c r="O5579">
        <v>0</v>
      </c>
    </row>
    <row r="5580" spans="1:15" x14ac:dyDescent="0.2">
      <c r="A5580" s="6">
        <v>45799</v>
      </c>
      <c r="B5580" t="s">
        <v>15</v>
      </c>
      <c r="C5580" t="s">
        <v>16</v>
      </c>
      <c r="D5580" s="1">
        <v>45855</v>
      </c>
      <c r="E5580" t="s">
        <v>17</v>
      </c>
      <c r="F5580">
        <v>6150</v>
      </c>
      <c r="J5580">
        <v>26.9</v>
      </c>
      <c r="K5580">
        <v>34.6</v>
      </c>
      <c r="L5580">
        <v>0</v>
      </c>
      <c r="M5580" t="s">
        <v>18</v>
      </c>
      <c r="N5580">
        <v>0</v>
      </c>
      <c r="O5580">
        <v>0</v>
      </c>
    </row>
    <row r="5581" spans="1:15" x14ac:dyDescent="0.2">
      <c r="A5581" s="6">
        <v>45799</v>
      </c>
      <c r="B5581" t="s">
        <v>15</v>
      </c>
      <c r="C5581" t="s">
        <v>16</v>
      </c>
      <c r="D5581" s="1">
        <v>45855</v>
      </c>
      <c r="E5581" t="s">
        <v>19</v>
      </c>
      <c r="F5581">
        <v>4350</v>
      </c>
      <c r="J5581">
        <v>13.7</v>
      </c>
      <c r="K5581">
        <v>14.3</v>
      </c>
      <c r="L5581">
        <v>0</v>
      </c>
      <c r="M5581" t="s">
        <v>18</v>
      </c>
      <c r="N5581">
        <v>0</v>
      </c>
      <c r="O5581">
        <v>0</v>
      </c>
    </row>
    <row r="5582" spans="1:15" x14ac:dyDescent="0.2">
      <c r="A5582" s="6">
        <v>45799</v>
      </c>
      <c r="B5582" t="s">
        <v>15</v>
      </c>
      <c r="C5582" t="s">
        <v>16</v>
      </c>
      <c r="D5582" s="1">
        <v>45855</v>
      </c>
      <c r="E5582" t="s">
        <v>19</v>
      </c>
      <c r="F5582">
        <v>4300</v>
      </c>
      <c r="J5582">
        <v>10.8</v>
      </c>
      <c r="K5582">
        <v>11.4</v>
      </c>
      <c r="L5582">
        <v>0</v>
      </c>
      <c r="M5582" t="s">
        <v>18</v>
      </c>
      <c r="N5582">
        <v>0</v>
      </c>
      <c r="O5582">
        <v>0</v>
      </c>
    </row>
    <row r="5583" spans="1:15" x14ac:dyDescent="0.2">
      <c r="A5583" s="6">
        <v>45799</v>
      </c>
      <c r="B5583" t="s">
        <v>15</v>
      </c>
      <c r="C5583" t="s">
        <v>16</v>
      </c>
      <c r="D5583" s="1">
        <v>45855</v>
      </c>
      <c r="E5583" t="s">
        <v>19</v>
      </c>
      <c r="F5583">
        <v>6450</v>
      </c>
      <c r="J5583">
        <v>1208</v>
      </c>
      <c r="K5583">
        <v>1178.0999999999999</v>
      </c>
      <c r="L5583">
        <v>0</v>
      </c>
      <c r="M5583" t="s">
        <v>18</v>
      </c>
      <c r="N5583">
        <v>0</v>
      </c>
      <c r="O5583">
        <v>0</v>
      </c>
    </row>
    <row r="5584" spans="1:15" x14ac:dyDescent="0.2">
      <c r="A5584" s="6">
        <v>45799</v>
      </c>
      <c r="B5584" t="s">
        <v>15</v>
      </c>
      <c r="C5584" t="s">
        <v>16</v>
      </c>
      <c r="D5584" s="1">
        <v>45855</v>
      </c>
      <c r="E5584" t="s">
        <v>17</v>
      </c>
      <c r="F5584">
        <v>5400</v>
      </c>
      <c r="J5584">
        <v>177.4</v>
      </c>
      <c r="K5584">
        <v>200.8</v>
      </c>
      <c r="L5584">
        <v>0</v>
      </c>
      <c r="M5584" t="s">
        <v>18</v>
      </c>
      <c r="N5584">
        <v>0</v>
      </c>
      <c r="O5584">
        <v>0</v>
      </c>
    </row>
    <row r="5585" spans="1:15" x14ac:dyDescent="0.2">
      <c r="A5585" s="6">
        <v>45799</v>
      </c>
      <c r="B5585" t="s">
        <v>15</v>
      </c>
      <c r="C5585" t="s">
        <v>16</v>
      </c>
      <c r="D5585" s="1">
        <v>45855</v>
      </c>
      <c r="E5585" t="s">
        <v>19</v>
      </c>
      <c r="F5585">
        <v>6600</v>
      </c>
      <c r="J5585">
        <v>1352.3</v>
      </c>
      <c r="K5585">
        <v>1321.2</v>
      </c>
      <c r="L5585">
        <v>0</v>
      </c>
      <c r="M5585" t="s">
        <v>18</v>
      </c>
      <c r="N5585">
        <v>0</v>
      </c>
      <c r="O5585">
        <v>0</v>
      </c>
    </row>
    <row r="5586" spans="1:15" x14ac:dyDescent="0.2">
      <c r="A5586" s="6">
        <v>45799</v>
      </c>
      <c r="B5586" t="s">
        <v>15</v>
      </c>
      <c r="C5586" t="s">
        <v>16</v>
      </c>
      <c r="D5586" s="1">
        <v>45855</v>
      </c>
      <c r="E5586" t="s">
        <v>17</v>
      </c>
      <c r="F5586">
        <v>5650</v>
      </c>
      <c r="J5586">
        <v>101.2</v>
      </c>
      <c r="K5586">
        <v>118.8</v>
      </c>
      <c r="L5586">
        <v>0</v>
      </c>
      <c r="M5586" t="s">
        <v>18</v>
      </c>
      <c r="N5586">
        <v>0</v>
      </c>
      <c r="O5586">
        <v>0</v>
      </c>
    </row>
    <row r="5587" spans="1:15" x14ac:dyDescent="0.2">
      <c r="A5587" s="6">
        <v>45799</v>
      </c>
      <c r="B5587" t="s">
        <v>15</v>
      </c>
      <c r="C5587" t="s">
        <v>16</v>
      </c>
      <c r="D5587" s="1">
        <v>45855</v>
      </c>
      <c r="E5587" t="s">
        <v>19</v>
      </c>
      <c r="F5587">
        <v>5500</v>
      </c>
      <c r="J5587">
        <v>399.3</v>
      </c>
      <c r="K5587">
        <v>386.7</v>
      </c>
      <c r="L5587">
        <v>0</v>
      </c>
      <c r="M5587" t="s">
        <v>18</v>
      </c>
      <c r="N5587">
        <v>0</v>
      </c>
      <c r="O5587">
        <v>0</v>
      </c>
    </row>
    <row r="5588" spans="1:15" x14ac:dyDescent="0.2">
      <c r="A5588" s="6">
        <v>45799</v>
      </c>
      <c r="B5588" t="s">
        <v>15</v>
      </c>
      <c r="C5588" t="s">
        <v>16</v>
      </c>
      <c r="D5588" s="1">
        <v>45855</v>
      </c>
      <c r="E5588" t="s">
        <v>17</v>
      </c>
      <c r="F5588">
        <v>6450</v>
      </c>
      <c r="J5588">
        <v>10.8</v>
      </c>
      <c r="K5588">
        <v>14.8</v>
      </c>
      <c r="L5588">
        <v>0</v>
      </c>
      <c r="M5588" t="s">
        <v>18</v>
      </c>
      <c r="N5588">
        <v>0</v>
      </c>
      <c r="O5588">
        <v>0</v>
      </c>
    </row>
    <row r="5589" spans="1:15" x14ac:dyDescent="0.2">
      <c r="A5589" s="6">
        <v>45799</v>
      </c>
      <c r="B5589" t="s">
        <v>15</v>
      </c>
      <c r="C5589" t="s">
        <v>16</v>
      </c>
      <c r="D5589" s="1">
        <v>45855</v>
      </c>
      <c r="E5589" t="s">
        <v>19</v>
      </c>
      <c r="F5589">
        <v>5000</v>
      </c>
      <c r="J5589">
        <v>138.19999999999999</v>
      </c>
      <c r="K5589">
        <v>135.5</v>
      </c>
      <c r="L5589">
        <v>0</v>
      </c>
      <c r="M5589" t="s">
        <v>18</v>
      </c>
      <c r="N5589">
        <v>0</v>
      </c>
      <c r="O5589">
        <v>0</v>
      </c>
    </row>
    <row r="5590" spans="1:15" x14ac:dyDescent="0.2">
      <c r="A5590" s="6">
        <v>45799</v>
      </c>
      <c r="B5590" t="s">
        <v>15</v>
      </c>
      <c r="C5590" t="s">
        <v>16</v>
      </c>
      <c r="D5590" s="1">
        <v>45855</v>
      </c>
      <c r="E5590" t="s">
        <v>19</v>
      </c>
      <c r="F5590">
        <v>6100</v>
      </c>
      <c r="J5590">
        <v>881.7</v>
      </c>
      <c r="K5590">
        <v>856.4</v>
      </c>
      <c r="L5590">
        <v>0</v>
      </c>
      <c r="M5590" t="s">
        <v>18</v>
      </c>
      <c r="N5590">
        <v>0</v>
      </c>
      <c r="O5590">
        <v>0</v>
      </c>
    </row>
    <row r="5591" spans="1:15" x14ac:dyDescent="0.2">
      <c r="A5591" s="6">
        <v>45799</v>
      </c>
      <c r="B5591" t="s">
        <v>15</v>
      </c>
      <c r="C5591" t="s">
        <v>16</v>
      </c>
      <c r="D5591" s="1">
        <v>45855</v>
      </c>
      <c r="E5591" t="s">
        <v>19</v>
      </c>
      <c r="F5591">
        <v>5750</v>
      </c>
      <c r="J5591">
        <v>583.29999999999995</v>
      </c>
      <c r="K5591">
        <v>564.9</v>
      </c>
      <c r="L5591">
        <v>0</v>
      </c>
      <c r="M5591" t="s">
        <v>18</v>
      </c>
      <c r="N5591">
        <v>0</v>
      </c>
      <c r="O5591">
        <v>0</v>
      </c>
    </row>
    <row r="5592" spans="1:15" x14ac:dyDescent="0.2">
      <c r="A5592" s="6">
        <v>45799</v>
      </c>
      <c r="B5592" t="s">
        <v>15</v>
      </c>
      <c r="C5592" t="s">
        <v>16</v>
      </c>
      <c r="D5592" s="1">
        <v>45855</v>
      </c>
      <c r="E5592" t="s">
        <v>19</v>
      </c>
      <c r="F5592">
        <v>3800</v>
      </c>
      <c r="J5592">
        <v>0.5</v>
      </c>
      <c r="K5592">
        <v>0.6</v>
      </c>
      <c r="L5592">
        <v>0</v>
      </c>
      <c r="M5592" t="s">
        <v>18</v>
      </c>
      <c r="N5592">
        <v>0</v>
      </c>
      <c r="O5592">
        <v>0</v>
      </c>
    </row>
    <row r="5593" spans="1:15" x14ac:dyDescent="0.2">
      <c r="A5593" s="6">
        <v>45799</v>
      </c>
      <c r="B5593" t="s">
        <v>15</v>
      </c>
      <c r="C5593" t="s">
        <v>16</v>
      </c>
      <c r="D5593" s="1">
        <v>45855</v>
      </c>
      <c r="E5593" t="s">
        <v>17</v>
      </c>
      <c r="F5593">
        <v>4300</v>
      </c>
      <c r="J5593">
        <v>942.6</v>
      </c>
      <c r="K5593">
        <v>976.7</v>
      </c>
      <c r="L5593">
        <v>0</v>
      </c>
      <c r="M5593" t="s">
        <v>18</v>
      </c>
      <c r="N5593">
        <v>0</v>
      </c>
      <c r="O5593">
        <v>0</v>
      </c>
    </row>
    <row r="5594" spans="1:15" x14ac:dyDescent="0.2">
      <c r="A5594" s="6">
        <v>45799</v>
      </c>
      <c r="B5594" t="s">
        <v>15</v>
      </c>
      <c r="C5594" t="s">
        <v>16</v>
      </c>
      <c r="D5594" s="1">
        <v>45855</v>
      </c>
      <c r="E5594" t="s">
        <v>17</v>
      </c>
      <c r="F5594">
        <v>4700</v>
      </c>
      <c r="J5594">
        <v>591.6</v>
      </c>
      <c r="K5594">
        <v>625.20000000000005</v>
      </c>
      <c r="L5594">
        <v>0</v>
      </c>
      <c r="M5594" t="s">
        <v>18</v>
      </c>
      <c r="N5594">
        <v>0</v>
      </c>
      <c r="O5594">
        <v>0</v>
      </c>
    </row>
    <row r="5595" spans="1:15" x14ac:dyDescent="0.2">
      <c r="A5595" s="6">
        <v>45799</v>
      </c>
      <c r="B5595" t="s">
        <v>15</v>
      </c>
      <c r="C5595" t="s">
        <v>16</v>
      </c>
      <c r="D5595" s="1">
        <v>45855</v>
      </c>
      <c r="E5595" t="s">
        <v>19</v>
      </c>
      <c r="F5595">
        <v>4050</v>
      </c>
      <c r="J5595">
        <v>2.8</v>
      </c>
      <c r="K5595">
        <v>3.1</v>
      </c>
      <c r="L5595">
        <v>0</v>
      </c>
      <c r="M5595" t="s">
        <v>18</v>
      </c>
      <c r="N5595">
        <v>0</v>
      </c>
      <c r="O5595">
        <v>0</v>
      </c>
    </row>
    <row r="5596" spans="1:15" x14ac:dyDescent="0.2">
      <c r="A5596" s="6">
        <v>45798</v>
      </c>
      <c r="B5596" t="s">
        <v>15</v>
      </c>
      <c r="C5596" t="s">
        <v>16</v>
      </c>
      <c r="D5596" s="1">
        <v>45855</v>
      </c>
      <c r="E5596" t="s">
        <v>17</v>
      </c>
      <c r="F5596">
        <v>4650</v>
      </c>
      <c r="J5596">
        <v>665.9</v>
      </c>
      <c r="K5596">
        <v>700.8</v>
      </c>
      <c r="L5596">
        <v>0</v>
      </c>
      <c r="M5596" t="s">
        <v>18</v>
      </c>
      <c r="N5596">
        <v>0</v>
      </c>
      <c r="O5596">
        <v>0</v>
      </c>
    </row>
    <row r="5597" spans="1:15" x14ac:dyDescent="0.2">
      <c r="A5597" s="6">
        <v>45798</v>
      </c>
      <c r="B5597" t="s">
        <v>15</v>
      </c>
      <c r="C5597" t="s">
        <v>16</v>
      </c>
      <c r="D5597" s="1">
        <v>45855</v>
      </c>
      <c r="E5597" t="s">
        <v>17</v>
      </c>
      <c r="F5597">
        <v>5100</v>
      </c>
      <c r="J5597">
        <v>346.8</v>
      </c>
      <c r="K5597">
        <v>377.5</v>
      </c>
      <c r="L5597">
        <v>0</v>
      </c>
      <c r="M5597" t="s">
        <v>18</v>
      </c>
      <c r="N5597">
        <v>0</v>
      </c>
      <c r="O5597">
        <v>0</v>
      </c>
    </row>
    <row r="5598" spans="1:15" x14ac:dyDescent="0.2">
      <c r="A5598" s="6">
        <v>45798</v>
      </c>
      <c r="B5598" t="s">
        <v>15</v>
      </c>
      <c r="C5598" t="s">
        <v>16</v>
      </c>
      <c r="D5598" s="1">
        <v>45855</v>
      </c>
      <c r="E5598" t="s">
        <v>19</v>
      </c>
      <c r="F5598">
        <v>6650</v>
      </c>
      <c r="J5598">
        <v>1369.4</v>
      </c>
      <c r="K5598">
        <v>1337.7</v>
      </c>
      <c r="L5598">
        <v>0</v>
      </c>
      <c r="M5598" t="s">
        <v>18</v>
      </c>
      <c r="N5598">
        <v>0</v>
      </c>
      <c r="O5598">
        <v>0</v>
      </c>
    </row>
    <row r="5599" spans="1:15" x14ac:dyDescent="0.2">
      <c r="A5599" s="6">
        <v>45798</v>
      </c>
      <c r="B5599" t="s">
        <v>15</v>
      </c>
      <c r="C5599" t="s">
        <v>16</v>
      </c>
      <c r="D5599" s="1">
        <v>45855</v>
      </c>
      <c r="E5599" t="s">
        <v>19</v>
      </c>
      <c r="F5599">
        <v>5100</v>
      </c>
      <c r="J5599">
        <v>173.5</v>
      </c>
      <c r="K5599">
        <v>169.7</v>
      </c>
      <c r="L5599">
        <v>0</v>
      </c>
      <c r="M5599" t="s">
        <v>18</v>
      </c>
      <c r="N5599">
        <v>0</v>
      </c>
      <c r="O5599">
        <v>0</v>
      </c>
    </row>
    <row r="5600" spans="1:15" x14ac:dyDescent="0.2">
      <c r="A5600" s="6">
        <v>45798</v>
      </c>
      <c r="B5600" t="s">
        <v>15</v>
      </c>
      <c r="C5600" t="s">
        <v>16</v>
      </c>
      <c r="D5600" s="1">
        <v>45855</v>
      </c>
      <c r="E5600" t="s">
        <v>17</v>
      </c>
      <c r="F5600">
        <v>4200</v>
      </c>
      <c r="J5600">
        <v>1071.3</v>
      </c>
      <c r="K5600">
        <v>1106.2</v>
      </c>
      <c r="L5600">
        <v>0</v>
      </c>
      <c r="M5600" t="s">
        <v>18</v>
      </c>
      <c r="N5600">
        <v>0</v>
      </c>
      <c r="O5600">
        <v>0</v>
      </c>
    </row>
    <row r="5601" spans="1:15" x14ac:dyDescent="0.2">
      <c r="A5601" s="6">
        <v>45798</v>
      </c>
      <c r="B5601" t="s">
        <v>15</v>
      </c>
      <c r="C5601" t="s">
        <v>16</v>
      </c>
      <c r="D5601" s="1">
        <v>45855</v>
      </c>
      <c r="E5601" t="s">
        <v>17</v>
      </c>
      <c r="F5601">
        <v>4800</v>
      </c>
      <c r="J5601">
        <v>547.4</v>
      </c>
      <c r="K5601">
        <v>581.5</v>
      </c>
      <c r="L5601">
        <v>0</v>
      </c>
      <c r="M5601" t="s">
        <v>18</v>
      </c>
      <c r="N5601">
        <v>0</v>
      </c>
      <c r="O5601">
        <v>0</v>
      </c>
    </row>
    <row r="5602" spans="1:15" x14ac:dyDescent="0.2">
      <c r="A5602" s="6">
        <v>45798</v>
      </c>
      <c r="B5602" t="s">
        <v>15</v>
      </c>
      <c r="C5602" t="s">
        <v>16</v>
      </c>
      <c r="D5602" s="1">
        <v>45855</v>
      </c>
      <c r="E5602" t="s">
        <v>19</v>
      </c>
      <c r="F5602">
        <v>6050</v>
      </c>
      <c r="J5602">
        <v>812.4</v>
      </c>
      <c r="K5602">
        <v>788.6</v>
      </c>
      <c r="L5602">
        <v>0</v>
      </c>
      <c r="M5602" t="s">
        <v>18</v>
      </c>
      <c r="N5602">
        <v>0</v>
      </c>
      <c r="O5602">
        <v>0</v>
      </c>
    </row>
    <row r="5603" spans="1:15" x14ac:dyDescent="0.2">
      <c r="A5603" s="6">
        <v>45798</v>
      </c>
      <c r="B5603" t="s">
        <v>15</v>
      </c>
      <c r="C5603" t="s">
        <v>16</v>
      </c>
      <c r="D5603" s="1">
        <v>45855</v>
      </c>
      <c r="E5603" t="s">
        <v>17</v>
      </c>
      <c r="F5603">
        <v>5250</v>
      </c>
      <c r="J5603">
        <v>266.89999999999998</v>
      </c>
      <c r="K5603">
        <v>295.10000000000002</v>
      </c>
      <c r="L5603">
        <v>0</v>
      </c>
      <c r="M5603" t="s">
        <v>18</v>
      </c>
      <c r="N5603">
        <v>0</v>
      </c>
      <c r="O5603">
        <v>0</v>
      </c>
    </row>
    <row r="5604" spans="1:15" x14ac:dyDescent="0.2">
      <c r="A5604" s="6">
        <v>45798</v>
      </c>
      <c r="B5604" t="s">
        <v>15</v>
      </c>
      <c r="C5604" t="s">
        <v>16</v>
      </c>
      <c r="D5604" s="1">
        <v>45855</v>
      </c>
      <c r="E5604" t="s">
        <v>17</v>
      </c>
      <c r="F5604">
        <v>4900</v>
      </c>
      <c r="J5604">
        <v>474.7</v>
      </c>
      <c r="K5604">
        <v>508</v>
      </c>
      <c r="L5604">
        <v>0</v>
      </c>
      <c r="M5604" t="s">
        <v>18</v>
      </c>
      <c r="N5604">
        <v>0</v>
      </c>
      <c r="O5604">
        <v>0</v>
      </c>
    </row>
    <row r="5605" spans="1:15" x14ac:dyDescent="0.2">
      <c r="A5605" s="6">
        <v>45798</v>
      </c>
      <c r="B5605" t="s">
        <v>15</v>
      </c>
      <c r="C5605" t="s">
        <v>16</v>
      </c>
      <c r="D5605" s="1">
        <v>45855</v>
      </c>
      <c r="E5605" t="s">
        <v>17</v>
      </c>
      <c r="F5605">
        <v>4950</v>
      </c>
      <c r="J5605">
        <v>440.5</v>
      </c>
      <c r="K5605">
        <v>473.2</v>
      </c>
      <c r="L5605">
        <v>0</v>
      </c>
      <c r="M5605" t="s">
        <v>18</v>
      </c>
      <c r="N5605">
        <v>0</v>
      </c>
      <c r="O5605">
        <v>0</v>
      </c>
    </row>
    <row r="5606" spans="1:15" x14ac:dyDescent="0.2">
      <c r="A5606" s="6">
        <v>45798</v>
      </c>
      <c r="B5606" t="s">
        <v>15</v>
      </c>
      <c r="C5606" t="s">
        <v>16</v>
      </c>
      <c r="D5606" s="1">
        <v>45855</v>
      </c>
      <c r="E5606" t="s">
        <v>19</v>
      </c>
      <c r="F5606">
        <v>4900</v>
      </c>
      <c r="J5606">
        <v>103.5</v>
      </c>
      <c r="K5606">
        <v>102.1</v>
      </c>
      <c r="L5606">
        <v>0</v>
      </c>
      <c r="M5606" t="s">
        <v>18</v>
      </c>
      <c r="N5606">
        <v>0</v>
      </c>
      <c r="O5606">
        <v>0</v>
      </c>
    </row>
    <row r="5607" spans="1:15" x14ac:dyDescent="0.2">
      <c r="A5607" s="6">
        <v>45798</v>
      </c>
      <c r="B5607" t="s">
        <v>15</v>
      </c>
      <c r="C5607" t="s">
        <v>16</v>
      </c>
      <c r="D5607" s="1">
        <v>45855</v>
      </c>
      <c r="E5607" t="s">
        <v>17</v>
      </c>
      <c r="F5607">
        <v>5300</v>
      </c>
      <c r="J5607">
        <v>243.4</v>
      </c>
      <c r="K5607">
        <v>270.5</v>
      </c>
      <c r="L5607">
        <v>0</v>
      </c>
      <c r="M5607" t="s">
        <v>18</v>
      </c>
      <c r="N5607">
        <v>0</v>
      </c>
      <c r="O5607">
        <v>0</v>
      </c>
    </row>
    <row r="5608" spans="1:15" x14ac:dyDescent="0.2">
      <c r="A5608" s="6">
        <v>45798</v>
      </c>
      <c r="B5608" t="s">
        <v>15</v>
      </c>
      <c r="C5608" t="s">
        <v>16</v>
      </c>
      <c r="D5608" s="1">
        <v>45855</v>
      </c>
      <c r="E5608" t="s">
        <v>19</v>
      </c>
      <c r="F5608">
        <v>3600</v>
      </c>
      <c r="J5608">
        <v>0.1</v>
      </c>
      <c r="K5608">
        <v>0.2</v>
      </c>
      <c r="L5608">
        <v>0</v>
      </c>
      <c r="M5608" t="s">
        <v>18</v>
      </c>
      <c r="N5608">
        <v>0</v>
      </c>
      <c r="O5608">
        <v>0</v>
      </c>
    </row>
    <row r="5609" spans="1:15" x14ac:dyDescent="0.2">
      <c r="A5609" s="6">
        <v>45798</v>
      </c>
      <c r="B5609" t="s">
        <v>15</v>
      </c>
      <c r="C5609" t="s">
        <v>16</v>
      </c>
      <c r="D5609" s="1">
        <v>45855</v>
      </c>
      <c r="E5609" t="s">
        <v>19</v>
      </c>
      <c r="F5609">
        <v>5250</v>
      </c>
      <c r="J5609">
        <v>242.2</v>
      </c>
      <c r="K5609">
        <v>235.7</v>
      </c>
      <c r="L5609">
        <v>0</v>
      </c>
      <c r="M5609" t="s">
        <v>18</v>
      </c>
      <c r="N5609">
        <v>0</v>
      </c>
      <c r="O5609">
        <v>0</v>
      </c>
    </row>
    <row r="5610" spans="1:15" x14ac:dyDescent="0.2">
      <c r="A5610" s="6">
        <v>45798</v>
      </c>
      <c r="B5610" t="s">
        <v>15</v>
      </c>
      <c r="C5610" t="s">
        <v>16</v>
      </c>
      <c r="D5610" s="1">
        <v>45855</v>
      </c>
      <c r="E5610" t="s">
        <v>19</v>
      </c>
      <c r="F5610">
        <v>4200</v>
      </c>
      <c r="J5610">
        <v>7</v>
      </c>
      <c r="K5610">
        <v>7.5</v>
      </c>
      <c r="L5610">
        <v>0</v>
      </c>
      <c r="M5610" t="s">
        <v>18</v>
      </c>
      <c r="N5610">
        <v>0</v>
      </c>
      <c r="O5610">
        <v>0</v>
      </c>
    </row>
    <row r="5611" spans="1:15" x14ac:dyDescent="0.2">
      <c r="A5611" s="6">
        <v>45798</v>
      </c>
      <c r="B5611" t="s">
        <v>15</v>
      </c>
      <c r="C5611" t="s">
        <v>16</v>
      </c>
      <c r="D5611" s="1">
        <v>45855</v>
      </c>
      <c r="E5611" t="s">
        <v>19</v>
      </c>
      <c r="F5611">
        <v>3900</v>
      </c>
      <c r="J5611">
        <v>1.2</v>
      </c>
      <c r="K5611">
        <v>1.4</v>
      </c>
      <c r="L5611">
        <v>0</v>
      </c>
      <c r="M5611" t="s">
        <v>18</v>
      </c>
      <c r="N5611">
        <v>0</v>
      </c>
      <c r="O5611">
        <v>0</v>
      </c>
    </row>
    <row r="5612" spans="1:15" x14ac:dyDescent="0.2">
      <c r="A5612" s="6">
        <v>45798</v>
      </c>
      <c r="B5612" t="s">
        <v>15</v>
      </c>
      <c r="C5612" t="s">
        <v>16</v>
      </c>
      <c r="D5612" s="1">
        <v>45855</v>
      </c>
      <c r="E5612" t="s">
        <v>17</v>
      </c>
      <c r="F5612">
        <v>5950</v>
      </c>
      <c r="J5612">
        <v>58.3</v>
      </c>
      <c r="K5612">
        <v>71.2</v>
      </c>
      <c r="L5612">
        <v>0</v>
      </c>
      <c r="M5612" t="s">
        <v>18</v>
      </c>
      <c r="N5612">
        <v>0</v>
      </c>
      <c r="O5612">
        <v>0</v>
      </c>
    </row>
    <row r="5613" spans="1:15" x14ac:dyDescent="0.2">
      <c r="A5613" s="6">
        <v>45798</v>
      </c>
      <c r="B5613" t="s">
        <v>15</v>
      </c>
      <c r="C5613" t="s">
        <v>16</v>
      </c>
      <c r="D5613" s="1">
        <v>45855</v>
      </c>
      <c r="E5613" t="s">
        <v>17</v>
      </c>
      <c r="F5613">
        <v>4750</v>
      </c>
      <c r="J5613">
        <v>585.70000000000005</v>
      </c>
      <c r="K5613">
        <v>620.1</v>
      </c>
      <c r="L5613">
        <v>0</v>
      </c>
      <c r="M5613" t="s">
        <v>18</v>
      </c>
      <c r="N5613">
        <v>0</v>
      </c>
      <c r="O5613">
        <v>0</v>
      </c>
    </row>
    <row r="5614" spans="1:15" x14ac:dyDescent="0.2">
      <c r="A5614" s="6">
        <v>45798</v>
      </c>
      <c r="B5614" t="s">
        <v>15</v>
      </c>
      <c r="C5614" t="s">
        <v>16</v>
      </c>
      <c r="D5614" s="1">
        <v>45855</v>
      </c>
      <c r="E5614" t="s">
        <v>19</v>
      </c>
      <c r="F5614">
        <v>6550</v>
      </c>
      <c r="J5614">
        <v>1273.3</v>
      </c>
      <c r="K5614">
        <v>1242.5</v>
      </c>
      <c r="L5614">
        <v>0</v>
      </c>
      <c r="M5614" t="s">
        <v>18</v>
      </c>
      <c r="N5614">
        <v>0</v>
      </c>
      <c r="O5614">
        <v>0</v>
      </c>
    </row>
    <row r="5615" spans="1:15" x14ac:dyDescent="0.2">
      <c r="A5615" s="6">
        <v>45798</v>
      </c>
      <c r="B5615" t="s">
        <v>15</v>
      </c>
      <c r="C5615" t="s">
        <v>16</v>
      </c>
      <c r="D5615" s="1">
        <v>45855</v>
      </c>
      <c r="E5615" t="s">
        <v>17</v>
      </c>
      <c r="F5615">
        <v>5700</v>
      </c>
      <c r="J5615">
        <v>106.1</v>
      </c>
      <c r="K5615">
        <v>124.4</v>
      </c>
      <c r="L5615">
        <v>0</v>
      </c>
      <c r="M5615" t="s">
        <v>18</v>
      </c>
      <c r="N5615">
        <v>0</v>
      </c>
      <c r="O5615">
        <v>0</v>
      </c>
    </row>
    <row r="5616" spans="1:15" x14ac:dyDescent="0.2">
      <c r="A5616" s="6">
        <v>45798</v>
      </c>
      <c r="B5616" t="s">
        <v>15</v>
      </c>
      <c r="C5616" t="s">
        <v>16</v>
      </c>
      <c r="D5616" s="1">
        <v>45855</v>
      </c>
      <c r="E5616" t="s">
        <v>17</v>
      </c>
      <c r="F5616">
        <v>5200</v>
      </c>
      <c r="J5616">
        <v>292</v>
      </c>
      <c r="K5616">
        <v>321.10000000000002</v>
      </c>
      <c r="L5616">
        <v>0</v>
      </c>
      <c r="M5616" t="s">
        <v>18</v>
      </c>
      <c r="N5616">
        <v>0</v>
      </c>
      <c r="O5616">
        <v>0</v>
      </c>
    </row>
    <row r="5617" spans="1:15" x14ac:dyDescent="0.2">
      <c r="A5617" s="6">
        <v>45798</v>
      </c>
      <c r="B5617" t="s">
        <v>15</v>
      </c>
      <c r="C5617" t="s">
        <v>16</v>
      </c>
      <c r="D5617" s="1">
        <v>45855</v>
      </c>
      <c r="E5617" t="s">
        <v>17</v>
      </c>
      <c r="F5617">
        <v>6200</v>
      </c>
      <c r="J5617">
        <v>30.2</v>
      </c>
      <c r="K5617">
        <v>38.6</v>
      </c>
      <c r="L5617">
        <v>0</v>
      </c>
      <c r="M5617" t="s">
        <v>18</v>
      </c>
      <c r="N5617">
        <v>0</v>
      </c>
      <c r="O5617">
        <v>0</v>
      </c>
    </row>
    <row r="5618" spans="1:15" x14ac:dyDescent="0.2">
      <c r="A5618" s="6">
        <v>45798</v>
      </c>
      <c r="B5618" t="s">
        <v>15</v>
      </c>
      <c r="C5618" t="s">
        <v>16</v>
      </c>
      <c r="D5618" s="1">
        <v>45855</v>
      </c>
      <c r="E5618" t="s">
        <v>19</v>
      </c>
      <c r="F5618">
        <v>6150</v>
      </c>
      <c r="J5618">
        <v>900.9</v>
      </c>
      <c r="K5618">
        <v>875.3</v>
      </c>
      <c r="L5618">
        <v>0</v>
      </c>
      <c r="M5618" t="s">
        <v>18</v>
      </c>
      <c r="N5618">
        <v>0</v>
      </c>
      <c r="O5618">
        <v>0</v>
      </c>
    </row>
    <row r="5619" spans="1:15" x14ac:dyDescent="0.2">
      <c r="A5619" s="6">
        <v>45798</v>
      </c>
      <c r="B5619" t="s">
        <v>15</v>
      </c>
      <c r="C5619" t="s">
        <v>16</v>
      </c>
      <c r="D5619" s="1">
        <v>45855</v>
      </c>
      <c r="E5619" t="s">
        <v>17</v>
      </c>
      <c r="F5619">
        <v>4450</v>
      </c>
      <c r="J5619">
        <v>838.8</v>
      </c>
      <c r="K5619">
        <v>874</v>
      </c>
      <c r="L5619">
        <v>0</v>
      </c>
      <c r="M5619" t="s">
        <v>18</v>
      </c>
      <c r="N5619">
        <v>0</v>
      </c>
      <c r="O5619">
        <v>0</v>
      </c>
    </row>
    <row r="5620" spans="1:15" x14ac:dyDescent="0.2">
      <c r="A5620" s="6">
        <v>45798</v>
      </c>
      <c r="B5620" t="s">
        <v>15</v>
      </c>
      <c r="C5620" t="s">
        <v>16</v>
      </c>
      <c r="D5620" s="1">
        <v>45855</v>
      </c>
      <c r="E5620" t="s">
        <v>17</v>
      </c>
      <c r="F5620">
        <v>4100</v>
      </c>
      <c r="J5620">
        <v>1167.4000000000001</v>
      </c>
      <c r="K5620">
        <v>1202.2</v>
      </c>
      <c r="L5620">
        <v>0</v>
      </c>
      <c r="M5620" t="s">
        <v>18</v>
      </c>
      <c r="N5620">
        <v>0</v>
      </c>
      <c r="O5620">
        <v>0</v>
      </c>
    </row>
    <row r="5621" spans="1:15" x14ac:dyDescent="0.2">
      <c r="A5621" s="6">
        <v>45798</v>
      </c>
      <c r="B5621" t="s">
        <v>15</v>
      </c>
      <c r="C5621" t="s">
        <v>16</v>
      </c>
      <c r="D5621" s="1">
        <v>45855</v>
      </c>
      <c r="E5621" t="s">
        <v>17</v>
      </c>
      <c r="F5621">
        <v>4400</v>
      </c>
      <c r="J5621">
        <v>884.1</v>
      </c>
      <c r="K5621">
        <v>919.3</v>
      </c>
      <c r="L5621">
        <v>0</v>
      </c>
      <c r="M5621" t="s">
        <v>18</v>
      </c>
      <c r="N5621">
        <v>0</v>
      </c>
      <c r="O5621">
        <v>0</v>
      </c>
    </row>
    <row r="5622" spans="1:15" x14ac:dyDescent="0.2">
      <c r="A5622" s="6">
        <v>45798</v>
      </c>
      <c r="B5622" t="s">
        <v>15</v>
      </c>
      <c r="C5622" t="s">
        <v>16</v>
      </c>
      <c r="D5622" s="1">
        <v>45855</v>
      </c>
      <c r="E5622" t="s">
        <v>17</v>
      </c>
      <c r="F5622">
        <v>5000</v>
      </c>
      <c r="J5622">
        <v>407.8</v>
      </c>
      <c r="K5622">
        <v>439.9</v>
      </c>
      <c r="L5622">
        <v>0</v>
      </c>
      <c r="M5622" t="s">
        <v>18</v>
      </c>
      <c r="N5622">
        <v>0</v>
      </c>
      <c r="O5622">
        <v>0</v>
      </c>
    </row>
    <row r="5623" spans="1:15" x14ac:dyDescent="0.2">
      <c r="A5623" s="6">
        <v>45798</v>
      </c>
      <c r="B5623" t="s">
        <v>15</v>
      </c>
      <c r="C5623" t="s">
        <v>16</v>
      </c>
      <c r="D5623" s="1">
        <v>45855</v>
      </c>
      <c r="E5623" t="s">
        <v>17</v>
      </c>
      <c r="F5623">
        <v>5150</v>
      </c>
      <c r="J5623">
        <v>318.60000000000002</v>
      </c>
      <c r="K5623">
        <v>348.6</v>
      </c>
      <c r="L5623">
        <v>0</v>
      </c>
      <c r="M5623" t="s">
        <v>18</v>
      </c>
      <c r="N5623">
        <v>0</v>
      </c>
      <c r="O5623">
        <v>0</v>
      </c>
    </row>
    <row r="5624" spans="1:15" x14ac:dyDescent="0.2">
      <c r="A5624" s="6">
        <v>45798</v>
      </c>
      <c r="B5624" t="s">
        <v>15</v>
      </c>
      <c r="C5624" t="s">
        <v>16</v>
      </c>
      <c r="D5624" s="1">
        <v>45855</v>
      </c>
      <c r="E5624" t="s">
        <v>17</v>
      </c>
      <c r="F5624">
        <v>3700</v>
      </c>
      <c r="J5624">
        <v>1559.6</v>
      </c>
      <c r="K5624">
        <v>1594</v>
      </c>
      <c r="L5624">
        <v>0</v>
      </c>
      <c r="M5624" t="s">
        <v>18</v>
      </c>
      <c r="N5624">
        <v>0</v>
      </c>
      <c r="O5624">
        <v>0</v>
      </c>
    </row>
    <row r="5625" spans="1:15" x14ac:dyDescent="0.2">
      <c r="A5625" s="6">
        <v>45798</v>
      </c>
      <c r="B5625" t="s">
        <v>15</v>
      </c>
      <c r="C5625" t="s">
        <v>16</v>
      </c>
      <c r="D5625" s="1">
        <v>45855</v>
      </c>
      <c r="E5625" t="s">
        <v>17</v>
      </c>
      <c r="F5625">
        <v>4850</v>
      </c>
      <c r="J5625">
        <v>510.4</v>
      </c>
      <c r="K5625">
        <v>544.1</v>
      </c>
      <c r="L5625">
        <v>0</v>
      </c>
      <c r="M5625" t="s">
        <v>18</v>
      </c>
      <c r="N5625">
        <v>0</v>
      </c>
      <c r="O5625">
        <v>0</v>
      </c>
    </row>
    <row r="5626" spans="1:15" x14ac:dyDescent="0.2">
      <c r="A5626" s="6">
        <v>45798</v>
      </c>
      <c r="B5626" t="s">
        <v>15</v>
      </c>
      <c r="C5626" t="s">
        <v>16</v>
      </c>
      <c r="D5626" s="1">
        <v>45855</v>
      </c>
      <c r="E5626" t="s">
        <v>17</v>
      </c>
      <c r="F5626">
        <v>4350</v>
      </c>
      <c r="J5626">
        <v>930.1</v>
      </c>
      <c r="K5626">
        <v>965.2</v>
      </c>
      <c r="L5626">
        <v>0</v>
      </c>
      <c r="M5626" t="s">
        <v>18</v>
      </c>
      <c r="N5626">
        <v>0</v>
      </c>
      <c r="O5626">
        <v>0</v>
      </c>
    </row>
    <row r="5627" spans="1:15" x14ac:dyDescent="0.2">
      <c r="A5627" s="6">
        <v>45798</v>
      </c>
      <c r="B5627" t="s">
        <v>15</v>
      </c>
      <c r="C5627" t="s">
        <v>16</v>
      </c>
      <c r="D5627" s="1">
        <v>45855</v>
      </c>
      <c r="E5627" t="s">
        <v>19</v>
      </c>
      <c r="F5627">
        <v>5200</v>
      </c>
      <c r="J5627">
        <v>217.7</v>
      </c>
      <c r="K5627">
        <v>212.2</v>
      </c>
      <c r="L5627">
        <v>0</v>
      </c>
      <c r="M5627" t="s">
        <v>18</v>
      </c>
      <c r="N5627">
        <v>0</v>
      </c>
      <c r="O5627">
        <v>0</v>
      </c>
    </row>
    <row r="5628" spans="1:15" x14ac:dyDescent="0.2">
      <c r="A5628" s="6">
        <v>45798</v>
      </c>
      <c r="B5628" t="s">
        <v>15</v>
      </c>
      <c r="C5628" t="s">
        <v>16</v>
      </c>
      <c r="D5628" s="1">
        <v>45855</v>
      </c>
      <c r="E5628" t="s">
        <v>17</v>
      </c>
      <c r="F5628">
        <v>5750</v>
      </c>
      <c r="J5628">
        <v>94.6</v>
      </c>
      <c r="K5628">
        <v>111.7</v>
      </c>
      <c r="L5628">
        <v>0</v>
      </c>
      <c r="M5628" t="s">
        <v>18</v>
      </c>
      <c r="N5628">
        <v>0</v>
      </c>
      <c r="O5628">
        <v>0</v>
      </c>
    </row>
    <row r="5629" spans="1:15" x14ac:dyDescent="0.2">
      <c r="A5629" s="6">
        <v>45798</v>
      </c>
      <c r="B5629" t="s">
        <v>15</v>
      </c>
      <c r="C5629" t="s">
        <v>16</v>
      </c>
      <c r="D5629" s="1">
        <v>45855</v>
      </c>
      <c r="E5629" t="s">
        <v>19</v>
      </c>
      <c r="F5629">
        <v>4800</v>
      </c>
      <c r="J5629">
        <v>77.099999999999994</v>
      </c>
      <c r="K5629">
        <v>76.599999999999994</v>
      </c>
      <c r="L5629">
        <v>0</v>
      </c>
      <c r="M5629" t="s">
        <v>18</v>
      </c>
      <c r="N5629">
        <v>0</v>
      </c>
      <c r="O5629">
        <v>0</v>
      </c>
    </row>
    <row r="5630" spans="1:15" x14ac:dyDescent="0.2">
      <c r="A5630" s="6">
        <v>45798</v>
      </c>
      <c r="B5630" t="s">
        <v>15</v>
      </c>
      <c r="C5630" t="s">
        <v>16</v>
      </c>
      <c r="D5630" s="1">
        <v>45855</v>
      </c>
      <c r="E5630" t="s">
        <v>17</v>
      </c>
      <c r="F5630">
        <v>3800</v>
      </c>
      <c r="J5630">
        <v>1460.9</v>
      </c>
      <c r="K5630">
        <v>1495.4</v>
      </c>
      <c r="L5630">
        <v>0</v>
      </c>
      <c r="M5630" t="s">
        <v>18</v>
      </c>
      <c r="N5630">
        <v>0</v>
      </c>
      <c r="O5630">
        <v>0</v>
      </c>
    </row>
    <row r="5631" spans="1:15" x14ac:dyDescent="0.2">
      <c r="A5631" s="6">
        <v>45798</v>
      </c>
      <c r="B5631" t="s">
        <v>15</v>
      </c>
      <c r="C5631" t="s">
        <v>16</v>
      </c>
      <c r="D5631" s="1">
        <v>45855</v>
      </c>
      <c r="E5631" t="s">
        <v>19</v>
      </c>
      <c r="F5631">
        <v>5900</v>
      </c>
      <c r="J5631">
        <v>684.8</v>
      </c>
      <c r="K5631">
        <v>663.9</v>
      </c>
      <c r="L5631">
        <v>0</v>
      </c>
      <c r="M5631" t="s">
        <v>18</v>
      </c>
      <c r="N5631">
        <v>0</v>
      </c>
      <c r="O5631">
        <v>0</v>
      </c>
    </row>
    <row r="5632" spans="1:15" x14ac:dyDescent="0.2">
      <c r="A5632" s="6">
        <v>45798</v>
      </c>
      <c r="B5632" t="s">
        <v>15</v>
      </c>
      <c r="C5632" t="s">
        <v>16</v>
      </c>
      <c r="D5632" s="1">
        <v>45855</v>
      </c>
      <c r="E5632" t="s">
        <v>17</v>
      </c>
      <c r="F5632">
        <v>5600</v>
      </c>
      <c r="J5632">
        <v>132.6</v>
      </c>
      <c r="K5632">
        <v>153.1</v>
      </c>
      <c r="L5632">
        <v>0</v>
      </c>
      <c r="M5632" t="s">
        <v>18</v>
      </c>
      <c r="N5632">
        <v>0</v>
      </c>
      <c r="O5632">
        <v>0</v>
      </c>
    </row>
    <row r="5633" spans="1:15" x14ac:dyDescent="0.2">
      <c r="A5633" s="6">
        <v>45798</v>
      </c>
      <c r="B5633" t="s">
        <v>15</v>
      </c>
      <c r="C5633" t="s">
        <v>16</v>
      </c>
      <c r="D5633" s="1">
        <v>45855</v>
      </c>
      <c r="E5633" t="s">
        <v>19</v>
      </c>
      <c r="F5633">
        <v>4950</v>
      </c>
      <c r="J5633">
        <v>118.7</v>
      </c>
      <c r="K5633">
        <v>116.9</v>
      </c>
      <c r="L5633">
        <v>0</v>
      </c>
      <c r="M5633" t="s">
        <v>18</v>
      </c>
      <c r="N5633">
        <v>0</v>
      </c>
      <c r="O5633">
        <v>0</v>
      </c>
    </row>
    <row r="5634" spans="1:15" x14ac:dyDescent="0.2">
      <c r="A5634" s="6">
        <v>45798</v>
      </c>
      <c r="B5634" t="s">
        <v>15</v>
      </c>
      <c r="C5634" t="s">
        <v>16</v>
      </c>
      <c r="D5634" s="1">
        <v>45855</v>
      </c>
      <c r="E5634" t="s">
        <v>19</v>
      </c>
      <c r="F5634">
        <v>4600</v>
      </c>
      <c r="J5634">
        <v>39.5</v>
      </c>
      <c r="K5634">
        <v>39.9</v>
      </c>
      <c r="L5634">
        <v>0</v>
      </c>
      <c r="M5634" t="s">
        <v>18</v>
      </c>
      <c r="N5634">
        <v>0</v>
      </c>
      <c r="O5634">
        <v>0</v>
      </c>
    </row>
    <row r="5635" spans="1:15" x14ac:dyDescent="0.2">
      <c r="A5635" s="6">
        <v>45798</v>
      </c>
      <c r="B5635" t="s">
        <v>15</v>
      </c>
      <c r="C5635" t="s">
        <v>16</v>
      </c>
      <c r="D5635" s="1">
        <v>45855</v>
      </c>
      <c r="E5635" t="s">
        <v>19</v>
      </c>
      <c r="F5635">
        <v>6200</v>
      </c>
      <c r="J5635">
        <v>946</v>
      </c>
      <c r="K5635">
        <v>919.6</v>
      </c>
      <c r="L5635">
        <v>0</v>
      </c>
      <c r="M5635" t="s">
        <v>18</v>
      </c>
      <c r="N5635">
        <v>0</v>
      </c>
      <c r="O5635">
        <v>0</v>
      </c>
    </row>
    <row r="5636" spans="1:15" x14ac:dyDescent="0.2">
      <c r="A5636" s="6">
        <v>45798</v>
      </c>
      <c r="B5636" t="s">
        <v>15</v>
      </c>
      <c r="C5636" t="s">
        <v>16</v>
      </c>
      <c r="D5636" s="1">
        <v>45855</v>
      </c>
      <c r="E5636" t="s">
        <v>19</v>
      </c>
      <c r="F5636">
        <v>4250</v>
      </c>
      <c r="J5636">
        <v>8.9</v>
      </c>
      <c r="K5636">
        <v>9.5</v>
      </c>
      <c r="L5636">
        <v>0</v>
      </c>
      <c r="M5636" t="s">
        <v>18</v>
      </c>
      <c r="N5636">
        <v>0</v>
      </c>
      <c r="O5636">
        <v>0</v>
      </c>
    </row>
    <row r="5637" spans="1:15" x14ac:dyDescent="0.2">
      <c r="A5637" s="6">
        <v>45798</v>
      </c>
      <c r="B5637" t="s">
        <v>15</v>
      </c>
      <c r="C5637" t="s">
        <v>16</v>
      </c>
      <c r="D5637" s="1">
        <v>45855</v>
      </c>
      <c r="E5637" t="s">
        <v>19</v>
      </c>
      <c r="F5637">
        <v>3700</v>
      </c>
      <c r="J5637">
        <v>0.3</v>
      </c>
      <c r="K5637">
        <v>0.4</v>
      </c>
      <c r="L5637">
        <v>0</v>
      </c>
      <c r="M5637" t="s">
        <v>18</v>
      </c>
      <c r="N5637">
        <v>0</v>
      </c>
      <c r="O5637">
        <v>0</v>
      </c>
    </row>
    <row r="5638" spans="1:15" x14ac:dyDescent="0.2">
      <c r="A5638" s="6">
        <v>45798</v>
      </c>
      <c r="B5638" t="s">
        <v>15</v>
      </c>
      <c r="C5638" t="s">
        <v>16</v>
      </c>
      <c r="D5638" s="1">
        <v>45855</v>
      </c>
      <c r="E5638" t="s">
        <v>19</v>
      </c>
      <c r="F5638">
        <v>4450</v>
      </c>
      <c r="J5638">
        <v>22</v>
      </c>
      <c r="K5638">
        <v>22.7</v>
      </c>
      <c r="L5638">
        <v>0</v>
      </c>
      <c r="M5638" t="s">
        <v>18</v>
      </c>
      <c r="N5638">
        <v>0</v>
      </c>
      <c r="O5638">
        <v>0</v>
      </c>
    </row>
    <row r="5639" spans="1:15" x14ac:dyDescent="0.2">
      <c r="A5639" s="6">
        <v>45798</v>
      </c>
      <c r="B5639" t="s">
        <v>15</v>
      </c>
      <c r="C5639" t="s">
        <v>16</v>
      </c>
      <c r="D5639" s="1">
        <v>45855</v>
      </c>
      <c r="E5639" t="s">
        <v>19</v>
      </c>
      <c r="F5639">
        <v>5050</v>
      </c>
      <c r="J5639">
        <v>153.80000000000001</v>
      </c>
      <c r="K5639">
        <v>150.6</v>
      </c>
      <c r="L5639">
        <v>0</v>
      </c>
      <c r="M5639" t="s">
        <v>18</v>
      </c>
      <c r="N5639">
        <v>0</v>
      </c>
      <c r="O5639">
        <v>0</v>
      </c>
    </row>
    <row r="5640" spans="1:15" x14ac:dyDescent="0.2">
      <c r="A5640" s="6">
        <v>45798</v>
      </c>
      <c r="B5640" t="s">
        <v>15</v>
      </c>
      <c r="C5640" t="s">
        <v>16</v>
      </c>
      <c r="D5640" s="1">
        <v>45855</v>
      </c>
      <c r="E5640" t="s">
        <v>17</v>
      </c>
      <c r="F5640">
        <v>3850</v>
      </c>
      <c r="J5640">
        <v>1411.7</v>
      </c>
      <c r="K5640">
        <v>1446.2</v>
      </c>
      <c r="L5640">
        <v>0</v>
      </c>
      <c r="M5640" t="s">
        <v>18</v>
      </c>
      <c r="N5640">
        <v>0</v>
      </c>
      <c r="O5640">
        <v>0</v>
      </c>
    </row>
    <row r="5641" spans="1:15" x14ac:dyDescent="0.2">
      <c r="A5641" s="6">
        <v>45798</v>
      </c>
      <c r="B5641" t="s">
        <v>15</v>
      </c>
      <c r="C5641" t="s">
        <v>16</v>
      </c>
      <c r="D5641" s="1">
        <v>45855</v>
      </c>
      <c r="E5641" t="s">
        <v>17</v>
      </c>
      <c r="F5641">
        <v>6550</v>
      </c>
      <c r="J5641">
        <v>11</v>
      </c>
      <c r="K5641">
        <v>15.1</v>
      </c>
      <c r="L5641">
        <v>0</v>
      </c>
      <c r="M5641" t="s">
        <v>18</v>
      </c>
      <c r="N5641">
        <v>0</v>
      </c>
      <c r="O5641">
        <v>0</v>
      </c>
    </row>
    <row r="5642" spans="1:15" x14ac:dyDescent="0.2">
      <c r="A5642" s="6">
        <v>45798</v>
      </c>
      <c r="B5642" t="s">
        <v>15</v>
      </c>
      <c r="C5642" t="s">
        <v>16</v>
      </c>
      <c r="D5642" s="1">
        <v>45855</v>
      </c>
      <c r="E5642" t="s">
        <v>19</v>
      </c>
      <c r="F5642">
        <v>5700</v>
      </c>
      <c r="J5642">
        <v>526.9</v>
      </c>
      <c r="K5642">
        <v>510.4</v>
      </c>
      <c r="L5642">
        <v>0</v>
      </c>
      <c r="M5642" t="s">
        <v>18</v>
      </c>
      <c r="N5642">
        <v>0</v>
      </c>
      <c r="O5642">
        <v>0</v>
      </c>
    </row>
    <row r="5643" spans="1:15" x14ac:dyDescent="0.2">
      <c r="A5643" s="6">
        <v>45798</v>
      </c>
      <c r="B5643" t="s">
        <v>15</v>
      </c>
      <c r="C5643" t="s">
        <v>16</v>
      </c>
      <c r="D5643" s="1">
        <v>45855</v>
      </c>
      <c r="E5643" t="s">
        <v>19</v>
      </c>
      <c r="F5643">
        <v>6400</v>
      </c>
      <c r="J5643">
        <v>1131</v>
      </c>
      <c r="K5643">
        <v>1101.8</v>
      </c>
      <c r="L5643">
        <v>0</v>
      </c>
      <c r="M5643" t="s">
        <v>18</v>
      </c>
      <c r="N5643">
        <v>0</v>
      </c>
      <c r="O5643">
        <v>0</v>
      </c>
    </row>
    <row r="5644" spans="1:15" x14ac:dyDescent="0.2">
      <c r="A5644" s="6">
        <v>45798</v>
      </c>
      <c r="B5644" t="s">
        <v>15</v>
      </c>
      <c r="C5644" t="s">
        <v>16</v>
      </c>
      <c r="D5644" s="1">
        <v>45855</v>
      </c>
      <c r="E5644" t="s">
        <v>19</v>
      </c>
      <c r="F5644">
        <v>5400</v>
      </c>
      <c r="J5644">
        <v>324.5</v>
      </c>
      <c r="K5644">
        <v>314.89999999999998</v>
      </c>
      <c r="L5644">
        <v>0</v>
      </c>
      <c r="M5644" t="s">
        <v>18</v>
      </c>
      <c r="N5644">
        <v>0</v>
      </c>
      <c r="O5644">
        <v>0</v>
      </c>
    </row>
    <row r="5645" spans="1:15" x14ac:dyDescent="0.2">
      <c r="A5645" s="6">
        <v>45798</v>
      </c>
      <c r="B5645" t="s">
        <v>15</v>
      </c>
      <c r="C5645" t="s">
        <v>16</v>
      </c>
      <c r="D5645" s="1">
        <v>45855</v>
      </c>
      <c r="E5645" t="s">
        <v>19</v>
      </c>
      <c r="F5645">
        <v>5300</v>
      </c>
      <c r="J5645">
        <v>268.10000000000002</v>
      </c>
      <c r="K5645">
        <v>55</v>
      </c>
      <c r="L5645">
        <v>0</v>
      </c>
      <c r="M5645" t="s">
        <v>18</v>
      </c>
      <c r="N5645">
        <v>0</v>
      </c>
      <c r="O5645">
        <v>3</v>
      </c>
    </row>
    <row r="5646" spans="1:15" x14ac:dyDescent="0.2">
      <c r="A5646" s="6">
        <v>45798</v>
      </c>
      <c r="B5646" t="s">
        <v>15</v>
      </c>
      <c r="C5646" t="s">
        <v>16</v>
      </c>
      <c r="D5646" s="1">
        <v>45855</v>
      </c>
      <c r="E5646" t="s">
        <v>17</v>
      </c>
      <c r="F5646">
        <v>3750</v>
      </c>
      <c r="J5646">
        <v>1510.2</v>
      </c>
      <c r="K5646">
        <v>1544.7</v>
      </c>
      <c r="L5646">
        <v>0</v>
      </c>
      <c r="M5646" t="s">
        <v>18</v>
      </c>
      <c r="N5646">
        <v>0</v>
      </c>
      <c r="O5646">
        <v>0</v>
      </c>
    </row>
    <row r="5647" spans="1:15" x14ac:dyDescent="0.2">
      <c r="A5647" s="6">
        <v>45798</v>
      </c>
      <c r="B5647" t="s">
        <v>15</v>
      </c>
      <c r="C5647" t="s">
        <v>16</v>
      </c>
      <c r="D5647" s="1">
        <v>45855</v>
      </c>
      <c r="E5647" t="s">
        <v>17</v>
      </c>
      <c r="F5647">
        <v>6650</v>
      </c>
      <c r="J5647">
        <v>8.1</v>
      </c>
      <c r="K5647">
        <v>11.4</v>
      </c>
      <c r="L5647">
        <v>0</v>
      </c>
      <c r="M5647" t="s">
        <v>18</v>
      </c>
      <c r="N5647">
        <v>0</v>
      </c>
      <c r="O5647">
        <v>0</v>
      </c>
    </row>
    <row r="5648" spans="1:15" x14ac:dyDescent="0.2">
      <c r="A5648" s="6">
        <v>45798</v>
      </c>
      <c r="B5648" t="s">
        <v>15</v>
      </c>
      <c r="C5648" t="s">
        <v>16</v>
      </c>
      <c r="D5648" s="1">
        <v>45855</v>
      </c>
      <c r="E5648" t="s">
        <v>19</v>
      </c>
      <c r="F5648">
        <v>5450</v>
      </c>
      <c r="J5648">
        <v>354.9</v>
      </c>
      <c r="K5648">
        <v>344.2</v>
      </c>
      <c r="L5648">
        <v>0</v>
      </c>
      <c r="M5648" t="s">
        <v>18</v>
      </c>
      <c r="N5648">
        <v>0</v>
      </c>
      <c r="O5648">
        <v>0</v>
      </c>
    </row>
    <row r="5649" spans="1:15" x14ac:dyDescent="0.2">
      <c r="A5649" s="6">
        <v>45798</v>
      </c>
      <c r="B5649" t="s">
        <v>15</v>
      </c>
      <c r="C5649" t="s">
        <v>16</v>
      </c>
      <c r="D5649" s="1">
        <v>45855</v>
      </c>
      <c r="E5649" t="s">
        <v>17</v>
      </c>
      <c r="F5649">
        <v>6050</v>
      </c>
      <c r="J5649">
        <v>45.1</v>
      </c>
      <c r="K5649">
        <v>56.1</v>
      </c>
      <c r="L5649">
        <v>0</v>
      </c>
      <c r="M5649" t="s">
        <v>18</v>
      </c>
      <c r="N5649">
        <v>0</v>
      </c>
      <c r="O5649">
        <v>0</v>
      </c>
    </row>
    <row r="5650" spans="1:15" x14ac:dyDescent="0.2">
      <c r="A5650" s="6">
        <v>45798</v>
      </c>
      <c r="B5650" t="s">
        <v>15</v>
      </c>
      <c r="C5650" t="s">
        <v>16</v>
      </c>
      <c r="D5650" s="1">
        <v>45855</v>
      </c>
      <c r="E5650" t="s">
        <v>19</v>
      </c>
      <c r="F5650">
        <v>4700</v>
      </c>
      <c r="J5650">
        <v>56</v>
      </c>
      <c r="K5650">
        <v>56.1</v>
      </c>
      <c r="L5650">
        <v>0</v>
      </c>
      <c r="M5650" t="s">
        <v>18</v>
      </c>
      <c r="N5650">
        <v>0</v>
      </c>
      <c r="O5650">
        <v>0</v>
      </c>
    </row>
    <row r="5651" spans="1:15" x14ac:dyDescent="0.2">
      <c r="A5651" s="6">
        <v>45798</v>
      </c>
      <c r="B5651" t="s">
        <v>15</v>
      </c>
      <c r="C5651" t="s">
        <v>16</v>
      </c>
      <c r="D5651" s="1">
        <v>45855</v>
      </c>
      <c r="E5651" t="s">
        <v>19</v>
      </c>
      <c r="F5651">
        <v>3750</v>
      </c>
      <c r="J5651">
        <v>0.4</v>
      </c>
      <c r="K5651">
        <v>0.5</v>
      </c>
      <c r="L5651">
        <v>0</v>
      </c>
      <c r="M5651" t="s">
        <v>18</v>
      </c>
      <c r="N5651">
        <v>0</v>
      </c>
      <c r="O5651">
        <v>0</v>
      </c>
    </row>
    <row r="5652" spans="1:15" x14ac:dyDescent="0.2">
      <c r="A5652" s="6">
        <v>45798</v>
      </c>
      <c r="B5652" t="s">
        <v>15</v>
      </c>
      <c r="C5652" t="s">
        <v>16</v>
      </c>
      <c r="D5652" s="1">
        <v>45855</v>
      </c>
      <c r="E5652" t="s">
        <v>19</v>
      </c>
      <c r="F5652">
        <v>4550</v>
      </c>
      <c r="J5652">
        <v>32.799999999999997</v>
      </c>
      <c r="K5652">
        <v>33.299999999999997</v>
      </c>
      <c r="L5652">
        <v>0</v>
      </c>
      <c r="M5652" t="s">
        <v>18</v>
      </c>
      <c r="N5652">
        <v>0</v>
      </c>
      <c r="O5652">
        <v>0</v>
      </c>
    </row>
    <row r="5653" spans="1:15" x14ac:dyDescent="0.2">
      <c r="A5653" s="6">
        <v>45798</v>
      </c>
      <c r="B5653" t="s">
        <v>15</v>
      </c>
      <c r="C5653" t="s">
        <v>16</v>
      </c>
      <c r="D5653" s="1">
        <v>45855</v>
      </c>
      <c r="E5653" t="s">
        <v>17</v>
      </c>
      <c r="F5653">
        <v>4150</v>
      </c>
      <c r="J5653">
        <v>1119.2</v>
      </c>
      <c r="K5653">
        <v>1154</v>
      </c>
      <c r="L5653">
        <v>0</v>
      </c>
      <c r="M5653" t="s">
        <v>18</v>
      </c>
      <c r="N5653">
        <v>0</v>
      </c>
      <c r="O5653">
        <v>0</v>
      </c>
    </row>
    <row r="5654" spans="1:15" x14ac:dyDescent="0.2">
      <c r="A5654" s="6">
        <v>45798</v>
      </c>
      <c r="B5654" t="s">
        <v>15</v>
      </c>
      <c r="C5654" t="s">
        <v>16</v>
      </c>
      <c r="D5654" s="1">
        <v>45855</v>
      </c>
      <c r="E5654" t="s">
        <v>17</v>
      </c>
      <c r="F5654">
        <v>5900</v>
      </c>
      <c r="J5654">
        <v>66.099999999999994</v>
      </c>
      <c r="K5654">
        <v>79.900000000000006</v>
      </c>
      <c r="L5654">
        <v>0</v>
      </c>
      <c r="M5654" t="s">
        <v>18</v>
      </c>
      <c r="N5654">
        <v>0</v>
      </c>
      <c r="O5654">
        <v>0</v>
      </c>
    </row>
    <row r="5655" spans="1:15" x14ac:dyDescent="0.2">
      <c r="A5655" s="6">
        <v>45798</v>
      </c>
      <c r="B5655" t="s">
        <v>15</v>
      </c>
      <c r="C5655" t="s">
        <v>16</v>
      </c>
      <c r="D5655" s="1">
        <v>45855</v>
      </c>
      <c r="E5655" t="s">
        <v>17</v>
      </c>
      <c r="F5655">
        <v>4250</v>
      </c>
      <c r="J5655">
        <v>1023.7</v>
      </c>
      <c r="K5655">
        <v>1058.7</v>
      </c>
      <c r="L5655">
        <v>0</v>
      </c>
      <c r="M5655" t="s">
        <v>18</v>
      </c>
      <c r="N5655">
        <v>0</v>
      </c>
      <c r="O5655">
        <v>0</v>
      </c>
    </row>
    <row r="5656" spans="1:15" x14ac:dyDescent="0.2">
      <c r="A5656" s="6">
        <v>45798</v>
      </c>
      <c r="B5656" t="s">
        <v>15</v>
      </c>
      <c r="C5656" t="s">
        <v>16</v>
      </c>
      <c r="D5656" s="1">
        <v>45855</v>
      </c>
      <c r="E5656" t="s">
        <v>17</v>
      </c>
      <c r="F5656">
        <v>5500</v>
      </c>
      <c r="J5656">
        <v>164</v>
      </c>
      <c r="K5656">
        <v>186.8</v>
      </c>
      <c r="L5656">
        <v>0</v>
      </c>
      <c r="M5656" t="s">
        <v>18</v>
      </c>
      <c r="N5656">
        <v>0</v>
      </c>
      <c r="O5656">
        <v>0</v>
      </c>
    </row>
    <row r="5657" spans="1:15" x14ac:dyDescent="0.2">
      <c r="A5657" s="6">
        <v>45798</v>
      </c>
      <c r="B5657" t="s">
        <v>15</v>
      </c>
      <c r="C5657" t="s">
        <v>16</v>
      </c>
      <c r="D5657" s="1">
        <v>45855</v>
      </c>
      <c r="E5657" t="s">
        <v>17</v>
      </c>
      <c r="F5657">
        <v>4500</v>
      </c>
      <c r="J5657">
        <v>794.3</v>
      </c>
      <c r="K5657">
        <v>829.4</v>
      </c>
      <c r="L5657">
        <v>0</v>
      </c>
      <c r="M5657" t="s">
        <v>18</v>
      </c>
      <c r="N5657">
        <v>0</v>
      </c>
      <c r="O5657">
        <v>0</v>
      </c>
    </row>
    <row r="5658" spans="1:15" x14ac:dyDescent="0.2">
      <c r="A5658" s="6">
        <v>45798</v>
      </c>
      <c r="B5658" t="s">
        <v>15</v>
      </c>
      <c r="C5658" t="s">
        <v>16</v>
      </c>
      <c r="D5658" s="1">
        <v>45855</v>
      </c>
      <c r="E5658" t="s">
        <v>17</v>
      </c>
      <c r="F5658">
        <v>6250</v>
      </c>
      <c r="J5658">
        <v>26.3</v>
      </c>
      <c r="K5658">
        <v>34</v>
      </c>
      <c r="L5658">
        <v>0</v>
      </c>
      <c r="M5658" t="s">
        <v>18</v>
      </c>
      <c r="N5658">
        <v>0</v>
      </c>
      <c r="O5658">
        <v>0</v>
      </c>
    </row>
    <row r="5659" spans="1:15" x14ac:dyDescent="0.2">
      <c r="A5659" s="6">
        <v>45798</v>
      </c>
      <c r="B5659" t="s">
        <v>15</v>
      </c>
      <c r="C5659" t="s">
        <v>16</v>
      </c>
      <c r="D5659" s="1">
        <v>45855</v>
      </c>
      <c r="E5659" t="s">
        <v>17</v>
      </c>
      <c r="F5659">
        <v>6500</v>
      </c>
      <c r="J5659">
        <v>12.8</v>
      </c>
      <c r="K5659">
        <v>17.399999999999999</v>
      </c>
      <c r="L5659">
        <v>0</v>
      </c>
      <c r="M5659" t="s">
        <v>18</v>
      </c>
      <c r="N5659">
        <v>0</v>
      </c>
      <c r="O5659">
        <v>0</v>
      </c>
    </row>
    <row r="5660" spans="1:15" x14ac:dyDescent="0.2">
      <c r="A5660" s="6">
        <v>45798</v>
      </c>
      <c r="B5660" t="s">
        <v>15</v>
      </c>
      <c r="C5660" t="s">
        <v>16</v>
      </c>
      <c r="D5660" s="1">
        <v>45855</v>
      </c>
      <c r="E5660" t="s">
        <v>19</v>
      </c>
      <c r="F5660">
        <v>6250</v>
      </c>
      <c r="J5660">
        <v>991.6</v>
      </c>
      <c r="K5660">
        <v>964.4</v>
      </c>
      <c r="L5660">
        <v>0</v>
      </c>
      <c r="M5660" t="s">
        <v>18</v>
      </c>
      <c r="N5660">
        <v>0</v>
      </c>
      <c r="O5660">
        <v>0</v>
      </c>
    </row>
    <row r="5661" spans="1:15" x14ac:dyDescent="0.2">
      <c r="A5661" s="6">
        <v>45798</v>
      </c>
      <c r="B5661" t="s">
        <v>15</v>
      </c>
      <c r="C5661" t="s">
        <v>16</v>
      </c>
      <c r="D5661" s="1">
        <v>45855</v>
      </c>
      <c r="E5661" t="s">
        <v>17</v>
      </c>
      <c r="F5661">
        <v>5050</v>
      </c>
      <c r="J5661">
        <v>376.5</v>
      </c>
      <c r="K5661">
        <v>408</v>
      </c>
      <c r="L5661">
        <v>0</v>
      </c>
      <c r="M5661" t="s">
        <v>18</v>
      </c>
      <c r="N5661">
        <v>0</v>
      </c>
      <c r="O5661">
        <v>0</v>
      </c>
    </row>
    <row r="5662" spans="1:15" x14ac:dyDescent="0.2">
      <c r="A5662" s="6">
        <v>45798</v>
      </c>
      <c r="B5662" t="s">
        <v>15</v>
      </c>
      <c r="C5662" t="s">
        <v>16</v>
      </c>
      <c r="D5662" s="1">
        <v>45855</v>
      </c>
      <c r="E5662" t="s">
        <v>19</v>
      </c>
      <c r="F5662">
        <v>4650</v>
      </c>
      <c r="J5662">
        <v>47.2</v>
      </c>
      <c r="K5662">
        <v>47.5</v>
      </c>
      <c r="L5662">
        <v>0</v>
      </c>
      <c r="M5662" t="s">
        <v>18</v>
      </c>
      <c r="N5662">
        <v>0</v>
      </c>
      <c r="O5662">
        <v>0</v>
      </c>
    </row>
    <row r="5663" spans="1:15" x14ac:dyDescent="0.2">
      <c r="A5663" s="6">
        <v>45798</v>
      </c>
      <c r="B5663" t="s">
        <v>15</v>
      </c>
      <c r="C5663" t="s">
        <v>16</v>
      </c>
      <c r="D5663" s="1">
        <v>45855</v>
      </c>
      <c r="E5663" t="s">
        <v>17</v>
      </c>
      <c r="F5663">
        <v>5800</v>
      </c>
      <c r="J5663">
        <v>84.1</v>
      </c>
      <c r="K5663">
        <v>100.1</v>
      </c>
      <c r="L5663">
        <v>0</v>
      </c>
      <c r="M5663" t="s">
        <v>18</v>
      </c>
      <c r="N5663">
        <v>0</v>
      </c>
      <c r="O5663">
        <v>0</v>
      </c>
    </row>
    <row r="5664" spans="1:15" x14ac:dyDescent="0.2">
      <c r="A5664" s="6">
        <v>45798</v>
      </c>
      <c r="B5664" t="s">
        <v>15</v>
      </c>
      <c r="C5664" t="s">
        <v>16</v>
      </c>
      <c r="D5664" s="1">
        <v>45855</v>
      </c>
      <c r="E5664" t="s">
        <v>17</v>
      </c>
      <c r="F5664">
        <v>4550</v>
      </c>
      <c r="J5664">
        <v>750.5</v>
      </c>
      <c r="K5664">
        <v>785.6</v>
      </c>
      <c r="L5664">
        <v>0</v>
      </c>
      <c r="M5664" t="s">
        <v>18</v>
      </c>
      <c r="N5664">
        <v>0</v>
      </c>
      <c r="O5664">
        <v>0</v>
      </c>
    </row>
    <row r="5665" spans="1:15" x14ac:dyDescent="0.2">
      <c r="A5665" s="6">
        <v>45798</v>
      </c>
      <c r="B5665" t="s">
        <v>15</v>
      </c>
      <c r="C5665" t="s">
        <v>16</v>
      </c>
      <c r="D5665" s="1">
        <v>45855</v>
      </c>
      <c r="E5665" t="s">
        <v>19</v>
      </c>
      <c r="F5665">
        <v>5150</v>
      </c>
      <c r="J5665">
        <v>194.9</v>
      </c>
      <c r="K5665">
        <v>190.2</v>
      </c>
      <c r="L5665">
        <v>0</v>
      </c>
      <c r="M5665" t="s">
        <v>18</v>
      </c>
      <c r="N5665">
        <v>0</v>
      </c>
      <c r="O5665">
        <v>0</v>
      </c>
    </row>
    <row r="5666" spans="1:15" x14ac:dyDescent="0.2">
      <c r="A5666" s="6">
        <v>45798</v>
      </c>
      <c r="B5666" t="s">
        <v>15</v>
      </c>
      <c r="C5666" t="s">
        <v>16</v>
      </c>
      <c r="D5666" s="1">
        <v>45855</v>
      </c>
      <c r="E5666" t="s">
        <v>17</v>
      </c>
      <c r="F5666">
        <v>6350</v>
      </c>
      <c r="J5666">
        <v>19.8</v>
      </c>
      <c r="K5666">
        <v>26.1</v>
      </c>
      <c r="L5666">
        <v>0</v>
      </c>
      <c r="M5666" t="s">
        <v>18</v>
      </c>
      <c r="N5666">
        <v>0</v>
      </c>
      <c r="O5666">
        <v>0</v>
      </c>
    </row>
    <row r="5667" spans="1:15" x14ac:dyDescent="0.2">
      <c r="A5667" s="6">
        <v>45798</v>
      </c>
      <c r="B5667" t="s">
        <v>15</v>
      </c>
      <c r="C5667" t="s">
        <v>16</v>
      </c>
      <c r="D5667" s="1">
        <v>45855</v>
      </c>
      <c r="E5667" t="s">
        <v>19</v>
      </c>
      <c r="F5667">
        <v>4400</v>
      </c>
      <c r="J5667">
        <v>17.8</v>
      </c>
      <c r="K5667">
        <v>18.5</v>
      </c>
      <c r="L5667">
        <v>0</v>
      </c>
      <c r="M5667" t="s">
        <v>18</v>
      </c>
      <c r="N5667">
        <v>0</v>
      </c>
      <c r="O5667">
        <v>0</v>
      </c>
    </row>
    <row r="5668" spans="1:15" x14ac:dyDescent="0.2">
      <c r="A5668" s="6">
        <v>45798</v>
      </c>
      <c r="B5668" t="s">
        <v>15</v>
      </c>
      <c r="C5668" t="s">
        <v>16</v>
      </c>
      <c r="D5668" s="1">
        <v>45855</v>
      </c>
      <c r="E5668" t="s">
        <v>17</v>
      </c>
      <c r="F5668">
        <v>4050</v>
      </c>
      <c r="J5668">
        <v>1215.9000000000001</v>
      </c>
      <c r="K5668">
        <v>1250.5999999999999</v>
      </c>
      <c r="L5668">
        <v>0</v>
      </c>
      <c r="M5668" t="s">
        <v>18</v>
      </c>
      <c r="N5668">
        <v>0</v>
      </c>
      <c r="O5668">
        <v>0</v>
      </c>
    </row>
    <row r="5669" spans="1:15" x14ac:dyDescent="0.2">
      <c r="A5669" s="6">
        <v>45798</v>
      </c>
      <c r="B5669" t="s">
        <v>15</v>
      </c>
      <c r="C5669" t="s">
        <v>16</v>
      </c>
      <c r="D5669" s="1">
        <v>45855</v>
      </c>
      <c r="E5669" t="s">
        <v>17</v>
      </c>
      <c r="F5669">
        <v>5450</v>
      </c>
      <c r="J5669">
        <v>181.7</v>
      </c>
      <c r="K5669">
        <v>205.7</v>
      </c>
      <c r="L5669">
        <v>0</v>
      </c>
      <c r="M5669" t="s">
        <v>18</v>
      </c>
      <c r="N5669">
        <v>0</v>
      </c>
      <c r="O5669">
        <v>0</v>
      </c>
    </row>
    <row r="5670" spans="1:15" x14ac:dyDescent="0.2">
      <c r="A5670" s="6">
        <v>45798</v>
      </c>
      <c r="B5670" t="s">
        <v>15</v>
      </c>
      <c r="C5670" t="s">
        <v>16</v>
      </c>
      <c r="D5670" s="1">
        <v>45855</v>
      </c>
      <c r="E5670" t="s">
        <v>17</v>
      </c>
      <c r="F5670">
        <v>6300</v>
      </c>
      <c r="J5670">
        <v>22.9</v>
      </c>
      <c r="K5670">
        <v>29.8</v>
      </c>
      <c r="L5670">
        <v>0</v>
      </c>
      <c r="M5670" t="s">
        <v>18</v>
      </c>
      <c r="N5670">
        <v>0</v>
      </c>
      <c r="O5670">
        <v>0</v>
      </c>
    </row>
    <row r="5671" spans="1:15" x14ac:dyDescent="0.2">
      <c r="A5671" s="6">
        <v>45798</v>
      </c>
      <c r="B5671" t="s">
        <v>15</v>
      </c>
      <c r="C5671" t="s">
        <v>16</v>
      </c>
      <c r="D5671" s="1">
        <v>45855</v>
      </c>
      <c r="E5671" t="s">
        <v>17</v>
      </c>
      <c r="F5671">
        <v>6000</v>
      </c>
      <c r="J5671">
        <v>51.4</v>
      </c>
      <c r="K5671">
        <v>80</v>
      </c>
      <c r="L5671">
        <v>0</v>
      </c>
      <c r="M5671" t="s">
        <v>18</v>
      </c>
      <c r="N5671">
        <v>0</v>
      </c>
      <c r="O5671">
        <v>1</v>
      </c>
    </row>
    <row r="5672" spans="1:15" x14ac:dyDescent="0.2">
      <c r="A5672" s="6">
        <v>45798</v>
      </c>
      <c r="B5672" t="s">
        <v>15</v>
      </c>
      <c r="C5672" t="s">
        <v>16</v>
      </c>
      <c r="D5672" s="1">
        <v>45855</v>
      </c>
      <c r="E5672" t="s">
        <v>19</v>
      </c>
      <c r="F5672">
        <v>4050</v>
      </c>
      <c r="J5672">
        <v>3.1</v>
      </c>
      <c r="K5672">
        <v>3.4</v>
      </c>
      <c r="L5672">
        <v>0</v>
      </c>
      <c r="M5672" t="s">
        <v>18</v>
      </c>
      <c r="N5672">
        <v>0</v>
      </c>
      <c r="O5672">
        <v>0</v>
      </c>
    </row>
    <row r="5673" spans="1:15" x14ac:dyDescent="0.2">
      <c r="A5673" s="6">
        <v>45798</v>
      </c>
      <c r="B5673" t="s">
        <v>15</v>
      </c>
      <c r="C5673" t="s">
        <v>16</v>
      </c>
      <c r="D5673" s="1">
        <v>45855</v>
      </c>
      <c r="E5673" t="s">
        <v>19</v>
      </c>
      <c r="F5673">
        <v>4100</v>
      </c>
      <c r="J5673">
        <v>4.0999999999999996</v>
      </c>
      <c r="K5673">
        <v>4.5</v>
      </c>
      <c r="L5673">
        <v>0</v>
      </c>
      <c r="M5673" t="s">
        <v>18</v>
      </c>
      <c r="N5673">
        <v>0</v>
      </c>
      <c r="O5673">
        <v>0</v>
      </c>
    </row>
    <row r="5674" spans="1:15" x14ac:dyDescent="0.2">
      <c r="A5674" s="6">
        <v>45798</v>
      </c>
      <c r="B5674" t="s">
        <v>15</v>
      </c>
      <c r="C5674" t="s">
        <v>16</v>
      </c>
      <c r="D5674" s="1">
        <v>45855</v>
      </c>
      <c r="E5674" t="s">
        <v>19</v>
      </c>
      <c r="F5674">
        <v>5350</v>
      </c>
      <c r="G5674">
        <v>313.60000000000002</v>
      </c>
      <c r="H5674">
        <v>313.60000000000002</v>
      </c>
      <c r="I5674">
        <v>313.60000000000002</v>
      </c>
      <c r="J5674">
        <v>313.60000000000002</v>
      </c>
      <c r="K5674">
        <v>287.10000000000002</v>
      </c>
      <c r="L5674">
        <v>1</v>
      </c>
      <c r="M5674" t="s">
        <v>155</v>
      </c>
      <c r="N5674">
        <v>5.66</v>
      </c>
      <c r="O5674">
        <v>1</v>
      </c>
    </row>
    <row r="5675" spans="1:15" x14ac:dyDescent="0.2">
      <c r="A5675" s="6">
        <v>45798</v>
      </c>
      <c r="B5675" t="s">
        <v>15</v>
      </c>
      <c r="C5675" t="s">
        <v>16</v>
      </c>
      <c r="D5675" s="1">
        <v>45855</v>
      </c>
      <c r="E5675" t="s">
        <v>19</v>
      </c>
      <c r="F5675">
        <v>5000</v>
      </c>
      <c r="J5675">
        <v>135.5</v>
      </c>
      <c r="K5675">
        <v>133.1</v>
      </c>
      <c r="L5675">
        <v>0</v>
      </c>
      <c r="M5675" t="s">
        <v>18</v>
      </c>
      <c r="N5675">
        <v>0</v>
      </c>
      <c r="O5675">
        <v>0</v>
      </c>
    </row>
    <row r="5676" spans="1:15" x14ac:dyDescent="0.2">
      <c r="A5676" s="6">
        <v>45798</v>
      </c>
      <c r="B5676" t="s">
        <v>15</v>
      </c>
      <c r="C5676" t="s">
        <v>16</v>
      </c>
      <c r="D5676" s="1">
        <v>45855</v>
      </c>
      <c r="E5676" t="s">
        <v>19</v>
      </c>
      <c r="F5676">
        <v>4500</v>
      </c>
      <c r="J5676">
        <v>27</v>
      </c>
      <c r="K5676">
        <v>27.6</v>
      </c>
      <c r="L5676">
        <v>0</v>
      </c>
      <c r="M5676" t="s">
        <v>18</v>
      </c>
      <c r="N5676">
        <v>0</v>
      </c>
      <c r="O5676">
        <v>0</v>
      </c>
    </row>
    <row r="5677" spans="1:15" x14ac:dyDescent="0.2">
      <c r="A5677" s="6">
        <v>45798</v>
      </c>
      <c r="B5677" t="s">
        <v>15</v>
      </c>
      <c r="C5677" t="s">
        <v>16</v>
      </c>
      <c r="D5677" s="1">
        <v>45855</v>
      </c>
      <c r="E5677" t="s">
        <v>17</v>
      </c>
      <c r="F5677">
        <v>4000</v>
      </c>
      <c r="J5677">
        <v>1264.5999999999999</v>
      </c>
      <c r="K5677">
        <v>1299.3</v>
      </c>
      <c r="L5677">
        <v>0</v>
      </c>
      <c r="M5677" t="s">
        <v>18</v>
      </c>
      <c r="N5677">
        <v>0</v>
      </c>
      <c r="O5677">
        <v>0</v>
      </c>
    </row>
    <row r="5678" spans="1:15" x14ac:dyDescent="0.2">
      <c r="A5678" s="6">
        <v>45798</v>
      </c>
      <c r="B5678" t="s">
        <v>15</v>
      </c>
      <c r="C5678" t="s">
        <v>16</v>
      </c>
      <c r="D5678" s="1">
        <v>45855</v>
      </c>
      <c r="E5678" t="s">
        <v>17</v>
      </c>
      <c r="F5678">
        <v>6450</v>
      </c>
      <c r="J5678">
        <v>14.8</v>
      </c>
      <c r="K5678">
        <v>19.899999999999999</v>
      </c>
      <c r="L5678">
        <v>0</v>
      </c>
      <c r="M5678" t="s">
        <v>18</v>
      </c>
      <c r="N5678">
        <v>0</v>
      </c>
      <c r="O5678">
        <v>0</v>
      </c>
    </row>
    <row r="5679" spans="1:15" x14ac:dyDescent="0.2">
      <c r="A5679" s="6">
        <v>45798</v>
      </c>
      <c r="B5679" t="s">
        <v>15</v>
      </c>
      <c r="C5679" t="s">
        <v>16</v>
      </c>
      <c r="D5679" s="1">
        <v>45855</v>
      </c>
      <c r="E5679" t="s">
        <v>19</v>
      </c>
      <c r="F5679">
        <v>3650</v>
      </c>
      <c r="J5679">
        <v>0.2</v>
      </c>
      <c r="K5679">
        <v>0.2</v>
      </c>
      <c r="L5679">
        <v>0</v>
      </c>
      <c r="M5679" t="s">
        <v>18</v>
      </c>
      <c r="N5679">
        <v>0</v>
      </c>
      <c r="O5679">
        <v>0</v>
      </c>
    </row>
    <row r="5680" spans="1:15" x14ac:dyDescent="0.2">
      <c r="A5680" s="6">
        <v>45798</v>
      </c>
      <c r="B5680" t="s">
        <v>15</v>
      </c>
      <c r="C5680" t="s">
        <v>16</v>
      </c>
      <c r="D5680" s="1">
        <v>45855</v>
      </c>
      <c r="E5680" t="s">
        <v>17</v>
      </c>
      <c r="F5680">
        <v>4600</v>
      </c>
      <c r="J5680">
        <v>707.7</v>
      </c>
      <c r="K5680">
        <v>742.7</v>
      </c>
      <c r="L5680">
        <v>0</v>
      </c>
      <c r="M5680" t="s">
        <v>18</v>
      </c>
      <c r="N5680">
        <v>0</v>
      </c>
      <c r="O5680">
        <v>0</v>
      </c>
    </row>
    <row r="5681" spans="1:15" x14ac:dyDescent="0.2">
      <c r="A5681" s="6">
        <v>45798</v>
      </c>
      <c r="B5681" t="s">
        <v>15</v>
      </c>
      <c r="C5681" t="s">
        <v>16</v>
      </c>
      <c r="D5681" s="1">
        <v>45855</v>
      </c>
      <c r="E5681" t="s">
        <v>19</v>
      </c>
      <c r="F5681">
        <v>5800</v>
      </c>
      <c r="J5681">
        <v>603.9</v>
      </c>
      <c r="K5681">
        <v>585.20000000000005</v>
      </c>
      <c r="L5681">
        <v>0</v>
      </c>
      <c r="M5681" t="s">
        <v>18</v>
      </c>
      <c r="N5681">
        <v>0</v>
      </c>
      <c r="O5681">
        <v>0</v>
      </c>
    </row>
    <row r="5682" spans="1:15" x14ac:dyDescent="0.2">
      <c r="A5682" s="6">
        <v>45798</v>
      </c>
      <c r="B5682" t="s">
        <v>15</v>
      </c>
      <c r="C5682" t="s">
        <v>16</v>
      </c>
      <c r="D5682" s="1">
        <v>45855</v>
      </c>
      <c r="E5682" t="s">
        <v>17</v>
      </c>
      <c r="F5682">
        <v>3650</v>
      </c>
      <c r="J5682">
        <v>1609</v>
      </c>
      <c r="K5682">
        <v>1643.4</v>
      </c>
      <c r="L5682">
        <v>0</v>
      </c>
      <c r="M5682" t="s">
        <v>18</v>
      </c>
      <c r="N5682">
        <v>0</v>
      </c>
      <c r="O5682">
        <v>0</v>
      </c>
    </row>
    <row r="5683" spans="1:15" x14ac:dyDescent="0.2">
      <c r="A5683" s="6">
        <v>45798</v>
      </c>
      <c r="B5683" t="s">
        <v>15</v>
      </c>
      <c r="C5683" t="s">
        <v>16</v>
      </c>
      <c r="D5683" s="1">
        <v>45855</v>
      </c>
      <c r="E5683" t="s">
        <v>17</v>
      </c>
      <c r="F5683">
        <v>3600</v>
      </c>
      <c r="J5683">
        <v>1658.4</v>
      </c>
      <c r="K5683">
        <v>1692.8</v>
      </c>
      <c r="L5683">
        <v>0</v>
      </c>
      <c r="M5683" t="s">
        <v>18</v>
      </c>
      <c r="N5683">
        <v>0</v>
      </c>
      <c r="O5683">
        <v>0</v>
      </c>
    </row>
    <row r="5684" spans="1:15" x14ac:dyDescent="0.2">
      <c r="A5684" s="6">
        <v>45798</v>
      </c>
      <c r="B5684" t="s">
        <v>15</v>
      </c>
      <c r="C5684" t="s">
        <v>16</v>
      </c>
      <c r="D5684" s="1">
        <v>45855</v>
      </c>
      <c r="E5684" t="s">
        <v>17</v>
      </c>
      <c r="F5684">
        <v>5350</v>
      </c>
      <c r="J5684">
        <v>221.3</v>
      </c>
      <c r="K5684">
        <v>247.5</v>
      </c>
      <c r="L5684">
        <v>0</v>
      </c>
      <c r="M5684" t="s">
        <v>18</v>
      </c>
      <c r="N5684">
        <v>0</v>
      </c>
      <c r="O5684">
        <v>0</v>
      </c>
    </row>
    <row r="5685" spans="1:15" x14ac:dyDescent="0.2">
      <c r="A5685" s="6">
        <v>45798</v>
      </c>
      <c r="B5685" t="s">
        <v>15</v>
      </c>
      <c r="C5685" t="s">
        <v>16</v>
      </c>
      <c r="D5685" s="1">
        <v>45855</v>
      </c>
      <c r="E5685" t="s">
        <v>17</v>
      </c>
      <c r="F5685">
        <v>6100</v>
      </c>
      <c r="J5685">
        <v>39.6</v>
      </c>
      <c r="K5685">
        <v>49.6</v>
      </c>
      <c r="L5685">
        <v>0</v>
      </c>
      <c r="M5685" t="s">
        <v>18</v>
      </c>
      <c r="N5685">
        <v>0</v>
      </c>
      <c r="O5685">
        <v>0</v>
      </c>
    </row>
    <row r="5686" spans="1:15" x14ac:dyDescent="0.2">
      <c r="A5686" s="6">
        <v>45798</v>
      </c>
      <c r="B5686" t="s">
        <v>15</v>
      </c>
      <c r="C5686" t="s">
        <v>16</v>
      </c>
      <c r="D5686" s="1">
        <v>45855</v>
      </c>
      <c r="E5686" t="s">
        <v>19</v>
      </c>
      <c r="F5686">
        <v>4850</v>
      </c>
      <c r="J5686">
        <v>89.6</v>
      </c>
      <c r="K5686">
        <v>88.7</v>
      </c>
      <c r="L5686">
        <v>0</v>
      </c>
      <c r="M5686" t="s">
        <v>18</v>
      </c>
      <c r="N5686">
        <v>0</v>
      </c>
      <c r="O5686">
        <v>0</v>
      </c>
    </row>
    <row r="5687" spans="1:15" x14ac:dyDescent="0.2">
      <c r="A5687" s="6">
        <v>45798</v>
      </c>
      <c r="B5687" t="s">
        <v>15</v>
      </c>
      <c r="C5687" t="s">
        <v>16</v>
      </c>
      <c r="D5687" s="1">
        <v>45855</v>
      </c>
      <c r="E5687" t="s">
        <v>19</v>
      </c>
      <c r="F5687">
        <v>4000</v>
      </c>
      <c r="J5687">
        <v>2.2999999999999998</v>
      </c>
      <c r="K5687">
        <v>2.6</v>
      </c>
      <c r="L5687">
        <v>0</v>
      </c>
      <c r="M5687" t="s">
        <v>18</v>
      </c>
      <c r="N5687">
        <v>0</v>
      </c>
      <c r="O5687">
        <v>0</v>
      </c>
    </row>
    <row r="5688" spans="1:15" x14ac:dyDescent="0.2">
      <c r="A5688" s="6">
        <v>45798</v>
      </c>
      <c r="B5688" t="s">
        <v>15</v>
      </c>
      <c r="C5688" t="s">
        <v>16</v>
      </c>
      <c r="D5688" s="1">
        <v>45855</v>
      </c>
      <c r="E5688" t="s">
        <v>19</v>
      </c>
      <c r="F5688">
        <v>5600</v>
      </c>
      <c r="J5688">
        <v>454.3</v>
      </c>
      <c r="K5688">
        <v>440.2</v>
      </c>
      <c r="L5688">
        <v>0</v>
      </c>
      <c r="M5688" t="s">
        <v>18</v>
      </c>
      <c r="N5688">
        <v>0</v>
      </c>
      <c r="O5688">
        <v>0</v>
      </c>
    </row>
    <row r="5689" spans="1:15" x14ac:dyDescent="0.2">
      <c r="A5689" s="6">
        <v>45798</v>
      </c>
      <c r="B5689" t="s">
        <v>15</v>
      </c>
      <c r="C5689" t="s">
        <v>16</v>
      </c>
      <c r="D5689" s="1">
        <v>45855</v>
      </c>
      <c r="E5689" t="s">
        <v>19</v>
      </c>
      <c r="F5689">
        <v>5650</v>
      </c>
      <c r="J5689">
        <v>490</v>
      </c>
      <c r="K5689">
        <v>474.7</v>
      </c>
      <c r="L5689">
        <v>0</v>
      </c>
      <c r="M5689" t="s">
        <v>18</v>
      </c>
      <c r="N5689">
        <v>0</v>
      </c>
      <c r="O5689">
        <v>0</v>
      </c>
    </row>
    <row r="5690" spans="1:15" x14ac:dyDescent="0.2">
      <c r="A5690" s="6">
        <v>45798</v>
      </c>
      <c r="B5690" t="s">
        <v>15</v>
      </c>
      <c r="C5690" t="s">
        <v>16</v>
      </c>
      <c r="D5690" s="1">
        <v>45855</v>
      </c>
      <c r="E5690" t="s">
        <v>19</v>
      </c>
      <c r="F5690">
        <v>6350</v>
      </c>
      <c r="J5690">
        <v>1084.0999999999999</v>
      </c>
      <c r="K5690">
        <v>1055.5999999999999</v>
      </c>
      <c r="L5690">
        <v>0</v>
      </c>
      <c r="M5690" t="s">
        <v>18</v>
      </c>
      <c r="N5690">
        <v>0</v>
      </c>
      <c r="O5690">
        <v>0</v>
      </c>
    </row>
    <row r="5691" spans="1:15" x14ac:dyDescent="0.2">
      <c r="A5691" s="6">
        <v>45798</v>
      </c>
      <c r="B5691" t="s">
        <v>15</v>
      </c>
      <c r="C5691" t="s">
        <v>16</v>
      </c>
      <c r="D5691" s="1">
        <v>45855</v>
      </c>
      <c r="E5691" t="s">
        <v>17</v>
      </c>
      <c r="F5691">
        <v>3950</v>
      </c>
      <c r="J5691">
        <v>1313.5</v>
      </c>
      <c r="K5691">
        <v>1348.1</v>
      </c>
      <c r="L5691">
        <v>0</v>
      </c>
      <c r="M5691" t="s">
        <v>18</v>
      </c>
      <c r="N5691">
        <v>0</v>
      </c>
      <c r="O5691">
        <v>0</v>
      </c>
    </row>
    <row r="5692" spans="1:15" x14ac:dyDescent="0.2">
      <c r="A5692" s="6">
        <v>45798</v>
      </c>
      <c r="B5692" t="s">
        <v>15</v>
      </c>
      <c r="C5692" t="s">
        <v>16</v>
      </c>
      <c r="D5692" s="1">
        <v>45855</v>
      </c>
      <c r="E5692" t="s">
        <v>17</v>
      </c>
      <c r="F5692">
        <v>5650</v>
      </c>
      <c r="J5692">
        <v>118.8</v>
      </c>
      <c r="K5692">
        <v>138.19999999999999</v>
      </c>
      <c r="L5692">
        <v>0</v>
      </c>
      <c r="M5692" t="s">
        <v>18</v>
      </c>
      <c r="N5692">
        <v>0</v>
      </c>
      <c r="O5692">
        <v>0</v>
      </c>
    </row>
    <row r="5693" spans="1:15" x14ac:dyDescent="0.2">
      <c r="A5693" s="6">
        <v>45798</v>
      </c>
      <c r="B5693" t="s">
        <v>15</v>
      </c>
      <c r="C5693" t="s">
        <v>16</v>
      </c>
      <c r="D5693" s="1">
        <v>45855</v>
      </c>
      <c r="E5693" t="s">
        <v>19</v>
      </c>
      <c r="F5693">
        <v>5500</v>
      </c>
      <c r="J5693">
        <v>386.7</v>
      </c>
      <c r="K5693">
        <v>374.9</v>
      </c>
      <c r="L5693">
        <v>0</v>
      </c>
      <c r="M5693" t="s">
        <v>18</v>
      </c>
      <c r="N5693">
        <v>0</v>
      </c>
      <c r="O5693">
        <v>0</v>
      </c>
    </row>
    <row r="5694" spans="1:15" x14ac:dyDescent="0.2">
      <c r="A5694" s="6">
        <v>45798</v>
      </c>
      <c r="B5694" t="s">
        <v>15</v>
      </c>
      <c r="C5694" t="s">
        <v>16</v>
      </c>
      <c r="D5694" s="1">
        <v>45855</v>
      </c>
      <c r="E5694" t="s">
        <v>19</v>
      </c>
      <c r="F5694">
        <v>5750</v>
      </c>
      <c r="J5694">
        <v>564.9</v>
      </c>
      <c r="K5694">
        <v>547.29999999999995</v>
      </c>
      <c r="L5694">
        <v>0</v>
      </c>
      <c r="M5694" t="s">
        <v>18</v>
      </c>
      <c r="N5694">
        <v>0</v>
      </c>
      <c r="O5694">
        <v>0</v>
      </c>
    </row>
    <row r="5695" spans="1:15" x14ac:dyDescent="0.2">
      <c r="A5695" s="6">
        <v>45798</v>
      </c>
      <c r="B5695" t="s">
        <v>15</v>
      </c>
      <c r="C5695" t="s">
        <v>16</v>
      </c>
      <c r="D5695" s="1">
        <v>45855</v>
      </c>
      <c r="E5695" t="s">
        <v>19</v>
      </c>
      <c r="F5695">
        <v>6100</v>
      </c>
      <c r="J5695">
        <v>856.4</v>
      </c>
      <c r="K5695">
        <v>831.6</v>
      </c>
      <c r="L5695">
        <v>0</v>
      </c>
      <c r="M5695" t="s">
        <v>18</v>
      </c>
      <c r="N5695">
        <v>0</v>
      </c>
      <c r="O5695">
        <v>0</v>
      </c>
    </row>
    <row r="5696" spans="1:15" x14ac:dyDescent="0.2">
      <c r="A5696" s="6">
        <v>45798</v>
      </c>
      <c r="B5696" t="s">
        <v>15</v>
      </c>
      <c r="C5696" t="s">
        <v>16</v>
      </c>
      <c r="D5696" s="1">
        <v>45855</v>
      </c>
      <c r="E5696" t="s">
        <v>19</v>
      </c>
      <c r="F5696">
        <v>3800</v>
      </c>
      <c r="J5696">
        <v>0.6</v>
      </c>
      <c r="K5696">
        <v>0.7</v>
      </c>
      <c r="L5696">
        <v>0</v>
      </c>
      <c r="M5696" t="s">
        <v>18</v>
      </c>
      <c r="N5696">
        <v>0</v>
      </c>
      <c r="O5696">
        <v>0</v>
      </c>
    </row>
    <row r="5697" spans="1:15" x14ac:dyDescent="0.2">
      <c r="A5697" s="6">
        <v>45798</v>
      </c>
      <c r="B5697" t="s">
        <v>15</v>
      </c>
      <c r="C5697" t="s">
        <v>16</v>
      </c>
      <c r="D5697" s="1">
        <v>45855</v>
      </c>
      <c r="E5697" t="s">
        <v>19</v>
      </c>
      <c r="F5697">
        <v>4150</v>
      </c>
      <c r="J5697">
        <v>5.4</v>
      </c>
      <c r="K5697">
        <v>5.8</v>
      </c>
      <c r="L5697">
        <v>0</v>
      </c>
      <c r="M5697" t="s">
        <v>18</v>
      </c>
      <c r="N5697">
        <v>0</v>
      </c>
      <c r="O5697">
        <v>0</v>
      </c>
    </row>
    <row r="5698" spans="1:15" x14ac:dyDescent="0.2">
      <c r="A5698" s="6">
        <v>45798</v>
      </c>
      <c r="B5698" t="s">
        <v>15</v>
      </c>
      <c r="C5698" t="s">
        <v>16</v>
      </c>
      <c r="D5698" s="1">
        <v>45855</v>
      </c>
      <c r="E5698" t="s">
        <v>19</v>
      </c>
      <c r="F5698">
        <v>5950</v>
      </c>
      <c r="J5698">
        <v>726.6</v>
      </c>
      <c r="K5698">
        <v>704.7</v>
      </c>
      <c r="L5698">
        <v>0</v>
      </c>
      <c r="M5698" t="s">
        <v>18</v>
      </c>
      <c r="N5698">
        <v>0</v>
      </c>
      <c r="O5698">
        <v>0</v>
      </c>
    </row>
    <row r="5699" spans="1:15" x14ac:dyDescent="0.2">
      <c r="A5699" s="6">
        <v>45798</v>
      </c>
      <c r="B5699" t="s">
        <v>15</v>
      </c>
      <c r="C5699" t="s">
        <v>16</v>
      </c>
      <c r="D5699" s="1">
        <v>45855</v>
      </c>
      <c r="E5699" t="s">
        <v>19</v>
      </c>
      <c r="F5699">
        <v>6450</v>
      </c>
      <c r="J5699">
        <v>1178.0999999999999</v>
      </c>
      <c r="K5699">
        <v>1148.4000000000001</v>
      </c>
      <c r="L5699">
        <v>0</v>
      </c>
      <c r="M5699" t="s">
        <v>18</v>
      </c>
      <c r="N5699">
        <v>0</v>
      </c>
      <c r="O5699">
        <v>0</v>
      </c>
    </row>
    <row r="5700" spans="1:15" x14ac:dyDescent="0.2">
      <c r="A5700" s="6">
        <v>45798</v>
      </c>
      <c r="B5700" t="s">
        <v>15</v>
      </c>
      <c r="C5700" t="s">
        <v>16</v>
      </c>
      <c r="D5700" s="1">
        <v>45855</v>
      </c>
      <c r="E5700" t="s">
        <v>17</v>
      </c>
      <c r="F5700">
        <v>4700</v>
      </c>
      <c r="J5700">
        <v>625.20000000000005</v>
      </c>
      <c r="K5700">
        <v>659.9</v>
      </c>
      <c r="L5700">
        <v>0</v>
      </c>
      <c r="M5700" t="s">
        <v>18</v>
      </c>
      <c r="N5700">
        <v>0</v>
      </c>
      <c r="O5700">
        <v>0</v>
      </c>
    </row>
    <row r="5701" spans="1:15" x14ac:dyDescent="0.2">
      <c r="A5701" s="6">
        <v>45798</v>
      </c>
      <c r="B5701" t="s">
        <v>15</v>
      </c>
      <c r="C5701" t="s">
        <v>16</v>
      </c>
      <c r="D5701" s="1">
        <v>45855</v>
      </c>
      <c r="E5701" t="s">
        <v>19</v>
      </c>
      <c r="F5701">
        <v>6600</v>
      </c>
      <c r="J5701">
        <v>1321.2</v>
      </c>
      <c r="K5701">
        <v>1290</v>
      </c>
      <c r="L5701">
        <v>0</v>
      </c>
      <c r="M5701" t="s">
        <v>18</v>
      </c>
      <c r="N5701">
        <v>0</v>
      </c>
      <c r="O5701">
        <v>0</v>
      </c>
    </row>
    <row r="5702" spans="1:15" x14ac:dyDescent="0.2">
      <c r="A5702" s="6">
        <v>45798</v>
      </c>
      <c r="B5702" t="s">
        <v>15</v>
      </c>
      <c r="C5702" t="s">
        <v>16</v>
      </c>
      <c r="D5702" s="1">
        <v>45855</v>
      </c>
      <c r="E5702" t="s">
        <v>19</v>
      </c>
      <c r="F5702">
        <v>4300</v>
      </c>
      <c r="J5702">
        <v>11.4</v>
      </c>
      <c r="K5702">
        <v>12</v>
      </c>
      <c r="L5702">
        <v>0</v>
      </c>
      <c r="M5702" t="s">
        <v>18</v>
      </c>
      <c r="N5702">
        <v>0</v>
      </c>
      <c r="O5702">
        <v>0</v>
      </c>
    </row>
    <row r="5703" spans="1:15" x14ac:dyDescent="0.2">
      <c r="A5703" s="6">
        <v>45798</v>
      </c>
      <c r="B5703" t="s">
        <v>15</v>
      </c>
      <c r="C5703" t="s">
        <v>16</v>
      </c>
      <c r="D5703" s="1">
        <v>45855</v>
      </c>
      <c r="E5703" t="s">
        <v>17</v>
      </c>
      <c r="F5703">
        <v>5400</v>
      </c>
      <c r="J5703">
        <v>200.8</v>
      </c>
      <c r="K5703">
        <v>225.9</v>
      </c>
      <c r="L5703">
        <v>0</v>
      </c>
      <c r="M5703" t="s">
        <v>18</v>
      </c>
      <c r="N5703">
        <v>0</v>
      </c>
      <c r="O5703">
        <v>0</v>
      </c>
    </row>
    <row r="5704" spans="1:15" x14ac:dyDescent="0.2">
      <c r="A5704" s="6">
        <v>45798</v>
      </c>
      <c r="B5704" t="s">
        <v>15</v>
      </c>
      <c r="C5704" t="s">
        <v>16</v>
      </c>
      <c r="D5704" s="1">
        <v>45855</v>
      </c>
      <c r="E5704" t="s">
        <v>17</v>
      </c>
      <c r="F5704">
        <v>4300</v>
      </c>
      <c r="J5704">
        <v>976.7</v>
      </c>
      <c r="K5704">
        <v>1011.7</v>
      </c>
      <c r="L5704">
        <v>0</v>
      </c>
      <c r="M5704" t="s">
        <v>18</v>
      </c>
      <c r="N5704">
        <v>0</v>
      </c>
      <c r="O5704">
        <v>0</v>
      </c>
    </row>
    <row r="5705" spans="1:15" x14ac:dyDescent="0.2">
      <c r="A5705" s="6">
        <v>45798</v>
      </c>
      <c r="B5705" t="s">
        <v>15</v>
      </c>
      <c r="C5705" t="s">
        <v>16</v>
      </c>
      <c r="D5705" s="1">
        <v>45855</v>
      </c>
      <c r="E5705" t="s">
        <v>17</v>
      </c>
      <c r="F5705">
        <v>6150</v>
      </c>
      <c r="J5705">
        <v>34.6</v>
      </c>
      <c r="K5705">
        <v>43.8</v>
      </c>
      <c r="L5705">
        <v>0</v>
      </c>
      <c r="M5705" t="s">
        <v>18</v>
      </c>
      <c r="N5705">
        <v>0</v>
      </c>
      <c r="O5705">
        <v>0</v>
      </c>
    </row>
    <row r="5706" spans="1:15" x14ac:dyDescent="0.2">
      <c r="A5706" s="6">
        <v>45798</v>
      </c>
      <c r="B5706" t="s">
        <v>15</v>
      </c>
      <c r="C5706" t="s">
        <v>16</v>
      </c>
      <c r="D5706" s="1">
        <v>45855</v>
      </c>
      <c r="E5706" t="s">
        <v>19</v>
      </c>
      <c r="F5706">
        <v>4750</v>
      </c>
      <c r="J5706">
        <v>65.900000000000006</v>
      </c>
      <c r="K5706">
        <v>65.8</v>
      </c>
      <c r="L5706">
        <v>0</v>
      </c>
      <c r="M5706" t="s">
        <v>18</v>
      </c>
      <c r="N5706">
        <v>0</v>
      </c>
      <c r="O5706">
        <v>0</v>
      </c>
    </row>
    <row r="5707" spans="1:15" x14ac:dyDescent="0.2">
      <c r="A5707" s="6">
        <v>45798</v>
      </c>
      <c r="B5707" t="s">
        <v>15</v>
      </c>
      <c r="C5707" t="s">
        <v>16</v>
      </c>
      <c r="D5707" s="1">
        <v>45855</v>
      </c>
      <c r="E5707" t="s">
        <v>19</v>
      </c>
      <c r="F5707">
        <v>4350</v>
      </c>
      <c r="J5707">
        <v>14.3</v>
      </c>
      <c r="K5707">
        <v>15</v>
      </c>
      <c r="L5707">
        <v>0</v>
      </c>
      <c r="M5707" t="s">
        <v>18</v>
      </c>
      <c r="N5707">
        <v>0</v>
      </c>
      <c r="O5707">
        <v>0</v>
      </c>
    </row>
    <row r="5708" spans="1:15" x14ac:dyDescent="0.2">
      <c r="A5708" s="6">
        <v>45798</v>
      </c>
      <c r="B5708" t="s">
        <v>15</v>
      </c>
      <c r="C5708" t="s">
        <v>16</v>
      </c>
      <c r="D5708" s="1">
        <v>45855</v>
      </c>
      <c r="E5708" t="s">
        <v>19</v>
      </c>
      <c r="F5708">
        <v>5550</v>
      </c>
      <c r="J5708">
        <v>419.9</v>
      </c>
      <c r="K5708">
        <v>406.9</v>
      </c>
      <c r="L5708">
        <v>0</v>
      </c>
      <c r="M5708" t="s">
        <v>18</v>
      </c>
      <c r="N5708">
        <v>0</v>
      </c>
      <c r="O5708">
        <v>0</v>
      </c>
    </row>
    <row r="5709" spans="1:15" x14ac:dyDescent="0.2">
      <c r="A5709" s="6">
        <v>45798</v>
      </c>
      <c r="B5709" t="s">
        <v>15</v>
      </c>
      <c r="C5709" t="s">
        <v>16</v>
      </c>
      <c r="D5709" s="1">
        <v>45855</v>
      </c>
      <c r="E5709" t="s">
        <v>17</v>
      </c>
      <c r="F5709">
        <v>5850</v>
      </c>
      <c r="J5709">
        <v>74.599999999999994</v>
      </c>
      <c r="K5709">
        <v>89.6</v>
      </c>
      <c r="L5709">
        <v>0</v>
      </c>
      <c r="M5709" t="s">
        <v>18</v>
      </c>
      <c r="N5709">
        <v>0</v>
      </c>
      <c r="O5709">
        <v>0</v>
      </c>
    </row>
    <row r="5710" spans="1:15" x14ac:dyDescent="0.2">
      <c r="A5710" s="6">
        <v>45798</v>
      </c>
      <c r="B5710" t="s">
        <v>15</v>
      </c>
      <c r="C5710" t="s">
        <v>16</v>
      </c>
      <c r="D5710" s="1">
        <v>45855</v>
      </c>
      <c r="E5710" t="s">
        <v>19</v>
      </c>
      <c r="F5710">
        <v>5850</v>
      </c>
      <c r="J5710">
        <v>643.9</v>
      </c>
      <c r="K5710">
        <v>624.1</v>
      </c>
      <c r="L5710">
        <v>0</v>
      </c>
      <c r="M5710" t="s">
        <v>18</v>
      </c>
      <c r="N5710">
        <v>0</v>
      </c>
      <c r="O5710">
        <v>0</v>
      </c>
    </row>
    <row r="5711" spans="1:15" x14ac:dyDescent="0.2">
      <c r="A5711" s="6">
        <v>45798</v>
      </c>
      <c r="B5711" t="s">
        <v>15</v>
      </c>
      <c r="C5711" t="s">
        <v>16</v>
      </c>
      <c r="D5711" s="1">
        <v>45855</v>
      </c>
      <c r="E5711" t="s">
        <v>19</v>
      </c>
      <c r="F5711">
        <v>6300</v>
      </c>
      <c r="J5711">
        <v>1037.7</v>
      </c>
      <c r="K5711">
        <v>1009.8</v>
      </c>
      <c r="L5711">
        <v>0</v>
      </c>
      <c r="M5711" t="s">
        <v>18</v>
      </c>
      <c r="N5711">
        <v>0</v>
      </c>
      <c r="O5711">
        <v>0</v>
      </c>
    </row>
    <row r="5712" spans="1:15" x14ac:dyDescent="0.2">
      <c r="A5712" s="6">
        <v>45798</v>
      </c>
      <c r="B5712" t="s">
        <v>15</v>
      </c>
      <c r="C5712" t="s">
        <v>16</v>
      </c>
      <c r="D5712" s="1">
        <v>45855</v>
      </c>
      <c r="E5712" t="s">
        <v>17</v>
      </c>
      <c r="F5712">
        <v>3900</v>
      </c>
      <c r="J5712">
        <v>1362.5</v>
      </c>
      <c r="K5712">
        <v>1397.1</v>
      </c>
      <c r="L5712">
        <v>0</v>
      </c>
      <c r="M5712" t="s">
        <v>18</v>
      </c>
      <c r="N5712">
        <v>0</v>
      </c>
      <c r="O5712">
        <v>0</v>
      </c>
    </row>
    <row r="5713" spans="1:15" x14ac:dyDescent="0.2">
      <c r="A5713" s="6">
        <v>45798</v>
      </c>
      <c r="B5713" t="s">
        <v>15</v>
      </c>
      <c r="C5713" t="s">
        <v>16</v>
      </c>
      <c r="D5713" s="1">
        <v>45855</v>
      </c>
      <c r="E5713" t="s">
        <v>19</v>
      </c>
      <c r="F5713">
        <v>6500</v>
      </c>
      <c r="J5713">
        <v>1225.5999999999999</v>
      </c>
      <c r="K5713">
        <v>1195.3</v>
      </c>
      <c r="L5713">
        <v>0</v>
      </c>
      <c r="M5713" t="s">
        <v>18</v>
      </c>
      <c r="N5713">
        <v>0</v>
      </c>
      <c r="O5713">
        <v>0</v>
      </c>
    </row>
    <row r="5714" spans="1:15" x14ac:dyDescent="0.2">
      <c r="A5714" s="6">
        <v>45798</v>
      </c>
      <c r="B5714" t="s">
        <v>15</v>
      </c>
      <c r="C5714" t="s">
        <v>16</v>
      </c>
      <c r="D5714" s="1">
        <v>45855</v>
      </c>
      <c r="E5714" t="s">
        <v>17</v>
      </c>
      <c r="F5714">
        <v>6600</v>
      </c>
      <c r="J5714">
        <v>9.4</v>
      </c>
      <c r="K5714">
        <v>13.1</v>
      </c>
      <c r="L5714">
        <v>0</v>
      </c>
      <c r="M5714" t="s">
        <v>18</v>
      </c>
      <c r="N5714">
        <v>0</v>
      </c>
      <c r="O5714">
        <v>0</v>
      </c>
    </row>
    <row r="5715" spans="1:15" x14ac:dyDescent="0.2">
      <c r="A5715" s="6">
        <v>45798</v>
      </c>
      <c r="B5715" t="s">
        <v>15</v>
      </c>
      <c r="C5715" t="s">
        <v>16</v>
      </c>
      <c r="D5715" s="1">
        <v>45855</v>
      </c>
      <c r="E5715" t="s">
        <v>19</v>
      </c>
      <c r="F5715">
        <v>3850</v>
      </c>
      <c r="J5715">
        <v>0.9</v>
      </c>
      <c r="K5715">
        <v>1</v>
      </c>
      <c r="L5715">
        <v>0</v>
      </c>
      <c r="M5715" t="s">
        <v>18</v>
      </c>
      <c r="N5715">
        <v>0</v>
      </c>
      <c r="O5715">
        <v>0</v>
      </c>
    </row>
    <row r="5716" spans="1:15" x14ac:dyDescent="0.2">
      <c r="A5716" s="6">
        <v>45798</v>
      </c>
      <c r="B5716" t="s">
        <v>15</v>
      </c>
      <c r="C5716" t="s">
        <v>16</v>
      </c>
      <c r="D5716" s="1">
        <v>45855</v>
      </c>
      <c r="E5716" t="s">
        <v>19</v>
      </c>
      <c r="F5716">
        <v>6000</v>
      </c>
      <c r="J5716">
        <v>769.2</v>
      </c>
      <c r="K5716">
        <v>746.2</v>
      </c>
      <c r="L5716">
        <v>0</v>
      </c>
      <c r="M5716" t="s">
        <v>18</v>
      </c>
      <c r="N5716">
        <v>0</v>
      </c>
      <c r="O5716">
        <v>0</v>
      </c>
    </row>
    <row r="5717" spans="1:15" x14ac:dyDescent="0.2">
      <c r="A5717" s="6">
        <v>45798</v>
      </c>
      <c r="B5717" t="s">
        <v>15</v>
      </c>
      <c r="C5717" t="s">
        <v>16</v>
      </c>
      <c r="D5717" s="1">
        <v>45855</v>
      </c>
      <c r="E5717" t="s">
        <v>19</v>
      </c>
      <c r="F5717">
        <v>3950</v>
      </c>
      <c r="J5717">
        <v>1.7</v>
      </c>
      <c r="K5717">
        <v>1.9</v>
      </c>
      <c r="L5717">
        <v>0</v>
      </c>
      <c r="M5717" t="s">
        <v>18</v>
      </c>
      <c r="N5717">
        <v>0</v>
      </c>
      <c r="O5717">
        <v>0</v>
      </c>
    </row>
    <row r="5718" spans="1:15" x14ac:dyDescent="0.2">
      <c r="A5718" s="6">
        <v>45798</v>
      </c>
      <c r="B5718" t="s">
        <v>15</v>
      </c>
      <c r="C5718" t="s">
        <v>16</v>
      </c>
      <c r="D5718" s="1">
        <v>45855</v>
      </c>
      <c r="E5718" t="s">
        <v>17</v>
      </c>
      <c r="F5718">
        <v>6400</v>
      </c>
      <c r="J5718">
        <v>17.2</v>
      </c>
      <c r="K5718">
        <v>22.8</v>
      </c>
      <c r="L5718">
        <v>0</v>
      </c>
      <c r="M5718" t="s">
        <v>18</v>
      </c>
      <c r="N5718">
        <v>0</v>
      </c>
      <c r="O5718">
        <v>0</v>
      </c>
    </row>
    <row r="5719" spans="1:15" x14ac:dyDescent="0.2">
      <c r="A5719" s="6">
        <v>45798</v>
      </c>
      <c r="B5719" t="s">
        <v>15</v>
      </c>
      <c r="C5719" t="s">
        <v>16</v>
      </c>
      <c r="D5719" s="1">
        <v>45855</v>
      </c>
      <c r="E5719" t="s">
        <v>17</v>
      </c>
      <c r="F5719">
        <v>5550</v>
      </c>
      <c r="J5719">
        <v>147.6</v>
      </c>
      <c r="K5719">
        <v>169.3</v>
      </c>
      <c r="L5719">
        <v>0</v>
      </c>
      <c r="M5719" t="s">
        <v>18</v>
      </c>
      <c r="N5719">
        <v>0</v>
      </c>
      <c r="O5719">
        <v>0</v>
      </c>
    </row>
    <row r="5720" spans="1:15" x14ac:dyDescent="0.2">
      <c r="A5720" s="6">
        <v>45797</v>
      </c>
      <c r="B5720" t="s">
        <v>15</v>
      </c>
      <c r="C5720" t="s">
        <v>16</v>
      </c>
      <c r="D5720" s="1">
        <v>45855</v>
      </c>
      <c r="E5720" t="s">
        <v>19</v>
      </c>
      <c r="F5720">
        <v>5200</v>
      </c>
      <c r="J5720">
        <v>212.2</v>
      </c>
      <c r="K5720">
        <v>235.7</v>
      </c>
      <c r="L5720">
        <v>0</v>
      </c>
      <c r="M5720" t="s">
        <v>18</v>
      </c>
      <c r="N5720">
        <v>0</v>
      </c>
      <c r="O5720">
        <v>0</v>
      </c>
    </row>
    <row r="5721" spans="1:15" x14ac:dyDescent="0.2">
      <c r="A5721" s="6">
        <v>45797</v>
      </c>
      <c r="B5721" t="s">
        <v>15</v>
      </c>
      <c r="C5721" t="s">
        <v>16</v>
      </c>
      <c r="D5721" s="1">
        <v>45855</v>
      </c>
      <c r="E5721" t="s">
        <v>17</v>
      </c>
      <c r="F5721">
        <v>4350</v>
      </c>
      <c r="J5721">
        <v>965.2</v>
      </c>
      <c r="K5721">
        <v>937.1</v>
      </c>
      <c r="L5721">
        <v>0</v>
      </c>
      <c r="M5721" t="s">
        <v>18</v>
      </c>
      <c r="N5721">
        <v>0</v>
      </c>
      <c r="O5721">
        <v>0</v>
      </c>
    </row>
    <row r="5722" spans="1:15" x14ac:dyDescent="0.2">
      <c r="A5722" s="6">
        <v>45797</v>
      </c>
      <c r="B5722" t="s">
        <v>15</v>
      </c>
      <c r="C5722" t="s">
        <v>16</v>
      </c>
      <c r="D5722" s="1">
        <v>45855</v>
      </c>
      <c r="E5722" t="s">
        <v>17</v>
      </c>
      <c r="F5722">
        <v>4850</v>
      </c>
      <c r="J5722">
        <v>544.1</v>
      </c>
      <c r="K5722">
        <v>526.4</v>
      </c>
      <c r="L5722">
        <v>0</v>
      </c>
      <c r="M5722" t="s">
        <v>18</v>
      </c>
      <c r="N5722">
        <v>0</v>
      </c>
      <c r="O5722">
        <v>0</v>
      </c>
    </row>
    <row r="5723" spans="1:15" x14ac:dyDescent="0.2">
      <c r="A5723" s="6">
        <v>45797</v>
      </c>
      <c r="B5723" t="s">
        <v>15</v>
      </c>
      <c r="C5723" t="s">
        <v>16</v>
      </c>
      <c r="D5723" s="1">
        <v>45855</v>
      </c>
      <c r="E5723" t="s">
        <v>19</v>
      </c>
      <c r="F5723">
        <v>5250</v>
      </c>
      <c r="J5723">
        <v>235.7</v>
      </c>
      <c r="K5723">
        <v>260.3</v>
      </c>
      <c r="L5723">
        <v>0</v>
      </c>
      <c r="M5723" t="s">
        <v>18</v>
      </c>
      <c r="N5723">
        <v>0</v>
      </c>
      <c r="O5723">
        <v>0</v>
      </c>
    </row>
    <row r="5724" spans="1:15" x14ac:dyDescent="0.2">
      <c r="A5724" s="6">
        <v>45797</v>
      </c>
      <c r="B5724" t="s">
        <v>15</v>
      </c>
      <c r="C5724" t="s">
        <v>16</v>
      </c>
      <c r="D5724" s="1">
        <v>45855</v>
      </c>
      <c r="E5724" t="s">
        <v>17</v>
      </c>
      <c r="F5724">
        <v>3700</v>
      </c>
      <c r="J5724">
        <v>1594</v>
      </c>
      <c r="K5724">
        <v>1561.3</v>
      </c>
      <c r="L5724">
        <v>0</v>
      </c>
      <c r="M5724" t="s">
        <v>18</v>
      </c>
      <c r="N5724">
        <v>0</v>
      </c>
      <c r="O5724">
        <v>0</v>
      </c>
    </row>
    <row r="5725" spans="1:15" x14ac:dyDescent="0.2">
      <c r="A5725" s="6">
        <v>45797</v>
      </c>
      <c r="B5725" t="s">
        <v>15</v>
      </c>
      <c r="C5725" t="s">
        <v>16</v>
      </c>
      <c r="D5725" s="1">
        <v>45855</v>
      </c>
      <c r="E5725" t="s">
        <v>17</v>
      </c>
      <c r="F5725">
        <v>5000</v>
      </c>
      <c r="J5725">
        <v>439.9</v>
      </c>
      <c r="K5725">
        <v>426</v>
      </c>
      <c r="L5725">
        <v>0</v>
      </c>
      <c r="M5725" t="s">
        <v>18</v>
      </c>
      <c r="N5725">
        <v>0</v>
      </c>
      <c r="O5725">
        <v>0</v>
      </c>
    </row>
    <row r="5726" spans="1:15" x14ac:dyDescent="0.2">
      <c r="A5726" s="6">
        <v>45797</v>
      </c>
      <c r="B5726" t="s">
        <v>15</v>
      </c>
      <c r="C5726" t="s">
        <v>16</v>
      </c>
      <c r="D5726" s="1">
        <v>45855</v>
      </c>
      <c r="E5726" t="s">
        <v>17</v>
      </c>
      <c r="F5726">
        <v>4750</v>
      </c>
      <c r="J5726">
        <v>620.1</v>
      </c>
      <c r="K5726">
        <v>600</v>
      </c>
      <c r="L5726">
        <v>0</v>
      </c>
      <c r="M5726" t="s">
        <v>18</v>
      </c>
      <c r="N5726">
        <v>0</v>
      </c>
      <c r="O5726">
        <v>0</v>
      </c>
    </row>
    <row r="5727" spans="1:15" x14ac:dyDescent="0.2">
      <c r="A5727" s="6">
        <v>45797</v>
      </c>
      <c r="B5727" t="s">
        <v>15</v>
      </c>
      <c r="C5727" t="s">
        <v>16</v>
      </c>
      <c r="D5727" s="1">
        <v>45855</v>
      </c>
      <c r="E5727" t="s">
        <v>17</v>
      </c>
      <c r="F5727">
        <v>4400</v>
      </c>
      <c r="J5727">
        <v>919.3</v>
      </c>
      <c r="K5727">
        <v>891.9</v>
      </c>
      <c r="L5727">
        <v>0</v>
      </c>
      <c r="M5727" t="s">
        <v>18</v>
      </c>
      <c r="N5727">
        <v>0</v>
      </c>
      <c r="O5727">
        <v>0</v>
      </c>
    </row>
    <row r="5728" spans="1:15" x14ac:dyDescent="0.2">
      <c r="A5728" s="6">
        <v>45797</v>
      </c>
      <c r="B5728" t="s">
        <v>15</v>
      </c>
      <c r="C5728" t="s">
        <v>16</v>
      </c>
      <c r="D5728" s="1">
        <v>45855</v>
      </c>
      <c r="E5728" t="s">
        <v>17</v>
      </c>
      <c r="F5728">
        <v>4450</v>
      </c>
      <c r="J5728">
        <v>874</v>
      </c>
      <c r="K5728">
        <v>847.5</v>
      </c>
      <c r="L5728">
        <v>0</v>
      </c>
      <c r="M5728" t="s">
        <v>18</v>
      </c>
      <c r="N5728">
        <v>0</v>
      </c>
      <c r="O5728">
        <v>0</v>
      </c>
    </row>
    <row r="5729" spans="1:15" x14ac:dyDescent="0.2">
      <c r="A5729" s="6">
        <v>45797</v>
      </c>
      <c r="B5729" t="s">
        <v>15</v>
      </c>
      <c r="C5729" t="s">
        <v>16</v>
      </c>
      <c r="D5729" s="1">
        <v>45855</v>
      </c>
      <c r="E5729" t="s">
        <v>17</v>
      </c>
      <c r="F5729">
        <v>4100</v>
      </c>
      <c r="J5729">
        <v>1202.2</v>
      </c>
      <c r="K5729">
        <v>1171.2</v>
      </c>
      <c r="L5729">
        <v>0</v>
      </c>
      <c r="M5729" t="s">
        <v>18</v>
      </c>
      <c r="N5729">
        <v>0</v>
      </c>
      <c r="O5729">
        <v>0</v>
      </c>
    </row>
    <row r="5730" spans="1:15" x14ac:dyDescent="0.2">
      <c r="A5730" s="6">
        <v>45797</v>
      </c>
      <c r="B5730" t="s">
        <v>15</v>
      </c>
      <c r="C5730" t="s">
        <v>16</v>
      </c>
      <c r="D5730" s="1">
        <v>45855</v>
      </c>
      <c r="E5730" t="s">
        <v>17</v>
      </c>
      <c r="F5730">
        <v>5300</v>
      </c>
      <c r="J5730">
        <v>270.5</v>
      </c>
      <c r="K5730">
        <v>263.5</v>
      </c>
      <c r="L5730">
        <v>0</v>
      </c>
      <c r="M5730" t="s">
        <v>18</v>
      </c>
      <c r="N5730">
        <v>0</v>
      </c>
      <c r="O5730">
        <v>0</v>
      </c>
    </row>
    <row r="5731" spans="1:15" x14ac:dyDescent="0.2">
      <c r="A5731" s="6">
        <v>45797</v>
      </c>
      <c r="B5731" t="s">
        <v>15</v>
      </c>
      <c r="C5731" t="s">
        <v>16</v>
      </c>
      <c r="D5731" s="1">
        <v>45855</v>
      </c>
      <c r="E5731" t="s">
        <v>19</v>
      </c>
      <c r="F5731">
        <v>6150</v>
      </c>
      <c r="J5731">
        <v>875.3</v>
      </c>
      <c r="K5731">
        <v>908.8</v>
      </c>
      <c r="L5731">
        <v>0</v>
      </c>
      <c r="M5731" t="s">
        <v>18</v>
      </c>
      <c r="N5731">
        <v>0</v>
      </c>
      <c r="O5731">
        <v>0</v>
      </c>
    </row>
    <row r="5732" spans="1:15" x14ac:dyDescent="0.2">
      <c r="A5732" s="6">
        <v>45797</v>
      </c>
      <c r="B5732" t="s">
        <v>15</v>
      </c>
      <c r="C5732" t="s">
        <v>16</v>
      </c>
      <c r="D5732" s="1">
        <v>45855</v>
      </c>
      <c r="E5732" t="s">
        <v>19</v>
      </c>
      <c r="F5732">
        <v>4900</v>
      </c>
      <c r="J5732">
        <v>102.1</v>
      </c>
      <c r="K5732">
        <v>118.5</v>
      </c>
      <c r="L5732">
        <v>0</v>
      </c>
      <c r="M5732" t="s">
        <v>18</v>
      </c>
      <c r="N5732">
        <v>0</v>
      </c>
      <c r="O5732">
        <v>0</v>
      </c>
    </row>
    <row r="5733" spans="1:15" x14ac:dyDescent="0.2">
      <c r="A5733" s="6">
        <v>45797</v>
      </c>
      <c r="B5733" t="s">
        <v>15</v>
      </c>
      <c r="C5733" t="s">
        <v>16</v>
      </c>
      <c r="D5733" s="1">
        <v>45855</v>
      </c>
      <c r="E5733" t="s">
        <v>17</v>
      </c>
      <c r="F5733">
        <v>6200</v>
      </c>
      <c r="J5733">
        <v>38.6</v>
      </c>
      <c r="K5733">
        <v>39.700000000000003</v>
      </c>
      <c r="L5733">
        <v>0</v>
      </c>
      <c r="M5733" t="s">
        <v>18</v>
      </c>
      <c r="N5733">
        <v>0</v>
      </c>
      <c r="O5733">
        <v>0</v>
      </c>
    </row>
    <row r="5734" spans="1:15" x14ac:dyDescent="0.2">
      <c r="A5734" s="6">
        <v>45797</v>
      </c>
      <c r="B5734" t="s">
        <v>15</v>
      </c>
      <c r="C5734" t="s">
        <v>16</v>
      </c>
      <c r="D5734" s="1">
        <v>45855</v>
      </c>
      <c r="E5734" t="s">
        <v>17</v>
      </c>
      <c r="F5734">
        <v>4950</v>
      </c>
      <c r="J5734">
        <v>473.2</v>
      </c>
      <c r="K5734">
        <v>458.1</v>
      </c>
      <c r="L5734">
        <v>0</v>
      </c>
      <c r="M5734" t="s">
        <v>18</v>
      </c>
      <c r="N5734">
        <v>0</v>
      </c>
      <c r="O5734">
        <v>0</v>
      </c>
    </row>
    <row r="5735" spans="1:15" x14ac:dyDescent="0.2">
      <c r="A5735" s="6">
        <v>45797</v>
      </c>
      <c r="B5735" t="s">
        <v>15</v>
      </c>
      <c r="C5735" t="s">
        <v>16</v>
      </c>
      <c r="D5735" s="1">
        <v>45855</v>
      </c>
      <c r="E5735" t="s">
        <v>17</v>
      </c>
      <c r="F5735">
        <v>4900</v>
      </c>
      <c r="J5735">
        <v>508</v>
      </c>
      <c r="K5735">
        <v>491.6</v>
      </c>
      <c r="L5735">
        <v>0</v>
      </c>
      <c r="M5735" t="s">
        <v>18</v>
      </c>
      <c r="N5735">
        <v>0</v>
      </c>
      <c r="O5735">
        <v>0</v>
      </c>
    </row>
    <row r="5736" spans="1:15" x14ac:dyDescent="0.2">
      <c r="A5736" s="6">
        <v>45797</v>
      </c>
      <c r="B5736" t="s">
        <v>15</v>
      </c>
      <c r="C5736" t="s">
        <v>16</v>
      </c>
      <c r="D5736" s="1">
        <v>45855</v>
      </c>
      <c r="E5736" t="s">
        <v>17</v>
      </c>
      <c r="F5736">
        <v>4800</v>
      </c>
      <c r="J5736">
        <v>581.5</v>
      </c>
      <c r="K5736">
        <v>562.6</v>
      </c>
      <c r="L5736">
        <v>0</v>
      </c>
      <c r="M5736" t="s">
        <v>18</v>
      </c>
      <c r="N5736">
        <v>0</v>
      </c>
      <c r="O5736">
        <v>0</v>
      </c>
    </row>
    <row r="5737" spans="1:15" x14ac:dyDescent="0.2">
      <c r="A5737" s="6">
        <v>45797</v>
      </c>
      <c r="B5737" t="s">
        <v>15</v>
      </c>
      <c r="C5737" t="s">
        <v>16</v>
      </c>
      <c r="D5737" s="1">
        <v>45855</v>
      </c>
      <c r="E5737" t="s">
        <v>17</v>
      </c>
      <c r="F5737">
        <v>5950</v>
      </c>
      <c r="J5737">
        <v>71.2</v>
      </c>
      <c r="K5737">
        <v>71.7</v>
      </c>
      <c r="L5737">
        <v>0</v>
      </c>
      <c r="M5737" t="s">
        <v>18</v>
      </c>
      <c r="N5737">
        <v>0</v>
      </c>
      <c r="O5737">
        <v>0</v>
      </c>
    </row>
    <row r="5738" spans="1:15" x14ac:dyDescent="0.2">
      <c r="A5738" s="6">
        <v>45797</v>
      </c>
      <c r="B5738" t="s">
        <v>15</v>
      </c>
      <c r="C5738" t="s">
        <v>16</v>
      </c>
      <c r="D5738" s="1">
        <v>45855</v>
      </c>
      <c r="E5738" t="s">
        <v>19</v>
      </c>
      <c r="F5738">
        <v>3900</v>
      </c>
      <c r="J5738">
        <v>1.4</v>
      </c>
      <c r="K5738">
        <v>2.2000000000000002</v>
      </c>
      <c r="L5738">
        <v>0</v>
      </c>
      <c r="M5738" t="s">
        <v>18</v>
      </c>
      <c r="N5738">
        <v>0</v>
      </c>
      <c r="O5738">
        <v>0</v>
      </c>
    </row>
    <row r="5739" spans="1:15" x14ac:dyDescent="0.2">
      <c r="A5739" s="6">
        <v>45797</v>
      </c>
      <c r="B5739" t="s">
        <v>15</v>
      </c>
      <c r="C5739" t="s">
        <v>16</v>
      </c>
      <c r="D5739" s="1">
        <v>45855</v>
      </c>
      <c r="E5739" t="s">
        <v>19</v>
      </c>
      <c r="F5739">
        <v>4200</v>
      </c>
      <c r="J5739">
        <v>7.5</v>
      </c>
      <c r="K5739">
        <v>10.3</v>
      </c>
      <c r="L5739">
        <v>0</v>
      </c>
      <c r="M5739" t="s">
        <v>18</v>
      </c>
      <c r="N5739">
        <v>0</v>
      </c>
      <c r="O5739">
        <v>0</v>
      </c>
    </row>
    <row r="5740" spans="1:15" x14ac:dyDescent="0.2">
      <c r="A5740" s="6">
        <v>45797</v>
      </c>
      <c r="B5740" t="s">
        <v>15</v>
      </c>
      <c r="C5740" t="s">
        <v>16</v>
      </c>
      <c r="D5740" s="1">
        <v>45855</v>
      </c>
      <c r="E5740" t="s">
        <v>19</v>
      </c>
      <c r="F5740">
        <v>3600</v>
      </c>
      <c r="J5740">
        <v>0.2</v>
      </c>
      <c r="K5740">
        <v>0.3</v>
      </c>
      <c r="L5740">
        <v>0</v>
      </c>
      <c r="M5740" t="s">
        <v>18</v>
      </c>
      <c r="N5740">
        <v>0</v>
      </c>
      <c r="O5740">
        <v>0</v>
      </c>
    </row>
    <row r="5741" spans="1:15" x14ac:dyDescent="0.2">
      <c r="A5741" s="6">
        <v>45797</v>
      </c>
      <c r="B5741" t="s">
        <v>15</v>
      </c>
      <c r="C5741" t="s">
        <v>16</v>
      </c>
      <c r="D5741" s="1">
        <v>45855</v>
      </c>
      <c r="E5741" t="s">
        <v>17</v>
      </c>
      <c r="F5741">
        <v>5100</v>
      </c>
      <c r="J5741">
        <v>377.5</v>
      </c>
      <c r="K5741">
        <v>366.1</v>
      </c>
      <c r="L5741">
        <v>0</v>
      </c>
      <c r="M5741" t="s">
        <v>18</v>
      </c>
      <c r="N5741">
        <v>0</v>
      </c>
      <c r="O5741">
        <v>0</v>
      </c>
    </row>
    <row r="5742" spans="1:15" x14ac:dyDescent="0.2">
      <c r="A5742" s="6">
        <v>45797</v>
      </c>
      <c r="B5742" t="s">
        <v>15</v>
      </c>
      <c r="C5742" t="s">
        <v>16</v>
      </c>
      <c r="D5742" s="1">
        <v>45855</v>
      </c>
      <c r="E5742" t="s">
        <v>17</v>
      </c>
      <c r="F5742">
        <v>5250</v>
      </c>
      <c r="J5742">
        <v>295.10000000000002</v>
      </c>
      <c r="K5742">
        <v>287</v>
      </c>
      <c r="L5742">
        <v>0</v>
      </c>
      <c r="M5742" t="s">
        <v>18</v>
      </c>
      <c r="N5742">
        <v>0</v>
      </c>
      <c r="O5742">
        <v>0</v>
      </c>
    </row>
    <row r="5743" spans="1:15" x14ac:dyDescent="0.2">
      <c r="A5743" s="6">
        <v>45797</v>
      </c>
      <c r="B5743" t="s">
        <v>15</v>
      </c>
      <c r="C5743" t="s">
        <v>16</v>
      </c>
      <c r="D5743" s="1">
        <v>45855</v>
      </c>
      <c r="E5743" t="s">
        <v>19</v>
      </c>
      <c r="F5743">
        <v>6050</v>
      </c>
      <c r="J5743">
        <v>788.6</v>
      </c>
      <c r="K5743">
        <v>821.9</v>
      </c>
      <c r="L5743">
        <v>0</v>
      </c>
      <c r="M5743" t="s">
        <v>18</v>
      </c>
      <c r="N5743">
        <v>0</v>
      </c>
      <c r="O5743">
        <v>0</v>
      </c>
    </row>
    <row r="5744" spans="1:15" x14ac:dyDescent="0.2">
      <c r="A5744" s="6">
        <v>45797</v>
      </c>
      <c r="B5744" t="s">
        <v>15</v>
      </c>
      <c r="C5744" t="s">
        <v>16</v>
      </c>
      <c r="D5744" s="1">
        <v>45855</v>
      </c>
      <c r="E5744" t="s">
        <v>17</v>
      </c>
      <c r="F5744">
        <v>5700</v>
      </c>
      <c r="J5744">
        <v>124.4</v>
      </c>
      <c r="K5744">
        <v>123.2</v>
      </c>
      <c r="L5744">
        <v>0</v>
      </c>
      <c r="M5744" t="s">
        <v>18</v>
      </c>
      <c r="N5744">
        <v>0</v>
      </c>
      <c r="O5744">
        <v>0</v>
      </c>
    </row>
    <row r="5745" spans="1:15" x14ac:dyDescent="0.2">
      <c r="A5745" s="6">
        <v>45797</v>
      </c>
      <c r="B5745" t="s">
        <v>15</v>
      </c>
      <c r="C5745" t="s">
        <v>16</v>
      </c>
      <c r="D5745" s="1">
        <v>45855</v>
      </c>
      <c r="E5745" t="s">
        <v>17</v>
      </c>
      <c r="F5745">
        <v>4200</v>
      </c>
      <c r="J5745">
        <v>1106.2</v>
      </c>
      <c r="K5745">
        <v>1076.2</v>
      </c>
      <c r="L5745">
        <v>0</v>
      </c>
      <c r="M5745" t="s">
        <v>18</v>
      </c>
      <c r="N5745">
        <v>0</v>
      </c>
      <c r="O5745">
        <v>0</v>
      </c>
    </row>
    <row r="5746" spans="1:15" x14ac:dyDescent="0.2">
      <c r="A5746" s="6">
        <v>45797</v>
      </c>
      <c r="B5746" t="s">
        <v>15</v>
      </c>
      <c r="C5746" t="s">
        <v>16</v>
      </c>
      <c r="D5746" s="1">
        <v>45855</v>
      </c>
      <c r="E5746" t="s">
        <v>19</v>
      </c>
      <c r="F5746">
        <v>5100</v>
      </c>
      <c r="J5746">
        <v>169.7</v>
      </c>
      <c r="K5746">
        <v>190.9</v>
      </c>
      <c r="L5746">
        <v>0</v>
      </c>
      <c r="M5746" t="s">
        <v>18</v>
      </c>
      <c r="N5746">
        <v>0</v>
      </c>
      <c r="O5746">
        <v>0</v>
      </c>
    </row>
    <row r="5747" spans="1:15" x14ac:dyDescent="0.2">
      <c r="A5747" s="6">
        <v>45797</v>
      </c>
      <c r="B5747" t="s">
        <v>15</v>
      </c>
      <c r="C5747" t="s">
        <v>16</v>
      </c>
      <c r="D5747" s="1">
        <v>45855</v>
      </c>
      <c r="E5747" t="s">
        <v>19</v>
      </c>
      <c r="F5747">
        <v>6650</v>
      </c>
      <c r="J5747">
        <v>1337.7</v>
      </c>
      <c r="K5747">
        <v>1371</v>
      </c>
      <c r="L5747">
        <v>0</v>
      </c>
      <c r="M5747" t="s">
        <v>18</v>
      </c>
      <c r="N5747">
        <v>0</v>
      </c>
      <c r="O5747">
        <v>0</v>
      </c>
    </row>
    <row r="5748" spans="1:15" x14ac:dyDescent="0.2">
      <c r="A5748" s="6">
        <v>45797</v>
      </c>
      <c r="B5748" t="s">
        <v>15</v>
      </c>
      <c r="C5748" t="s">
        <v>16</v>
      </c>
      <c r="D5748" s="1">
        <v>45855</v>
      </c>
      <c r="E5748" t="s">
        <v>17</v>
      </c>
      <c r="F5748">
        <v>4650</v>
      </c>
      <c r="J5748">
        <v>700.8</v>
      </c>
      <c r="K5748">
        <v>678.4</v>
      </c>
      <c r="L5748">
        <v>0</v>
      </c>
      <c r="M5748" t="s">
        <v>18</v>
      </c>
      <c r="N5748">
        <v>0</v>
      </c>
      <c r="O5748">
        <v>0</v>
      </c>
    </row>
    <row r="5749" spans="1:15" x14ac:dyDescent="0.2">
      <c r="A5749" s="6">
        <v>45797</v>
      </c>
      <c r="B5749" t="s">
        <v>15</v>
      </c>
      <c r="C5749" t="s">
        <v>16</v>
      </c>
      <c r="D5749" s="1">
        <v>45855</v>
      </c>
      <c r="E5749" t="s">
        <v>19</v>
      </c>
      <c r="F5749">
        <v>3750</v>
      </c>
      <c r="J5749">
        <v>0.5</v>
      </c>
      <c r="K5749">
        <v>0.9</v>
      </c>
      <c r="L5749">
        <v>0</v>
      </c>
      <c r="M5749" t="s">
        <v>18</v>
      </c>
      <c r="N5749">
        <v>0</v>
      </c>
      <c r="O5749">
        <v>0</v>
      </c>
    </row>
    <row r="5750" spans="1:15" x14ac:dyDescent="0.2">
      <c r="A5750" s="6">
        <v>45797</v>
      </c>
      <c r="B5750" t="s">
        <v>15</v>
      </c>
      <c r="C5750" t="s">
        <v>16</v>
      </c>
      <c r="D5750" s="1">
        <v>45855</v>
      </c>
      <c r="E5750" t="s">
        <v>17</v>
      </c>
      <c r="F5750">
        <v>6050</v>
      </c>
      <c r="J5750">
        <v>56.1</v>
      </c>
      <c r="K5750">
        <v>56.9</v>
      </c>
      <c r="L5750">
        <v>0</v>
      </c>
      <c r="M5750" t="s">
        <v>18</v>
      </c>
      <c r="N5750">
        <v>0</v>
      </c>
      <c r="O5750">
        <v>0</v>
      </c>
    </row>
    <row r="5751" spans="1:15" x14ac:dyDescent="0.2">
      <c r="A5751" s="6">
        <v>45797</v>
      </c>
      <c r="B5751" t="s">
        <v>15</v>
      </c>
      <c r="C5751" t="s">
        <v>16</v>
      </c>
      <c r="D5751" s="1">
        <v>45855</v>
      </c>
      <c r="E5751" t="s">
        <v>19</v>
      </c>
      <c r="F5751">
        <v>4700</v>
      </c>
      <c r="J5751">
        <v>56.1</v>
      </c>
      <c r="K5751">
        <v>67.599999999999994</v>
      </c>
      <c r="L5751">
        <v>0</v>
      </c>
      <c r="M5751" t="s">
        <v>18</v>
      </c>
      <c r="N5751">
        <v>0</v>
      </c>
      <c r="O5751">
        <v>0</v>
      </c>
    </row>
    <row r="5752" spans="1:15" x14ac:dyDescent="0.2">
      <c r="A5752" s="6">
        <v>45797</v>
      </c>
      <c r="B5752" t="s">
        <v>15</v>
      </c>
      <c r="C5752" t="s">
        <v>16</v>
      </c>
      <c r="D5752" s="1">
        <v>45855</v>
      </c>
      <c r="E5752" t="s">
        <v>17</v>
      </c>
      <c r="F5752">
        <v>6650</v>
      </c>
      <c r="J5752">
        <v>11.4</v>
      </c>
      <c r="K5752">
        <v>12.3</v>
      </c>
      <c r="L5752">
        <v>0</v>
      </c>
      <c r="M5752" t="s">
        <v>18</v>
      </c>
      <c r="N5752">
        <v>0</v>
      </c>
      <c r="O5752">
        <v>0</v>
      </c>
    </row>
    <row r="5753" spans="1:15" x14ac:dyDescent="0.2">
      <c r="A5753" s="6">
        <v>45797</v>
      </c>
      <c r="B5753" t="s">
        <v>15</v>
      </c>
      <c r="C5753" t="s">
        <v>16</v>
      </c>
      <c r="D5753" s="1">
        <v>45855</v>
      </c>
      <c r="E5753" t="s">
        <v>17</v>
      </c>
      <c r="F5753">
        <v>3750</v>
      </c>
      <c r="J5753">
        <v>1544.7</v>
      </c>
      <c r="K5753">
        <v>1512</v>
      </c>
      <c r="L5753">
        <v>0</v>
      </c>
      <c r="M5753" t="s">
        <v>18</v>
      </c>
      <c r="N5753">
        <v>0</v>
      </c>
      <c r="O5753">
        <v>0</v>
      </c>
    </row>
    <row r="5754" spans="1:15" x14ac:dyDescent="0.2">
      <c r="A5754" s="6">
        <v>45797</v>
      </c>
      <c r="B5754" t="s">
        <v>15</v>
      </c>
      <c r="C5754" t="s">
        <v>16</v>
      </c>
      <c r="D5754" s="1">
        <v>45855</v>
      </c>
      <c r="E5754" t="s">
        <v>19</v>
      </c>
      <c r="F5754">
        <v>5800</v>
      </c>
      <c r="J5754">
        <v>585.20000000000005</v>
      </c>
      <c r="K5754">
        <v>617.4</v>
      </c>
      <c r="L5754">
        <v>0</v>
      </c>
      <c r="M5754" t="s">
        <v>18</v>
      </c>
      <c r="N5754">
        <v>0</v>
      </c>
      <c r="O5754">
        <v>0</v>
      </c>
    </row>
    <row r="5755" spans="1:15" x14ac:dyDescent="0.2">
      <c r="A5755" s="6">
        <v>45797</v>
      </c>
      <c r="B5755" t="s">
        <v>15</v>
      </c>
      <c r="C5755" t="s">
        <v>16</v>
      </c>
      <c r="D5755" s="1">
        <v>45855</v>
      </c>
      <c r="E5755" t="s">
        <v>19</v>
      </c>
      <c r="F5755">
        <v>4550</v>
      </c>
      <c r="J5755">
        <v>33.299999999999997</v>
      </c>
      <c r="K5755">
        <v>41.6</v>
      </c>
      <c r="L5755">
        <v>0</v>
      </c>
      <c r="M5755" t="s">
        <v>18</v>
      </c>
      <c r="N5755">
        <v>0</v>
      </c>
      <c r="O5755">
        <v>0</v>
      </c>
    </row>
    <row r="5756" spans="1:15" x14ac:dyDescent="0.2">
      <c r="A5756" s="6">
        <v>45797</v>
      </c>
      <c r="B5756" t="s">
        <v>15</v>
      </c>
      <c r="C5756" t="s">
        <v>16</v>
      </c>
      <c r="D5756" s="1">
        <v>45855</v>
      </c>
      <c r="E5756" t="s">
        <v>19</v>
      </c>
      <c r="F5756">
        <v>5450</v>
      </c>
      <c r="J5756">
        <v>344.2</v>
      </c>
      <c r="K5756">
        <v>372.5</v>
      </c>
      <c r="L5756">
        <v>0</v>
      </c>
      <c r="M5756" t="s">
        <v>18</v>
      </c>
      <c r="N5756">
        <v>0</v>
      </c>
      <c r="O5756">
        <v>0</v>
      </c>
    </row>
    <row r="5757" spans="1:15" x14ac:dyDescent="0.2">
      <c r="A5757" s="6">
        <v>45797</v>
      </c>
      <c r="B5757" t="s">
        <v>15</v>
      </c>
      <c r="C5757" t="s">
        <v>16</v>
      </c>
      <c r="D5757" s="1">
        <v>45855</v>
      </c>
      <c r="E5757" t="s">
        <v>19</v>
      </c>
      <c r="F5757">
        <v>3700</v>
      </c>
      <c r="J5757">
        <v>0.4</v>
      </c>
      <c r="K5757">
        <v>0.6</v>
      </c>
      <c r="L5757">
        <v>0</v>
      </c>
      <c r="M5757" t="s">
        <v>18</v>
      </c>
      <c r="N5757">
        <v>0</v>
      </c>
      <c r="O5757">
        <v>0</v>
      </c>
    </row>
    <row r="5758" spans="1:15" x14ac:dyDescent="0.2">
      <c r="A5758" s="6">
        <v>45797</v>
      </c>
      <c r="B5758" t="s">
        <v>15</v>
      </c>
      <c r="C5758" t="s">
        <v>16</v>
      </c>
      <c r="D5758" s="1">
        <v>45855</v>
      </c>
      <c r="E5758" t="s">
        <v>19</v>
      </c>
      <c r="F5758">
        <v>5400</v>
      </c>
      <c r="J5758">
        <v>314.89999999999998</v>
      </c>
      <c r="K5758">
        <v>342.4</v>
      </c>
      <c r="L5758">
        <v>0</v>
      </c>
      <c r="M5758" t="s">
        <v>18</v>
      </c>
      <c r="N5758">
        <v>0</v>
      </c>
      <c r="O5758">
        <v>0</v>
      </c>
    </row>
    <row r="5759" spans="1:15" x14ac:dyDescent="0.2">
      <c r="A5759" s="6">
        <v>45797</v>
      </c>
      <c r="B5759" t="s">
        <v>15</v>
      </c>
      <c r="C5759" t="s">
        <v>16</v>
      </c>
      <c r="D5759" s="1">
        <v>45855</v>
      </c>
      <c r="E5759" t="s">
        <v>19</v>
      </c>
      <c r="F5759">
        <v>6400</v>
      </c>
      <c r="J5759">
        <v>1101.8</v>
      </c>
      <c r="K5759">
        <v>1135.3</v>
      </c>
      <c r="L5759">
        <v>0</v>
      </c>
      <c r="M5759" t="s">
        <v>18</v>
      </c>
      <c r="N5759">
        <v>0</v>
      </c>
      <c r="O5759">
        <v>0</v>
      </c>
    </row>
    <row r="5760" spans="1:15" x14ac:dyDescent="0.2">
      <c r="A5760" s="6">
        <v>45797</v>
      </c>
      <c r="B5760" t="s">
        <v>15</v>
      </c>
      <c r="C5760" t="s">
        <v>16</v>
      </c>
      <c r="D5760" s="1">
        <v>45855</v>
      </c>
      <c r="E5760" t="s">
        <v>19</v>
      </c>
      <c r="F5760">
        <v>5700</v>
      </c>
      <c r="J5760">
        <v>510.4</v>
      </c>
      <c r="K5760">
        <v>541.9</v>
      </c>
      <c r="L5760">
        <v>0</v>
      </c>
      <c r="M5760" t="s">
        <v>18</v>
      </c>
      <c r="N5760">
        <v>0</v>
      </c>
      <c r="O5760">
        <v>0</v>
      </c>
    </row>
    <row r="5761" spans="1:15" x14ac:dyDescent="0.2">
      <c r="A5761" s="6">
        <v>45797</v>
      </c>
      <c r="B5761" t="s">
        <v>15</v>
      </c>
      <c r="C5761" t="s">
        <v>16</v>
      </c>
      <c r="D5761" s="1">
        <v>45855</v>
      </c>
      <c r="E5761" t="s">
        <v>17</v>
      </c>
      <c r="F5761">
        <v>6550</v>
      </c>
      <c r="J5761">
        <v>15.1</v>
      </c>
      <c r="K5761">
        <v>16.100000000000001</v>
      </c>
      <c r="L5761">
        <v>0</v>
      </c>
      <c r="M5761" t="s">
        <v>18</v>
      </c>
      <c r="N5761">
        <v>0</v>
      </c>
      <c r="O5761">
        <v>0</v>
      </c>
    </row>
    <row r="5762" spans="1:15" x14ac:dyDescent="0.2">
      <c r="A5762" s="6">
        <v>45797</v>
      </c>
      <c r="B5762" t="s">
        <v>15</v>
      </c>
      <c r="C5762" t="s">
        <v>16</v>
      </c>
      <c r="D5762" s="1">
        <v>45855</v>
      </c>
      <c r="E5762" t="s">
        <v>19</v>
      </c>
      <c r="F5762">
        <v>5300</v>
      </c>
      <c r="G5762">
        <v>55</v>
      </c>
      <c r="H5762">
        <v>55</v>
      </c>
      <c r="I5762">
        <v>55</v>
      </c>
      <c r="J5762">
        <v>55</v>
      </c>
      <c r="K5762">
        <v>286.2</v>
      </c>
      <c r="L5762">
        <v>3</v>
      </c>
      <c r="M5762" t="s">
        <v>34</v>
      </c>
      <c r="N5762">
        <v>16.07</v>
      </c>
      <c r="O5762">
        <v>3</v>
      </c>
    </row>
    <row r="5763" spans="1:15" x14ac:dyDescent="0.2">
      <c r="A5763" s="6">
        <v>45797</v>
      </c>
      <c r="B5763" t="s">
        <v>15</v>
      </c>
      <c r="C5763" t="s">
        <v>16</v>
      </c>
      <c r="D5763" s="1">
        <v>45855</v>
      </c>
      <c r="E5763" t="s">
        <v>19</v>
      </c>
      <c r="F5763">
        <v>5050</v>
      </c>
      <c r="J5763">
        <v>150.6</v>
      </c>
      <c r="K5763">
        <v>170.7</v>
      </c>
      <c r="L5763">
        <v>0</v>
      </c>
      <c r="M5763" t="s">
        <v>18</v>
      </c>
      <c r="N5763">
        <v>0</v>
      </c>
      <c r="O5763">
        <v>0</v>
      </c>
    </row>
    <row r="5764" spans="1:15" x14ac:dyDescent="0.2">
      <c r="A5764" s="6">
        <v>45797</v>
      </c>
      <c r="B5764" t="s">
        <v>15</v>
      </c>
      <c r="C5764" t="s">
        <v>16</v>
      </c>
      <c r="D5764" s="1">
        <v>45855</v>
      </c>
      <c r="E5764" t="s">
        <v>19</v>
      </c>
      <c r="F5764">
        <v>4250</v>
      </c>
      <c r="J5764">
        <v>9.5</v>
      </c>
      <c r="K5764">
        <v>12.9</v>
      </c>
      <c r="L5764">
        <v>0</v>
      </c>
      <c r="M5764" t="s">
        <v>18</v>
      </c>
      <c r="N5764">
        <v>0</v>
      </c>
      <c r="O5764">
        <v>0</v>
      </c>
    </row>
    <row r="5765" spans="1:15" x14ac:dyDescent="0.2">
      <c r="A5765" s="6">
        <v>45797</v>
      </c>
      <c r="B5765" t="s">
        <v>15</v>
      </c>
      <c r="C5765" t="s">
        <v>16</v>
      </c>
      <c r="D5765" s="1">
        <v>45855</v>
      </c>
      <c r="E5765" t="s">
        <v>19</v>
      </c>
      <c r="F5765">
        <v>4450</v>
      </c>
      <c r="J5765">
        <v>22.7</v>
      </c>
      <c r="K5765">
        <v>29</v>
      </c>
      <c r="L5765">
        <v>0</v>
      </c>
      <c r="M5765" t="s">
        <v>18</v>
      </c>
      <c r="N5765">
        <v>0</v>
      </c>
      <c r="O5765">
        <v>0</v>
      </c>
    </row>
    <row r="5766" spans="1:15" x14ac:dyDescent="0.2">
      <c r="A5766" s="6">
        <v>45797</v>
      </c>
      <c r="B5766" t="s">
        <v>15</v>
      </c>
      <c r="C5766" t="s">
        <v>16</v>
      </c>
      <c r="D5766" s="1">
        <v>45855</v>
      </c>
      <c r="E5766" t="s">
        <v>19</v>
      </c>
      <c r="F5766">
        <v>6200</v>
      </c>
      <c r="J5766">
        <v>919.6</v>
      </c>
      <c r="K5766">
        <v>953.2</v>
      </c>
      <c r="L5766">
        <v>0</v>
      </c>
      <c r="M5766" t="s">
        <v>18</v>
      </c>
      <c r="N5766">
        <v>0</v>
      </c>
      <c r="O5766">
        <v>0</v>
      </c>
    </row>
    <row r="5767" spans="1:15" x14ac:dyDescent="0.2">
      <c r="A5767" s="6">
        <v>45797</v>
      </c>
      <c r="B5767" t="s">
        <v>15</v>
      </c>
      <c r="C5767" t="s">
        <v>16</v>
      </c>
      <c r="D5767" s="1">
        <v>45855</v>
      </c>
      <c r="E5767" t="s">
        <v>17</v>
      </c>
      <c r="F5767">
        <v>5750</v>
      </c>
      <c r="J5767">
        <v>111.7</v>
      </c>
      <c r="K5767">
        <v>111</v>
      </c>
      <c r="L5767">
        <v>0</v>
      </c>
      <c r="M5767" t="s">
        <v>18</v>
      </c>
      <c r="N5767">
        <v>0</v>
      </c>
      <c r="O5767">
        <v>0</v>
      </c>
    </row>
    <row r="5768" spans="1:15" x14ac:dyDescent="0.2">
      <c r="A5768" s="6">
        <v>45797</v>
      </c>
      <c r="B5768" t="s">
        <v>15</v>
      </c>
      <c r="C5768" t="s">
        <v>16</v>
      </c>
      <c r="D5768" s="1">
        <v>45855</v>
      </c>
      <c r="E5768" t="s">
        <v>19</v>
      </c>
      <c r="F5768">
        <v>4600</v>
      </c>
      <c r="J5768">
        <v>39.9</v>
      </c>
      <c r="K5768">
        <v>49.2</v>
      </c>
      <c r="L5768">
        <v>0</v>
      </c>
      <c r="M5768" t="s">
        <v>18</v>
      </c>
      <c r="N5768">
        <v>0</v>
      </c>
      <c r="O5768">
        <v>0</v>
      </c>
    </row>
    <row r="5769" spans="1:15" x14ac:dyDescent="0.2">
      <c r="A5769" s="6">
        <v>45797</v>
      </c>
      <c r="B5769" t="s">
        <v>15</v>
      </c>
      <c r="C5769" t="s">
        <v>16</v>
      </c>
      <c r="D5769" s="1">
        <v>45855</v>
      </c>
      <c r="E5769" t="s">
        <v>19</v>
      </c>
      <c r="F5769">
        <v>4950</v>
      </c>
      <c r="J5769">
        <v>116.9</v>
      </c>
      <c r="K5769">
        <v>134.5</v>
      </c>
      <c r="L5769">
        <v>0</v>
      </c>
      <c r="M5769" t="s">
        <v>18</v>
      </c>
      <c r="N5769">
        <v>0</v>
      </c>
      <c r="O5769">
        <v>0</v>
      </c>
    </row>
    <row r="5770" spans="1:15" x14ac:dyDescent="0.2">
      <c r="A5770" s="6">
        <v>45797</v>
      </c>
      <c r="B5770" t="s">
        <v>15</v>
      </c>
      <c r="C5770" t="s">
        <v>16</v>
      </c>
      <c r="D5770" s="1">
        <v>45855</v>
      </c>
      <c r="E5770" t="s">
        <v>17</v>
      </c>
      <c r="F5770">
        <v>5600</v>
      </c>
      <c r="J5770">
        <v>153.1</v>
      </c>
      <c r="K5770">
        <v>150.9</v>
      </c>
      <c r="L5770">
        <v>0</v>
      </c>
      <c r="M5770" t="s">
        <v>18</v>
      </c>
      <c r="N5770">
        <v>0</v>
      </c>
      <c r="O5770">
        <v>0</v>
      </c>
    </row>
    <row r="5771" spans="1:15" x14ac:dyDescent="0.2">
      <c r="A5771" s="6">
        <v>45797</v>
      </c>
      <c r="B5771" t="s">
        <v>15</v>
      </c>
      <c r="C5771" t="s">
        <v>16</v>
      </c>
      <c r="D5771" s="1">
        <v>45855</v>
      </c>
      <c r="E5771" t="s">
        <v>17</v>
      </c>
      <c r="F5771">
        <v>3850</v>
      </c>
      <c r="J5771">
        <v>1446.2</v>
      </c>
      <c r="K5771">
        <v>1413.8</v>
      </c>
      <c r="L5771">
        <v>0</v>
      </c>
      <c r="M5771" t="s">
        <v>18</v>
      </c>
      <c r="N5771">
        <v>0</v>
      </c>
      <c r="O5771">
        <v>0</v>
      </c>
    </row>
    <row r="5772" spans="1:15" x14ac:dyDescent="0.2">
      <c r="A5772" s="6">
        <v>45797</v>
      </c>
      <c r="B5772" t="s">
        <v>15</v>
      </c>
      <c r="C5772" t="s">
        <v>16</v>
      </c>
      <c r="D5772" s="1">
        <v>45855</v>
      </c>
      <c r="E5772" t="s">
        <v>19</v>
      </c>
      <c r="F5772">
        <v>5900</v>
      </c>
      <c r="J5772">
        <v>663.9</v>
      </c>
      <c r="K5772">
        <v>696.8</v>
      </c>
      <c r="L5772">
        <v>0</v>
      </c>
      <c r="M5772" t="s">
        <v>18</v>
      </c>
      <c r="N5772">
        <v>0</v>
      </c>
      <c r="O5772">
        <v>0</v>
      </c>
    </row>
    <row r="5773" spans="1:15" x14ac:dyDescent="0.2">
      <c r="A5773" s="6">
        <v>45797</v>
      </c>
      <c r="B5773" t="s">
        <v>15</v>
      </c>
      <c r="C5773" t="s">
        <v>16</v>
      </c>
      <c r="D5773" s="1">
        <v>45855</v>
      </c>
      <c r="E5773" t="s">
        <v>17</v>
      </c>
      <c r="F5773">
        <v>3800</v>
      </c>
      <c r="J5773">
        <v>1495.4</v>
      </c>
      <c r="K5773">
        <v>1462.9</v>
      </c>
      <c r="L5773">
        <v>0</v>
      </c>
      <c r="M5773" t="s">
        <v>18</v>
      </c>
      <c r="N5773">
        <v>0</v>
      </c>
      <c r="O5773">
        <v>0</v>
      </c>
    </row>
    <row r="5774" spans="1:15" x14ac:dyDescent="0.2">
      <c r="A5774" s="6">
        <v>45797</v>
      </c>
      <c r="B5774" t="s">
        <v>15</v>
      </c>
      <c r="C5774" t="s">
        <v>16</v>
      </c>
      <c r="D5774" s="1">
        <v>45855</v>
      </c>
      <c r="E5774" t="s">
        <v>19</v>
      </c>
      <c r="F5774">
        <v>4800</v>
      </c>
      <c r="J5774">
        <v>76.599999999999994</v>
      </c>
      <c r="K5774">
        <v>90.5</v>
      </c>
      <c r="L5774">
        <v>0</v>
      </c>
      <c r="M5774" t="s">
        <v>18</v>
      </c>
      <c r="N5774">
        <v>0</v>
      </c>
      <c r="O5774">
        <v>0</v>
      </c>
    </row>
    <row r="5775" spans="1:15" x14ac:dyDescent="0.2">
      <c r="A5775" s="6">
        <v>45797</v>
      </c>
      <c r="B5775" t="s">
        <v>15</v>
      </c>
      <c r="C5775" t="s">
        <v>16</v>
      </c>
      <c r="D5775" s="1">
        <v>45855</v>
      </c>
      <c r="E5775" t="s">
        <v>17</v>
      </c>
      <c r="F5775">
        <v>6300</v>
      </c>
      <c r="J5775">
        <v>29.8</v>
      </c>
      <c r="K5775">
        <v>31</v>
      </c>
      <c r="L5775">
        <v>0</v>
      </c>
      <c r="M5775" t="s">
        <v>18</v>
      </c>
      <c r="N5775">
        <v>0</v>
      </c>
      <c r="O5775">
        <v>0</v>
      </c>
    </row>
    <row r="5776" spans="1:15" x14ac:dyDescent="0.2">
      <c r="A5776" s="6">
        <v>45797</v>
      </c>
      <c r="B5776" t="s">
        <v>15</v>
      </c>
      <c r="C5776" t="s">
        <v>16</v>
      </c>
      <c r="D5776" s="1">
        <v>45855</v>
      </c>
      <c r="E5776" t="s">
        <v>19</v>
      </c>
      <c r="F5776">
        <v>4100</v>
      </c>
      <c r="J5776">
        <v>4.5</v>
      </c>
      <c r="K5776">
        <v>6.4</v>
      </c>
      <c r="L5776">
        <v>0</v>
      </c>
      <c r="M5776" t="s">
        <v>18</v>
      </c>
      <c r="N5776">
        <v>0</v>
      </c>
      <c r="O5776">
        <v>0</v>
      </c>
    </row>
    <row r="5777" spans="1:15" x14ac:dyDescent="0.2">
      <c r="A5777" s="6">
        <v>45797</v>
      </c>
      <c r="B5777" t="s">
        <v>15</v>
      </c>
      <c r="C5777" t="s">
        <v>16</v>
      </c>
      <c r="D5777" s="1">
        <v>45855</v>
      </c>
      <c r="E5777" t="s">
        <v>17</v>
      </c>
      <c r="F5777">
        <v>5650</v>
      </c>
      <c r="J5777">
        <v>138.19999999999999</v>
      </c>
      <c r="K5777">
        <v>136.5</v>
      </c>
      <c r="L5777">
        <v>0</v>
      </c>
      <c r="M5777" t="s">
        <v>18</v>
      </c>
      <c r="N5777">
        <v>0</v>
      </c>
      <c r="O5777">
        <v>0</v>
      </c>
    </row>
    <row r="5778" spans="1:15" x14ac:dyDescent="0.2">
      <c r="A5778" s="6">
        <v>45797</v>
      </c>
      <c r="B5778" t="s">
        <v>15</v>
      </c>
      <c r="C5778" t="s">
        <v>16</v>
      </c>
      <c r="D5778" s="1">
        <v>45855</v>
      </c>
      <c r="E5778" t="s">
        <v>17</v>
      </c>
      <c r="F5778">
        <v>4250</v>
      </c>
      <c r="J5778">
        <v>1058.7</v>
      </c>
      <c r="K5778">
        <v>1029.3</v>
      </c>
      <c r="L5778">
        <v>0</v>
      </c>
      <c r="M5778" t="s">
        <v>18</v>
      </c>
      <c r="N5778">
        <v>0</v>
      </c>
      <c r="O5778">
        <v>0</v>
      </c>
    </row>
    <row r="5779" spans="1:15" x14ac:dyDescent="0.2">
      <c r="A5779" s="6">
        <v>45797</v>
      </c>
      <c r="B5779" t="s">
        <v>15</v>
      </c>
      <c r="C5779" t="s">
        <v>16</v>
      </c>
      <c r="D5779" s="1">
        <v>45855</v>
      </c>
      <c r="E5779" t="s">
        <v>17</v>
      </c>
      <c r="F5779">
        <v>4000</v>
      </c>
      <c r="J5779">
        <v>1299.3</v>
      </c>
      <c r="K5779">
        <v>1267.5999999999999</v>
      </c>
      <c r="L5779">
        <v>0</v>
      </c>
      <c r="M5779" t="s">
        <v>18</v>
      </c>
      <c r="N5779">
        <v>0</v>
      </c>
      <c r="O5779">
        <v>0</v>
      </c>
    </row>
    <row r="5780" spans="1:15" x14ac:dyDescent="0.2">
      <c r="A5780" s="6">
        <v>45797</v>
      </c>
      <c r="B5780" t="s">
        <v>15</v>
      </c>
      <c r="C5780" t="s">
        <v>16</v>
      </c>
      <c r="D5780" s="1">
        <v>45855</v>
      </c>
      <c r="E5780" t="s">
        <v>19</v>
      </c>
      <c r="F5780">
        <v>4400</v>
      </c>
      <c r="J5780">
        <v>18.5</v>
      </c>
      <c r="K5780">
        <v>24</v>
      </c>
      <c r="L5780">
        <v>0</v>
      </c>
      <c r="M5780" t="s">
        <v>18</v>
      </c>
      <c r="N5780">
        <v>0</v>
      </c>
      <c r="O5780">
        <v>0</v>
      </c>
    </row>
    <row r="5781" spans="1:15" x14ac:dyDescent="0.2">
      <c r="A5781" s="6">
        <v>45797</v>
      </c>
      <c r="B5781" t="s">
        <v>15</v>
      </c>
      <c r="C5781" t="s">
        <v>16</v>
      </c>
      <c r="D5781" s="1">
        <v>45855</v>
      </c>
      <c r="E5781" t="s">
        <v>19</v>
      </c>
      <c r="F5781">
        <v>5000</v>
      </c>
      <c r="J5781">
        <v>133.1</v>
      </c>
      <c r="K5781">
        <v>151.9</v>
      </c>
      <c r="L5781">
        <v>0</v>
      </c>
      <c r="M5781" t="s">
        <v>18</v>
      </c>
      <c r="N5781">
        <v>0</v>
      </c>
      <c r="O5781">
        <v>0</v>
      </c>
    </row>
    <row r="5782" spans="1:15" x14ac:dyDescent="0.2">
      <c r="A5782" s="6">
        <v>45797</v>
      </c>
      <c r="B5782" t="s">
        <v>15</v>
      </c>
      <c r="C5782" t="s">
        <v>16</v>
      </c>
      <c r="D5782" s="1">
        <v>45855</v>
      </c>
      <c r="E5782" t="s">
        <v>17</v>
      </c>
      <c r="F5782">
        <v>5500</v>
      </c>
      <c r="J5782">
        <v>186.8</v>
      </c>
      <c r="K5782">
        <v>183.3</v>
      </c>
      <c r="L5782">
        <v>0</v>
      </c>
      <c r="M5782" t="s">
        <v>18</v>
      </c>
      <c r="N5782">
        <v>0</v>
      </c>
      <c r="O5782">
        <v>0</v>
      </c>
    </row>
    <row r="5783" spans="1:15" x14ac:dyDescent="0.2">
      <c r="A5783" s="6">
        <v>45797</v>
      </c>
      <c r="B5783" t="s">
        <v>15</v>
      </c>
      <c r="C5783" t="s">
        <v>16</v>
      </c>
      <c r="D5783" s="1">
        <v>45855</v>
      </c>
      <c r="E5783" t="s">
        <v>19</v>
      </c>
      <c r="F5783">
        <v>4500</v>
      </c>
      <c r="J5783">
        <v>27.6</v>
      </c>
      <c r="K5783">
        <v>34.9</v>
      </c>
      <c r="L5783">
        <v>0</v>
      </c>
      <c r="M5783" t="s">
        <v>18</v>
      </c>
      <c r="N5783">
        <v>0</v>
      </c>
      <c r="O5783">
        <v>0</v>
      </c>
    </row>
    <row r="5784" spans="1:15" x14ac:dyDescent="0.2">
      <c r="A5784" s="6">
        <v>45797</v>
      </c>
      <c r="B5784" t="s">
        <v>15</v>
      </c>
      <c r="C5784" t="s">
        <v>16</v>
      </c>
      <c r="D5784" s="1">
        <v>45855</v>
      </c>
      <c r="E5784" t="s">
        <v>19</v>
      </c>
      <c r="F5784">
        <v>5350</v>
      </c>
      <c r="J5784">
        <v>287.10000000000002</v>
      </c>
      <c r="K5784">
        <v>313.60000000000002</v>
      </c>
      <c r="L5784">
        <v>0</v>
      </c>
      <c r="M5784" t="s">
        <v>18</v>
      </c>
      <c r="N5784">
        <v>0</v>
      </c>
      <c r="O5784">
        <v>0</v>
      </c>
    </row>
    <row r="5785" spans="1:15" x14ac:dyDescent="0.2">
      <c r="A5785" s="6">
        <v>45797</v>
      </c>
      <c r="B5785" t="s">
        <v>15</v>
      </c>
      <c r="C5785" t="s">
        <v>16</v>
      </c>
      <c r="D5785" s="1">
        <v>45855</v>
      </c>
      <c r="E5785" t="s">
        <v>19</v>
      </c>
      <c r="F5785">
        <v>6550</v>
      </c>
      <c r="J5785">
        <v>1242.5</v>
      </c>
      <c r="K5785">
        <v>1275.9000000000001</v>
      </c>
      <c r="L5785">
        <v>0</v>
      </c>
      <c r="M5785" t="s">
        <v>18</v>
      </c>
      <c r="N5785">
        <v>0</v>
      </c>
      <c r="O5785">
        <v>0</v>
      </c>
    </row>
    <row r="5786" spans="1:15" x14ac:dyDescent="0.2">
      <c r="A5786" s="6">
        <v>45797</v>
      </c>
      <c r="B5786" t="s">
        <v>15</v>
      </c>
      <c r="C5786" t="s">
        <v>16</v>
      </c>
      <c r="D5786" s="1">
        <v>45855</v>
      </c>
      <c r="E5786" t="s">
        <v>19</v>
      </c>
      <c r="F5786">
        <v>4650</v>
      </c>
      <c r="J5786">
        <v>47.5</v>
      </c>
      <c r="K5786">
        <v>57.8</v>
      </c>
      <c r="L5786">
        <v>0</v>
      </c>
      <c r="M5786" t="s">
        <v>18</v>
      </c>
      <c r="N5786">
        <v>0</v>
      </c>
      <c r="O5786">
        <v>0</v>
      </c>
    </row>
    <row r="5787" spans="1:15" x14ac:dyDescent="0.2">
      <c r="A5787" s="6">
        <v>45797</v>
      </c>
      <c r="B5787" t="s">
        <v>15</v>
      </c>
      <c r="C5787" t="s">
        <v>16</v>
      </c>
      <c r="D5787" s="1">
        <v>45855</v>
      </c>
      <c r="E5787" t="s">
        <v>17</v>
      </c>
      <c r="F5787">
        <v>6350</v>
      </c>
      <c r="J5787">
        <v>26.1</v>
      </c>
      <c r="K5787">
        <v>27.3</v>
      </c>
      <c r="L5787">
        <v>0</v>
      </c>
      <c r="M5787" t="s">
        <v>18</v>
      </c>
      <c r="N5787">
        <v>0</v>
      </c>
      <c r="O5787">
        <v>0</v>
      </c>
    </row>
    <row r="5788" spans="1:15" x14ac:dyDescent="0.2">
      <c r="A5788" s="6">
        <v>45797</v>
      </c>
      <c r="B5788" t="s">
        <v>15</v>
      </c>
      <c r="C5788" t="s">
        <v>16</v>
      </c>
      <c r="D5788" s="1">
        <v>45855</v>
      </c>
      <c r="E5788" t="s">
        <v>17</v>
      </c>
      <c r="F5788">
        <v>6250</v>
      </c>
      <c r="J5788">
        <v>34</v>
      </c>
      <c r="K5788">
        <v>35.1</v>
      </c>
      <c r="L5788">
        <v>0</v>
      </c>
      <c r="M5788" t="s">
        <v>18</v>
      </c>
      <c r="N5788">
        <v>0</v>
      </c>
      <c r="O5788">
        <v>0</v>
      </c>
    </row>
    <row r="5789" spans="1:15" x14ac:dyDescent="0.2">
      <c r="A5789" s="6">
        <v>45797</v>
      </c>
      <c r="B5789" t="s">
        <v>15</v>
      </c>
      <c r="C5789" t="s">
        <v>16</v>
      </c>
      <c r="D5789" s="1">
        <v>45855</v>
      </c>
      <c r="E5789" t="s">
        <v>17</v>
      </c>
      <c r="F5789">
        <v>5150</v>
      </c>
      <c r="J5789">
        <v>348.6</v>
      </c>
      <c r="K5789">
        <v>338.3</v>
      </c>
      <c r="L5789">
        <v>0</v>
      </c>
      <c r="M5789" t="s">
        <v>18</v>
      </c>
      <c r="N5789">
        <v>0</v>
      </c>
      <c r="O5789">
        <v>0</v>
      </c>
    </row>
    <row r="5790" spans="1:15" x14ac:dyDescent="0.2">
      <c r="A5790" s="6">
        <v>45797</v>
      </c>
      <c r="B5790" t="s">
        <v>15</v>
      </c>
      <c r="C5790" t="s">
        <v>16</v>
      </c>
      <c r="D5790" s="1">
        <v>45855</v>
      </c>
      <c r="E5790" t="s">
        <v>17</v>
      </c>
      <c r="F5790">
        <v>4550</v>
      </c>
      <c r="J5790">
        <v>785.6</v>
      </c>
      <c r="K5790">
        <v>761</v>
      </c>
      <c r="L5790">
        <v>0</v>
      </c>
      <c r="M5790" t="s">
        <v>18</v>
      </c>
      <c r="N5790">
        <v>0</v>
      </c>
      <c r="O5790">
        <v>0</v>
      </c>
    </row>
    <row r="5791" spans="1:15" x14ac:dyDescent="0.2">
      <c r="A5791" s="6">
        <v>45797</v>
      </c>
      <c r="B5791" t="s">
        <v>15</v>
      </c>
      <c r="C5791" t="s">
        <v>16</v>
      </c>
      <c r="D5791" s="1">
        <v>45855</v>
      </c>
      <c r="E5791" t="s">
        <v>17</v>
      </c>
      <c r="F5791">
        <v>5800</v>
      </c>
      <c r="J5791">
        <v>100.1</v>
      </c>
      <c r="K5791">
        <v>99.8</v>
      </c>
      <c r="L5791">
        <v>0</v>
      </c>
      <c r="M5791" t="s">
        <v>18</v>
      </c>
      <c r="N5791">
        <v>0</v>
      </c>
      <c r="O5791">
        <v>0</v>
      </c>
    </row>
    <row r="5792" spans="1:15" x14ac:dyDescent="0.2">
      <c r="A5792" s="6">
        <v>45797</v>
      </c>
      <c r="B5792" t="s">
        <v>15</v>
      </c>
      <c r="C5792" t="s">
        <v>16</v>
      </c>
      <c r="D5792" s="1">
        <v>45855</v>
      </c>
      <c r="E5792" t="s">
        <v>17</v>
      </c>
      <c r="F5792">
        <v>4150</v>
      </c>
      <c r="J5792">
        <v>1154</v>
      </c>
      <c r="K5792">
        <v>1123.5</v>
      </c>
      <c r="L5792">
        <v>0</v>
      </c>
      <c r="M5792" t="s">
        <v>18</v>
      </c>
      <c r="N5792">
        <v>0</v>
      </c>
      <c r="O5792">
        <v>0</v>
      </c>
    </row>
    <row r="5793" spans="1:15" x14ac:dyDescent="0.2">
      <c r="A5793" s="6">
        <v>45797</v>
      </c>
      <c r="B5793" t="s">
        <v>15</v>
      </c>
      <c r="C5793" t="s">
        <v>16</v>
      </c>
      <c r="D5793" s="1">
        <v>45855</v>
      </c>
      <c r="E5793" t="s">
        <v>17</v>
      </c>
      <c r="F5793">
        <v>5450</v>
      </c>
      <c r="J5793">
        <v>205.7</v>
      </c>
      <c r="K5793">
        <v>201.3</v>
      </c>
      <c r="L5793">
        <v>0</v>
      </c>
      <c r="M5793" t="s">
        <v>18</v>
      </c>
      <c r="N5793">
        <v>0</v>
      </c>
      <c r="O5793">
        <v>0</v>
      </c>
    </row>
    <row r="5794" spans="1:15" x14ac:dyDescent="0.2">
      <c r="A5794" s="6">
        <v>45797</v>
      </c>
      <c r="B5794" t="s">
        <v>15</v>
      </c>
      <c r="C5794" t="s">
        <v>16</v>
      </c>
      <c r="D5794" s="1">
        <v>45855</v>
      </c>
      <c r="E5794" t="s">
        <v>17</v>
      </c>
      <c r="F5794">
        <v>5050</v>
      </c>
      <c r="J5794">
        <v>408</v>
      </c>
      <c r="K5794">
        <v>395.3</v>
      </c>
      <c r="L5794">
        <v>0</v>
      </c>
      <c r="M5794" t="s">
        <v>18</v>
      </c>
      <c r="N5794">
        <v>0</v>
      </c>
      <c r="O5794">
        <v>0</v>
      </c>
    </row>
    <row r="5795" spans="1:15" x14ac:dyDescent="0.2">
      <c r="A5795" s="6">
        <v>45797</v>
      </c>
      <c r="B5795" t="s">
        <v>15</v>
      </c>
      <c r="C5795" t="s">
        <v>16</v>
      </c>
      <c r="D5795" s="1">
        <v>45855</v>
      </c>
      <c r="E5795" t="s">
        <v>17</v>
      </c>
      <c r="F5795">
        <v>6500</v>
      </c>
      <c r="J5795">
        <v>17.399999999999999</v>
      </c>
      <c r="K5795">
        <v>18.399999999999999</v>
      </c>
      <c r="L5795">
        <v>0</v>
      </c>
      <c r="M5795" t="s">
        <v>18</v>
      </c>
      <c r="N5795">
        <v>0</v>
      </c>
      <c r="O5795">
        <v>0</v>
      </c>
    </row>
    <row r="5796" spans="1:15" x14ac:dyDescent="0.2">
      <c r="A5796" s="6">
        <v>45797</v>
      </c>
      <c r="B5796" t="s">
        <v>15</v>
      </c>
      <c r="C5796" t="s">
        <v>16</v>
      </c>
      <c r="D5796" s="1">
        <v>45855</v>
      </c>
      <c r="E5796" t="s">
        <v>19</v>
      </c>
      <c r="F5796">
        <v>6250</v>
      </c>
      <c r="J5796">
        <v>964.4</v>
      </c>
      <c r="K5796">
        <v>998</v>
      </c>
      <c r="L5796">
        <v>0</v>
      </c>
      <c r="M5796" t="s">
        <v>18</v>
      </c>
      <c r="N5796">
        <v>0</v>
      </c>
      <c r="O5796">
        <v>0</v>
      </c>
    </row>
    <row r="5797" spans="1:15" x14ac:dyDescent="0.2">
      <c r="A5797" s="6">
        <v>45797</v>
      </c>
      <c r="B5797" t="s">
        <v>15</v>
      </c>
      <c r="C5797" t="s">
        <v>16</v>
      </c>
      <c r="D5797" s="1">
        <v>45855</v>
      </c>
      <c r="E5797" t="s">
        <v>19</v>
      </c>
      <c r="F5797">
        <v>5150</v>
      </c>
      <c r="J5797">
        <v>190.2</v>
      </c>
      <c r="K5797">
        <v>212.6</v>
      </c>
      <c r="L5797">
        <v>0</v>
      </c>
      <c r="M5797" t="s">
        <v>18</v>
      </c>
      <c r="N5797">
        <v>0</v>
      </c>
      <c r="O5797">
        <v>0</v>
      </c>
    </row>
    <row r="5798" spans="1:15" x14ac:dyDescent="0.2">
      <c r="A5798" s="6">
        <v>45797</v>
      </c>
      <c r="B5798" t="s">
        <v>15</v>
      </c>
      <c r="C5798" t="s">
        <v>16</v>
      </c>
      <c r="D5798" s="1">
        <v>45855</v>
      </c>
      <c r="E5798" t="s">
        <v>17</v>
      </c>
      <c r="F5798">
        <v>4500</v>
      </c>
      <c r="J5798">
        <v>829.4</v>
      </c>
      <c r="K5798">
        <v>803.8</v>
      </c>
      <c r="L5798">
        <v>0</v>
      </c>
      <c r="M5798" t="s">
        <v>18</v>
      </c>
      <c r="N5798">
        <v>0</v>
      </c>
      <c r="O5798">
        <v>0</v>
      </c>
    </row>
    <row r="5799" spans="1:15" x14ac:dyDescent="0.2">
      <c r="A5799" s="6">
        <v>45797</v>
      </c>
      <c r="B5799" t="s">
        <v>15</v>
      </c>
      <c r="C5799" t="s">
        <v>16</v>
      </c>
      <c r="D5799" s="1">
        <v>45855</v>
      </c>
      <c r="E5799" t="s">
        <v>17</v>
      </c>
      <c r="F5799">
        <v>5900</v>
      </c>
      <c r="J5799">
        <v>79.900000000000006</v>
      </c>
      <c r="K5799">
        <v>80.2</v>
      </c>
      <c r="L5799">
        <v>0</v>
      </c>
      <c r="M5799" t="s">
        <v>18</v>
      </c>
      <c r="N5799">
        <v>0</v>
      </c>
      <c r="O5799">
        <v>0</v>
      </c>
    </row>
    <row r="5800" spans="1:15" x14ac:dyDescent="0.2">
      <c r="A5800" s="6">
        <v>45797</v>
      </c>
      <c r="B5800" t="s">
        <v>15</v>
      </c>
      <c r="C5800" t="s">
        <v>16</v>
      </c>
      <c r="D5800" s="1">
        <v>45855</v>
      </c>
      <c r="E5800" t="s">
        <v>17</v>
      </c>
      <c r="F5800">
        <v>5200</v>
      </c>
      <c r="J5800">
        <v>321.10000000000002</v>
      </c>
      <c r="K5800">
        <v>311.89999999999998</v>
      </c>
      <c r="L5800">
        <v>0</v>
      </c>
      <c r="M5800" t="s">
        <v>18</v>
      </c>
      <c r="N5800">
        <v>0</v>
      </c>
      <c r="O5800">
        <v>0</v>
      </c>
    </row>
    <row r="5801" spans="1:15" x14ac:dyDescent="0.2">
      <c r="A5801" s="6">
        <v>45797</v>
      </c>
      <c r="B5801" t="s">
        <v>15</v>
      </c>
      <c r="C5801" t="s">
        <v>16</v>
      </c>
      <c r="D5801" s="1">
        <v>45855</v>
      </c>
      <c r="E5801" t="s">
        <v>17</v>
      </c>
      <c r="F5801">
        <v>3950</v>
      </c>
      <c r="J5801">
        <v>1348.1</v>
      </c>
      <c r="K5801">
        <v>1316.2</v>
      </c>
      <c r="L5801">
        <v>0</v>
      </c>
      <c r="M5801" t="s">
        <v>18</v>
      </c>
      <c r="N5801">
        <v>0</v>
      </c>
      <c r="O5801">
        <v>0</v>
      </c>
    </row>
    <row r="5802" spans="1:15" x14ac:dyDescent="0.2">
      <c r="A5802" s="6">
        <v>45797</v>
      </c>
      <c r="B5802" t="s">
        <v>15</v>
      </c>
      <c r="C5802" t="s">
        <v>16</v>
      </c>
      <c r="D5802" s="1">
        <v>45855</v>
      </c>
      <c r="E5802" t="s">
        <v>19</v>
      </c>
      <c r="F5802">
        <v>6350</v>
      </c>
      <c r="J5802">
        <v>1055.5999999999999</v>
      </c>
      <c r="K5802">
        <v>1089.2</v>
      </c>
      <c r="L5802">
        <v>0</v>
      </c>
      <c r="M5802" t="s">
        <v>18</v>
      </c>
      <c r="N5802">
        <v>0</v>
      </c>
      <c r="O5802">
        <v>0</v>
      </c>
    </row>
    <row r="5803" spans="1:15" x14ac:dyDescent="0.2">
      <c r="A5803" s="6">
        <v>45797</v>
      </c>
      <c r="B5803" t="s">
        <v>15</v>
      </c>
      <c r="C5803" t="s">
        <v>16</v>
      </c>
      <c r="D5803" s="1">
        <v>45855</v>
      </c>
      <c r="E5803" t="s">
        <v>19</v>
      </c>
      <c r="F5803">
        <v>5650</v>
      </c>
      <c r="J5803">
        <v>474.7</v>
      </c>
      <c r="K5803">
        <v>505.6</v>
      </c>
      <c r="L5803">
        <v>0</v>
      </c>
      <c r="M5803" t="s">
        <v>18</v>
      </c>
      <c r="N5803">
        <v>0</v>
      </c>
      <c r="O5803">
        <v>0</v>
      </c>
    </row>
    <row r="5804" spans="1:15" x14ac:dyDescent="0.2">
      <c r="A5804" s="6">
        <v>45797</v>
      </c>
      <c r="B5804" t="s">
        <v>15</v>
      </c>
      <c r="C5804" t="s">
        <v>16</v>
      </c>
      <c r="D5804" s="1">
        <v>45855</v>
      </c>
      <c r="E5804" t="s">
        <v>19</v>
      </c>
      <c r="F5804">
        <v>5600</v>
      </c>
      <c r="J5804">
        <v>440.2</v>
      </c>
      <c r="K5804">
        <v>470.6</v>
      </c>
      <c r="L5804">
        <v>0</v>
      </c>
      <c r="M5804" t="s">
        <v>18</v>
      </c>
      <c r="N5804">
        <v>0</v>
      </c>
      <c r="O5804">
        <v>0</v>
      </c>
    </row>
    <row r="5805" spans="1:15" x14ac:dyDescent="0.2">
      <c r="A5805" s="6">
        <v>45797</v>
      </c>
      <c r="B5805" t="s">
        <v>15</v>
      </c>
      <c r="C5805" t="s">
        <v>16</v>
      </c>
      <c r="D5805" s="1">
        <v>45855</v>
      </c>
      <c r="E5805" t="s">
        <v>19</v>
      </c>
      <c r="F5805">
        <v>4000</v>
      </c>
      <c r="J5805">
        <v>2.6</v>
      </c>
      <c r="K5805">
        <v>3.8</v>
      </c>
      <c r="L5805">
        <v>0</v>
      </c>
      <c r="M5805" t="s">
        <v>18</v>
      </c>
      <c r="N5805">
        <v>0</v>
      </c>
      <c r="O5805">
        <v>0</v>
      </c>
    </row>
    <row r="5806" spans="1:15" x14ac:dyDescent="0.2">
      <c r="A5806" s="6">
        <v>45797</v>
      </c>
      <c r="B5806" t="s">
        <v>15</v>
      </c>
      <c r="C5806" t="s">
        <v>16</v>
      </c>
      <c r="D5806" s="1">
        <v>45855</v>
      </c>
      <c r="E5806" t="s">
        <v>19</v>
      </c>
      <c r="F5806">
        <v>4850</v>
      </c>
      <c r="J5806">
        <v>88.7</v>
      </c>
      <c r="K5806">
        <v>103.9</v>
      </c>
      <c r="L5806">
        <v>0</v>
      </c>
      <c r="M5806" t="s">
        <v>18</v>
      </c>
      <c r="N5806">
        <v>0</v>
      </c>
      <c r="O5806">
        <v>0</v>
      </c>
    </row>
    <row r="5807" spans="1:15" x14ac:dyDescent="0.2">
      <c r="A5807" s="6">
        <v>45797</v>
      </c>
      <c r="B5807" t="s">
        <v>15</v>
      </c>
      <c r="C5807" t="s">
        <v>16</v>
      </c>
      <c r="D5807" s="1">
        <v>45855</v>
      </c>
      <c r="E5807" t="s">
        <v>17</v>
      </c>
      <c r="F5807">
        <v>6100</v>
      </c>
      <c r="J5807">
        <v>49.6</v>
      </c>
      <c r="K5807">
        <v>50.6</v>
      </c>
      <c r="L5807">
        <v>0</v>
      </c>
      <c r="M5807" t="s">
        <v>18</v>
      </c>
      <c r="N5807">
        <v>0</v>
      </c>
      <c r="O5807">
        <v>0</v>
      </c>
    </row>
    <row r="5808" spans="1:15" x14ac:dyDescent="0.2">
      <c r="A5808" s="6">
        <v>45797</v>
      </c>
      <c r="B5808" t="s">
        <v>15</v>
      </c>
      <c r="C5808" t="s">
        <v>16</v>
      </c>
      <c r="D5808" s="1">
        <v>45855</v>
      </c>
      <c r="E5808" t="s">
        <v>17</v>
      </c>
      <c r="F5808">
        <v>5350</v>
      </c>
      <c r="J5808">
        <v>247.5</v>
      </c>
      <c r="K5808">
        <v>241.4</v>
      </c>
      <c r="L5808">
        <v>0</v>
      </c>
      <c r="M5808" t="s">
        <v>18</v>
      </c>
      <c r="N5808">
        <v>0</v>
      </c>
      <c r="O5808">
        <v>0</v>
      </c>
    </row>
    <row r="5809" spans="1:15" x14ac:dyDescent="0.2">
      <c r="A5809" s="6">
        <v>45797</v>
      </c>
      <c r="B5809" t="s">
        <v>15</v>
      </c>
      <c r="C5809" t="s">
        <v>16</v>
      </c>
      <c r="D5809" s="1">
        <v>45855</v>
      </c>
      <c r="E5809" t="s">
        <v>17</v>
      </c>
      <c r="F5809">
        <v>3600</v>
      </c>
      <c r="J5809">
        <v>1692.8</v>
      </c>
      <c r="K5809">
        <v>1659.9</v>
      </c>
      <c r="L5809">
        <v>0</v>
      </c>
      <c r="M5809" t="s">
        <v>18</v>
      </c>
      <c r="N5809">
        <v>0</v>
      </c>
      <c r="O5809">
        <v>0</v>
      </c>
    </row>
    <row r="5810" spans="1:15" x14ac:dyDescent="0.2">
      <c r="A5810" s="6">
        <v>45797</v>
      </c>
      <c r="B5810" t="s">
        <v>15</v>
      </c>
      <c r="C5810" t="s">
        <v>16</v>
      </c>
      <c r="D5810" s="1">
        <v>45855</v>
      </c>
      <c r="E5810" t="s">
        <v>17</v>
      </c>
      <c r="F5810">
        <v>3650</v>
      </c>
      <c r="J5810">
        <v>1643.4</v>
      </c>
      <c r="K5810">
        <v>1610.6</v>
      </c>
      <c r="L5810">
        <v>0</v>
      </c>
      <c r="M5810" t="s">
        <v>18</v>
      </c>
      <c r="N5810">
        <v>0</v>
      </c>
      <c r="O5810">
        <v>0</v>
      </c>
    </row>
    <row r="5811" spans="1:15" x14ac:dyDescent="0.2">
      <c r="A5811" s="6">
        <v>45797</v>
      </c>
      <c r="B5811" t="s">
        <v>15</v>
      </c>
      <c r="C5811" t="s">
        <v>16</v>
      </c>
      <c r="D5811" s="1">
        <v>45855</v>
      </c>
      <c r="E5811" t="s">
        <v>17</v>
      </c>
      <c r="F5811">
        <v>4600</v>
      </c>
      <c r="J5811">
        <v>742.7</v>
      </c>
      <c r="K5811">
        <v>719.2</v>
      </c>
      <c r="L5811">
        <v>0</v>
      </c>
      <c r="M5811" t="s">
        <v>18</v>
      </c>
      <c r="N5811">
        <v>0</v>
      </c>
      <c r="O5811">
        <v>0</v>
      </c>
    </row>
    <row r="5812" spans="1:15" x14ac:dyDescent="0.2">
      <c r="A5812" s="6">
        <v>45797</v>
      </c>
      <c r="B5812" t="s">
        <v>15</v>
      </c>
      <c r="C5812" t="s">
        <v>16</v>
      </c>
      <c r="D5812" s="1">
        <v>45855</v>
      </c>
      <c r="E5812" t="s">
        <v>19</v>
      </c>
      <c r="F5812">
        <v>3650</v>
      </c>
      <c r="J5812">
        <v>0.2</v>
      </c>
      <c r="K5812">
        <v>0.4</v>
      </c>
      <c r="L5812">
        <v>0</v>
      </c>
      <c r="M5812" t="s">
        <v>18</v>
      </c>
      <c r="N5812">
        <v>0</v>
      </c>
      <c r="O5812">
        <v>0</v>
      </c>
    </row>
    <row r="5813" spans="1:15" x14ac:dyDescent="0.2">
      <c r="A5813" s="6">
        <v>45797</v>
      </c>
      <c r="B5813" t="s">
        <v>15</v>
      </c>
      <c r="C5813" t="s">
        <v>16</v>
      </c>
      <c r="D5813" s="1">
        <v>45855</v>
      </c>
      <c r="E5813" t="s">
        <v>17</v>
      </c>
      <c r="F5813">
        <v>5550</v>
      </c>
      <c r="J5813">
        <v>169.3</v>
      </c>
      <c r="K5813">
        <v>166.5</v>
      </c>
      <c r="L5813">
        <v>0</v>
      </c>
      <c r="M5813" t="s">
        <v>18</v>
      </c>
      <c r="N5813">
        <v>0</v>
      </c>
      <c r="O5813">
        <v>0</v>
      </c>
    </row>
    <row r="5814" spans="1:15" x14ac:dyDescent="0.2">
      <c r="A5814" s="6">
        <v>45797</v>
      </c>
      <c r="B5814" t="s">
        <v>15</v>
      </c>
      <c r="C5814" t="s">
        <v>16</v>
      </c>
      <c r="D5814" s="1">
        <v>45855</v>
      </c>
      <c r="E5814" t="s">
        <v>19</v>
      </c>
      <c r="F5814">
        <v>3950</v>
      </c>
      <c r="J5814">
        <v>1.9</v>
      </c>
      <c r="K5814">
        <v>2.9</v>
      </c>
      <c r="L5814">
        <v>0</v>
      </c>
      <c r="M5814" t="s">
        <v>18</v>
      </c>
      <c r="N5814">
        <v>0</v>
      </c>
      <c r="O5814">
        <v>0</v>
      </c>
    </row>
    <row r="5815" spans="1:15" x14ac:dyDescent="0.2">
      <c r="A5815" s="6">
        <v>45797</v>
      </c>
      <c r="B5815" t="s">
        <v>15</v>
      </c>
      <c r="C5815" t="s">
        <v>16</v>
      </c>
      <c r="D5815" s="1">
        <v>45855</v>
      </c>
      <c r="E5815" t="s">
        <v>17</v>
      </c>
      <c r="F5815">
        <v>6400</v>
      </c>
      <c r="J5815">
        <v>22.8</v>
      </c>
      <c r="K5815">
        <v>24</v>
      </c>
      <c r="L5815">
        <v>0</v>
      </c>
      <c r="M5815" t="s">
        <v>18</v>
      </c>
      <c r="N5815">
        <v>0</v>
      </c>
      <c r="O5815">
        <v>0</v>
      </c>
    </row>
    <row r="5816" spans="1:15" x14ac:dyDescent="0.2">
      <c r="A5816" s="6">
        <v>45797</v>
      </c>
      <c r="B5816" t="s">
        <v>15</v>
      </c>
      <c r="C5816" t="s">
        <v>16</v>
      </c>
      <c r="D5816" s="1">
        <v>45855</v>
      </c>
      <c r="E5816" t="s">
        <v>19</v>
      </c>
      <c r="F5816">
        <v>3850</v>
      </c>
      <c r="J5816">
        <v>1</v>
      </c>
      <c r="K5816">
        <v>1.6</v>
      </c>
      <c r="L5816">
        <v>0</v>
      </c>
      <c r="M5816" t="s">
        <v>18</v>
      </c>
      <c r="N5816">
        <v>0</v>
      </c>
      <c r="O5816">
        <v>0</v>
      </c>
    </row>
    <row r="5817" spans="1:15" x14ac:dyDescent="0.2">
      <c r="A5817" s="6">
        <v>45797</v>
      </c>
      <c r="B5817" t="s">
        <v>15</v>
      </c>
      <c r="C5817" t="s">
        <v>16</v>
      </c>
      <c r="D5817" s="1">
        <v>45855</v>
      </c>
      <c r="E5817" t="s">
        <v>19</v>
      </c>
      <c r="F5817">
        <v>5550</v>
      </c>
      <c r="J5817">
        <v>406.9</v>
      </c>
      <c r="K5817">
        <v>436.6</v>
      </c>
      <c r="L5817">
        <v>0</v>
      </c>
      <c r="M5817" t="s">
        <v>18</v>
      </c>
      <c r="N5817">
        <v>0</v>
      </c>
      <c r="O5817">
        <v>0</v>
      </c>
    </row>
    <row r="5818" spans="1:15" x14ac:dyDescent="0.2">
      <c r="A5818" s="6">
        <v>45797</v>
      </c>
      <c r="B5818" t="s">
        <v>15</v>
      </c>
      <c r="C5818" t="s">
        <v>16</v>
      </c>
      <c r="D5818" s="1">
        <v>45855</v>
      </c>
      <c r="E5818" t="s">
        <v>17</v>
      </c>
      <c r="F5818">
        <v>6600</v>
      </c>
      <c r="J5818">
        <v>13.1</v>
      </c>
      <c r="K5818">
        <v>14.1</v>
      </c>
      <c r="L5818">
        <v>0</v>
      </c>
      <c r="M5818" t="s">
        <v>18</v>
      </c>
      <c r="N5818">
        <v>0</v>
      </c>
      <c r="O5818">
        <v>0</v>
      </c>
    </row>
    <row r="5819" spans="1:15" x14ac:dyDescent="0.2">
      <c r="A5819" s="6">
        <v>45797</v>
      </c>
      <c r="B5819" t="s">
        <v>15</v>
      </c>
      <c r="C5819" t="s">
        <v>16</v>
      </c>
      <c r="D5819" s="1">
        <v>45855</v>
      </c>
      <c r="E5819" t="s">
        <v>19</v>
      </c>
      <c r="F5819">
        <v>6000</v>
      </c>
      <c r="J5819">
        <v>746.2</v>
      </c>
      <c r="K5819">
        <v>779.5</v>
      </c>
      <c r="L5819">
        <v>0</v>
      </c>
      <c r="M5819" t="s">
        <v>18</v>
      </c>
      <c r="N5819">
        <v>0</v>
      </c>
      <c r="O5819">
        <v>0</v>
      </c>
    </row>
    <row r="5820" spans="1:15" x14ac:dyDescent="0.2">
      <c r="A5820" s="6">
        <v>45797</v>
      </c>
      <c r="B5820" t="s">
        <v>15</v>
      </c>
      <c r="C5820" t="s">
        <v>16</v>
      </c>
      <c r="D5820" s="1">
        <v>45855</v>
      </c>
      <c r="E5820" t="s">
        <v>19</v>
      </c>
      <c r="F5820">
        <v>6500</v>
      </c>
      <c r="J5820">
        <v>1195.3</v>
      </c>
      <c r="K5820">
        <v>1228.8</v>
      </c>
      <c r="L5820">
        <v>0</v>
      </c>
      <c r="M5820" t="s">
        <v>18</v>
      </c>
      <c r="N5820">
        <v>0</v>
      </c>
      <c r="O5820">
        <v>0</v>
      </c>
    </row>
    <row r="5821" spans="1:15" x14ac:dyDescent="0.2">
      <c r="A5821" s="6">
        <v>45797</v>
      </c>
      <c r="B5821" t="s">
        <v>15</v>
      </c>
      <c r="C5821" t="s">
        <v>16</v>
      </c>
      <c r="D5821" s="1">
        <v>45855</v>
      </c>
      <c r="E5821" t="s">
        <v>17</v>
      </c>
      <c r="F5821">
        <v>3900</v>
      </c>
      <c r="J5821">
        <v>1397.1</v>
      </c>
      <c r="K5821">
        <v>1364.9</v>
      </c>
      <c r="L5821">
        <v>0</v>
      </c>
      <c r="M5821" t="s">
        <v>18</v>
      </c>
      <c r="N5821">
        <v>0</v>
      </c>
      <c r="O5821">
        <v>0</v>
      </c>
    </row>
    <row r="5822" spans="1:15" x14ac:dyDescent="0.2">
      <c r="A5822" s="6">
        <v>45797</v>
      </c>
      <c r="B5822" t="s">
        <v>15</v>
      </c>
      <c r="C5822" t="s">
        <v>16</v>
      </c>
      <c r="D5822" s="1">
        <v>45855</v>
      </c>
      <c r="E5822" t="s">
        <v>19</v>
      </c>
      <c r="F5822">
        <v>6300</v>
      </c>
      <c r="J5822">
        <v>1009.8</v>
      </c>
      <c r="K5822">
        <v>1043.4000000000001</v>
      </c>
      <c r="L5822">
        <v>0</v>
      </c>
      <c r="M5822" t="s">
        <v>18</v>
      </c>
      <c r="N5822">
        <v>0</v>
      </c>
      <c r="O5822">
        <v>0</v>
      </c>
    </row>
    <row r="5823" spans="1:15" x14ac:dyDescent="0.2">
      <c r="A5823" s="6">
        <v>45797</v>
      </c>
      <c r="B5823" t="s">
        <v>15</v>
      </c>
      <c r="C5823" t="s">
        <v>16</v>
      </c>
      <c r="D5823" s="1">
        <v>45855</v>
      </c>
      <c r="E5823" t="s">
        <v>19</v>
      </c>
      <c r="F5823">
        <v>5850</v>
      </c>
      <c r="J5823">
        <v>624.1</v>
      </c>
      <c r="K5823">
        <v>656.6</v>
      </c>
      <c r="L5823">
        <v>0</v>
      </c>
      <c r="M5823" t="s">
        <v>18</v>
      </c>
      <c r="N5823">
        <v>0</v>
      </c>
      <c r="O5823">
        <v>0</v>
      </c>
    </row>
    <row r="5824" spans="1:15" x14ac:dyDescent="0.2">
      <c r="A5824" s="6">
        <v>45797</v>
      </c>
      <c r="B5824" t="s">
        <v>15</v>
      </c>
      <c r="C5824" t="s">
        <v>16</v>
      </c>
      <c r="D5824" s="1">
        <v>45855</v>
      </c>
      <c r="E5824" t="s">
        <v>17</v>
      </c>
      <c r="F5824">
        <v>5850</v>
      </c>
      <c r="J5824">
        <v>89.6</v>
      </c>
      <c r="K5824">
        <v>89.6</v>
      </c>
      <c r="L5824">
        <v>0</v>
      </c>
      <c r="M5824" t="s">
        <v>18</v>
      </c>
      <c r="N5824">
        <v>0</v>
      </c>
      <c r="O5824">
        <v>0</v>
      </c>
    </row>
    <row r="5825" spans="1:15" x14ac:dyDescent="0.2">
      <c r="A5825" s="6">
        <v>45797</v>
      </c>
      <c r="B5825" t="s">
        <v>15</v>
      </c>
      <c r="C5825" t="s">
        <v>16</v>
      </c>
      <c r="D5825" s="1">
        <v>45855</v>
      </c>
      <c r="E5825" t="s">
        <v>19</v>
      </c>
      <c r="F5825">
        <v>4350</v>
      </c>
      <c r="J5825">
        <v>15</v>
      </c>
      <c r="K5825">
        <v>19.7</v>
      </c>
      <c r="L5825">
        <v>0</v>
      </c>
      <c r="M5825" t="s">
        <v>18</v>
      </c>
      <c r="N5825">
        <v>0</v>
      </c>
      <c r="O5825">
        <v>0</v>
      </c>
    </row>
    <row r="5826" spans="1:15" x14ac:dyDescent="0.2">
      <c r="A5826" s="6">
        <v>45797</v>
      </c>
      <c r="B5826" t="s">
        <v>15</v>
      </c>
      <c r="C5826" t="s">
        <v>16</v>
      </c>
      <c r="D5826" s="1">
        <v>45855</v>
      </c>
      <c r="E5826" t="s">
        <v>17</v>
      </c>
      <c r="F5826">
        <v>4050</v>
      </c>
      <c r="J5826">
        <v>1250.5999999999999</v>
      </c>
      <c r="K5826">
        <v>1219.3</v>
      </c>
      <c r="L5826">
        <v>0</v>
      </c>
      <c r="M5826" t="s">
        <v>18</v>
      </c>
      <c r="N5826">
        <v>0</v>
      </c>
      <c r="O5826">
        <v>0</v>
      </c>
    </row>
    <row r="5827" spans="1:15" x14ac:dyDescent="0.2">
      <c r="A5827" s="6">
        <v>45797</v>
      </c>
      <c r="B5827" t="s">
        <v>15</v>
      </c>
      <c r="C5827" t="s">
        <v>16</v>
      </c>
      <c r="D5827" s="1">
        <v>45855</v>
      </c>
      <c r="E5827" t="s">
        <v>19</v>
      </c>
      <c r="F5827">
        <v>4750</v>
      </c>
      <c r="J5827">
        <v>65.8</v>
      </c>
      <c r="K5827">
        <v>78.400000000000006</v>
      </c>
      <c r="L5827">
        <v>0</v>
      </c>
      <c r="M5827" t="s">
        <v>18</v>
      </c>
      <c r="N5827">
        <v>0</v>
      </c>
      <c r="O5827">
        <v>0</v>
      </c>
    </row>
    <row r="5828" spans="1:15" x14ac:dyDescent="0.2">
      <c r="A5828" s="6">
        <v>45797</v>
      </c>
      <c r="B5828" t="s">
        <v>15</v>
      </c>
      <c r="C5828" t="s">
        <v>16</v>
      </c>
      <c r="D5828" s="1">
        <v>45855</v>
      </c>
      <c r="E5828" t="s">
        <v>17</v>
      </c>
      <c r="F5828">
        <v>6150</v>
      </c>
      <c r="J5828">
        <v>43.8</v>
      </c>
      <c r="K5828">
        <v>44.9</v>
      </c>
      <c r="L5828">
        <v>0</v>
      </c>
      <c r="M5828" t="s">
        <v>18</v>
      </c>
      <c r="N5828">
        <v>0</v>
      </c>
      <c r="O5828">
        <v>0</v>
      </c>
    </row>
    <row r="5829" spans="1:15" x14ac:dyDescent="0.2">
      <c r="A5829" s="6">
        <v>45797</v>
      </c>
      <c r="B5829" t="s">
        <v>15</v>
      </c>
      <c r="C5829" t="s">
        <v>16</v>
      </c>
      <c r="D5829" s="1">
        <v>45855</v>
      </c>
      <c r="E5829" t="s">
        <v>17</v>
      </c>
      <c r="F5829">
        <v>5400</v>
      </c>
      <c r="J5829">
        <v>225.9</v>
      </c>
      <c r="K5829">
        <v>220.7</v>
      </c>
      <c r="L5829">
        <v>0</v>
      </c>
      <c r="M5829" t="s">
        <v>18</v>
      </c>
      <c r="N5829">
        <v>0</v>
      </c>
      <c r="O5829">
        <v>0</v>
      </c>
    </row>
    <row r="5830" spans="1:15" x14ac:dyDescent="0.2">
      <c r="A5830" s="6">
        <v>45797</v>
      </c>
      <c r="B5830" t="s">
        <v>15</v>
      </c>
      <c r="C5830" t="s">
        <v>16</v>
      </c>
      <c r="D5830" s="1">
        <v>45855</v>
      </c>
      <c r="E5830" t="s">
        <v>19</v>
      </c>
      <c r="F5830">
        <v>4300</v>
      </c>
      <c r="J5830">
        <v>12</v>
      </c>
      <c r="K5830">
        <v>16</v>
      </c>
      <c r="L5830">
        <v>0</v>
      </c>
      <c r="M5830" t="s">
        <v>18</v>
      </c>
      <c r="N5830">
        <v>0</v>
      </c>
      <c r="O5830">
        <v>0</v>
      </c>
    </row>
    <row r="5831" spans="1:15" x14ac:dyDescent="0.2">
      <c r="A5831" s="6">
        <v>45797</v>
      </c>
      <c r="B5831" t="s">
        <v>15</v>
      </c>
      <c r="C5831" t="s">
        <v>16</v>
      </c>
      <c r="D5831" s="1">
        <v>45855</v>
      </c>
      <c r="E5831" t="s">
        <v>19</v>
      </c>
      <c r="F5831">
        <v>6600</v>
      </c>
      <c r="J5831">
        <v>1290</v>
      </c>
      <c r="K5831">
        <v>1323.4</v>
      </c>
      <c r="L5831">
        <v>0</v>
      </c>
      <c r="M5831" t="s">
        <v>18</v>
      </c>
      <c r="N5831">
        <v>0</v>
      </c>
      <c r="O5831">
        <v>0</v>
      </c>
    </row>
    <row r="5832" spans="1:15" x14ac:dyDescent="0.2">
      <c r="A5832" s="6">
        <v>45797</v>
      </c>
      <c r="B5832" t="s">
        <v>15</v>
      </c>
      <c r="C5832" t="s">
        <v>16</v>
      </c>
      <c r="D5832" s="1">
        <v>45855</v>
      </c>
      <c r="E5832" t="s">
        <v>17</v>
      </c>
      <c r="F5832">
        <v>4700</v>
      </c>
      <c r="J5832">
        <v>659.9</v>
      </c>
      <c r="K5832">
        <v>638.6</v>
      </c>
      <c r="L5832">
        <v>0</v>
      </c>
      <c r="M5832" t="s">
        <v>18</v>
      </c>
      <c r="N5832">
        <v>0</v>
      </c>
      <c r="O5832">
        <v>0</v>
      </c>
    </row>
    <row r="5833" spans="1:15" x14ac:dyDescent="0.2">
      <c r="A5833" s="6">
        <v>45797</v>
      </c>
      <c r="B5833" t="s">
        <v>15</v>
      </c>
      <c r="C5833" t="s">
        <v>16</v>
      </c>
      <c r="D5833" s="1">
        <v>45855</v>
      </c>
      <c r="E5833" t="s">
        <v>19</v>
      </c>
      <c r="F5833">
        <v>6450</v>
      </c>
      <c r="J5833">
        <v>1148.4000000000001</v>
      </c>
      <c r="K5833">
        <v>1181.9000000000001</v>
      </c>
      <c r="L5833">
        <v>0</v>
      </c>
      <c r="M5833" t="s">
        <v>18</v>
      </c>
      <c r="N5833">
        <v>0</v>
      </c>
      <c r="O5833">
        <v>0</v>
      </c>
    </row>
    <row r="5834" spans="1:15" x14ac:dyDescent="0.2">
      <c r="A5834" s="6">
        <v>45797</v>
      </c>
      <c r="B5834" t="s">
        <v>15</v>
      </c>
      <c r="C5834" t="s">
        <v>16</v>
      </c>
      <c r="D5834" s="1">
        <v>45855</v>
      </c>
      <c r="E5834" t="s">
        <v>17</v>
      </c>
      <c r="F5834">
        <v>6450</v>
      </c>
      <c r="J5834">
        <v>19.899999999999999</v>
      </c>
      <c r="K5834">
        <v>21</v>
      </c>
      <c r="L5834">
        <v>0</v>
      </c>
      <c r="M5834" t="s">
        <v>18</v>
      </c>
      <c r="N5834">
        <v>0</v>
      </c>
      <c r="O5834">
        <v>0</v>
      </c>
    </row>
    <row r="5835" spans="1:15" x14ac:dyDescent="0.2">
      <c r="A5835" s="6">
        <v>45797</v>
      </c>
      <c r="B5835" t="s">
        <v>15</v>
      </c>
      <c r="C5835" t="s">
        <v>16</v>
      </c>
      <c r="D5835" s="1">
        <v>45855</v>
      </c>
      <c r="E5835" t="s">
        <v>19</v>
      </c>
      <c r="F5835">
        <v>5950</v>
      </c>
      <c r="J5835">
        <v>704.7</v>
      </c>
      <c r="K5835">
        <v>737.7</v>
      </c>
      <c r="L5835">
        <v>0</v>
      </c>
      <c r="M5835" t="s">
        <v>18</v>
      </c>
      <c r="N5835">
        <v>0</v>
      </c>
      <c r="O5835">
        <v>0</v>
      </c>
    </row>
    <row r="5836" spans="1:15" x14ac:dyDescent="0.2">
      <c r="A5836" s="6">
        <v>45797</v>
      </c>
      <c r="B5836" t="s">
        <v>15</v>
      </c>
      <c r="C5836" t="s">
        <v>16</v>
      </c>
      <c r="D5836" s="1">
        <v>45855</v>
      </c>
      <c r="E5836" t="s">
        <v>19</v>
      </c>
      <c r="F5836">
        <v>4150</v>
      </c>
      <c r="J5836">
        <v>5.8</v>
      </c>
      <c r="K5836">
        <v>8.1999999999999993</v>
      </c>
      <c r="L5836">
        <v>0</v>
      </c>
      <c r="M5836" t="s">
        <v>18</v>
      </c>
      <c r="N5836">
        <v>0</v>
      </c>
      <c r="O5836">
        <v>0</v>
      </c>
    </row>
    <row r="5837" spans="1:15" x14ac:dyDescent="0.2">
      <c r="A5837" s="6">
        <v>45797</v>
      </c>
      <c r="B5837" t="s">
        <v>15</v>
      </c>
      <c r="C5837" t="s">
        <v>16</v>
      </c>
      <c r="D5837" s="1">
        <v>45855</v>
      </c>
      <c r="E5837" t="s">
        <v>17</v>
      </c>
      <c r="F5837">
        <v>4300</v>
      </c>
      <c r="J5837">
        <v>1011.7</v>
      </c>
      <c r="K5837">
        <v>982.9</v>
      </c>
      <c r="L5837">
        <v>0</v>
      </c>
      <c r="M5837" t="s">
        <v>18</v>
      </c>
      <c r="N5837">
        <v>0</v>
      </c>
      <c r="O5837">
        <v>0</v>
      </c>
    </row>
    <row r="5838" spans="1:15" x14ac:dyDescent="0.2">
      <c r="A5838" s="6">
        <v>45797</v>
      </c>
      <c r="B5838" t="s">
        <v>15</v>
      </c>
      <c r="C5838" t="s">
        <v>16</v>
      </c>
      <c r="D5838" s="1">
        <v>45855</v>
      </c>
      <c r="E5838" t="s">
        <v>19</v>
      </c>
      <c r="F5838">
        <v>3800</v>
      </c>
      <c r="J5838">
        <v>0.7</v>
      </c>
      <c r="K5838">
        <v>1.2</v>
      </c>
      <c r="L5838">
        <v>0</v>
      </c>
      <c r="M5838" t="s">
        <v>18</v>
      </c>
      <c r="N5838">
        <v>0</v>
      </c>
      <c r="O5838">
        <v>0</v>
      </c>
    </row>
    <row r="5839" spans="1:15" x14ac:dyDescent="0.2">
      <c r="A5839" s="6">
        <v>45797</v>
      </c>
      <c r="B5839" t="s">
        <v>15</v>
      </c>
      <c r="C5839" t="s">
        <v>16</v>
      </c>
      <c r="D5839" s="1">
        <v>45855</v>
      </c>
      <c r="E5839" t="s">
        <v>17</v>
      </c>
      <c r="F5839">
        <v>6000</v>
      </c>
      <c r="G5839">
        <v>80</v>
      </c>
      <c r="H5839">
        <v>80</v>
      </c>
      <c r="I5839">
        <v>80</v>
      </c>
      <c r="J5839">
        <v>80</v>
      </c>
      <c r="K5839">
        <v>63.9</v>
      </c>
      <c r="L5839">
        <v>1</v>
      </c>
      <c r="M5839" t="s">
        <v>155</v>
      </c>
      <c r="N5839">
        <v>6.08</v>
      </c>
      <c r="O5839">
        <v>1</v>
      </c>
    </row>
    <row r="5840" spans="1:15" x14ac:dyDescent="0.2">
      <c r="A5840" s="6">
        <v>45797</v>
      </c>
      <c r="B5840" t="s">
        <v>15</v>
      </c>
      <c r="C5840" t="s">
        <v>16</v>
      </c>
      <c r="D5840" s="1">
        <v>45855</v>
      </c>
      <c r="E5840" t="s">
        <v>19</v>
      </c>
      <c r="F5840">
        <v>5500</v>
      </c>
      <c r="J5840">
        <v>374.9</v>
      </c>
      <c r="K5840">
        <v>403.9</v>
      </c>
      <c r="L5840">
        <v>0</v>
      </c>
      <c r="M5840" t="s">
        <v>18</v>
      </c>
      <c r="N5840">
        <v>0</v>
      </c>
      <c r="O5840">
        <v>0</v>
      </c>
    </row>
    <row r="5841" spans="1:15" x14ac:dyDescent="0.2">
      <c r="A5841" s="6">
        <v>45797</v>
      </c>
      <c r="B5841" t="s">
        <v>15</v>
      </c>
      <c r="C5841" t="s">
        <v>16</v>
      </c>
      <c r="D5841" s="1">
        <v>45855</v>
      </c>
      <c r="E5841" t="s">
        <v>19</v>
      </c>
      <c r="F5841">
        <v>5750</v>
      </c>
      <c r="J5841">
        <v>547.29999999999995</v>
      </c>
      <c r="K5841">
        <v>579.1</v>
      </c>
      <c r="L5841">
        <v>0</v>
      </c>
      <c r="M5841" t="s">
        <v>18</v>
      </c>
      <c r="N5841">
        <v>0</v>
      </c>
      <c r="O5841">
        <v>0</v>
      </c>
    </row>
    <row r="5842" spans="1:15" x14ac:dyDescent="0.2">
      <c r="A5842" s="6">
        <v>45797</v>
      </c>
      <c r="B5842" t="s">
        <v>15</v>
      </c>
      <c r="C5842" t="s">
        <v>16</v>
      </c>
      <c r="D5842" s="1">
        <v>45855</v>
      </c>
      <c r="E5842" t="s">
        <v>19</v>
      </c>
      <c r="F5842">
        <v>6100</v>
      </c>
      <c r="J5842">
        <v>831.6</v>
      </c>
      <c r="K5842">
        <v>865.1</v>
      </c>
      <c r="L5842">
        <v>0</v>
      </c>
      <c r="M5842" t="s">
        <v>18</v>
      </c>
      <c r="N5842">
        <v>0</v>
      </c>
      <c r="O5842">
        <v>0</v>
      </c>
    </row>
    <row r="5843" spans="1:15" x14ac:dyDescent="0.2">
      <c r="A5843" s="6">
        <v>45797</v>
      </c>
      <c r="B5843" t="s">
        <v>15</v>
      </c>
      <c r="C5843" t="s">
        <v>16</v>
      </c>
      <c r="D5843" s="1">
        <v>45855</v>
      </c>
      <c r="E5843" t="s">
        <v>19</v>
      </c>
      <c r="F5843">
        <v>4050</v>
      </c>
      <c r="J5843">
        <v>3.4</v>
      </c>
      <c r="K5843">
        <v>5</v>
      </c>
      <c r="L5843">
        <v>0</v>
      </c>
      <c r="M5843" t="s">
        <v>18</v>
      </c>
      <c r="N5843">
        <v>0</v>
      </c>
      <c r="O5843">
        <v>0</v>
      </c>
    </row>
    <row r="5844" spans="1:15" x14ac:dyDescent="0.2">
      <c r="A5844" s="6">
        <v>45796</v>
      </c>
      <c r="B5844" t="s">
        <v>15</v>
      </c>
      <c r="C5844" t="s">
        <v>16</v>
      </c>
      <c r="D5844" s="1">
        <v>45855</v>
      </c>
      <c r="E5844" t="s">
        <v>19</v>
      </c>
      <c r="F5844">
        <v>5100</v>
      </c>
      <c r="J5844">
        <v>190.9</v>
      </c>
      <c r="K5844">
        <v>195.2</v>
      </c>
      <c r="L5844">
        <v>0</v>
      </c>
      <c r="M5844" t="s">
        <v>18</v>
      </c>
      <c r="N5844">
        <v>0</v>
      </c>
      <c r="O5844">
        <v>0</v>
      </c>
    </row>
    <row r="5845" spans="1:15" x14ac:dyDescent="0.2">
      <c r="A5845" s="6">
        <v>45796</v>
      </c>
      <c r="B5845" t="s">
        <v>15</v>
      </c>
      <c r="C5845" t="s">
        <v>16</v>
      </c>
      <c r="D5845" s="1">
        <v>45855</v>
      </c>
      <c r="E5845" t="s">
        <v>19</v>
      </c>
      <c r="F5845">
        <v>6050</v>
      </c>
      <c r="J5845">
        <v>821.9</v>
      </c>
      <c r="K5845">
        <v>809.3</v>
      </c>
      <c r="L5845">
        <v>0</v>
      </c>
      <c r="M5845" t="s">
        <v>18</v>
      </c>
      <c r="N5845">
        <v>0</v>
      </c>
      <c r="O5845">
        <v>0</v>
      </c>
    </row>
    <row r="5846" spans="1:15" x14ac:dyDescent="0.2">
      <c r="A5846" s="6">
        <v>45796</v>
      </c>
      <c r="B5846" t="s">
        <v>15</v>
      </c>
      <c r="C5846" t="s">
        <v>16</v>
      </c>
      <c r="D5846" s="1">
        <v>45855</v>
      </c>
      <c r="E5846" t="s">
        <v>17</v>
      </c>
      <c r="F5846">
        <v>4650</v>
      </c>
      <c r="J5846">
        <v>678.4</v>
      </c>
      <c r="K5846">
        <v>709.5</v>
      </c>
      <c r="L5846">
        <v>0</v>
      </c>
      <c r="M5846" t="s">
        <v>18</v>
      </c>
      <c r="N5846">
        <v>0</v>
      </c>
      <c r="O5846">
        <v>0</v>
      </c>
    </row>
    <row r="5847" spans="1:15" x14ac:dyDescent="0.2">
      <c r="A5847" s="6">
        <v>45796</v>
      </c>
      <c r="B5847" t="s">
        <v>15</v>
      </c>
      <c r="C5847" t="s">
        <v>16</v>
      </c>
      <c r="D5847" s="1">
        <v>45855</v>
      </c>
      <c r="E5847" t="s">
        <v>17</v>
      </c>
      <c r="F5847">
        <v>4800</v>
      </c>
      <c r="J5847">
        <v>562.6</v>
      </c>
      <c r="K5847">
        <v>594.20000000000005</v>
      </c>
      <c r="L5847">
        <v>0</v>
      </c>
      <c r="M5847" t="s">
        <v>18</v>
      </c>
      <c r="N5847">
        <v>0</v>
      </c>
      <c r="O5847">
        <v>0</v>
      </c>
    </row>
    <row r="5848" spans="1:15" x14ac:dyDescent="0.2">
      <c r="A5848" s="6">
        <v>45796</v>
      </c>
      <c r="B5848" t="s">
        <v>15</v>
      </c>
      <c r="C5848" t="s">
        <v>16</v>
      </c>
      <c r="D5848" s="1">
        <v>45855</v>
      </c>
      <c r="E5848" t="s">
        <v>17</v>
      </c>
      <c r="F5848">
        <v>4200</v>
      </c>
      <c r="J5848">
        <v>1076.2</v>
      </c>
      <c r="K5848">
        <v>1104.4000000000001</v>
      </c>
      <c r="L5848">
        <v>0</v>
      </c>
      <c r="M5848" t="s">
        <v>18</v>
      </c>
      <c r="N5848">
        <v>0</v>
      </c>
      <c r="O5848">
        <v>0</v>
      </c>
    </row>
    <row r="5849" spans="1:15" x14ac:dyDescent="0.2">
      <c r="A5849" s="6">
        <v>45796</v>
      </c>
      <c r="B5849" t="s">
        <v>15</v>
      </c>
      <c r="C5849" t="s">
        <v>16</v>
      </c>
      <c r="D5849" s="1">
        <v>45855</v>
      </c>
      <c r="E5849" t="s">
        <v>19</v>
      </c>
      <c r="F5849">
        <v>6650</v>
      </c>
      <c r="J5849">
        <v>1371</v>
      </c>
      <c r="K5849">
        <v>1349</v>
      </c>
      <c r="L5849">
        <v>0</v>
      </c>
      <c r="M5849" t="s">
        <v>18</v>
      </c>
      <c r="N5849">
        <v>0</v>
      </c>
      <c r="O5849">
        <v>0</v>
      </c>
    </row>
    <row r="5850" spans="1:15" x14ac:dyDescent="0.2">
      <c r="A5850" s="6">
        <v>45796</v>
      </c>
      <c r="B5850" t="s">
        <v>15</v>
      </c>
      <c r="C5850" t="s">
        <v>16</v>
      </c>
      <c r="D5850" s="1">
        <v>45855</v>
      </c>
      <c r="E5850" t="s">
        <v>17</v>
      </c>
      <c r="F5850">
        <v>5250</v>
      </c>
      <c r="J5850">
        <v>287</v>
      </c>
      <c r="K5850">
        <v>316.39999999999998</v>
      </c>
      <c r="L5850">
        <v>0</v>
      </c>
      <c r="M5850" t="s">
        <v>18</v>
      </c>
      <c r="N5850">
        <v>0</v>
      </c>
      <c r="O5850">
        <v>0</v>
      </c>
    </row>
    <row r="5851" spans="1:15" x14ac:dyDescent="0.2">
      <c r="A5851" s="6">
        <v>45796</v>
      </c>
      <c r="B5851" t="s">
        <v>15</v>
      </c>
      <c r="C5851" t="s">
        <v>16</v>
      </c>
      <c r="D5851" s="1">
        <v>45855</v>
      </c>
      <c r="E5851" t="s">
        <v>17</v>
      </c>
      <c r="F5851">
        <v>4900</v>
      </c>
      <c r="J5851">
        <v>491.6</v>
      </c>
      <c r="K5851">
        <v>523.29999999999995</v>
      </c>
      <c r="L5851">
        <v>0</v>
      </c>
      <c r="M5851" t="s">
        <v>18</v>
      </c>
      <c r="N5851">
        <v>0</v>
      </c>
      <c r="O5851">
        <v>0</v>
      </c>
    </row>
    <row r="5852" spans="1:15" x14ac:dyDescent="0.2">
      <c r="A5852" s="6">
        <v>45796</v>
      </c>
      <c r="B5852" t="s">
        <v>15</v>
      </c>
      <c r="C5852" t="s">
        <v>16</v>
      </c>
      <c r="D5852" s="1">
        <v>45855</v>
      </c>
      <c r="E5852" t="s">
        <v>17</v>
      </c>
      <c r="F5852">
        <v>5100</v>
      </c>
      <c r="J5852">
        <v>366.1</v>
      </c>
      <c r="K5852">
        <v>396.9</v>
      </c>
      <c r="L5852">
        <v>0</v>
      </c>
      <c r="M5852" t="s">
        <v>18</v>
      </c>
      <c r="N5852">
        <v>0</v>
      </c>
      <c r="O5852">
        <v>0</v>
      </c>
    </row>
    <row r="5853" spans="1:15" x14ac:dyDescent="0.2">
      <c r="A5853" s="6">
        <v>45796</v>
      </c>
      <c r="B5853" t="s">
        <v>15</v>
      </c>
      <c r="C5853" t="s">
        <v>16</v>
      </c>
      <c r="D5853" s="1">
        <v>45855</v>
      </c>
      <c r="E5853" t="s">
        <v>19</v>
      </c>
      <c r="F5853">
        <v>4900</v>
      </c>
      <c r="J5853">
        <v>118.5</v>
      </c>
      <c r="K5853">
        <v>123.7</v>
      </c>
      <c r="L5853">
        <v>0</v>
      </c>
      <c r="M5853" t="s">
        <v>18</v>
      </c>
      <c r="N5853">
        <v>0</v>
      </c>
      <c r="O5853">
        <v>0</v>
      </c>
    </row>
    <row r="5854" spans="1:15" x14ac:dyDescent="0.2">
      <c r="A5854" s="6">
        <v>45796</v>
      </c>
      <c r="B5854" t="s">
        <v>15</v>
      </c>
      <c r="C5854" t="s">
        <v>16</v>
      </c>
      <c r="D5854" s="1">
        <v>45855</v>
      </c>
      <c r="E5854" t="s">
        <v>19</v>
      </c>
      <c r="F5854">
        <v>3600</v>
      </c>
      <c r="J5854">
        <v>0.3</v>
      </c>
      <c r="K5854">
        <v>0.5</v>
      </c>
      <c r="L5854">
        <v>0</v>
      </c>
      <c r="M5854" t="s">
        <v>18</v>
      </c>
      <c r="N5854">
        <v>0</v>
      </c>
      <c r="O5854">
        <v>0</v>
      </c>
    </row>
    <row r="5855" spans="1:15" x14ac:dyDescent="0.2">
      <c r="A5855" s="6">
        <v>45796</v>
      </c>
      <c r="B5855" t="s">
        <v>15</v>
      </c>
      <c r="C5855" t="s">
        <v>16</v>
      </c>
      <c r="D5855" s="1">
        <v>45855</v>
      </c>
      <c r="E5855" t="s">
        <v>19</v>
      </c>
      <c r="F5855">
        <v>4200</v>
      </c>
      <c r="J5855">
        <v>10.3</v>
      </c>
      <c r="K5855">
        <v>12.4</v>
      </c>
      <c r="L5855">
        <v>0</v>
      </c>
      <c r="M5855" t="s">
        <v>18</v>
      </c>
      <c r="N5855">
        <v>0</v>
      </c>
      <c r="O5855">
        <v>0</v>
      </c>
    </row>
    <row r="5856" spans="1:15" x14ac:dyDescent="0.2">
      <c r="A5856" s="6">
        <v>45796</v>
      </c>
      <c r="B5856" t="s">
        <v>15</v>
      </c>
      <c r="C5856" t="s">
        <v>16</v>
      </c>
      <c r="D5856" s="1">
        <v>45855</v>
      </c>
      <c r="E5856" t="s">
        <v>19</v>
      </c>
      <c r="F5856">
        <v>3900</v>
      </c>
      <c r="J5856">
        <v>2.2000000000000002</v>
      </c>
      <c r="K5856">
        <v>2.9</v>
      </c>
      <c r="L5856">
        <v>0</v>
      </c>
      <c r="M5856" t="s">
        <v>18</v>
      </c>
      <c r="N5856">
        <v>0</v>
      </c>
      <c r="O5856">
        <v>0</v>
      </c>
    </row>
    <row r="5857" spans="1:15" x14ac:dyDescent="0.2">
      <c r="A5857" s="6">
        <v>45796</v>
      </c>
      <c r="B5857" t="s">
        <v>15</v>
      </c>
      <c r="C5857" t="s">
        <v>16</v>
      </c>
      <c r="D5857" s="1">
        <v>45855</v>
      </c>
      <c r="E5857" t="s">
        <v>17</v>
      </c>
      <c r="F5857">
        <v>4750</v>
      </c>
      <c r="J5857">
        <v>600</v>
      </c>
      <c r="K5857">
        <v>631.5</v>
      </c>
      <c r="L5857">
        <v>0</v>
      </c>
      <c r="M5857" t="s">
        <v>18</v>
      </c>
      <c r="N5857">
        <v>0</v>
      </c>
      <c r="O5857">
        <v>0</v>
      </c>
    </row>
    <row r="5858" spans="1:15" x14ac:dyDescent="0.2">
      <c r="A5858" s="6">
        <v>45796</v>
      </c>
      <c r="B5858" t="s">
        <v>15</v>
      </c>
      <c r="C5858" t="s">
        <v>16</v>
      </c>
      <c r="D5858" s="1">
        <v>45855</v>
      </c>
      <c r="E5858" t="s">
        <v>17</v>
      </c>
      <c r="F5858">
        <v>4450</v>
      </c>
      <c r="J5858">
        <v>847.5</v>
      </c>
      <c r="K5858">
        <v>877.4</v>
      </c>
      <c r="L5858">
        <v>0</v>
      </c>
      <c r="M5858" t="s">
        <v>18</v>
      </c>
      <c r="N5858">
        <v>0</v>
      </c>
      <c r="O5858">
        <v>0</v>
      </c>
    </row>
    <row r="5859" spans="1:15" x14ac:dyDescent="0.2">
      <c r="A5859" s="6">
        <v>45796</v>
      </c>
      <c r="B5859" t="s">
        <v>15</v>
      </c>
      <c r="C5859" t="s">
        <v>16</v>
      </c>
      <c r="D5859" s="1">
        <v>45855</v>
      </c>
      <c r="E5859" t="s">
        <v>19</v>
      </c>
      <c r="F5859">
        <v>6550</v>
      </c>
      <c r="J5859">
        <v>1275.9000000000001</v>
      </c>
      <c r="K5859">
        <v>1255.0999999999999</v>
      </c>
      <c r="L5859">
        <v>0</v>
      </c>
      <c r="M5859" t="s">
        <v>18</v>
      </c>
      <c r="N5859">
        <v>0</v>
      </c>
      <c r="O5859">
        <v>0</v>
      </c>
    </row>
    <row r="5860" spans="1:15" x14ac:dyDescent="0.2">
      <c r="A5860" s="6">
        <v>45796</v>
      </c>
      <c r="B5860" t="s">
        <v>15</v>
      </c>
      <c r="C5860" t="s">
        <v>16</v>
      </c>
      <c r="D5860" s="1">
        <v>45855</v>
      </c>
      <c r="E5860" t="s">
        <v>17</v>
      </c>
      <c r="F5860">
        <v>5700</v>
      </c>
      <c r="J5860">
        <v>123.2</v>
      </c>
      <c r="K5860">
        <v>144.9</v>
      </c>
      <c r="L5860">
        <v>0</v>
      </c>
      <c r="M5860" t="s">
        <v>18</v>
      </c>
      <c r="N5860">
        <v>0</v>
      </c>
      <c r="O5860">
        <v>0</v>
      </c>
    </row>
    <row r="5861" spans="1:15" x14ac:dyDescent="0.2">
      <c r="A5861" s="6">
        <v>45796</v>
      </c>
      <c r="B5861" t="s">
        <v>15</v>
      </c>
      <c r="C5861" t="s">
        <v>16</v>
      </c>
      <c r="D5861" s="1">
        <v>45855</v>
      </c>
      <c r="E5861" t="s">
        <v>17</v>
      </c>
      <c r="F5861">
        <v>4950</v>
      </c>
      <c r="J5861">
        <v>458.1</v>
      </c>
      <c r="K5861">
        <v>489.7</v>
      </c>
      <c r="L5861">
        <v>0</v>
      </c>
      <c r="M5861" t="s">
        <v>18</v>
      </c>
      <c r="N5861">
        <v>0</v>
      </c>
      <c r="O5861">
        <v>0</v>
      </c>
    </row>
    <row r="5862" spans="1:15" x14ac:dyDescent="0.2">
      <c r="A5862" s="6">
        <v>45796</v>
      </c>
      <c r="B5862" t="s">
        <v>15</v>
      </c>
      <c r="C5862" t="s">
        <v>16</v>
      </c>
      <c r="D5862" s="1">
        <v>45855</v>
      </c>
      <c r="E5862" t="s">
        <v>17</v>
      </c>
      <c r="F5862">
        <v>6200</v>
      </c>
      <c r="J5862">
        <v>39.700000000000003</v>
      </c>
      <c r="K5862">
        <v>51.4</v>
      </c>
      <c r="L5862">
        <v>0</v>
      </c>
      <c r="M5862" t="s">
        <v>18</v>
      </c>
      <c r="N5862">
        <v>0</v>
      </c>
      <c r="O5862">
        <v>0</v>
      </c>
    </row>
    <row r="5863" spans="1:15" x14ac:dyDescent="0.2">
      <c r="A5863" s="6">
        <v>45796</v>
      </c>
      <c r="B5863" t="s">
        <v>15</v>
      </c>
      <c r="C5863" t="s">
        <v>16</v>
      </c>
      <c r="D5863" s="1">
        <v>45855</v>
      </c>
      <c r="E5863" t="s">
        <v>17</v>
      </c>
      <c r="F5863">
        <v>5300</v>
      </c>
      <c r="J5863">
        <v>263.5</v>
      </c>
      <c r="K5863">
        <v>292.2</v>
      </c>
      <c r="L5863">
        <v>0</v>
      </c>
      <c r="M5863" t="s">
        <v>18</v>
      </c>
      <c r="N5863">
        <v>0</v>
      </c>
      <c r="O5863">
        <v>0</v>
      </c>
    </row>
    <row r="5864" spans="1:15" x14ac:dyDescent="0.2">
      <c r="A5864" s="6">
        <v>45796</v>
      </c>
      <c r="B5864" t="s">
        <v>15</v>
      </c>
      <c r="C5864" t="s">
        <v>16</v>
      </c>
      <c r="D5864" s="1">
        <v>45855</v>
      </c>
      <c r="E5864" t="s">
        <v>17</v>
      </c>
      <c r="F5864">
        <v>4400</v>
      </c>
      <c r="J5864">
        <v>891.9</v>
      </c>
      <c r="K5864">
        <v>921.5</v>
      </c>
      <c r="L5864">
        <v>0</v>
      </c>
      <c r="M5864" t="s">
        <v>18</v>
      </c>
      <c r="N5864">
        <v>0</v>
      </c>
      <c r="O5864">
        <v>0</v>
      </c>
    </row>
    <row r="5865" spans="1:15" x14ac:dyDescent="0.2">
      <c r="A5865" s="6">
        <v>45796</v>
      </c>
      <c r="B5865" t="s">
        <v>15</v>
      </c>
      <c r="C5865" t="s">
        <v>16</v>
      </c>
      <c r="D5865" s="1">
        <v>45855</v>
      </c>
      <c r="E5865" t="s">
        <v>17</v>
      </c>
      <c r="F5865">
        <v>4100</v>
      </c>
      <c r="J5865">
        <v>1171.2</v>
      </c>
      <c r="K5865">
        <v>1198.8</v>
      </c>
      <c r="L5865">
        <v>0</v>
      </c>
      <c r="M5865" t="s">
        <v>18</v>
      </c>
      <c r="N5865">
        <v>0</v>
      </c>
      <c r="O5865">
        <v>0</v>
      </c>
    </row>
    <row r="5866" spans="1:15" x14ac:dyDescent="0.2">
      <c r="A5866" s="6">
        <v>45796</v>
      </c>
      <c r="B5866" t="s">
        <v>15</v>
      </c>
      <c r="C5866" t="s">
        <v>16</v>
      </c>
      <c r="D5866" s="1">
        <v>45855</v>
      </c>
      <c r="E5866" t="s">
        <v>17</v>
      </c>
      <c r="F5866">
        <v>5000</v>
      </c>
      <c r="J5866">
        <v>426</v>
      </c>
      <c r="K5866">
        <v>457.4</v>
      </c>
      <c r="L5866">
        <v>0</v>
      </c>
      <c r="M5866" t="s">
        <v>18</v>
      </c>
      <c r="N5866">
        <v>0</v>
      </c>
      <c r="O5866">
        <v>0</v>
      </c>
    </row>
    <row r="5867" spans="1:15" x14ac:dyDescent="0.2">
      <c r="A5867" s="6">
        <v>45796</v>
      </c>
      <c r="B5867" t="s">
        <v>15</v>
      </c>
      <c r="C5867" t="s">
        <v>16</v>
      </c>
      <c r="D5867" s="1">
        <v>45855</v>
      </c>
      <c r="E5867" t="s">
        <v>17</v>
      </c>
      <c r="F5867">
        <v>3700</v>
      </c>
      <c r="J5867">
        <v>1561.3</v>
      </c>
      <c r="K5867">
        <v>1587.4</v>
      </c>
      <c r="L5867">
        <v>0</v>
      </c>
      <c r="M5867" t="s">
        <v>18</v>
      </c>
      <c r="N5867">
        <v>0</v>
      </c>
      <c r="O5867">
        <v>0</v>
      </c>
    </row>
    <row r="5868" spans="1:15" x14ac:dyDescent="0.2">
      <c r="A5868" s="6">
        <v>45796</v>
      </c>
      <c r="B5868" t="s">
        <v>15</v>
      </c>
      <c r="C5868" t="s">
        <v>16</v>
      </c>
      <c r="D5868" s="1">
        <v>45855</v>
      </c>
      <c r="E5868" t="s">
        <v>17</v>
      </c>
      <c r="F5868">
        <v>4350</v>
      </c>
      <c r="J5868">
        <v>937.1</v>
      </c>
      <c r="K5868">
        <v>966.3</v>
      </c>
      <c r="L5868">
        <v>0</v>
      </c>
      <c r="M5868" t="s">
        <v>18</v>
      </c>
      <c r="N5868">
        <v>0</v>
      </c>
      <c r="O5868">
        <v>0</v>
      </c>
    </row>
    <row r="5869" spans="1:15" x14ac:dyDescent="0.2">
      <c r="A5869" s="6">
        <v>45796</v>
      </c>
      <c r="B5869" t="s">
        <v>15</v>
      </c>
      <c r="C5869" t="s">
        <v>16</v>
      </c>
      <c r="D5869" s="1">
        <v>45855</v>
      </c>
      <c r="E5869" t="s">
        <v>19</v>
      </c>
      <c r="F5869">
        <v>5250</v>
      </c>
      <c r="J5869">
        <v>260.3</v>
      </c>
      <c r="K5869">
        <v>263</v>
      </c>
      <c r="L5869">
        <v>0</v>
      </c>
      <c r="M5869" t="s">
        <v>18</v>
      </c>
      <c r="N5869">
        <v>0</v>
      </c>
      <c r="O5869">
        <v>0</v>
      </c>
    </row>
    <row r="5870" spans="1:15" x14ac:dyDescent="0.2">
      <c r="A5870" s="6">
        <v>45796</v>
      </c>
      <c r="B5870" t="s">
        <v>15</v>
      </c>
      <c r="C5870" t="s">
        <v>16</v>
      </c>
      <c r="D5870" s="1">
        <v>45855</v>
      </c>
      <c r="E5870" t="s">
        <v>17</v>
      </c>
      <c r="F5870">
        <v>5950</v>
      </c>
      <c r="J5870">
        <v>71.7</v>
      </c>
      <c r="K5870">
        <v>88.2</v>
      </c>
      <c r="L5870">
        <v>0</v>
      </c>
      <c r="M5870" t="s">
        <v>18</v>
      </c>
      <c r="N5870">
        <v>0</v>
      </c>
      <c r="O5870">
        <v>0</v>
      </c>
    </row>
    <row r="5871" spans="1:15" x14ac:dyDescent="0.2">
      <c r="A5871" s="6">
        <v>45796</v>
      </c>
      <c r="B5871" t="s">
        <v>15</v>
      </c>
      <c r="C5871" t="s">
        <v>16</v>
      </c>
      <c r="D5871" s="1">
        <v>45855</v>
      </c>
      <c r="E5871" t="s">
        <v>17</v>
      </c>
      <c r="F5871">
        <v>4500</v>
      </c>
      <c r="J5871">
        <v>803.8</v>
      </c>
      <c r="K5871">
        <v>834.1</v>
      </c>
      <c r="L5871">
        <v>0</v>
      </c>
      <c r="M5871" t="s">
        <v>18</v>
      </c>
      <c r="N5871">
        <v>0</v>
      </c>
      <c r="O5871">
        <v>0</v>
      </c>
    </row>
    <row r="5872" spans="1:15" x14ac:dyDescent="0.2">
      <c r="A5872" s="6">
        <v>45796</v>
      </c>
      <c r="B5872" t="s">
        <v>15</v>
      </c>
      <c r="C5872" t="s">
        <v>16</v>
      </c>
      <c r="D5872" s="1">
        <v>45855</v>
      </c>
      <c r="E5872" t="s">
        <v>19</v>
      </c>
      <c r="F5872">
        <v>5200</v>
      </c>
      <c r="J5872">
        <v>235.7</v>
      </c>
      <c r="K5872">
        <v>239</v>
      </c>
      <c r="L5872">
        <v>0</v>
      </c>
      <c r="M5872" t="s">
        <v>18</v>
      </c>
      <c r="N5872">
        <v>0</v>
      </c>
      <c r="O5872">
        <v>0</v>
      </c>
    </row>
    <row r="5873" spans="1:15" x14ac:dyDescent="0.2">
      <c r="A5873" s="6">
        <v>45796</v>
      </c>
      <c r="B5873" t="s">
        <v>15</v>
      </c>
      <c r="C5873" t="s">
        <v>16</v>
      </c>
      <c r="D5873" s="1">
        <v>45855</v>
      </c>
      <c r="E5873" t="s">
        <v>19</v>
      </c>
      <c r="F5873">
        <v>6150</v>
      </c>
      <c r="J5873">
        <v>908.8</v>
      </c>
      <c r="K5873">
        <v>894.3</v>
      </c>
      <c r="L5873">
        <v>0</v>
      </c>
      <c r="M5873" t="s">
        <v>18</v>
      </c>
      <c r="N5873">
        <v>0</v>
      </c>
      <c r="O5873">
        <v>0</v>
      </c>
    </row>
    <row r="5874" spans="1:15" x14ac:dyDescent="0.2">
      <c r="A5874" s="6">
        <v>45796</v>
      </c>
      <c r="B5874" t="s">
        <v>15</v>
      </c>
      <c r="C5874" t="s">
        <v>16</v>
      </c>
      <c r="D5874" s="1">
        <v>45855</v>
      </c>
      <c r="E5874" t="s">
        <v>17</v>
      </c>
      <c r="F5874">
        <v>3800</v>
      </c>
      <c r="J5874">
        <v>1462.9</v>
      </c>
      <c r="K5874">
        <v>1489.3</v>
      </c>
      <c r="L5874">
        <v>0</v>
      </c>
      <c r="M5874" t="s">
        <v>18</v>
      </c>
      <c r="N5874">
        <v>0</v>
      </c>
      <c r="O5874">
        <v>0</v>
      </c>
    </row>
    <row r="5875" spans="1:15" x14ac:dyDescent="0.2">
      <c r="A5875" s="6">
        <v>45796</v>
      </c>
      <c r="B5875" t="s">
        <v>15</v>
      </c>
      <c r="C5875" t="s">
        <v>16</v>
      </c>
      <c r="D5875" s="1">
        <v>45855</v>
      </c>
      <c r="E5875" t="s">
        <v>19</v>
      </c>
      <c r="F5875">
        <v>5900</v>
      </c>
      <c r="J5875">
        <v>696.8</v>
      </c>
      <c r="K5875">
        <v>687.2</v>
      </c>
      <c r="L5875">
        <v>0</v>
      </c>
      <c r="M5875" t="s">
        <v>18</v>
      </c>
      <c r="N5875">
        <v>0</v>
      </c>
      <c r="O5875">
        <v>0</v>
      </c>
    </row>
    <row r="5876" spans="1:15" x14ac:dyDescent="0.2">
      <c r="A5876" s="6">
        <v>45796</v>
      </c>
      <c r="B5876" t="s">
        <v>15</v>
      </c>
      <c r="C5876" t="s">
        <v>16</v>
      </c>
      <c r="D5876" s="1">
        <v>45855</v>
      </c>
      <c r="E5876" t="s">
        <v>19</v>
      </c>
      <c r="F5876">
        <v>6200</v>
      </c>
      <c r="J5876">
        <v>953.2</v>
      </c>
      <c r="K5876">
        <v>937.7</v>
      </c>
      <c r="L5876">
        <v>0</v>
      </c>
      <c r="M5876" t="s">
        <v>18</v>
      </c>
      <c r="N5876">
        <v>0</v>
      </c>
      <c r="O5876">
        <v>0</v>
      </c>
    </row>
    <row r="5877" spans="1:15" x14ac:dyDescent="0.2">
      <c r="A5877" s="6">
        <v>45796</v>
      </c>
      <c r="B5877" t="s">
        <v>15</v>
      </c>
      <c r="C5877" t="s">
        <v>16</v>
      </c>
      <c r="D5877" s="1">
        <v>45855</v>
      </c>
      <c r="E5877" t="s">
        <v>17</v>
      </c>
      <c r="F5877">
        <v>5750</v>
      </c>
      <c r="J5877">
        <v>111</v>
      </c>
      <c r="K5877">
        <v>131.69999999999999</v>
      </c>
      <c r="L5877">
        <v>0</v>
      </c>
      <c r="M5877" t="s">
        <v>18</v>
      </c>
      <c r="N5877">
        <v>0</v>
      </c>
      <c r="O5877">
        <v>0</v>
      </c>
    </row>
    <row r="5878" spans="1:15" x14ac:dyDescent="0.2">
      <c r="A5878" s="6">
        <v>45796</v>
      </c>
      <c r="B5878" t="s">
        <v>15</v>
      </c>
      <c r="C5878" t="s">
        <v>16</v>
      </c>
      <c r="D5878" s="1">
        <v>45855</v>
      </c>
      <c r="E5878" t="s">
        <v>17</v>
      </c>
      <c r="F5878">
        <v>3850</v>
      </c>
      <c r="J5878">
        <v>1413.8</v>
      </c>
      <c r="K5878">
        <v>1440.4</v>
      </c>
      <c r="L5878">
        <v>0</v>
      </c>
      <c r="M5878" t="s">
        <v>18</v>
      </c>
      <c r="N5878">
        <v>0</v>
      </c>
      <c r="O5878">
        <v>0</v>
      </c>
    </row>
    <row r="5879" spans="1:15" x14ac:dyDescent="0.2">
      <c r="A5879" s="6">
        <v>45796</v>
      </c>
      <c r="B5879" t="s">
        <v>15</v>
      </c>
      <c r="C5879" t="s">
        <v>16</v>
      </c>
      <c r="D5879" s="1">
        <v>45855</v>
      </c>
      <c r="E5879" t="s">
        <v>17</v>
      </c>
      <c r="F5879">
        <v>5600</v>
      </c>
      <c r="J5879">
        <v>150.9</v>
      </c>
      <c r="K5879">
        <v>174.6</v>
      </c>
      <c r="L5879">
        <v>0</v>
      </c>
      <c r="M5879" t="s">
        <v>18</v>
      </c>
      <c r="N5879">
        <v>0</v>
      </c>
      <c r="O5879">
        <v>0</v>
      </c>
    </row>
    <row r="5880" spans="1:15" x14ac:dyDescent="0.2">
      <c r="A5880" s="6">
        <v>45796</v>
      </c>
      <c r="B5880" t="s">
        <v>15</v>
      </c>
      <c r="C5880" t="s">
        <v>16</v>
      </c>
      <c r="D5880" s="1">
        <v>45855</v>
      </c>
      <c r="E5880" t="s">
        <v>19</v>
      </c>
      <c r="F5880">
        <v>4250</v>
      </c>
      <c r="J5880">
        <v>12.9</v>
      </c>
      <c r="K5880">
        <v>15.3</v>
      </c>
      <c r="L5880">
        <v>0</v>
      </c>
      <c r="M5880" t="s">
        <v>18</v>
      </c>
      <c r="N5880">
        <v>0</v>
      </c>
      <c r="O5880">
        <v>0</v>
      </c>
    </row>
    <row r="5881" spans="1:15" x14ac:dyDescent="0.2">
      <c r="A5881" s="6">
        <v>45796</v>
      </c>
      <c r="B5881" t="s">
        <v>15</v>
      </c>
      <c r="C5881" t="s">
        <v>16</v>
      </c>
      <c r="D5881" s="1">
        <v>45855</v>
      </c>
      <c r="E5881" t="s">
        <v>19</v>
      </c>
      <c r="F5881">
        <v>4950</v>
      </c>
      <c r="J5881">
        <v>134.5</v>
      </c>
      <c r="K5881">
        <v>139.6</v>
      </c>
      <c r="L5881">
        <v>0</v>
      </c>
      <c r="M5881" t="s">
        <v>18</v>
      </c>
      <c r="N5881">
        <v>0</v>
      </c>
      <c r="O5881">
        <v>0</v>
      </c>
    </row>
    <row r="5882" spans="1:15" x14ac:dyDescent="0.2">
      <c r="A5882" s="6">
        <v>45796</v>
      </c>
      <c r="B5882" t="s">
        <v>15</v>
      </c>
      <c r="C5882" t="s">
        <v>16</v>
      </c>
      <c r="D5882" s="1">
        <v>45855</v>
      </c>
      <c r="E5882" t="s">
        <v>19</v>
      </c>
      <c r="F5882">
        <v>4600</v>
      </c>
      <c r="J5882">
        <v>49.2</v>
      </c>
      <c r="K5882">
        <v>53.7</v>
      </c>
      <c r="L5882">
        <v>0</v>
      </c>
      <c r="M5882" t="s">
        <v>18</v>
      </c>
      <c r="N5882">
        <v>0</v>
      </c>
      <c r="O5882">
        <v>0</v>
      </c>
    </row>
    <row r="5883" spans="1:15" x14ac:dyDescent="0.2">
      <c r="A5883" s="6">
        <v>45796</v>
      </c>
      <c r="B5883" t="s">
        <v>15</v>
      </c>
      <c r="C5883" t="s">
        <v>16</v>
      </c>
      <c r="D5883" s="1">
        <v>45855</v>
      </c>
      <c r="E5883" t="s">
        <v>19</v>
      </c>
      <c r="F5883">
        <v>4450</v>
      </c>
      <c r="J5883">
        <v>29</v>
      </c>
      <c r="K5883">
        <v>32.700000000000003</v>
      </c>
      <c r="L5883">
        <v>0</v>
      </c>
      <c r="M5883" t="s">
        <v>18</v>
      </c>
      <c r="N5883">
        <v>0</v>
      </c>
      <c r="O5883">
        <v>0</v>
      </c>
    </row>
    <row r="5884" spans="1:15" x14ac:dyDescent="0.2">
      <c r="A5884" s="6">
        <v>45796</v>
      </c>
      <c r="B5884" t="s">
        <v>15</v>
      </c>
      <c r="C5884" t="s">
        <v>16</v>
      </c>
      <c r="D5884" s="1">
        <v>45855</v>
      </c>
      <c r="E5884" t="s">
        <v>19</v>
      </c>
      <c r="F5884">
        <v>5050</v>
      </c>
      <c r="J5884">
        <v>170.7</v>
      </c>
      <c r="K5884">
        <v>175.3</v>
      </c>
      <c r="L5884">
        <v>0</v>
      </c>
      <c r="M5884" t="s">
        <v>18</v>
      </c>
      <c r="N5884">
        <v>0</v>
      </c>
      <c r="O5884">
        <v>0</v>
      </c>
    </row>
    <row r="5885" spans="1:15" x14ac:dyDescent="0.2">
      <c r="A5885" s="6">
        <v>45796</v>
      </c>
      <c r="B5885" t="s">
        <v>15</v>
      </c>
      <c r="C5885" t="s">
        <v>16</v>
      </c>
      <c r="D5885" s="1">
        <v>45855</v>
      </c>
      <c r="E5885" t="s">
        <v>19</v>
      </c>
      <c r="F5885">
        <v>3700</v>
      </c>
      <c r="J5885">
        <v>0.6</v>
      </c>
      <c r="K5885">
        <v>0.9</v>
      </c>
      <c r="L5885">
        <v>0</v>
      </c>
      <c r="M5885" t="s">
        <v>18</v>
      </c>
      <c r="N5885">
        <v>0</v>
      </c>
      <c r="O5885">
        <v>0</v>
      </c>
    </row>
    <row r="5886" spans="1:15" x14ac:dyDescent="0.2">
      <c r="A5886" s="6">
        <v>45796</v>
      </c>
      <c r="B5886" t="s">
        <v>15</v>
      </c>
      <c r="C5886" t="s">
        <v>16</v>
      </c>
      <c r="D5886" s="1">
        <v>45855</v>
      </c>
      <c r="E5886" t="s">
        <v>19</v>
      </c>
      <c r="F5886">
        <v>5700</v>
      </c>
      <c r="J5886">
        <v>541.9</v>
      </c>
      <c r="K5886">
        <v>536.6</v>
      </c>
      <c r="L5886">
        <v>0</v>
      </c>
      <c r="M5886" t="s">
        <v>18</v>
      </c>
      <c r="N5886">
        <v>0</v>
      </c>
      <c r="O5886">
        <v>0</v>
      </c>
    </row>
    <row r="5887" spans="1:15" x14ac:dyDescent="0.2">
      <c r="A5887" s="6">
        <v>45796</v>
      </c>
      <c r="B5887" t="s">
        <v>15</v>
      </c>
      <c r="C5887" t="s">
        <v>16</v>
      </c>
      <c r="D5887" s="1">
        <v>45855</v>
      </c>
      <c r="E5887" t="s">
        <v>17</v>
      </c>
      <c r="F5887">
        <v>6550</v>
      </c>
      <c r="J5887">
        <v>16.100000000000001</v>
      </c>
      <c r="K5887">
        <v>22.6</v>
      </c>
      <c r="L5887">
        <v>0</v>
      </c>
      <c r="M5887" t="s">
        <v>18</v>
      </c>
      <c r="N5887">
        <v>0</v>
      </c>
      <c r="O5887">
        <v>0</v>
      </c>
    </row>
    <row r="5888" spans="1:15" x14ac:dyDescent="0.2">
      <c r="A5888" s="6">
        <v>45796</v>
      </c>
      <c r="B5888" t="s">
        <v>15</v>
      </c>
      <c r="C5888" t="s">
        <v>16</v>
      </c>
      <c r="D5888" s="1">
        <v>45855</v>
      </c>
      <c r="E5888" t="s">
        <v>19</v>
      </c>
      <c r="F5888">
        <v>6400</v>
      </c>
      <c r="J5888">
        <v>1135.3</v>
      </c>
      <c r="K5888">
        <v>1116.5</v>
      </c>
      <c r="L5888">
        <v>0</v>
      </c>
      <c r="M5888" t="s">
        <v>18</v>
      </c>
      <c r="N5888">
        <v>0</v>
      </c>
      <c r="O5888">
        <v>0</v>
      </c>
    </row>
    <row r="5889" spans="1:15" x14ac:dyDescent="0.2">
      <c r="A5889" s="6">
        <v>45796</v>
      </c>
      <c r="B5889" t="s">
        <v>15</v>
      </c>
      <c r="C5889" t="s">
        <v>16</v>
      </c>
      <c r="D5889" s="1">
        <v>45855</v>
      </c>
      <c r="E5889" t="s">
        <v>19</v>
      </c>
      <c r="F5889">
        <v>5400</v>
      </c>
      <c r="J5889">
        <v>342.4</v>
      </c>
      <c r="K5889">
        <v>342.9</v>
      </c>
      <c r="L5889">
        <v>0</v>
      </c>
      <c r="M5889" t="s">
        <v>18</v>
      </c>
      <c r="N5889">
        <v>0</v>
      </c>
      <c r="O5889">
        <v>0</v>
      </c>
    </row>
    <row r="5890" spans="1:15" x14ac:dyDescent="0.2">
      <c r="A5890" s="6">
        <v>45796</v>
      </c>
      <c r="B5890" t="s">
        <v>15</v>
      </c>
      <c r="C5890" t="s">
        <v>16</v>
      </c>
      <c r="D5890" s="1">
        <v>45855</v>
      </c>
      <c r="E5890" t="s">
        <v>19</v>
      </c>
      <c r="F5890">
        <v>5300</v>
      </c>
      <c r="J5890">
        <v>286.2</v>
      </c>
      <c r="K5890">
        <v>288.3</v>
      </c>
      <c r="L5890">
        <v>0</v>
      </c>
      <c r="M5890" t="s">
        <v>18</v>
      </c>
      <c r="N5890">
        <v>0</v>
      </c>
      <c r="O5890">
        <v>0</v>
      </c>
    </row>
    <row r="5891" spans="1:15" x14ac:dyDescent="0.2">
      <c r="A5891" s="6">
        <v>45796</v>
      </c>
      <c r="B5891" t="s">
        <v>15</v>
      </c>
      <c r="C5891" t="s">
        <v>16</v>
      </c>
      <c r="D5891" s="1">
        <v>45855</v>
      </c>
      <c r="E5891" t="s">
        <v>17</v>
      </c>
      <c r="F5891">
        <v>3750</v>
      </c>
      <c r="J5891">
        <v>1512</v>
      </c>
      <c r="K5891">
        <v>1538.3</v>
      </c>
      <c r="L5891">
        <v>0</v>
      </c>
      <c r="M5891" t="s">
        <v>18</v>
      </c>
      <c r="N5891">
        <v>0</v>
      </c>
      <c r="O5891">
        <v>0</v>
      </c>
    </row>
    <row r="5892" spans="1:15" x14ac:dyDescent="0.2">
      <c r="A5892" s="6">
        <v>45796</v>
      </c>
      <c r="B5892" t="s">
        <v>15</v>
      </c>
      <c r="C5892" t="s">
        <v>16</v>
      </c>
      <c r="D5892" s="1">
        <v>45855</v>
      </c>
      <c r="E5892" t="s">
        <v>17</v>
      </c>
      <c r="F5892">
        <v>6650</v>
      </c>
      <c r="J5892">
        <v>12.3</v>
      </c>
      <c r="K5892">
        <v>17.7</v>
      </c>
      <c r="L5892">
        <v>0</v>
      </c>
      <c r="M5892" t="s">
        <v>18</v>
      </c>
      <c r="N5892">
        <v>0</v>
      </c>
      <c r="O5892">
        <v>0</v>
      </c>
    </row>
    <row r="5893" spans="1:15" x14ac:dyDescent="0.2">
      <c r="A5893" s="6">
        <v>45796</v>
      </c>
      <c r="B5893" t="s">
        <v>15</v>
      </c>
      <c r="C5893" t="s">
        <v>16</v>
      </c>
      <c r="D5893" s="1">
        <v>45855</v>
      </c>
      <c r="E5893" t="s">
        <v>19</v>
      </c>
      <c r="F5893">
        <v>5450</v>
      </c>
      <c r="J5893">
        <v>372.5</v>
      </c>
      <c r="K5893">
        <v>372.2</v>
      </c>
      <c r="L5893">
        <v>0</v>
      </c>
      <c r="M5893" t="s">
        <v>18</v>
      </c>
      <c r="N5893">
        <v>0</v>
      </c>
      <c r="O5893">
        <v>0</v>
      </c>
    </row>
    <row r="5894" spans="1:15" x14ac:dyDescent="0.2">
      <c r="A5894" s="6">
        <v>45796</v>
      </c>
      <c r="B5894" t="s">
        <v>15</v>
      </c>
      <c r="C5894" t="s">
        <v>16</v>
      </c>
      <c r="D5894" s="1">
        <v>45855</v>
      </c>
      <c r="E5894" t="s">
        <v>17</v>
      </c>
      <c r="F5894">
        <v>6050</v>
      </c>
      <c r="J5894">
        <v>56.9</v>
      </c>
      <c r="K5894">
        <v>71.400000000000006</v>
      </c>
      <c r="L5894">
        <v>0</v>
      </c>
      <c r="M5894" t="s">
        <v>18</v>
      </c>
      <c r="N5894">
        <v>0</v>
      </c>
      <c r="O5894">
        <v>0</v>
      </c>
    </row>
    <row r="5895" spans="1:15" x14ac:dyDescent="0.2">
      <c r="A5895" s="6">
        <v>45796</v>
      </c>
      <c r="B5895" t="s">
        <v>15</v>
      </c>
      <c r="C5895" t="s">
        <v>16</v>
      </c>
      <c r="D5895" s="1">
        <v>45855</v>
      </c>
      <c r="E5895" t="s">
        <v>19</v>
      </c>
      <c r="F5895">
        <v>3750</v>
      </c>
      <c r="J5895">
        <v>0.9</v>
      </c>
      <c r="K5895">
        <v>1.2</v>
      </c>
      <c r="L5895">
        <v>0</v>
      </c>
      <c r="M5895" t="s">
        <v>18</v>
      </c>
      <c r="N5895">
        <v>0</v>
      </c>
      <c r="O5895">
        <v>0</v>
      </c>
    </row>
    <row r="5896" spans="1:15" x14ac:dyDescent="0.2">
      <c r="A5896" s="6">
        <v>45796</v>
      </c>
      <c r="B5896" t="s">
        <v>15</v>
      </c>
      <c r="C5896" t="s">
        <v>16</v>
      </c>
      <c r="D5896" s="1">
        <v>45855</v>
      </c>
      <c r="E5896" t="s">
        <v>19</v>
      </c>
      <c r="F5896">
        <v>4700</v>
      </c>
      <c r="J5896">
        <v>67.599999999999994</v>
      </c>
      <c r="K5896">
        <v>72.5</v>
      </c>
      <c r="L5896">
        <v>0</v>
      </c>
      <c r="M5896" t="s">
        <v>18</v>
      </c>
      <c r="N5896">
        <v>0</v>
      </c>
      <c r="O5896">
        <v>0</v>
      </c>
    </row>
    <row r="5897" spans="1:15" x14ac:dyDescent="0.2">
      <c r="A5897" s="6">
        <v>45796</v>
      </c>
      <c r="B5897" t="s">
        <v>15</v>
      </c>
      <c r="C5897" t="s">
        <v>16</v>
      </c>
      <c r="D5897" s="1">
        <v>45855</v>
      </c>
      <c r="E5897" t="s">
        <v>19</v>
      </c>
      <c r="F5897">
        <v>4550</v>
      </c>
      <c r="J5897">
        <v>41.6</v>
      </c>
      <c r="K5897">
        <v>45.8</v>
      </c>
      <c r="L5897">
        <v>0</v>
      </c>
      <c r="M5897" t="s">
        <v>18</v>
      </c>
      <c r="N5897">
        <v>0</v>
      </c>
      <c r="O5897">
        <v>0</v>
      </c>
    </row>
    <row r="5898" spans="1:15" x14ac:dyDescent="0.2">
      <c r="A5898" s="6">
        <v>45796</v>
      </c>
      <c r="B5898" t="s">
        <v>15</v>
      </c>
      <c r="C5898" t="s">
        <v>16</v>
      </c>
      <c r="D5898" s="1">
        <v>45855</v>
      </c>
      <c r="E5898" t="s">
        <v>17</v>
      </c>
      <c r="F5898">
        <v>5200</v>
      </c>
      <c r="J5898">
        <v>311.89999999999998</v>
      </c>
      <c r="K5898">
        <v>341.9</v>
      </c>
      <c r="L5898">
        <v>0</v>
      </c>
      <c r="M5898" t="s">
        <v>18</v>
      </c>
      <c r="N5898">
        <v>0</v>
      </c>
      <c r="O5898">
        <v>0</v>
      </c>
    </row>
    <row r="5899" spans="1:15" x14ac:dyDescent="0.2">
      <c r="A5899" s="6">
        <v>45796</v>
      </c>
      <c r="B5899" t="s">
        <v>15</v>
      </c>
      <c r="C5899" t="s">
        <v>16</v>
      </c>
      <c r="D5899" s="1">
        <v>45855</v>
      </c>
      <c r="E5899" t="s">
        <v>17</v>
      </c>
      <c r="F5899">
        <v>4250</v>
      </c>
      <c r="J5899">
        <v>1029.3</v>
      </c>
      <c r="K5899">
        <v>1057.8</v>
      </c>
      <c r="L5899">
        <v>0</v>
      </c>
      <c r="M5899" t="s">
        <v>18</v>
      </c>
      <c r="N5899">
        <v>0</v>
      </c>
      <c r="O5899">
        <v>0</v>
      </c>
    </row>
    <row r="5900" spans="1:15" x14ac:dyDescent="0.2">
      <c r="A5900" s="6">
        <v>45796</v>
      </c>
      <c r="B5900" t="s">
        <v>15</v>
      </c>
      <c r="C5900" t="s">
        <v>16</v>
      </c>
      <c r="D5900" s="1">
        <v>45855</v>
      </c>
      <c r="E5900" t="s">
        <v>17</v>
      </c>
      <c r="F5900">
        <v>4150</v>
      </c>
      <c r="J5900">
        <v>1123.5</v>
      </c>
      <c r="K5900">
        <v>1151.4000000000001</v>
      </c>
      <c r="L5900">
        <v>0</v>
      </c>
      <c r="M5900" t="s">
        <v>18</v>
      </c>
      <c r="N5900">
        <v>0</v>
      </c>
      <c r="O5900">
        <v>0</v>
      </c>
    </row>
    <row r="5901" spans="1:15" x14ac:dyDescent="0.2">
      <c r="A5901" s="6">
        <v>45796</v>
      </c>
      <c r="B5901" t="s">
        <v>15</v>
      </c>
      <c r="C5901" t="s">
        <v>16</v>
      </c>
      <c r="D5901" s="1">
        <v>45855</v>
      </c>
      <c r="E5901" t="s">
        <v>17</v>
      </c>
      <c r="F5901">
        <v>5500</v>
      </c>
      <c r="J5901">
        <v>183.3</v>
      </c>
      <c r="K5901">
        <v>208.8</v>
      </c>
      <c r="L5901">
        <v>0</v>
      </c>
      <c r="M5901" t="s">
        <v>18</v>
      </c>
      <c r="N5901">
        <v>0</v>
      </c>
      <c r="O5901">
        <v>0</v>
      </c>
    </row>
    <row r="5902" spans="1:15" x14ac:dyDescent="0.2">
      <c r="A5902" s="6">
        <v>45796</v>
      </c>
      <c r="B5902" t="s">
        <v>15</v>
      </c>
      <c r="C5902" t="s">
        <v>16</v>
      </c>
      <c r="D5902" s="1">
        <v>45855</v>
      </c>
      <c r="E5902" t="s">
        <v>19</v>
      </c>
      <c r="F5902">
        <v>6250</v>
      </c>
      <c r="J5902">
        <v>998</v>
      </c>
      <c r="K5902">
        <v>981.6</v>
      </c>
      <c r="L5902">
        <v>0</v>
      </c>
      <c r="M5902" t="s">
        <v>18</v>
      </c>
      <c r="N5902">
        <v>0</v>
      </c>
      <c r="O5902">
        <v>0</v>
      </c>
    </row>
    <row r="5903" spans="1:15" x14ac:dyDescent="0.2">
      <c r="A5903" s="6">
        <v>45796</v>
      </c>
      <c r="B5903" t="s">
        <v>15</v>
      </c>
      <c r="C5903" t="s">
        <v>16</v>
      </c>
      <c r="D5903" s="1">
        <v>45855</v>
      </c>
      <c r="E5903" t="s">
        <v>19</v>
      </c>
      <c r="F5903">
        <v>5150</v>
      </c>
      <c r="J5903">
        <v>212.6</v>
      </c>
      <c r="K5903">
        <v>216.4</v>
      </c>
      <c r="L5903">
        <v>0</v>
      </c>
      <c r="M5903" t="s">
        <v>18</v>
      </c>
      <c r="N5903">
        <v>0</v>
      </c>
      <c r="O5903">
        <v>0</v>
      </c>
    </row>
    <row r="5904" spans="1:15" x14ac:dyDescent="0.2">
      <c r="A5904" s="6">
        <v>45796</v>
      </c>
      <c r="B5904" t="s">
        <v>15</v>
      </c>
      <c r="C5904" t="s">
        <v>16</v>
      </c>
      <c r="D5904" s="1">
        <v>45855</v>
      </c>
      <c r="E5904" t="s">
        <v>17</v>
      </c>
      <c r="F5904">
        <v>6500</v>
      </c>
      <c r="J5904">
        <v>18.399999999999999</v>
      </c>
      <c r="K5904">
        <v>25.6</v>
      </c>
      <c r="L5904">
        <v>0</v>
      </c>
      <c r="M5904" t="s">
        <v>18</v>
      </c>
      <c r="N5904">
        <v>0</v>
      </c>
      <c r="O5904">
        <v>0</v>
      </c>
    </row>
    <row r="5905" spans="1:15" x14ac:dyDescent="0.2">
      <c r="A5905" s="6">
        <v>45796</v>
      </c>
      <c r="B5905" t="s">
        <v>15</v>
      </c>
      <c r="C5905" t="s">
        <v>16</v>
      </c>
      <c r="D5905" s="1">
        <v>45855</v>
      </c>
      <c r="E5905" t="s">
        <v>17</v>
      </c>
      <c r="F5905">
        <v>5050</v>
      </c>
      <c r="J5905">
        <v>395.3</v>
      </c>
      <c r="K5905">
        <v>426.5</v>
      </c>
      <c r="L5905">
        <v>0</v>
      </c>
      <c r="M5905" t="s">
        <v>18</v>
      </c>
      <c r="N5905">
        <v>0</v>
      </c>
      <c r="O5905">
        <v>0</v>
      </c>
    </row>
    <row r="5906" spans="1:15" x14ac:dyDescent="0.2">
      <c r="A5906" s="6">
        <v>45796</v>
      </c>
      <c r="B5906" t="s">
        <v>15</v>
      </c>
      <c r="C5906" t="s">
        <v>16</v>
      </c>
      <c r="D5906" s="1">
        <v>45855</v>
      </c>
      <c r="E5906" t="s">
        <v>17</v>
      </c>
      <c r="F5906">
        <v>5900</v>
      </c>
      <c r="J5906">
        <v>80.2</v>
      </c>
      <c r="K5906">
        <v>97.7</v>
      </c>
      <c r="L5906">
        <v>0</v>
      </c>
      <c r="M5906" t="s">
        <v>18</v>
      </c>
      <c r="N5906">
        <v>0</v>
      </c>
      <c r="O5906">
        <v>0</v>
      </c>
    </row>
    <row r="5907" spans="1:15" x14ac:dyDescent="0.2">
      <c r="A5907" s="6">
        <v>45796</v>
      </c>
      <c r="B5907" t="s">
        <v>15</v>
      </c>
      <c r="C5907" t="s">
        <v>16</v>
      </c>
      <c r="D5907" s="1">
        <v>45855</v>
      </c>
      <c r="E5907" t="s">
        <v>17</v>
      </c>
      <c r="F5907">
        <v>5450</v>
      </c>
      <c r="J5907">
        <v>201.3</v>
      </c>
      <c r="K5907">
        <v>227.8</v>
      </c>
      <c r="L5907">
        <v>0</v>
      </c>
      <c r="M5907" t="s">
        <v>18</v>
      </c>
      <c r="N5907">
        <v>0</v>
      </c>
      <c r="O5907">
        <v>0</v>
      </c>
    </row>
    <row r="5908" spans="1:15" x14ac:dyDescent="0.2">
      <c r="A5908" s="6">
        <v>45796</v>
      </c>
      <c r="B5908" t="s">
        <v>15</v>
      </c>
      <c r="C5908" t="s">
        <v>16</v>
      </c>
      <c r="D5908" s="1">
        <v>45855</v>
      </c>
      <c r="E5908" t="s">
        <v>19</v>
      </c>
      <c r="F5908">
        <v>4650</v>
      </c>
      <c r="J5908">
        <v>57.8</v>
      </c>
      <c r="K5908">
        <v>62.6</v>
      </c>
      <c r="L5908">
        <v>0</v>
      </c>
      <c r="M5908" t="s">
        <v>18</v>
      </c>
      <c r="N5908">
        <v>0</v>
      </c>
      <c r="O5908">
        <v>0</v>
      </c>
    </row>
    <row r="5909" spans="1:15" x14ac:dyDescent="0.2">
      <c r="A5909" s="6">
        <v>45796</v>
      </c>
      <c r="B5909" t="s">
        <v>15</v>
      </c>
      <c r="C5909" t="s">
        <v>16</v>
      </c>
      <c r="D5909" s="1">
        <v>45855</v>
      </c>
      <c r="E5909" t="s">
        <v>17</v>
      </c>
      <c r="F5909">
        <v>5800</v>
      </c>
      <c r="J5909">
        <v>99.8</v>
      </c>
      <c r="K5909">
        <v>119.4</v>
      </c>
      <c r="L5909">
        <v>0</v>
      </c>
      <c r="M5909" t="s">
        <v>18</v>
      </c>
      <c r="N5909">
        <v>0</v>
      </c>
      <c r="O5909">
        <v>0</v>
      </c>
    </row>
    <row r="5910" spans="1:15" x14ac:dyDescent="0.2">
      <c r="A5910" s="6">
        <v>45796</v>
      </c>
      <c r="B5910" t="s">
        <v>15</v>
      </c>
      <c r="C5910" t="s">
        <v>16</v>
      </c>
      <c r="D5910" s="1">
        <v>45855</v>
      </c>
      <c r="E5910" t="s">
        <v>17</v>
      </c>
      <c r="F5910">
        <v>4550</v>
      </c>
      <c r="J5910">
        <v>761</v>
      </c>
      <c r="K5910">
        <v>791.6</v>
      </c>
      <c r="L5910">
        <v>0</v>
      </c>
      <c r="M5910" t="s">
        <v>18</v>
      </c>
      <c r="N5910">
        <v>0</v>
      </c>
      <c r="O5910">
        <v>0</v>
      </c>
    </row>
    <row r="5911" spans="1:15" x14ac:dyDescent="0.2">
      <c r="A5911" s="6">
        <v>45796</v>
      </c>
      <c r="B5911" t="s">
        <v>15</v>
      </c>
      <c r="C5911" t="s">
        <v>16</v>
      </c>
      <c r="D5911" s="1">
        <v>45855</v>
      </c>
      <c r="E5911" t="s">
        <v>17</v>
      </c>
      <c r="F5911">
        <v>5150</v>
      </c>
      <c r="J5911">
        <v>338.3</v>
      </c>
      <c r="K5911">
        <v>368.7</v>
      </c>
      <c r="L5911">
        <v>0</v>
      </c>
      <c r="M5911" t="s">
        <v>18</v>
      </c>
      <c r="N5911">
        <v>0</v>
      </c>
      <c r="O5911">
        <v>0</v>
      </c>
    </row>
    <row r="5912" spans="1:15" x14ac:dyDescent="0.2">
      <c r="A5912" s="6">
        <v>45796</v>
      </c>
      <c r="B5912" t="s">
        <v>15</v>
      </c>
      <c r="C5912" t="s">
        <v>16</v>
      </c>
      <c r="D5912" s="1">
        <v>45855</v>
      </c>
      <c r="E5912" t="s">
        <v>17</v>
      </c>
      <c r="F5912">
        <v>6250</v>
      </c>
      <c r="J5912">
        <v>35.1</v>
      </c>
      <c r="K5912">
        <v>45.9</v>
      </c>
      <c r="L5912">
        <v>0</v>
      </c>
      <c r="M5912" t="s">
        <v>18</v>
      </c>
      <c r="N5912">
        <v>0</v>
      </c>
      <c r="O5912">
        <v>0</v>
      </c>
    </row>
    <row r="5913" spans="1:15" x14ac:dyDescent="0.2">
      <c r="A5913" s="6">
        <v>45796</v>
      </c>
      <c r="B5913" t="s">
        <v>15</v>
      </c>
      <c r="C5913" t="s">
        <v>16</v>
      </c>
      <c r="D5913" s="1">
        <v>45855</v>
      </c>
      <c r="E5913" t="s">
        <v>17</v>
      </c>
      <c r="F5913">
        <v>4600</v>
      </c>
      <c r="J5913">
        <v>719.2</v>
      </c>
      <c r="K5913">
        <v>750.1</v>
      </c>
      <c r="L5913">
        <v>0</v>
      </c>
      <c r="M5913" t="s">
        <v>18</v>
      </c>
      <c r="N5913">
        <v>0</v>
      </c>
      <c r="O5913">
        <v>0</v>
      </c>
    </row>
    <row r="5914" spans="1:15" x14ac:dyDescent="0.2">
      <c r="A5914" s="6">
        <v>45796</v>
      </c>
      <c r="B5914" t="s">
        <v>15</v>
      </c>
      <c r="C5914" t="s">
        <v>16</v>
      </c>
      <c r="D5914" s="1">
        <v>45855</v>
      </c>
      <c r="E5914" t="s">
        <v>17</v>
      </c>
      <c r="F5914">
        <v>6350</v>
      </c>
      <c r="J5914">
        <v>27.3</v>
      </c>
      <c r="K5914">
        <v>36.5</v>
      </c>
      <c r="L5914">
        <v>0</v>
      </c>
      <c r="M5914" t="s">
        <v>18</v>
      </c>
      <c r="N5914">
        <v>0</v>
      </c>
      <c r="O5914">
        <v>0</v>
      </c>
    </row>
    <row r="5915" spans="1:15" x14ac:dyDescent="0.2">
      <c r="A5915" s="6">
        <v>45796</v>
      </c>
      <c r="B5915" t="s">
        <v>15</v>
      </c>
      <c r="C5915" t="s">
        <v>16</v>
      </c>
      <c r="D5915" s="1">
        <v>45855</v>
      </c>
      <c r="E5915" t="s">
        <v>19</v>
      </c>
      <c r="F5915">
        <v>4400</v>
      </c>
      <c r="J5915">
        <v>24</v>
      </c>
      <c r="K5915">
        <v>27.3</v>
      </c>
      <c r="L5915">
        <v>0</v>
      </c>
      <c r="M5915" t="s">
        <v>18</v>
      </c>
      <c r="N5915">
        <v>0</v>
      </c>
      <c r="O5915">
        <v>0</v>
      </c>
    </row>
    <row r="5916" spans="1:15" x14ac:dyDescent="0.2">
      <c r="A5916" s="6">
        <v>45796</v>
      </c>
      <c r="B5916" t="s">
        <v>15</v>
      </c>
      <c r="C5916" t="s">
        <v>16</v>
      </c>
      <c r="D5916" s="1">
        <v>45855</v>
      </c>
      <c r="E5916" t="s">
        <v>17</v>
      </c>
      <c r="F5916">
        <v>4000</v>
      </c>
      <c r="J5916">
        <v>1267.5999999999999</v>
      </c>
      <c r="K5916">
        <v>1294.7</v>
      </c>
      <c r="L5916">
        <v>0</v>
      </c>
      <c r="M5916" t="s">
        <v>18</v>
      </c>
      <c r="N5916">
        <v>0</v>
      </c>
      <c r="O5916">
        <v>0</v>
      </c>
    </row>
    <row r="5917" spans="1:15" x14ac:dyDescent="0.2">
      <c r="A5917" s="6">
        <v>45796</v>
      </c>
      <c r="B5917" t="s">
        <v>15</v>
      </c>
      <c r="C5917" t="s">
        <v>16</v>
      </c>
      <c r="D5917" s="1">
        <v>45855</v>
      </c>
      <c r="E5917" t="s">
        <v>17</v>
      </c>
      <c r="F5917">
        <v>4050</v>
      </c>
      <c r="J5917">
        <v>1219.3</v>
      </c>
      <c r="K5917">
        <v>1246.5999999999999</v>
      </c>
      <c r="L5917">
        <v>0</v>
      </c>
      <c r="M5917" t="s">
        <v>18</v>
      </c>
      <c r="N5917">
        <v>0</v>
      </c>
      <c r="O5917">
        <v>0</v>
      </c>
    </row>
    <row r="5918" spans="1:15" x14ac:dyDescent="0.2">
      <c r="A5918" s="6">
        <v>45796</v>
      </c>
      <c r="B5918" t="s">
        <v>15</v>
      </c>
      <c r="C5918" t="s">
        <v>16</v>
      </c>
      <c r="D5918" s="1">
        <v>45855</v>
      </c>
      <c r="E5918" t="s">
        <v>19</v>
      </c>
      <c r="F5918">
        <v>5350</v>
      </c>
      <c r="J5918">
        <v>313.60000000000002</v>
      </c>
      <c r="K5918">
        <v>314.89999999999998</v>
      </c>
      <c r="L5918">
        <v>0</v>
      </c>
      <c r="M5918" t="s">
        <v>18</v>
      </c>
      <c r="N5918">
        <v>0</v>
      </c>
      <c r="O5918">
        <v>0</v>
      </c>
    </row>
    <row r="5919" spans="1:15" x14ac:dyDescent="0.2">
      <c r="A5919" s="6">
        <v>45796</v>
      </c>
      <c r="B5919" t="s">
        <v>15</v>
      </c>
      <c r="C5919" t="s">
        <v>16</v>
      </c>
      <c r="D5919" s="1">
        <v>45855</v>
      </c>
      <c r="E5919" t="s">
        <v>19</v>
      </c>
      <c r="F5919">
        <v>5950</v>
      </c>
      <c r="J5919">
        <v>737.7</v>
      </c>
      <c r="K5919">
        <v>727.1</v>
      </c>
      <c r="L5919">
        <v>0</v>
      </c>
      <c r="M5919" t="s">
        <v>18</v>
      </c>
      <c r="N5919">
        <v>0</v>
      </c>
      <c r="O5919">
        <v>0</v>
      </c>
    </row>
    <row r="5920" spans="1:15" x14ac:dyDescent="0.2">
      <c r="A5920" s="6">
        <v>45796</v>
      </c>
      <c r="B5920" t="s">
        <v>15</v>
      </c>
      <c r="C5920" t="s">
        <v>16</v>
      </c>
      <c r="D5920" s="1">
        <v>45855</v>
      </c>
      <c r="E5920" t="s">
        <v>19</v>
      </c>
      <c r="F5920">
        <v>4050</v>
      </c>
      <c r="J5920">
        <v>5</v>
      </c>
      <c r="K5920">
        <v>6.3</v>
      </c>
      <c r="L5920">
        <v>0</v>
      </c>
      <c r="M5920" t="s">
        <v>18</v>
      </c>
      <c r="N5920">
        <v>0</v>
      </c>
      <c r="O5920">
        <v>0</v>
      </c>
    </row>
    <row r="5921" spans="1:15" x14ac:dyDescent="0.2">
      <c r="A5921" s="6">
        <v>45796</v>
      </c>
      <c r="B5921" t="s">
        <v>15</v>
      </c>
      <c r="C5921" t="s">
        <v>16</v>
      </c>
      <c r="D5921" s="1">
        <v>45855</v>
      </c>
      <c r="E5921" t="s">
        <v>17</v>
      </c>
      <c r="F5921">
        <v>6000</v>
      </c>
      <c r="J5921">
        <v>63.9</v>
      </c>
      <c r="K5921">
        <v>79.400000000000006</v>
      </c>
      <c r="L5921">
        <v>0</v>
      </c>
      <c r="M5921" t="s">
        <v>18</v>
      </c>
      <c r="N5921">
        <v>0</v>
      </c>
      <c r="O5921">
        <v>0</v>
      </c>
    </row>
    <row r="5922" spans="1:15" x14ac:dyDescent="0.2">
      <c r="A5922" s="6">
        <v>45796</v>
      </c>
      <c r="B5922" t="s">
        <v>15</v>
      </c>
      <c r="C5922" t="s">
        <v>16</v>
      </c>
      <c r="D5922" s="1">
        <v>45855</v>
      </c>
      <c r="E5922" t="s">
        <v>19</v>
      </c>
      <c r="F5922">
        <v>4100</v>
      </c>
      <c r="J5922">
        <v>6.4</v>
      </c>
      <c r="K5922">
        <v>7.9</v>
      </c>
      <c r="L5922">
        <v>0</v>
      </c>
      <c r="M5922" t="s">
        <v>18</v>
      </c>
      <c r="N5922">
        <v>0</v>
      </c>
      <c r="O5922">
        <v>0</v>
      </c>
    </row>
    <row r="5923" spans="1:15" x14ac:dyDescent="0.2">
      <c r="A5923" s="6">
        <v>45796</v>
      </c>
      <c r="B5923" t="s">
        <v>15</v>
      </c>
      <c r="C5923" t="s">
        <v>16</v>
      </c>
      <c r="D5923" s="1">
        <v>45855</v>
      </c>
      <c r="E5923" t="s">
        <v>17</v>
      </c>
      <c r="F5923">
        <v>4850</v>
      </c>
      <c r="J5923">
        <v>526.4</v>
      </c>
      <c r="K5923">
        <v>558.1</v>
      </c>
      <c r="L5923">
        <v>0</v>
      </c>
      <c r="M5923" t="s">
        <v>18</v>
      </c>
      <c r="N5923">
        <v>0</v>
      </c>
      <c r="O5923">
        <v>0</v>
      </c>
    </row>
    <row r="5924" spans="1:15" x14ac:dyDescent="0.2">
      <c r="A5924" s="6">
        <v>45796</v>
      </c>
      <c r="B5924" t="s">
        <v>15</v>
      </c>
      <c r="C5924" t="s">
        <v>16</v>
      </c>
      <c r="D5924" s="1">
        <v>45855</v>
      </c>
      <c r="E5924" t="s">
        <v>19</v>
      </c>
      <c r="F5924">
        <v>4500</v>
      </c>
      <c r="J5924">
        <v>34.9</v>
      </c>
      <c r="K5924">
        <v>38.799999999999997</v>
      </c>
      <c r="L5924">
        <v>0</v>
      </c>
      <c r="M5924" t="s">
        <v>18</v>
      </c>
      <c r="N5924">
        <v>0</v>
      </c>
      <c r="O5924">
        <v>0</v>
      </c>
    </row>
    <row r="5925" spans="1:15" x14ac:dyDescent="0.2">
      <c r="A5925" s="6">
        <v>45796</v>
      </c>
      <c r="B5925" t="s">
        <v>15</v>
      </c>
      <c r="C5925" t="s">
        <v>16</v>
      </c>
      <c r="D5925" s="1">
        <v>45855</v>
      </c>
      <c r="E5925" t="s">
        <v>17</v>
      </c>
      <c r="F5925">
        <v>6300</v>
      </c>
      <c r="J5925">
        <v>31</v>
      </c>
      <c r="K5925">
        <v>41</v>
      </c>
      <c r="L5925">
        <v>0</v>
      </c>
      <c r="M5925" t="s">
        <v>18</v>
      </c>
      <c r="N5925">
        <v>0</v>
      </c>
      <c r="O5925">
        <v>0</v>
      </c>
    </row>
    <row r="5926" spans="1:15" x14ac:dyDescent="0.2">
      <c r="A5926" s="6">
        <v>45796</v>
      </c>
      <c r="B5926" t="s">
        <v>15</v>
      </c>
      <c r="C5926" t="s">
        <v>16</v>
      </c>
      <c r="D5926" s="1">
        <v>45855</v>
      </c>
      <c r="E5926" t="s">
        <v>19</v>
      </c>
      <c r="F5926">
        <v>3650</v>
      </c>
      <c r="J5926">
        <v>0.4</v>
      </c>
      <c r="K5926">
        <v>0.7</v>
      </c>
      <c r="L5926">
        <v>0</v>
      </c>
      <c r="M5926" t="s">
        <v>18</v>
      </c>
      <c r="N5926">
        <v>0</v>
      </c>
      <c r="O5926">
        <v>0</v>
      </c>
    </row>
    <row r="5927" spans="1:15" x14ac:dyDescent="0.2">
      <c r="A5927" s="6">
        <v>45796</v>
      </c>
      <c r="B5927" t="s">
        <v>15</v>
      </c>
      <c r="C5927" t="s">
        <v>16</v>
      </c>
      <c r="D5927" s="1">
        <v>45855</v>
      </c>
      <c r="E5927" t="s">
        <v>17</v>
      </c>
      <c r="F5927">
        <v>3650</v>
      </c>
      <c r="J5927">
        <v>1610.6</v>
      </c>
      <c r="K5927">
        <v>1636.6</v>
      </c>
      <c r="L5927">
        <v>0</v>
      </c>
      <c r="M5927" t="s">
        <v>18</v>
      </c>
      <c r="N5927">
        <v>0</v>
      </c>
      <c r="O5927">
        <v>0</v>
      </c>
    </row>
    <row r="5928" spans="1:15" x14ac:dyDescent="0.2">
      <c r="A5928" s="6">
        <v>45796</v>
      </c>
      <c r="B5928" t="s">
        <v>15</v>
      </c>
      <c r="C5928" t="s">
        <v>16</v>
      </c>
      <c r="D5928" s="1">
        <v>45855</v>
      </c>
      <c r="E5928" t="s">
        <v>19</v>
      </c>
      <c r="F5928">
        <v>5800</v>
      </c>
      <c r="J5928">
        <v>617.4</v>
      </c>
      <c r="K5928">
        <v>610</v>
      </c>
      <c r="L5928">
        <v>0</v>
      </c>
      <c r="M5928" t="s">
        <v>18</v>
      </c>
      <c r="N5928">
        <v>0</v>
      </c>
      <c r="O5928">
        <v>0</v>
      </c>
    </row>
    <row r="5929" spans="1:15" x14ac:dyDescent="0.2">
      <c r="A5929" s="6">
        <v>45796</v>
      </c>
      <c r="B5929" t="s">
        <v>15</v>
      </c>
      <c r="C5929" t="s">
        <v>16</v>
      </c>
      <c r="D5929" s="1">
        <v>45855</v>
      </c>
      <c r="E5929" t="s">
        <v>17</v>
      </c>
      <c r="F5929">
        <v>3600</v>
      </c>
      <c r="J5929">
        <v>1659.9</v>
      </c>
      <c r="K5929">
        <v>1685.9</v>
      </c>
      <c r="L5929">
        <v>0</v>
      </c>
      <c r="M5929" t="s">
        <v>18</v>
      </c>
      <c r="N5929">
        <v>0</v>
      </c>
      <c r="O5929">
        <v>0</v>
      </c>
    </row>
    <row r="5930" spans="1:15" x14ac:dyDescent="0.2">
      <c r="A5930" s="6">
        <v>45796</v>
      </c>
      <c r="B5930" t="s">
        <v>15</v>
      </c>
      <c r="C5930" t="s">
        <v>16</v>
      </c>
      <c r="D5930" s="1">
        <v>45855</v>
      </c>
      <c r="E5930" t="s">
        <v>17</v>
      </c>
      <c r="F5930">
        <v>5350</v>
      </c>
      <c r="J5930">
        <v>241.4</v>
      </c>
      <c r="K5930">
        <v>269.39999999999998</v>
      </c>
      <c r="L5930">
        <v>0</v>
      </c>
      <c r="M5930" t="s">
        <v>18</v>
      </c>
      <c r="N5930">
        <v>0</v>
      </c>
      <c r="O5930">
        <v>0</v>
      </c>
    </row>
    <row r="5931" spans="1:15" x14ac:dyDescent="0.2">
      <c r="A5931" s="6">
        <v>45796</v>
      </c>
      <c r="B5931" t="s">
        <v>15</v>
      </c>
      <c r="C5931" t="s">
        <v>16</v>
      </c>
      <c r="D5931" s="1">
        <v>45855</v>
      </c>
      <c r="E5931" t="s">
        <v>17</v>
      </c>
      <c r="F5931">
        <v>6100</v>
      </c>
      <c r="J5931">
        <v>50.6</v>
      </c>
      <c r="K5931">
        <v>64.099999999999994</v>
      </c>
      <c r="L5931">
        <v>0</v>
      </c>
      <c r="M5931" t="s">
        <v>18</v>
      </c>
      <c r="N5931">
        <v>0</v>
      </c>
      <c r="O5931">
        <v>0</v>
      </c>
    </row>
    <row r="5932" spans="1:15" x14ac:dyDescent="0.2">
      <c r="A5932" s="6">
        <v>45796</v>
      </c>
      <c r="B5932" t="s">
        <v>15</v>
      </c>
      <c r="C5932" t="s">
        <v>16</v>
      </c>
      <c r="D5932" s="1">
        <v>45855</v>
      </c>
      <c r="E5932" t="s">
        <v>19</v>
      </c>
      <c r="F5932">
        <v>4000</v>
      </c>
      <c r="J5932">
        <v>3.8</v>
      </c>
      <c r="K5932">
        <v>4.9000000000000004</v>
      </c>
      <c r="L5932">
        <v>0</v>
      </c>
      <c r="M5932" t="s">
        <v>18</v>
      </c>
      <c r="N5932">
        <v>0</v>
      </c>
      <c r="O5932">
        <v>0</v>
      </c>
    </row>
    <row r="5933" spans="1:15" x14ac:dyDescent="0.2">
      <c r="A5933" s="6">
        <v>45796</v>
      </c>
      <c r="B5933" t="s">
        <v>15</v>
      </c>
      <c r="C5933" t="s">
        <v>16</v>
      </c>
      <c r="D5933" s="1">
        <v>45855</v>
      </c>
      <c r="E5933" t="s">
        <v>19</v>
      </c>
      <c r="F5933">
        <v>5600</v>
      </c>
      <c r="J5933">
        <v>470.6</v>
      </c>
      <c r="K5933">
        <v>467.4</v>
      </c>
      <c r="L5933">
        <v>0</v>
      </c>
      <c r="M5933" t="s">
        <v>18</v>
      </c>
      <c r="N5933">
        <v>0</v>
      </c>
      <c r="O5933">
        <v>0</v>
      </c>
    </row>
    <row r="5934" spans="1:15" x14ac:dyDescent="0.2">
      <c r="A5934" s="6">
        <v>45796</v>
      </c>
      <c r="B5934" t="s">
        <v>15</v>
      </c>
      <c r="C5934" t="s">
        <v>16</v>
      </c>
      <c r="D5934" s="1">
        <v>45855</v>
      </c>
      <c r="E5934" t="s">
        <v>19</v>
      </c>
      <c r="F5934">
        <v>4850</v>
      </c>
      <c r="J5934">
        <v>103.9</v>
      </c>
      <c r="K5934">
        <v>109.1</v>
      </c>
      <c r="L5934">
        <v>0</v>
      </c>
      <c r="M5934" t="s">
        <v>18</v>
      </c>
      <c r="N5934">
        <v>0</v>
      </c>
      <c r="O5934">
        <v>0</v>
      </c>
    </row>
    <row r="5935" spans="1:15" x14ac:dyDescent="0.2">
      <c r="A5935" s="6">
        <v>45796</v>
      </c>
      <c r="B5935" t="s">
        <v>15</v>
      </c>
      <c r="C5935" t="s">
        <v>16</v>
      </c>
      <c r="D5935" s="1">
        <v>45855</v>
      </c>
      <c r="E5935" t="s">
        <v>19</v>
      </c>
      <c r="F5935">
        <v>5650</v>
      </c>
      <c r="J5935">
        <v>505.6</v>
      </c>
      <c r="K5935">
        <v>501.4</v>
      </c>
      <c r="L5935">
        <v>0</v>
      </c>
      <c r="M5935" t="s">
        <v>18</v>
      </c>
      <c r="N5935">
        <v>0</v>
      </c>
      <c r="O5935">
        <v>0</v>
      </c>
    </row>
    <row r="5936" spans="1:15" x14ac:dyDescent="0.2">
      <c r="A5936" s="6">
        <v>45796</v>
      </c>
      <c r="B5936" t="s">
        <v>15</v>
      </c>
      <c r="C5936" t="s">
        <v>16</v>
      </c>
      <c r="D5936" s="1">
        <v>45855</v>
      </c>
      <c r="E5936" t="s">
        <v>19</v>
      </c>
      <c r="F5936">
        <v>6350</v>
      </c>
      <c r="J5936">
        <v>1089.2</v>
      </c>
      <c r="K5936">
        <v>1071.0999999999999</v>
      </c>
      <c r="L5936">
        <v>0</v>
      </c>
      <c r="M5936" t="s">
        <v>18</v>
      </c>
      <c r="N5936">
        <v>0</v>
      </c>
      <c r="O5936">
        <v>0</v>
      </c>
    </row>
    <row r="5937" spans="1:15" x14ac:dyDescent="0.2">
      <c r="A5937" s="6">
        <v>45796</v>
      </c>
      <c r="B5937" t="s">
        <v>15</v>
      </c>
      <c r="C5937" t="s">
        <v>16</v>
      </c>
      <c r="D5937" s="1">
        <v>45855</v>
      </c>
      <c r="E5937" t="s">
        <v>17</v>
      </c>
      <c r="F5937">
        <v>3950</v>
      </c>
      <c r="J5937">
        <v>1316.2</v>
      </c>
      <c r="K5937">
        <v>1343.1</v>
      </c>
      <c r="L5937">
        <v>0</v>
      </c>
      <c r="M5937" t="s">
        <v>18</v>
      </c>
      <c r="N5937">
        <v>0</v>
      </c>
      <c r="O5937">
        <v>0</v>
      </c>
    </row>
    <row r="5938" spans="1:15" x14ac:dyDescent="0.2">
      <c r="A5938" s="6">
        <v>45796</v>
      </c>
      <c r="B5938" t="s">
        <v>15</v>
      </c>
      <c r="C5938" t="s">
        <v>16</v>
      </c>
      <c r="D5938" s="1">
        <v>45855</v>
      </c>
      <c r="E5938" t="s">
        <v>17</v>
      </c>
      <c r="F5938">
        <v>4700</v>
      </c>
      <c r="J5938">
        <v>638.6</v>
      </c>
      <c r="K5938">
        <v>670</v>
      </c>
      <c r="L5938">
        <v>0</v>
      </c>
      <c r="M5938" t="s">
        <v>18</v>
      </c>
      <c r="N5938">
        <v>0</v>
      </c>
      <c r="O5938">
        <v>0</v>
      </c>
    </row>
    <row r="5939" spans="1:15" x14ac:dyDescent="0.2">
      <c r="A5939" s="6">
        <v>45796</v>
      </c>
      <c r="B5939" t="s">
        <v>15</v>
      </c>
      <c r="C5939" t="s">
        <v>16</v>
      </c>
      <c r="D5939" s="1">
        <v>45855</v>
      </c>
      <c r="E5939" t="s">
        <v>19</v>
      </c>
      <c r="F5939">
        <v>5500</v>
      </c>
      <c r="J5939">
        <v>403.9</v>
      </c>
      <c r="K5939">
        <v>402.7</v>
      </c>
      <c r="L5939">
        <v>0</v>
      </c>
      <c r="M5939" t="s">
        <v>18</v>
      </c>
      <c r="N5939">
        <v>0</v>
      </c>
      <c r="O5939">
        <v>0</v>
      </c>
    </row>
    <row r="5940" spans="1:15" x14ac:dyDescent="0.2">
      <c r="A5940" s="6">
        <v>45796</v>
      </c>
      <c r="B5940" t="s">
        <v>15</v>
      </c>
      <c r="C5940" t="s">
        <v>16</v>
      </c>
      <c r="D5940" s="1">
        <v>45855</v>
      </c>
      <c r="E5940" t="s">
        <v>19</v>
      </c>
      <c r="F5940">
        <v>5750</v>
      </c>
      <c r="J5940">
        <v>579.1</v>
      </c>
      <c r="K5940">
        <v>572.79999999999995</v>
      </c>
      <c r="L5940">
        <v>0</v>
      </c>
      <c r="M5940" t="s">
        <v>18</v>
      </c>
      <c r="N5940">
        <v>0</v>
      </c>
      <c r="O5940">
        <v>0</v>
      </c>
    </row>
    <row r="5941" spans="1:15" x14ac:dyDescent="0.2">
      <c r="A5941" s="6">
        <v>45796</v>
      </c>
      <c r="B5941" t="s">
        <v>15</v>
      </c>
      <c r="C5941" t="s">
        <v>16</v>
      </c>
      <c r="D5941" s="1">
        <v>45855</v>
      </c>
      <c r="E5941" t="s">
        <v>17</v>
      </c>
      <c r="F5941">
        <v>4300</v>
      </c>
      <c r="J5941">
        <v>982.9</v>
      </c>
      <c r="K5941">
        <v>1011.8</v>
      </c>
      <c r="L5941">
        <v>0</v>
      </c>
      <c r="M5941" t="s">
        <v>18</v>
      </c>
      <c r="N5941">
        <v>0</v>
      </c>
      <c r="O5941">
        <v>0</v>
      </c>
    </row>
    <row r="5942" spans="1:15" x14ac:dyDescent="0.2">
      <c r="A5942" s="6">
        <v>45796</v>
      </c>
      <c r="B5942" t="s">
        <v>15</v>
      </c>
      <c r="C5942" t="s">
        <v>16</v>
      </c>
      <c r="D5942" s="1">
        <v>45855</v>
      </c>
      <c r="E5942" t="s">
        <v>19</v>
      </c>
      <c r="F5942">
        <v>6100</v>
      </c>
      <c r="J5942">
        <v>865.1</v>
      </c>
      <c r="K5942">
        <v>851.4</v>
      </c>
      <c r="L5942">
        <v>0</v>
      </c>
      <c r="M5942" t="s">
        <v>18</v>
      </c>
      <c r="N5942">
        <v>0</v>
      </c>
      <c r="O5942">
        <v>0</v>
      </c>
    </row>
    <row r="5943" spans="1:15" x14ac:dyDescent="0.2">
      <c r="A5943" s="6">
        <v>45796</v>
      </c>
      <c r="B5943" t="s">
        <v>15</v>
      </c>
      <c r="C5943" t="s">
        <v>16</v>
      </c>
      <c r="D5943" s="1">
        <v>45855</v>
      </c>
      <c r="E5943" t="s">
        <v>19</v>
      </c>
      <c r="F5943">
        <v>3800</v>
      </c>
      <c r="J5943">
        <v>1.2</v>
      </c>
      <c r="K5943">
        <v>1.7</v>
      </c>
      <c r="L5943">
        <v>0</v>
      </c>
      <c r="M5943" t="s">
        <v>18</v>
      </c>
      <c r="N5943">
        <v>0</v>
      </c>
      <c r="O5943">
        <v>0</v>
      </c>
    </row>
    <row r="5944" spans="1:15" x14ac:dyDescent="0.2">
      <c r="A5944" s="6">
        <v>45796</v>
      </c>
      <c r="B5944" t="s">
        <v>15</v>
      </c>
      <c r="C5944" t="s">
        <v>16</v>
      </c>
      <c r="D5944" s="1">
        <v>45855</v>
      </c>
      <c r="E5944" t="s">
        <v>19</v>
      </c>
      <c r="F5944">
        <v>4150</v>
      </c>
      <c r="J5944">
        <v>8.1999999999999993</v>
      </c>
      <c r="K5944">
        <v>10</v>
      </c>
      <c r="L5944">
        <v>0</v>
      </c>
      <c r="M5944" t="s">
        <v>18</v>
      </c>
      <c r="N5944">
        <v>0</v>
      </c>
      <c r="O5944">
        <v>0</v>
      </c>
    </row>
    <row r="5945" spans="1:15" x14ac:dyDescent="0.2">
      <c r="A5945" s="6">
        <v>45796</v>
      </c>
      <c r="B5945" t="s">
        <v>15</v>
      </c>
      <c r="C5945" t="s">
        <v>16</v>
      </c>
      <c r="D5945" s="1">
        <v>45855</v>
      </c>
      <c r="E5945" t="s">
        <v>19</v>
      </c>
      <c r="F5945">
        <v>5000</v>
      </c>
      <c r="J5945">
        <v>151.9</v>
      </c>
      <c r="K5945">
        <v>156.80000000000001</v>
      </c>
      <c r="L5945">
        <v>0</v>
      </c>
      <c r="M5945" t="s">
        <v>18</v>
      </c>
      <c r="N5945">
        <v>0</v>
      </c>
      <c r="O5945">
        <v>0</v>
      </c>
    </row>
    <row r="5946" spans="1:15" x14ac:dyDescent="0.2">
      <c r="A5946" s="6">
        <v>45796</v>
      </c>
      <c r="B5946" t="s">
        <v>15</v>
      </c>
      <c r="C5946" t="s">
        <v>16</v>
      </c>
      <c r="D5946" s="1">
        <v>45855</v>
      </c>
      <c r="E5946" t="s">
        <v>17</v>
      </c>
      <c r="F5946">
        <v>6450</v>
      </c>
      <c r="J5946">
        <v>21</v>
      </c>
      <c r="K5946">
        <v>28.8</v>
      </c>
      <c r="L5946">
        <v>0</v>
      </c>
      <c r="M5946" t="s">
        <v>18</v>
      </c>
      <c r="N5946">
        <v>0</v>
      </c>
      <c r="O5946">
        <v>0</v>
      </c>
    </row>
    <row r="5947" spans="1:15" x14ac:dyDescent="0.2">
      <c r="A5947" s="6">
        <v>45796</v>
      </c>
      <c r="B5947" t="s">
        <v>15</v>
      </c>
      <c r="C5947" t="s">
        <v>16</v>
      </c>
      <c r="D5947" s="1">
        <v>45855</v>
      </c>
      <c r="E5947" t="s">
        <v>19</v>
      </c>
      <c r="F5947">
        <v>6450</v>
      </c>
      <c r="J5947">
        <v>1181.9000000000001</v>
      </c>
      <c r="K5947">
        <v>1162.3</v>
      </c>
      <c r="L5947">
        <v>0</v>
      </c>
      <c r="M5947" t="s">
        <v>18</v>
      </c>
      <c r="N5947">
        <v>0</v>
      </c>
      <c r="O5947">
        <v>0</v>
      </c>
    </row>
    <row r="5948" spans="1:15" x14ac:dyDescent="0.2">
      <c r="A5948" s="6">
        <v>45796</v>
      </c>
      <c r="B5948" t="s">
        <v>15</v>
      </c>
      <c r="C5948" t="s">
        <v>16</v>
      </c>
      <c r="D5948" s="1">
        <v>45855</v>
      </c>
      <c r="E5948" t="s">
        <v>17</v>
      </c>
      <c r="F5948">
        <v>5650</v>
      </c>
      <c r="J5948">
        <v>136.5</v>
      </c>
      <c r="K5948">
        <v>159.19999999999999</v>
      </c>
      <c r="L5948">
        <v>0</v>
      </c>
      <c r="M5948" t="s">
        <v>18</v>
      </c>
      <c r="N5948">
        <v>0</v>
      </c>
      <c r="O5948">
        <v>0</v>
      </c>
    </row>
    <row r="5949" spans="1:15" x14ac:dyDescent="0.2">
      <c r="A5949" s="6">
        <v>45796</v>
      </c>
      <c r="B5949" t="s">
        <v>15</v>
      </c>
      <c r="C5949" t="s">
        <v>16</v>
      </c>
      <c r="D5949" s="1">
        <v>45855</v>
      </c>
      <c r="E5949" t="s">
        <v>19</v>
      </c>
      <c r="F5949">
        <v>6600</v>
      </c>
      <c r="J5949">
        <v>1323.4</v>
      </c>
      <c r="K5949">
        <v>1301.9000000000001</v>
      </c>
      <c r="L5949">
        <v>0</v>
      </c>
      <c r="M5949" t="s">
        <v>18</v>
      </c>
      <c r="N5949">
        <v>0</v>
      </c>
      <c r="O5949">
        <v>0</v>
      </c>
    </row>
    <row r="5950" spans="1:15" x14ac:dyDescent="0.2">
      <c r="A5950" s="6">
        <v>45796</v>
      </c>
      <c r="B5950" t="s">
        <v>15</v>
      </c>
      <c r="C5950" t="s">
        <v>16</v>
      </c>
      <c r="D5950" s="1">
        <v>45855</v>
      </c>
      <c r="E5950" t="s">
        <v>17</v>
      </c>
      <c r="F5950">
        <v>5400</v>
      </c>
      <c r="J5950">
        <v>220.7</v>
      </c>
      <c r="K5950">
        <v>248</v>
      </c>
      <c r="L5950">
        <v>0</v>
      </c>
      <c r="M5950" t="s">
        <v>18</v>
      </c>
      <c r="N5950">
        <v>0</v>
      </c>
      <c r="O5950">
        <v>0</v>
      </c>
    </row>
    <row r="5951" spans="1:15" x14ac:dyDescent="0.2">
      <c r="A5951" s="6">
        <v>45796</v>
      </c>
      <c r="B5951" t="s">
        <v>15</v>
      </c>
      <c r="C5951" t="s">
        <v>16</v>
      </c>
      <c r="D5951" s="1">
        <v>45855</v>
      </c>
      <c r="E5951" t="s">
        <v>19</v>
      </c>
      <c r="F5951">
        <v>4300</v>
      </c>
      <c r="J5951">
        <v>16</v>
      </c>
      <c r="K5951">
        <v>18.7</v>
      </c>
      <c r="L5951">
        <v>0</v>
      </c>
      <c r="M5951" t="s">
        <v>18</v>
      </c>
      <c r="N5951">
        <v>0</v>
      </c>
      <c r="O5951">
        <v>0</v>
      </c>
    </row>
    <row r="5952" spans="1:15" x14ac:dyDescent="0.2">
      <c r="A5952" s="6">
        <v>45796</v>
      </c>
      <c r="B5952" t="s">
        <v>15</v>
      </c>
      <c r="C5952" t="s">
        <v>16</v>
      </c>
      <c r="D5952" s="1">
        <v>45855</v>
      </c>
      <c r="E5952" t="s">
        <v>17</v>
      </c>
      <c r="F5952">
        <v>6150</v>
      </c>
      <c r="J5952">
        <v>44.9</v>
      </c>
      <c r="K5952">
        <v>57.5</v>
      </c>
      <c r="L5952">
        <v>0</v>
      </c>
      <c r="M5952" t="s">
        <v>18</v>
      </c>
      <c r="N5952">
        <v>0</v>
      </c>
      <c r="O5952">
        <v>0</v>
      </c>
    </row>
    <row r="5953" spans="1:15" x14ac:dyDescent="0.2">
      <c r="A5953" s="6">
        <v>45796</v>
      </c>
      <c r="B5953" t="s">
        <v>15</v>
      </c>
      <c r="C5953" t="s">
        <v>16</v>
      </c>
      <c r="D5953" s="1">
        <v>45855</v>
      </c>
      <c r="E5953" t="s">
        <v>19</v>
      </c>
      <c r="F5953">
        <v>4350</v>
      </c>
      <c r="J5953">
        <v>19.7</v>
      </c>
      <c r="K5953">
        <v>22.7</v>
      </c>
      <c r="L5953">
        <v>0</v>
      </c>
      <c r="M5953" t="s">
        <v>18</v>
      </c>
      <c r="N5953">
        <v>0</v>
      </c>
      <c r="O5953">
        <v>0</v>
      </c>
    </row>
    <row r="5954" spans="1:15" x14ac:dyDescent="0.2">
      <c r="A5954" s="6">
        <v>45796</v>
      </c>
      <c r="B5954" t="s">
        <v>15</v>
      </c>
      <c r="C5954" t="s">
        <v>16</v>
      </c>
      <c r="D5954" s="1">
        <v>45855</v>
      </c>
      <c r="E5954" t="s">
        <v>19</v>
      </c>
      <c r="F5954">
        <v>4750</v>
      </c>
      <c r="J5954">
        <v>78.400000000000006</v>
      </c>
      <c r="K5954">
        <v>83.5</v>
      </c>
      <c r="L5954">
        <v>0</v>
      </c>
      <c r="M5954" t="s">
        <v>18</v>
      </c>
      <c r="N5954">
        <v>0</v>
      </c>
      <c r="O5954">
        <v>0</v>
      </c>
    </row>
    <row r="5955" spans="1:15" x14ac:dyDescent="0.2">
      <c r="A5955" s="6">
        <v>45796</v>
      </c>
      <c r="B5955" t="s">
        <v>15</v>
      </c>
      <c r="C5955" t="s">
        <v>16</v>
      </c>
      <c r="D5955" s="1">
        <v>45855</v>
      </c>
      <c r="E5955" t="s">
        <v>19</v>
      </c>
      <c r="F5955">
        <v>5550</v>
      </c>
      <c r="J5955">
        <v>436.6</v>
      </c>
      <c r="K5955">
        <v>434.4</v>
      </c>
      <c r="L5955">
        <v>0</v>
      </c>
      <c r="M5955" t="s">
        <v>18</v>
      </c>
      <c r="N5955">
        <v>0</v>
      </c>
      <c r="O5955">
        <v>0</v>
      </c>
    </row>
    <row r="5956" spans="1:15" x14ac:dyDescent="0.2">
      <c r="A5956" s="6">
        <v>45796</v>
      </c>
      <c r="B5956" t="s">
        <v>15</v>
      </c>
      <c r="C5956" t="s">
        <v>16</v>
      </c>
      <c r="D5956" s="1">
        <v>45855</v>
      </c>
      <c r="E5956" t="s">
        <v>17</v>
      </c>
      <c r="F5956">
        <v>5850</v>
      </c>
      <c r="J5956">
        <v>89.6</v>
      </c>
      <c r="K5956">
        <v>108.1</v>
      </c>
      <c r="L5956">
        <v>0</v>
      </c>
      <c r="M5956" t="s">
        <v>18</v>
      </c>
      <c r="N5956">
        <v>0</v>
      </c>
      <c r="O5956">
        <v>0</v>
      </c>
    </row>
    <row r="5957" spans="1:15" x14ac:dyDescent="0.2">
      <c r="A5957" s="6">
        <v>45796</v>
      </c>
      <c r="B5957" t="s">
        <v>15</v>
      </c>
      <c r="C5957" t="s">
        <v>16</v>
      </c>
      <c r="D5957" s="1">
        <v>45855</v>
      </c>
      <c r="E5957" t="s">
        <v>19</v>
      </c>
      <c r="F5957">
        <v>6300</v>
      </c>
      <c r="J5957">
        <v>1043.4000000000001</v>
      </c>
      <c r="K5957">
        <v>1026.0999999999999</v>
      </c>
      <c r="L5957">
        <v>0</v>
      </c>
      <c r="M5957" t="s">
        <v>18</v>
      </c>
      <c r="N5957">
        <v>0</v>
      </c>
      <c r="O5957">
        <v>0</v>
      </c>
    </row>
    <row r="5958" spans="1:15" x14ac:dyDescent="0.2">
      <c r="A5958" s="6">
        <v>45796</v>
      </c>
      <c r="B5958" t="s">
        <v>15</v>
      </c>
      <c r="C5958" t="s">
        <v>16</v>
      </c>
      <c r="D5958" s="1">
        <v>45855</v>
      </c>
      <c r="E5958" t="s">
        <v>17</v>
      </c>
      <c r="F5958">
        <v>3900</v>
      </c>
      <c r="J5958">
        <v>1364.9</v>
      </c>
      <c r="K5958">
        <v>1391.6</v>
      </c>
      <c r="L5958">
        <v>0</v>
      </c>
      <c r="M5958" t="s">
        <v>18</v>
      </c>
      <c r="N5958">
        <v>0</v>
      </c>
      <c r="O5958">
        <v>0</v>
      </c>
    </row>
    <row r="5959" spans="1:15" x14ac:dyDescent="0.2">
      <c r="A5959" s="6">
        <v>45796</v>
      </c>
      <c r="B5959" t="s">
        <v>15</v>
      </c>
      <c r="C5959" t="s">
        <v>16</v>
      </c>
      <c r="D5959" s="1">
        <v>45855</v>
      </c>
      <c r="E5959" t="s">
        <v>19</v>
      </c>
      <c r="F5959">
        <v>6500</v>
      </c>
      <c r="J5959">
        <v>1228.8</v>
      </c>
      <c r="K5959">
        <v>1208.5</v>
      </c>
      <c r="L5959">
        <v>0</v>
      </c>
      <c r="M5959" t="s">
        <v>18</v>
      </c>
      <c r="N5959">
        <v>0</v>
      </c>
      <c r="O5959">
        <v>0</v>
      </c>
    </row>
    <row r="5960" spans="1:15" x14ac:dyDescent="0.2">
      <c r="A5960" s="6">
        <v>45796</v>
      </c>
      <c r="B5960" t="s">
        <v>15</v>
      </c>
      <c r="C5960" t="s">
        <v>16</v>
      </c>
      <c r="D5960" s="1">
        <v>45855</v>
      </c>
      <c r="E5960" t="s">
        <v>19</v>
      </c>
      <c r="F5960">
        <v>5850</v>
      </c>
      <c r="J5960">
        <v>656.6</v>
      </c>
      <c r="K5960">
        <v>648.20000000000005</v>
      </c>
      <c r="L5960">
        <v>0</v>
      </c>
      <c r="M5960" t="s">
        <v>18</v>
      </c>
      <c r="N5960">
        <v>0</v>
      </c>
      <c r="O5960">
        <v>0</v>
      </c>
    </row>
    <row r="5961" spans="1:15" x14ac:dyDescent="0.2">
      <c r="A5961" s="6">
        <v>45796</v>
      </c>
      <c r="B5961" t="s">
        <v>15</v>
      </c>
      <c r="C5961" t="s">
        <v>16</v>
      </c>
      <c r="D5961" s="1">
        <v>45855</v>
      </c>
      <c r="E5961" t="s">
        <v>17</v>
      </c>
      <c r="F5961">
        <v>6600</v>
      </c>
      <c r="J5961">
        <v>14.1</v>
      </c>
      <c r="K5961">
        <v>20</v>
      </c>
      <c r="L5961">
        <v>0</v>
      </c>
      <c r="M5961" t="s">
        <v>18</v>
      </c>
      <c r="N5961">
        <v>0</v>
      </c>
      <c r="O5961">
        <v>0</v>
      </c>
    </row>
    <row r="5962" spans="1:15" x14ac:dyDescent="0.2">
      <c r="A5962" s="6">
        <v>45796</v>
      </c>
      <c r="B5962" t="s">
        <v>15</v>
      </c>
      <c r="C5962" t="s">
        <v>16</v>
      </c>
      <c r="D5962" s="1">
        <v>45855</v>
      </c>
      <c r="E5962" t="s">
        <v>19</v>
      </c>
      <c r="F5962">
        <v>4800</v>
      </c>
      <c r="J5962">
        <v>90.5</v>
      </c>
      <c r="K5962">
        <v>95.7</v>
      </c>
      <c r="L5962">
        <v>0</v>
      </c>
      <c r="M5962" t="s">
        <v>18</v>
      </c>
      <c r="N5962">
        <v>0</v>
      </c>
      <c r="O5962">
        <v>0</v>
      </c>
    </row>
    <row r="5963" spans="1:15" x14ac:dyDescent="0.2">
      <c r="A5963" s="6">
        <v>45796</v>
      </c>
      <c r="B5963" t="s">
        <v>15</v>
      </c>
      <c r="C5963" t="s">
        <v>16</v>
      </c>
      <c r="D5963" s="1">
        <v>45855</v>
      </c>
      <c r="E5963" t="s">
        <v>19</v>
      </c>
      <c r="F5963">
        <v>3850</v>
      </c>
      <c r="J5963">
        <v>1.6</v>
      </c>
      <c r="K5963">
        <v>2.2000000000000002</v>
      </c>
      <c r="L5963">
        <v>0</v>
      </c>
      <c r="M5963" t="s">
        <v>18</v>
      </c>
      <c r="N5963">
        <v>0</v>
      </c>
      <c r="O5963">
        <v>0</v>
      </c>
    </row>
    <row r="5964" spans="1:15" x14ac:dyDescent="0.2">
      <c r="A5964" s="6">
        <v>45796</v>
      </c>
      <c r="B5964" t="s">
        <v>15</v>
      </c>
      <c r="C5964" t="s">
        <v>16</v>
      </c>
      <c r="D5964" s="1">
        <v>45855</v>
      </c>
      <c r="E5964" t="s">
        <v>17</v>
      </c>
      <c r="F5964">
        <v>6400</v>
      </c>
      <c r="J5964">
        <v>24</v>
      </c>
      <c r="K5964">
        <v>32.5</v>
      </c>
      <c r="L5964">
        <v>0</v>
      </c>
      <c r="M5964" t="s">
        <v>18</v>
      </c>
      <c r="N5964">
        <v>0</v>
      </c>
      <c r="O5964">
        <v>0</v>
      </c>
    </row>
    <row r="5965" spans="1:15" x14ac:dyDescent="0.2">
      <c r="A5965" s="6">
        <v>45796</v>
      </c>
      <c r="B5965" t="s">
        <v>15</v>
      </c>
      <c r="C5965" t="s">
        <v>16</v>
      </c>
      <c r="D5965" s="1">
        <v>45855</v>
      </c>
      <c r="E5965" t="s">
        <v>19</v>
      </c>
      <c r="F5965">
        <v>6000</v>
      </c>
      <c r="J5965">
        <v>779.5</v>
      </c>
      <c r="K5965">
        <v>767.8</v>
      </c>
      <c r="L5965">
        <v>0</v>
      </c>
      <c r="M5965" t="s">
        <v>18</v>
      </c>
      <c r="N5965">
        <v>0</v>
      </c>
      <c r="O5965">
        <v>0</v>
      </c>
    </row>
    <row r="5966" spans="1:15" x14ac:dyDescent="0.2">
      <c r="A5966" s="6">
        <v>45796</v>
      </c>
      <c r="B5966" t="s">
        <v>15</v>
      </c>
      <c r="C5966" t="s">
        <v>16</v>
      </c>
      <c r="D5966" s="1">
        <v>45855</v>
      </c>
      <c r="E5966" t="s">
        <v>19</v>
      </c>
      <c r="F5966">
        <v>3950</v>
      </c>
      <c r="J5966">
        <v>2.9</v>
      </c>
      <c r="K5966">
        <v>3.8</v>
      </c>
      <c r="L5966">
        <v>0</v>
      </c>
      <c r="M5966" t="s">
        <v>18</v>
      </c>
      <c r="N5966">
        <v>0</v>
      </c>
      <c r="O5966">
        <v>0</v>
      </c>
    </row>
    <row r="5967" spans="1:15" x14ac:dyDescent="0.2">
      <c r="A5967" s="6">
        <v>45796</v>
      </c>
      <c r="B5967" t="s">
        <v>15</v>
      </c>
      <c r="C5967" t="s">
        <v>16</v>
      </c>
      <c r="D5967" s="1">
        <v>45855</v>
      </c>
      <c r="E5967" t="s">
        <v>17</v>
      </c>
      <c r="F5967">
        <v>5550</v>
      </c>
      <c r="J5967">
        <v>166.5</v>
      </c>
      <c r="K5967">
        <v>191.1</v>
      </c>
      <c r="L5967">
        <v>0</v>
      </c>
      <c r="M5967" t="s">
        <v>18</v>
      </c>
      <c r="N5967">
        <v>0</v>
      </c>
      <c r="O5967">
        <v>0</v>
      </c>
    </row>
    <row r="5968" spans="1:15" x14ac:dyDescent="0.2">
      <c r="A5968" s="6">
        <v>45793</v>
      </c>
      <c r="B5968" t="s">
        <v>15</v>
      </c>
      <c r="C5968" t="s">
        <v>16</v>
      </c>
      <c r="D5968" s="1">
        <v>45855</v>
      </c>
      <c r="E5968" t="s">
        <v>19</v>
      </c>
      <c r="F5968">
        <v>5200</v>
      </c>
      <c r="J5968">
        <v>239</v>
      </c>
      <c r="K5968">
        <v>277.7</v>
      </c>
      <c r="L5968">
        <v>0</v>
      </c>
      <c r="M5968" t="s">
        <v>18</v>
      </c>
      <c r="N5968">
        <v>0</v>
      </c>
      <c r="O5968">
        <v>0</v>
      </c>
    </row>
    <row r="5969" spans="1:15" x14ac:dyDescent="0.2">
      <c r="A5969" s="6">
        <v>45793</v>
      </c>
      <c r="B5969" t="s">
        <v>15</v>
      </c>
      <c r="C5969" t="s">
        <v>16</v>
      </c>
      <c r="D5969" s="1">
        <v>45855</v>
      </c>
      <c r="E5969" t="s">
        <v>17</v>
      </c>
      <c r="F5969">
        <v>4350</v>
      </c>
      <c r="J5969">
        <v>966.3</v>
      </c>
      <c r="K5969">
        <v>902.1</v>
      </c>
      <c r="L5969">
        <v>0</v>
      </c>
      <c r="M5969" t="s">
        <v>18</v>
      </c>
      <c r="N5969">
        <v>0</v>
      </c>
      <c r="O5969">
        <v>0</v>
      </c>
    </row>
    <row r="5970" spans="1:15" x14ac:dyDescent="0.2">
      <c r="A5970" s="6">
        <v>45793</v>
      </c>
      <c r="B5970" t="s">
        <v>15</v>
      </c>
      <c r="C5970" t="s">
        <v>16</v>
      </c>
      <c r="D5970" s="1">
        <v>45855</v>
      </c>
      <c r="E5970" t="s">
        <v>19</v>
      </c>
      <c r="F5970">
        <v>5250</v>
      </c>
      <c r="J5970">
        <v>263</v>
      </c>
      <c r="K5970">
        <v>303.7</v>
      </c>
      <c r="L5970">
        <v>0</v>
      </c>
      <c r="M5970" t="s">
        <v>18</v>
      </c>
      <c r="N5970">
        <v>0</v>
      </c>
      <c r="O5970">
        <v>0</v>
      </c>
    </row>
    <row r="5971" spans="1:15" x14ac:dyDescent="0.2">
      <c r="A5971" s="6">
        <v>45793</v>
      </c>
      <c r="B5971" t="s">
        <v>15</v>
      </c>
      <c r="C5971" t="s">
        <v>16</v>
      </c>
      <c r="D5971" s="1">
        <v>45855</v>
      </c>
      <c r="E5971" t="s">
        <v>17</v>
      </c>
      <c r="F5971">
        <v>4850</v>
      </c>
      <c r="J5971">
        <v>558.1</v>
      </c>
      <c r="K5971">
        <v>510.2</v>
      </c>
      <c r="L5971">
        <v>0</v>
      </c>
      <c r="M5971" t="s">
        <v>18</v>
      </c>
      <c r="N5971">
        <v>0</v>
      </c>
      <c r="O5971">
        <v>0</v>
      </c>
    </row>
    <row r="5972" spans="1:15" x14ac:dyDescent="0.2">
      <c r="A5972" s="6">
        <v>45793</v>
      </c>
      <c r="B5972" t="s">
        <v>15</v>
      </c>
      <c r="C5972" t="s">
        <v>16</v>
      </c>
      <c r="D5972" s="1">
        <v>45855</v>
      </c>
      <c r="E5972" t="s">
        <v>17</v>
      </c>
      <c r="F5972">
        <v>3700</v>
      </c>
      <c r="J5972">
        <v>1587.4</v>
      </c>
      <c r="K5972">
        <v>1515.6</v>
      </c>
      <c r="L5972">
        <v>0</v>
      </c>
      <c r="M5972" t="s">
        <v>18</v>
      </c>
      <c r="N5972">
        <v>0</v>
      </c>
      <c r="O5972">
        <v>0</v>
      </c>
    </row>
    <row r="5973" spans="1:15" x14ac:dyDescent="0.2">
      <c r="A5973" s="6">
        <v>45793</v>
      </c>
      <c r="B5973" t="s">
        <v>15</v>
      </c>
      <c r="C5973" t="s">
        <v>16</v>
      </c>
      <c r="D5973" s="1">
        <v>45855</v>
      </c>
      <c r="E5973" t="s">
        <v>17</v>
      </c>
      <c r="F5973">
        <v>5000</v>
      </c>
      <c r="J5973">
        <v>457.4</v>
      </c>
      <c r="K5973">
        <v>415.7</v>
      </c>
      <c r="L5973">
        <v>0</v>
      </c>
      <c r="M5973" t="s">
        <v>18</v>
      </c>
      <c r="N5973">
        <v>0</v>
      </c>
      <c r="O5973">
        <v>0</v>
      </c>
    </row>
    <row r="5974" spans="1:15" x14ac:dyDescent="0.2">
      <c r="A5974" s="6">
        <v>45793</v>
      </c>
      <c r="B5974" t="s">
        <v>15</v>
      </c>
      <c r="C5974" t="s">
        <v>16</v>
      </c>
      <c r="D5974" s="1">
        <v>45855</v>
      </c>
      <c r="E5974" t="s">
        <v>17</v>
      </c>
      <c r="F5974">
        <v>4100</v>
      </c>
      <c r="J5974">
        <v>1198.8</v>
      </c>
      <c r="K5974">
        <v>1130.0999999999999</v>
      </c>
      <c r="L5974">
        <v>0</v>
      </c>
      <c r="M5974" t="s">
        <v>18</v>
      </c>
      <c r="N5974">
        <v>0</v>
      </c>
      <c r="O5974">
        <v>0</v>
      </c>
    </row>
    <row r="5975" spans="1:15" x14ac:dyDescent="0.2">
      <c r="A5975" s="6">
        <v>45793</v>
      </c>
      <c r="B5975" t="s">
        <v>15</v>
      </c>
      <c r="C5975" t="s">
        <v>16</v>
      </c>
      <c r="D5975" s="1">
        <v>45855</v>
      </c>
      <c r="E5975" t="s">
        <v>17</v>
      </c>
      <c r="F5975">
        <v>4400</v>
      </c>
      <c r="J5975">
        <v>921.5</v>
      </c>
      <c r="K5975">
        <v>858.5</v>
      </c>
      <c r="L5975">
        <v>0</v>
      </c>
      <c r="M5975" t="s">
        <v>18</v>
      </c>
      <c r="N5975">
        <v>0</v>
      </c>
      <c r="O5975">
        <v>0</v>
      </c>
    </row>
    <row r="5976" spans="1:15" x14ac:dyDescent="0.2">
      <c r="A5976" s="6">
        <v>45793</v>
      </c>
      <c r="B5976" t="s">
        <v>15</v>
      </c>
      <c r="C5976" t="s">
        <v>16</v>
      </c>
      <c r="D5976" s="1">
        <v>45855</v>
      </c>
      <c r="E5976" t="s">
        <v>17</v>
      </c>
      <c r="F5976">
        <v>4750</v>
      </c>
      <c r="J5976">
        <v>631.5</v>
      </c>
      <c r="K5976">
        <v>579.70000000000005</v>
      </c>
      <c r="L5976">
        <v>0</v>
      </c>
      <c r="M5976" t="s">
        <v>18</v>
      </c>
      <c r="N5976">
        <v>0</v>
      </c>
      <c r="O5976">
        <v>0</v>
      </c>
    </row>
    <row r="5977" spans="1:15" x14ac:dyDescent="0.2">
      <c r="A5977" s="6">
        <v>45793</v>
      </c>
      <c r="B5977" t="s">
        <v>15</v>
      </c>
      <c r="C5977" t="s">
        <v>16</v>
      </c>
      <c r="D5977" s="1">
        <v>45855</v>
      </c>
      <c r="E5977" t="s">
        <v>17</v>
      </c>
      <c r="F5977">
        <v>4450</v>
      </c>
      <c r="J5977">
        <v>877.4</v>
      </c>
      <c r="K5977">
        <v>815.7</v>
      </c>
      <c r="L5977">
        <v>0</v>
      </c>
      <c r="M5977" t="s">
        <v>18</v>
      </c>
      <c r="N5977">
        <v>0</v>
      </c>
      <c r="O5977">
        <v>0</v>
      </c>
    </row>
    <row r="5978" spans="1:15" x14ac:dyDescent="0.2">
      <c r="A5978" s="6">
        <v>45793</v>
      </c>
      <c r="B5978" t="s">
        <v>15</v>
      </c>
      <c r="C5978" t="s">
        <v>16</v>
      </c>
      <c r="D5978" s="1">
        <v>45855</v>
      </c>
      <c r="E5978" t="s">
        <v>17</v>
      </c>
      <c r="F5978">
        <v>5300</v>
      </c>
      <c r="J5978">
        <v>292.2</v>
      </c>
      <c r="K5978">
        <v>262.7</v>
      </c>
      <c r="L5978">
        <v>0</v>
      </c>
      <c r="M5978" t="s">
        <v>18</v>
      </c>
      <c r="N5978">
        <v>0</v>
      </c>
      <c r="O5978">
        <v>0</v>
      </c>
    </row>
    <row r="5979" spans="1:15" x14ac:dyDescent="0.2">
      <c r="A5979" s="6">
        <v>45793</v>
      </c>
      <c r="B5979" t="s">
        <v>15</v>
      </c>
      <c r="C5979" t="s">
        <v>16</v>
      </c>
      <c r="D5979" s="1">
        <v>45855</v>
      </c>
      <c r="E5979" t="s">
        <v>17</v>
      </c>
      <c r="F5979">
        <v>6200</v>
      </c>
      <c r="J5979">
        <v>51.4</v>
      </c>
      <c r="K5979">
        <v>45.5</v>
      </c>
      <c r="L5979">
        <v>0</v>
      </c>
      <c r="M5979" t="s">
        <v>18</v>
      </c>
      <c r="N5979">
        <v>0</v>
      </c>
      <c r="O5979">
        <v>0</v>
      </c>
    </row>
    <row r="5980" spans="1:15" x14ac:dyDescent="0.2">
      <c r="A5980" s="6">
        <v>45793</v>
      </c>
      <c r="B5980" t="s">
        <v>15</v>
      </c>
      <c r="C5980" t="s">
        <v>16</v>
      </c>
      <c r="D5980" s="1">
        <v>45855</v>
      </c>
      <c r="E5980" t="s">
        <v>19</v>
      </c>
      <c r="F5980">
        <v>6150</v>
      </c>
      <c r="J5980">
        <v>894.3</v>
      </c>
      <c r="K5980">
        <v>959.7</v>
      </c>
      <c r="L5980">
        <v>0</v>
      </c>
      <c r="M5980" t="s">
        <v>18</v>
      </c>
      <c r="N5980">
        <v>0</v>
      </c>
      <c r="O5980">
        <v>0</v>
      </c>
    </row>
    <row r="5981" spans="1:15" x14ac:dyDescent="0.2">
      <c r="A5981" s="6">
        <v>45793</v>
      </c>
      <c r="B5981" t="s">
        <v>15</v>
      </c>
      <c r="C5981" t="s">
        <v>16</v>
      </c>
      <c r="D5981" s="1">
        <v>45855</v>
      </c>
      <c r="E5981" t="s">
        <v>17</v>
      </c>
      <c r="F5981">
        <v>4950</v>
      </c>
      <c r="J5981">
        <v>489.7</v>
      </c>
      <c r="K5981">
        <v>445.9</v>
      </c>
      <c r="L5981">
        <v>0</v>
      </c>
      <c r="M5981" t="s">
        <v>18</v>
      </c>
      <c r="N5981">
        <v>0</v>
      </c>
      <c r="O5981">
        <v>0</v>
      </c>
    </row>
    <row r="5982" spans="1:15" x14ac:dyDescent="0.2">
      <c r="A5982" s="6">
        <v>45793</v>
      </c>
      <c r="B5982" t="s">
        <v>15</v>
      </c>
      <c r="C5982" t="s">
        <v>16</v>
      </c>
      <c r="D5982" s="1">
        <v>45855</v>
      </c>
      <c r="E5982" t="s">
        <v>17</v>
      </c>
      <c r="F5982">
        <v>5700</v>
      </c>
      <c r="J5982">
        <v>144.9</v>
      </c>
      <c r="K5982">
        <v>128.9</v>
      </c>
      <c r="L5982">
        <v>0</v>
      </c>
      <c r="M5982" t="s">
        <v>18</v>
      </c>
      <c r="N5982">
        <v>0</v>
      </c>
      <c r="O5982">
        <v>0</v>
      </c>
    </row>
    <row r="5983" spans="1:15" x14ac:dyDescent="0.2">
      <c r="A5983" s="6">
        <v>45793</v>
      </c>
      <c r="B5983" t="s">
        <v>15</v>
      </c>
      <c r="C5983" t="s">
        <v>16</v>
      </c>
      <c r="D5983" s="1">
        <v>45855</v>
      </c>
      <c r="E5983" t="s">
        <v>19</v>
      </c>
      <c r="F5983">
        <v>6550</v>
      </c>
      <c r="J5983">
        <v>1255.0999999999999</v>
      </c>
      <c r="K5983">
        <v>1324.5</v>
      </c>
      <c r="L5983">
        <v>0</v>
      </c>
      <c r="M5983" t="s">
        <v>18</v>
      </c>
      <c r="N5983">
        <v>0</v>
      </c>
      <c r="O5983">
        <v>0</v>
      </c>
    </row>
    <row r="5984" spans="1:15" x14ac:dyDescent="0.2">
      <c r="A5984" s="6">
        <v>45793</v>
      </c>
      <c r="B5984" t="s">
        <v>15</v>
      </c>
      <c r="C5984" t="s">
        <v>16</v>
      </c>
      <c r="D5984" s="1">
        <v>45855</v>
      </c>
      <c r="E5984" t="s">
        <v>17</v>
      </c>
      <c r="F5984">
        <v>4900</v>
      </c>
      <c r="J5984">
        <v>523.29999999999995</v>
      </c>
      <c r="K5984">
        <v>477.4</v>
      </c>
      <c r="L5984">
        <v>0</v>
      </c>
      <c r="M5984" t="s">
        <v>18</v>
      </c>
      <c r="N5984">
        <v>0</v>
      </c>
      <c r="O5984">
        <v>0</v>
      </c>
    </row>
    <row r="5985" spans="1:15" x14ac:dyDescent="0.2">
      <c r="A5985" s="6">
        <v>45793</v>
      </c>
      <c r="B5985" t="s">
        <v>15</v>
      </c>
      <c r="C5985" t="s">
        <v>16</v>
      </c>
      <c r="D5985" s="1">
        <v>45855</v>
      </c>
      <c r="E5985" t="s">
        <v>17</v>
      </c>
      <c r="F5985">
        <v>4800</v>
      </c>
      <c r="J5985">
        <v>594.20000000000005</v>
      </c>
      <c r="K5985">
        <v>544.4</v>
      </c>
      <c r="L5985">
        <v>0</v>
      </c>
      <c r="M5985" t="s">
        <v>18</v>
      </c>
      <c r="N5985">
        <v>0</v>
      </c>
      <c r="O5985">
        <v>0</v>
      </c>
    </row>
    <row r="5986" spans="1:15" x14ac:dyDescent="0.2">
      <c r="A5986" s="6">
        <v>45793</v>
      </c>
      <c r="B5986" t="s">
        <v>15</v>
      </c>
      <c r="C5986" t="s">
        <v>16</v>
      </c>
      <c r="D5986" s="1">
        <v>45855</v>
      </c>
      <c r="E5986" t="s">
        <v>19</v>
      </c>
      <c r="F5986">
        <v>3900</v>
      </c>
      <c r="J5986">
        <v>2.9</v>
      </c>
      <c r="K5986">
        <v>4.5999999999999996</v>
      </c>
      <c r="L5986">
        <v>0</v>
      </c>
      <c r="M5986" t="s">
        <v>18</v>
      </c>
      <c r="N5986">
        <v>0</v>
      </c>
      <c r="O5986">
        <v>0</v>
      </c>
    </row>
    <row r="5987" spans="1:15" x14ac:dyDescent="0.2">
      <c r="A5987" s="6">
        <v>45793</v>
      </c>
      <c r="B5987" t="s">
        <v>15</v>
      </c>
      <c r="C5987" t="s">
        <v>16</v>
      </c>
      <c r="D5987" s="1">
        <v>45855</v>
      </c>
      <c r="E5987" t="s">
        <v>17</v>
      </c>
      <c r="F5987">
        <v>5950</v>
      </c>
      <c r="J5987">
        <v>88.2</v>
      </c>
      <c r="K5987">
        <v>78.2</v>
      </c>
      <c r="L5987">
        <v>0</v>
      </c>
      <c r="M5987" t="s">
        <v>18</v>
      </c>
      <c r="N5987">
        <v>0</v>
      </c>
      <c r="O5987">
        <v>0</v>
      </c>
    </row>
    <row r="5988" spans="1:15" x14ac:dyDescent="0.2">
      <c r="A5988" s="6">
        <v>45793</v>
      </c>
      <c r="B5988" t="s">
        <v>15</v>
      </c>
      <c r="C5988" t="s">
        <v>16</v>
      </c>
      <c r="D5988" s="1">
        <v>45855</v>
      </c>
      <c r="E5988" t="s">
        <v>19</v>
      </c>
      <c r="F5988">
        <v>4200</v>
      </c>
      <c r="J5988">
        <v>12.4</v>
      </c>
      <c r="K5988">
        <v>17.600000000000001</v>
      </c>
      <c r="L5988">
        <v>0</v>
      </c>
      <c r="M5988" t="s">
        <v>18</v>
      </c>
      <c r="N5988">
        <v>0</v>
      </c>
      <c r="O5988">
        <v>0</v>
      </c>
    </row>
    <row r="5989" spans="1:15" x14ac:dyDescent="0.2">
      <c r="A5989" s="6">
        <v>45793</v>
      </c>
      <c r="B5989" t="s">
        <v>15</v>
      </c>
      <c r="C5989" t="s">
        <v>16</v>
      </c>
      <c r="D5989" s="1">
        <v>45855</v>
      </c>
      <c r="E5989" t="s">
        <v>19</v>
      </c>
      <c r="F5989">
        <v>3600</v>
      </c>
      <c r="J5989">
        <v>0.5</v>
      </c>
      <c r="K5989">
        <v>0.8</v>
      </c>
      <c r="L5989">
        <v>0</v>
      </c>
      <c r="M5989" t="s">
        <v>18</v>
      </c>
      <c r="N5989">
        <v>0</v>
      </c>
      <c r="O5989">
        <v>0</v>
      </c>
    </row>
    <row r="5990" spans="1:15" x14ac:dyDescent="0.2">
      <c r="A5990" s="6">
        <v>45793</v>
      </c>
      <c r="B5990" t="s">
        <v>15</v>
      </c>
      <c r="C5990" t="s">
        <v>16</v>
      </c>
      <c r="D5990" s="1">
        <v>45855</v>
      </c>
      <c r="E5990" t="s">
        <v>19</v>
      </c>
      <c r="F5990">
        <v>4900</v>
      </c>
      <c r="J5990">
        <v>123.7</v>
      </c>
      <c r="K5990">
        <v>150.1</v>
      </c>
      <c r="L5990">
        <v>0</v>
      </c>
      <c r="M5990" t="s">
        <v>18</v>
      </c>
      <c r="N5990">
        <v>0</v>
      </c>
      <c r="O5990">
        <v>0</v>
      </c>
    </row>
    <row r="5991" spans="1:15" x14ac:dyDescent="0.2">
      <c r="A5991" s="6">
        <v>45793</v>
      </c>
      <c r="B5991" t="s">
        <v>15</v>
      </c>
      <c r="C5991" t="s">
        <v>16</v>
      </c>
      <c r="D5991" s="1">
        <v>45855</v>
      </c>
      <c r="E5991" t="s">
        <v>17</v>
      </c>
      <c r="F5991">
        <v>5100</v>
      </c>
      <c r="J5991">
        <v>396.9</v>
      </c>
      <c r="K5991">
        <v>359.3</v>
      </c>
      <c r="L5991">
        <v>0</v>
      </c>
      <c r="M5991" t="s">
        <v>18</v>
      </c>
      <c r="N5991">
        <v>0</v>
      </c>
      <c r="O5991">
        <v>0</v>
      </c>
    </row>
    <row r="5992" spans="1:15" x14ac:dyDescent="0.2">
      <c r="A5992" s="6">
        <v>45793</v>
      </c>
      <c r="B5992" t="s">
        <v>15</v>
      </c>
      <c r="C5992" t="s">
        <v>16</v>
      </c>
      <c r="D5992" s="1">
        <v>45855</v>
      </c>
      <c r="E5992" t="s">
        <v>17</v>
      </c>
      <c r="F5992">
        <v>5250</v>
      </c>
      <c r="J5992">
        <v>316.39999999999998</v>
      </c>
      <c r="K5992">
        <v>284.89999999999998</v>
      </c>
      <c r="L5992">
        <v>0</v>
      </c>
      <c r="M5992" t="s">
        <v>18</v>
      </c>
      <c r="N5992">
        <v>0</v>
      </c>
      <c r="O5992">
        <v>0</v>
      </c>
    </row>
    <row r="5993" spans="1:15" x14ac:dyDescent="0.2">
      <c r="A5993" s="6">
        <v>45793</v>
      </c>
      <c r="B5993" t="s">
        <v>15</v>
      </c>
      <c r="C5993" t="s">
        <v>16</v>
      </c>
      <c r="D5993" s="1">
        <v>45855</v>
      </c>
      <c r="E5993" t="s">
        <v>19</v>
      </c>
      <c r="F5993">
        <v>6650</v>
      </c>
      <c r="J5993">
        <v>1349</v>
      </c>
      <c r="K5993">
        <v>1419</v>
      </c>
      <c r="L5993">
        <v>0</v>
      </c>
      <c r="M5993" t="s">
        <v>18</v>
      </c>
      <c r="N5993">
        <v>0</v>
      </c>
      <c r="O5993">
        <v>0</v>
      </c>
    </row>
    <row r="5994" spans="1:15" x14ac:dyDescent="0.2">
      <c r="A5994" s="6">
        <v>45793</v>
      </c>
      <c r="B5994" t="s">
        <v>15</v>
      </c>
      <c r="C5994" t="s">
        <v>16</v>
      </c>
      <c r="D5994" s="1">
        <v>45855</v>
      </c>
      <c r="E5994" t="s">
        <v>17</v>
      </c>
      <c r="F5994">
        <v>4200</v>
      </c>
      <c r="J5994">
        <v>1104.4000000000001</v>
      </c>
      <c r="K5994">
        <v>1037.0999999999999</v>
      </c>
      <c r="L5994">
        <v>0</v>
      </c>
      <c r="M5994" t="s">
        <v>18</v>
      </c>
      <c r="N5994">
        <v>0</v>
      </c>
      <c r="O5994">
        <v>0</v>
      </c>
    </row>
    <row r="5995" spans="1:15" x14ac:dyDescent="0.2">
      <c r="A5995" s="6">
        <v>45793</v>
      </c>
      <c r="B5995" t="s">
        <v>15</v>
      </c>
      <c r="C5995" t="s">
        <v>16</v>
      </c>
      <c r="D5995" s="1">
        <v>45855</v>
      </c>
      <c r="E5995" t="s">
        <v>19</v>
      </c>
      <c r="F5995">
        <v>6050</v>
      </c>
      <c r="J5995">
        <v>809.3</v>
      </c>
      <c r="K5995">
        <v>873.2</v>
      </c>
      <c r="L5995">
        <v>0</v>
      </c>
      <c r="M5995" t="s">
        <v>18</v>
      </c>
      <c r="N5995">
        <v>0</v>
      </c>
      <c r="O5995">
        <v>0</v>
      </c>
    </row>
    <row r="5996" spans="1:15" x14ac:dyDescent="0.2">
      <c r="A5996" s="6">
        <v>45793</v>
      </c>
      <c r="B5996" t="s">
        <v>15</v>
      </c>
      <c r="C5996" t="s">
        <v>16</v>
      </c>
      <c r="D5996" s="1">
        <v>45855</v>
      </c>
      <c r="E5996" t="s">
        <v>19</v>
      </c>
      <c r="F5996">
        <v>5100</v>
      </c>
      <c r="J5996">
        <v>195.2</v>
      </c>
      <c r="K5996">
        <v>229.8</v>
      </c>
      <c r="L5996">
        <v>0</v>
      </c>
      <c r="M5996" t="s">
        <v>18</v>
      </c>
      <c r="N5996">
        <v>0</v>
      </c>
      <c r="O5996">
        <v>0</v>
      </c>
    </row>
    <row r="5997" spans="1:15" x14ac:dyDescent="0.2">
      <c r="A5997" s="6">
        <v>45793</v>
      </c>
      <c r="B5997" t="s">
        <v>15</v>
      </c>
      <c r="C5997" t="s">
        <v>16</v>
      </c>
      <c r="D5997" s="1">
        <v>45855</v>
      </c>
      <c r="E5997" t="s">
        <v>17</v>
      </c>
      <c r="F5997">
        <v>4650</v>
      </c>
      <c r="J5997">
        <v>709.5</v>
      </c>
      <c r="K5997">
        <v>654.1</v>
      </c>
      <c r="L5997">
        <v>0</v>
      </c>
      <c r="M5997" t="s">
        <v>18</v>
      </c>
      <c r="N5997">
        <v>0</v>
      </c>
      <c r="O5997">
        <v>0</v>
      </c>
    </row>
    <row r="5998" spans="1:15" x14ac:dyDescent="0.2">
      <c r="A5998" s="6">
        <v>45793</v>
      </c>
      <c r="B5998" t="s">
        <v>15</v>
      </c>
      <c r="C5998" t="s">
        <v>16</v>
      </c>
      <c r="D5998" s="1">
        <v>45855</v>
      </c>
      <c r="E5998" t="s">
        <v>19</v>
      </c>
      <c r="F5998">
        <v>4550</v>
      </c>
      <c r="J5998">
        <v>45.8</v>
      </c>
      <c r="K5998">
        <v>59.4</v>
      </c>
      <c r="L5998">
        <v>0</v>
      </c>
      <c r="M5998" t="s">
        <v>18</v>
      </c>
      <c r="N5998">
        <v>0</v>
      </c>
      <c r="O5998">
        <v>0</v>
      </c>
    </row>
    <row r="5999" spans="1:15" x14ac:dyDescent="0.2">
      <c r="A5999" s="6">
        <v>45793</v>
      </c>
      <c r="B5999" t="s">
        <v>15</v>
      </c>
      <c r="C5999" t="s">
        <v>16</v>
      </c>
      <c r="D5999" s="1">
        <v>45855</v>
      </c>
      <c r="E5999" t="s">
        <v>19</v>
      </c>
      <c r="F5999">
        <v>4700</v>
      </c>
      <c r="J5999">
        <v>72.5</v>
      </c>
      <c r="K5999">
        <v>91.2</v>
      </c>
      <c r="L5999">
        <v>0</v>
      </c>
      <c r="M5999" t="s">
        <v>18</v>
      </c>
      <c r="N5999">
        <v>0</v>
      </c>
      <c r="O5999">
        <v>0</v>
      </c>
    </row>
    <row r="6000" spans="1:15" x14ac:dyDescent="0.2">
      <c r="A6000" s="6">
        <v>45793</v>
      </c>
      <c r="B6000" t="s">
        <v>15</v>
      </c>
      <c r="C6000" t="s">
        <v>16</v>
      </c>
      <c r="D6000" s="1">
        <v>45855</v>
      </c>
      <c r="E6000" t="s">
        <v>19</v>
      </c>
      <c r="F6000">
        <v>3750</v>
      </c>
      <c r="J6000">
        <v>1.2</v>
      </c>
      <c r="K6000">
        <v>2</v>
      </c>
      <c r="L6000">
        <v>0</v>
      </c>
      <c r="M6000" t="s">
        <v>18</v>
      </c>
      <c r="N6000">
        <v>0</v>
      </c>
      <c r="O6000">
        <v>0</v>
      </c>
    </row>
    <row r="6001" spans="1:15" x14ac:dyDescent="0.2">
      <c r="A6001" s="6">
        <v>45793</v>
      </c>
      <c r="B6001" t="s">
        <v>15</v>
      </c>
      <c r="C6001" t="s">
        <v>16</v>
      </c>
      <c r="D6001" s="1">
        <v>45855</v>
      </c>
      <c r="E6001" t="s">
        <v>17</v>
      </c>
      <c r="F6001">
        <v>6650</v>
      </c>
      <c r="J6001">
        <v>17.7</v>
      </c>
      <c r="K6001">
        <v>15.7</v>
      </c>
      <c r="L6001">
        <v>0</v>
      </c>
      <c r="M6001" t="s">
        <v>18</v>
      </c>
      <c r="N6001">
        <v>0</v>
      </c>
      <c r="O6001">
        <v>0</v>
      </c>
    </row>
    <row r="6002" spans="1:15" x14ac:dyDescent="0.2">
      <c r="A6002" s="6">
        <v>45793</v>
      </c>
      <c r="B6002" t="s">
        <v>15</v>
      </c>
      <c r="C6002" t="s">
        <v>16</v>
      </c>
      <c r="D6002" s="1">
        <v>45855</v>
      </c>
      <c r="E6002" t="s">
        <v>17</v>
      </c>
      <c r="F6002">
        <v>3750</v>
      </c>
      <c r="J6002">
        <v>1538.3</v>
      </c>
      <c r="K6002">
        <v>1466.6</v>
      </c>
      <c r="L6002">
        <v>0</v>
      </c>
      <c r="M6002" t="s">
        <v>18</v>
      </c>
      <c r="N6002">
        <v>0</v>
      </c>
      <c r="O6002">
        <v>0</v>
      </c>
    </row>
    <row r="6003" spans="1:15" x14ac:dyDescent="0.2">
      <c r="A6003" s="6">
        <v>45793</v>
      </c>
      <c r="B6003" t="s">
        <v>15</v>
      </c>
      <c r="C6003" t="s">
        <v>16</v>
      </c>
      <c r="D6003" s="1">
        <v>45855</v>
      </c>
      <c r="E6003" t="s">
        <v>17</v>
      </c>
      <c r="F6003">
        <v>6050</v>
      </c>
      <c r="J6003">
        <v>71.400000000000006</v>
      </c>
      <c r="K6003">
        <v>63.3</v>
      </c>
      <c r="L6003">
        <v>0</v>
      </c>
      <c r="M6003" t="s">
        <v>18</v>
      </c>
      <c r="N6003">
        <v>0</v>
      </c>
      <c r="O6003">
        <v>0</v>
      </c>
    </row>
    <row r="6004" spans="1:15" x14ac:dyDescent="0.2">
      <c r="A6004" s="6">
        <v>45793</v>
      </c>
      <c r="B6004" t="s">
        <v>15</v>
      </c>
      <c r="C6004" t="s">
        <v>16</v>
      </c>
      <c r="D6004" s="1">
        <v>45855</v>
      </c>
      <c r="E6004" t="s">
        <v>19</v>
      </c>
      <c r="F6004">
        <v>5450</v>
      </c>
      <c r="J6004">
        <v>372.2</v>
      </c>
      <c r="K6004">
        <v>420.4</v>
      </c>
      <c r="L6004">
        <v>0</v>
      </c>
      <c r="M6004" t="s">
        <v>18</v>
      </c>
      <c r="N6004">
        <v>0</v>
      </c>
      <c r="O6004">
        <v>0</v>
      </c>
    </row>
    <row r="6005" spans="1:15" x14ac:dyDescent="0.2">
      <c r="A6005" s="6">
        <v>45793</v>
      </c>
      <c r="B6005" t="s">
        <v>15</v>
      </c>
      <c r="C6005" t="s">
        <v>16</v>
      </c>
      <c r="D6005" s="1">
        <v>45855</v>
      </c>
      <c r="E6005" t="s">
        <v>19</v>
      </c>
      <c r="F6005">
        <v>5800</v>
      </c>
      <c r="J6005">
        <v>610</v>
      </c>
      <c r="K6005">
        <v>668.8</v>
      </c>
      <c r="L6005">
        <v>0</v>
      </c>
      <c r="M6005" t="s">
        <v>18</v>
      </c>
      <c r="N6005">
        <v>0</v>
      </c>
      <c r="O6005">
        <v>0</v>
      </c>
    </row>
    <row r="6006" spans="1:15" x14ac:dyDescent="0.2">
      <c r="A6006" s="6">
        <v>45793</v>
      </c>
      <c r="B6006" t="s">
        <v>15</v>
      </c>
      <c r="C6006" t="s">
        <v>16</v>
      </c>
      <c r="D6006" s="1">
        <v>45855</v>
      </c>
      <c r="E6006" t="s">
        <v>19</v>
      </c>
      <c r="F6006">
        <v>5400</v>
      </c>
      <c r="J6006">
        <v>342.9</v>
      </c>
      <c r="K6006">
        <v>389.3</v>
      </c>
      <c r="L6006">
        <v>0</v>
      </c>
      <c r="M6006" t="s">
        <v>18</v>
      </c>
      <c r="N6006">
        <v>0</v>
      </c>
      <c r="O6006">
        <v>0</v>
      </c>
    </row>
    <row r="6007" spans="1:15" x14ac:dyDescent="0.2">
      <c r="A6007" s="6">
        <v>45793</v>
      </c>
      <c r="B6007" t="s">
        <v>15</v>
      </c>
      <c r="C6007" t="s">
        <v>16</v>
      </c>
      <c r="D6007" s="1">
        <v>45855</v>
      </c>
      <c r="E6007" t="s">
        <v>19</v>
      </c>
      <c r="F6007">
        <v>5300</v>
      </c>
      <c r="J6007">
        <v>288.3</v>
      </c>
      <c r="K6007">
        <v>331</v>
      </c>
      <c r="L6007">
        <v>0</v>
      </c>
      <c r="M6007" t="s">
        <v>18</v>
      </c>
      <c r="N6007">
        <v>0</v>
      </c>
      <c r="O6007">
        <v>0</v>
      </c>
    </row>
    <row r="6008" spans="1:15" x14ac:dyDescent="0.2">
      <c r="A6008" s="6">
        <v>45793</v>
      </c>
      <c r="B6008" t="s">
        <v>15</v>
      </c>
      <c r="C6008" t="s">
        <v>16</v>
      </c>
      <c r="D6008" s="1">
        <v>45855</v>
      </c>
      <c r="E6008" t="s">
        <v>19</v>
      </c>
      <c r="F6008">
        <v>6400</v>
      </c>
      <c r="J6008">
        <v>1116.5</v>
      </c>
      <c r="K6008">
        <v>1184.8</v>
      </c>
      <c r="L6008">
        <v>0</v>
      </c>
      <c r="M6008" t="s">
        <v>18</v>
      </c>
      <c r="N6008">
        <v>0</v>
      </c>
      <c r="O6008">
        <v>0</v>
      </c>
    </row>
    <row r="6009" spans="1:15" x14ac:dyDescent="0.2">
      <c r="A6009" s="6">
        <v>45793</v>
      </c>
      <c r="B6009" t="s">
        <v>15</v>
      </c>
      <c r="C6009" t="s">
        <v>16</v>
      </c>
      <c r="D6009" s="1">
        <v>45855</v>
      </c>
      <c r="E6009" t="s">
        <v>17</v>
      </c>
      <c r="F6009">
        <v>6550</v>
      </c>
      <c r="J6009">
        <v>22.6</v>
      </c>
      <c r="K6009">
        <v>20.100000000000001</v>
      </c>
      <c r="L6009">
        <v>0</v>
      </c>
      <c r="M6009" t="s">
        <v>18</v>
      </c>
      <c r="N6009">
        <v>0</v>
      </c>
      <c r="O6009">
        <v>0</v>
      </c>
    </row>
    <row r="6010" spans="1:15" x14ac:dyDescent="0.2">
      <c r="A6010" s="6">
        <v>45793</v>
      </c>
      <c r="B6010" t="s">
        <v>15</v>
      </c>
      <c r="C6010" t="s">
        <v>16</v>
      </c>
      <c r="D6010" s="1">
        <v>45855</v>
      </c>
      <c r="E6010" t="s">
        <v>19</v>
      </c>
      <c r="F6010">
        <v>5700</v>
      </c>
      <c r="J6010">
        <v>536.6</v>
      </c>
      <c r="K6010">
        <v>592.70000000000005</v>
      </c>
      <c r="L6010">
        <v>0</v>
      </c>
      <c r="M6010" t="s">
        <v>18</v>
      </c>
      <c r="N6010">
        <v>0</v>
      </c>
      <c r="O6010">
        <v>0</v>
      </c>
    </row>
    <row r="6011" spans="1:15" x14ac:dyDescent="0.2">
      <c r="A6011" s="6">
        <v>45793</v>
      </c>
      <c r="B6011" t="s">
        <v>15</v>
      </c>
      <c r="C6011" t="s">
        <v>16</v>
      </c>
      <c r="D6011" s="1">
        <v>45855</v>
      </c>
      <c r="E6011" t="s">
        <v>19</v>
      </c>
      <c r="F6011">
        <v>3700</v>
      </c>
      <c r="J6011">
        <v>0.9</v>
      </c>
      <c r="K6011">
        <v>1.5</v>
      </c>
      <c r="L6011">
        <v>0</v>
      </c>
      <c r="M6011" t="s">
        <v>18</v>
      </c>
      <c r="N6011">
        <v>0</v>
      </c>
      <c r="O6011">
        <v>0</v>
      </c>
    </row>
    <row r="6012" spans="1:15" x14ac:dyDescent="0.2">
      <c r="A6012" s="6">
        <v>45793</v>
      </c>
      <c r="B6012" t="s">
        <v>15</v>
      </c>
      <c r="C6012" t="s">
        <v>16</v>
      </c>
      <c r="D6012" s="1">
        <v>45855</v>
      </c>
      <c r="E6012" t="s">
        <v>19</v>
      </c>
      <c r="F6012">
        <v>5050</v>
      </c>
      <c r="J6012">
        <v>175.3</v>
      </c>
      <c r="K6012">
        <v>207.8</v>
      </c>
      <c r="L6012">
        <v>0</v>
      </c>
      <c r="M6012" t="s">
        <v>18</v>
      </c>
      <c r="N6012">
        <v>0</v>
      </c>
      <c r="O6012">
        <v>0</v>
      </c>
    </row>
    <row r="6013" spans="1:15" x14ac:dyDescent="0.2">
      <c r="A6013" s="6">
        <v>45793</v>
      </c>
      <c r="B6013" t="s">
        <v>15</v>
      </c>
      <c r="C6013" t="s">
        <v>16</v>
      </c>
      <c r="D6013" s="1">
        <v>45855</v>
      </c>
      <c r="E6013" t="s">
        <v>19</v>
      </c>
      <c r="F6013">
        <v>4450</v>
      </c>
      <c r="J6013">
        <v>32.700000000000003</v>
      </c>
      <c r="K6013">
        <v>43.4</v>
      </c>
      <c r="L6013">
        <v>0</v>
      </c>
      <c r="M6013" t="s">
        <v>18</v>
      </c>
      <c r="N6013">
        <v>0</v>
      </c>
      <c r="O6013">
        <v>0</v>
      </c>
    </row>
    <row r="6014" spans="1:15" x14ac:dyDescent="0.2">
      <c r="A6014" s="6">
        <v>45793</v>
      </c>
      <c r="B6014" t="s">
        <v>15</v>
      </c>
      <c r="C6014" t="s">
        <v>16</v>
      </c>
      <c r="D6014" s="1">
        <v>45855</v>
      </c>
      <c r="E6014" t="s">
        <v>17</v>
      </c>
      <c r="F6014">
        <v>3850</v>
      </c>
      <c r="J6014">
        <v>1440.4</v>
      </c>
      <c r="K6014">
        <v>1369.2</v>
      </c>
      <c r="L6014">
        <v>0</v>
      </c>
      <c r="M6014" t="s">
        <v>18</v>
      </c>
      <c r="N6014">
        <v>0</v>
      </c>
      <c r="O6014">
        <v>0</v>
      </c>
    </row>
    <row r="6015" spans="1:15" x14ac:dyDescent="0.2">
      <c r="A6015" s="6">
        <v>45793</v>
      </c>
      <c r="B6015" t="s">
        <v>15</v>
      </c>
      <c r="C6015" t="s">
        <v>16</v>
      </c>
      <c r="D6015" s="1">
        <v>45855</v>
      </c>
      <c r="E6015" t="s">
        <v>19</v>
      </c>
      <c r="F6015">
        <v>4600</v>
      </c>
      <c r="J6015">
        <v>53.7</v>
      </c>
      <c r="K6015">
        <v>68.900000000000006</v>
      </c>
      <c r="L6015">
        <v>0</v>
      </c>
      <c r="M6015" t="s">
        <v>18</v>
      </c>
      <c r="N6015">
        <v>0</v>
      </c>
      <c r="O6015">
        <v>0</v>
      </c>
    </row>
    <row r="6016" spans="1:15" x14ac:dyDescent="0.2">
      <c r="A6016" s="6">
        <v>45793</v>
      </c>
      <c r="B6016" t="s">
        <v>15</v>
      </c>
      <c r="C6016" t="s">
        <v>16</v>
      </c>
      <c r="D6016" s="1">
        <v>45855</v>
      </c>
      <c r="E6016" t="s">
        <v>17</v>
      </c>
      <c r="F6016">
        <v>5550</v>
      </c>
      <c r="J6016">
        <v>191.1</v>
      </c>
      <c r="K6016">
        <v>170.6</v>
      </c>
      <c r="L6016">
        <v>0</v>
      </c>
      <c r="M6016" t="s">
        <v>18</v>
      </c>
      <c r="N6016">
        <v>0</v>
      </c>
      <c r="O6016">
        <v>0</v>
      </c>
    </row>
    <row r="6017" spans="1:15" x14ac:dyDescent="0.2">
      <c r="A6017" s="6">
        <v>45793</v>
      </c>
      <c r="B6017" t="s">
        <v>15</v>
      </c>
      <c r="C6017" t="s">
        <v>16</v>
      </c>
      <c r="D6017" s="1">
        <v>45855</v>
      </c>
      <c r="E6017" t="s">
        <v>19</v>
      </c>
      <c r="F6017">
        <v>4950</v>
      </c>
      <c r="J6017">
        <v>139.6</v>
      </c>
      <c r="K6017">
        <v>168</v>
      </c>
      <c r="L6017">
        <v>0</v>
      </c>
      <c r="M6017" t="s">
        <v>18</v>
      </c>
      <c r="N6017">
        <v>0</v>
      </c>
      <c r="O6017">
        <v>0</v>
      </c>
    </row>
    <row r="6018" spans="1:15" x14ac:dyDescent="0.2">
      <c r="A6018" s="6">
        <v>45793</v>
      </c>
      <c r="B6018" t="s">
        <v>15</v>
      </c>
      <c r="C6018" t="s">
        <v>16</v>
      </c>
      <c r="D6018" s="1">
        <v>45855</v>
      </c>
      <c r="E6018" t="s">
        <v>19</v>
      </c>
      <c r="F6018">
        <v>4250</v>
      </c>
      <c r="J6018">
        <v>15.3</v>
      </c>
      <c r="K6018">
        <v>21.3</v>
      </c>
      <c r="L6018">
        <v>0</v>
      </c>
      <c r="M6018" t="s">
        <v>18</v>
      </c>
      <c r="N6018">
        <v>0</v>
      </c>
      <c r="O6018">
        <v>0</v>
      </c>
    </row>
    <row r="6019" spans="1:15" x14ac:dyDescent="0.2">
      <c r="A6019" s="6">
        <v>45793</v>
      </c>
      <c r="B6019" t="s">
        <v>15</v>
      </c>
      <c r="C6019" t="s">
        <v>16</v>
      </c>
      <c r="D6019" s="1">
        <v>45855</v>
      </c>
      <c r="E6019" t="s">
        <v>17</v>
      </c>
      <c r="F6019">
        <v>5600</v>
      </c>
      <c r="J6019">
        <v>174.6</v>
      </c>
      <c r="K6019">
        <v>155.6</v>
      </c>
      <c r="L6019">
        <v>0</v>
      </c>
      <c r="M6019" t="s">
        <v>18</v>
      </c>
      <c r="N6019">
        <v>0</v>
      </c>
      <c r="O6019">
        <v>0</v>
      </c>
    </row>
    <row r="6020" spans="1:15" x14ac:dyDescent="0.2">
      <c r="A6020" s="6">
        <v>45793</v>
      </c>
      <c r="B6020" t="s">
        <v>15</v>
      </c>
      <c r="C6020" t="s">
        <v>16</v>
      </c>
      <c r="D6020" s="1">
        <v>45855</v>
      </c>
      <c r="E6020" t="s">
        <v>17</v>
      </c>
      <c r="F6020">
        <v>5750</v>
      </c>
      <c r="J6020">
        <v>131.69999999999999</v>
      </c>
      <c r="K6020">
        <v>117</v>
      </c>
      <c r="L6020">
        <v>0</v>
      </c>
      <c r="M6020" t="s">
        <v>18</v>
      </c>
      <c r="N6020">
        <v>0</v>
      </c>
      <c r="O6020">
        <v>0</v>
      </c>
    </row>
    <row r="6021" spans="1:15" x14ac:dyDescent="0.2">
      <c r="A6021" s="6">
        <v>45793</v>
      </c>
      <c r="B6021" t="s">
        <v>15</v>
      </c>
      <c r="C6021" t="s">
        <v>16</v>
      </c>
      <c r="D6021" s="1">
        <v>45855</v>
      </c>
      <c r="E6021" t="s">
        <v>19</v>
      </c>
      <c r="F6021">
        <v>6200</v>
      </c>
      <c r="J6021">
        <v>937.7</v>
      </c>
      <c r="K6021">
        <v>1003.8</v>
      </c>
      <c r="L6021">
        <v>0</v>
      </c>
      <c r="M6021" t="s">
        <v>18</v>
      </c>
      <c r="N6021">
        <v>0</v>
      </c>
      <c r="O6021">
        <v>0</v>
      </c>
    </row>
    <row r="6022" spans="1:15" x14ac:dyDescent="0.2">
      <c r="A6022" s="6">
        <v>45793</v>
      </c>
      <c r="B6022" t="s">
        <v>15</v>
      </c>
      <c r="C6022" t="s">
        <v>16</v>
      </c>
      <c r="D6022" s="1">
        <v>45855</v>
      </c>
      <c r="E6022" t="s">
        <v>19</v>
      </c>
      <c r="F6022">
        <v>5900</v>
      </c>
      <c r="J6022">
        <v>687.2</v>
      </c>
      <c r="K6022">
        <v>748.3</v>
      </c>
      <c r="L6022">
        <v>0</v>
      </c>
      <c r="M6022" t="s">
        <v>18</v>
      </c>
      <c r="N6022">
        <v>0</v>
      </c>
      <c r="O6022">
        <v>0</v>
      </c>
    </row>
    <row r="6023" spans="1:15" x14ac:dyDescent="0.2">
      <c r="A6023" s="6">
        <v>45793</v>
      </c>
      <c r="B6023" t="s">
        <v>15</v>
      </c>
      <c r="C6023" t="s">
        <v>16</v>
      </c>
      <c r="D6023" s="1">
        <v>45855</v>
      </c>
      <c r="E6023" t="s">
        <v>17</v>
      </c>
      <c r="F6023">
        <v>3800</v>
      </c>
      <c r="J6023">
        <v>1489.3</v>
      </c>
      <c r="K6023">
        <v>1417.9</v>
      </c>
      <c r="L6023">
        <v>0</v>
      </c>
      <c r="M6023" t="s">
        <v>18</v>
      </c>
      <c r="N6023">
        <v>0</v>
      </c>
      <c r="O6023">
        <v>0</v>
      </c>
    </row>
    <row r="6024" spans="1:15" x14ac:dyDescent="0.2">
      <c r="A6024" s="6">
        <v>45793</v>
      </c>
      <c r="B6024" t="s">
        <v>15</v>
      </c>
      <c r="C6024" t="s">
        <v>16</v>
      </c>
      <c r="D6024" s="1">
        <v>45855</v>
      </c>
      <c r="E6024" t="s">
        <v>17</v>
      </c>
      <c r="F6024">
        <v>6300</v>
      </c>
      <c r="J6024">
        <v>41</v>
      </c>
      <c r="K6024">
        <v>36.299999999999997</v>
      </c>
      <c r="L6024">
        <v>0</v>
      </c>
      <c r="M6024" t="s">
        <v>18</v>
      </c>
      <c r="N6024">
        <v>0</v>
      </c>
      <c r="O6024">
        <v>0</v>
      </c>
    </row>
    <row r="6025" spans="1:15" x14ac:dyDescent="0.2">
      <c r="A6025" s="6">
        <v>45793</v>
      </c>
      <c r="B6025" t="s">
        <v>15</v>
      </c>
      <c r="C6025" t="s">
        <v>16</v>
      </c>
      <c r="D6025" s="1">
        <v>45855</v>
      </c>
      <c r="E6025" t="s">
        <v>19</v>
      </c>
      <c r="F6025">
        <v>4100</v>
      </c>
      <c r="J6025">
        <v>7.9</v>
      </c>
      <c r="K6025">
        <v>11.6</v>
      </c>
      <c r="L6025">
        <v>0</v>
      </c>
      <c r="M6025" t="s">
        <v>18</v>
      </c>
      <c r="N6025">
        <v>0</v>
      </c>
      <c r="O6025">
        <v>0</v>
      </c>
    </row>
    <row r="6026" spans="1:15" x14ac:dyDescent="0.2">
      <c r="A6026" s="6">
        <v>45793</v>
      </c>
      <c r="B6026" t="s">
        <v>15</v>
      </c>
      <c r="C6026" t="s">
        <v>16</v>
      </c>
      <c r="D6026" s="1">
        <v>45855</v>
      </c>
      <c r="E6026" t="s">
        <v>17</v>
      </c>
      <c r="F6026">
        <v>6500</v>
      </c>
      <c r="J6026">
        <v>25.6</v>
      </c>
      <c r="K6026">
        <v>22.7</v>
      </c>
      <c r="L6026">
        <v>0</v>
      </c>
      <c r="M6026" t="s">
        <v>18</v>
      </c>
      <c r="N6026">
        <v>0</v>
      </c>
      <c r="O6026">
        <v>0</v>
      </c>
    </row>
    <row r="6027" spans="1:15" x14ac:dyDescent="0.2">
      <c r="A6027" s="6">
        <v>45793</v>
      </c>
      <c r="B6027" t="s">
        <v>15</v>
      </c>
      <c r="C6027" t="s">
        <v>16</v>
      </c>
      <c r="D6027" s="1">
        <v>45855</v>
      </c>
      <c r="E6027" t="s">
        <v>19</v>
      </c>
      <c r="F6027">
        <v>4500</v>
      </c>
      <c r="J6027">
        <v>38.799999999999997</v>
      </c>
      <c r="K6027">
        <v>50.9</v>
      </c>
      <c r="L6027">
        <v>0</v>
      </c>
      <c r="M6027" t="s">
        <v>18</v>
      </c>
      <c r="N6027">
        <v>0</v>
      </c>
      <c r="O6027">
        <v>0</v>
      </c>
    </row>
    <row r="6028" spans="1:15" x14ac:dyDescent="0.2">
      <c r="A6028" s="6">
        <v>45793</v>
      </c>
      <c r="B6028" t="s">
        <v>15</v>
      </c>
      <c r="C6028" t="s">
        <v>16</v>
      </c>
      <c r="D6028" s="1">
        <v>45855</v>
      </c>
      <c r="E6028" t="s">
        <v>19</v>
      </c>
      <c r="F6028">
        <v>5350</v>
      </c>
      <c r="J6028">
        <v>314.89999999999998</v>
      </c>
      <c r="K6028">
        <v>359.5</v>
      </c>
      <c r="L6028">
        <v>0</v>
      </c>
      <c r="M6028" t="s">
        <v>18</v>
      </c>
      <c r="N6028">
        <v>0</v>
      </c>
      <c r="O6028">
        <v>0</v>
      </c>
    </row>
    <row r="6029" spans="1:15" x14ac:dyDescent="0.2">
      <c r="A6029" s="6">
        <v>45793</v>
      </c>
      <c r="B6029" t="s">
        <v>15</v>
      </c>
      <c r="C6029" t="s">
        <v>16</v>
      </c>
      <c r="D6029" s="1">
        <v>45855</v>
      </c>
      <c r="E6029" t="s">
        <v>17</v>
      </c>
      <c r="F6029">
        <v>4050</v>
      </c>
      <c r="J6029">
        <v>1246.5999999999999</v>
      </c>
      <c r="K6029">
        <v>1177.2</v>
      </c>
      <c r="L6029">
        <v>0</v>
      </c>
      <c r="M6029" t="s">
        <v>18</v>
      </c>
      <c r="N6029">
        <v>0</v>
      </c>
      <c r="O6029">
        <v>0</v>
      </c>
    </row>
    <row r="6030" spans="1:15" x14ac:dyDescent="0.2">
      <c r="A6030" s="6">
        <v>45793</v>
      </c>
      <c r="B6030" t="s">
        <v>15</v>
      </c>
      <c r="C6030" t="s">
        <v>16</v>
      </c>
      <c r="D6030" s="1">
        <v>45855</v>
      </c>
      <c r="E6030" t="s">
        <v>17</v>
      </c>
      <c r="F6030">
        <v>4000</v>
      </c>
      <c r="J6030">
        <v>1294.7</v>
      </c>
      <c r="K6030">
        <v>1224.8</v>
      </c>
      <c r="L6030">
        <v>0</v>
      </c>
      <c r="M6030" t="s">
        <v>18</v>
      </c>
      <c r="N6030">
        <v>0</v>
      </c>
      <c r="O6030">
        <v>0</v>
      </c>
    </row>
    <row r="6031" spans="1:15" x14ac:dyDescent="0.2">
      <c r="A6031" s="6">
        <v>45793</v>
      </c>
      <c r="B6031" t="s">
        <v>15</v>
      </c>
      <c r="C6031" t="s">
        <v>16</v>
      </c>
      <c r="D6031" s="1">
        <v>45855</v>
      </c>
      <c r="E6031" t="s">
        <v>19</v>
      </c>
      <c r="F6031">
        <v>4400</v>
      </c>
      <c r="J6031">
        <v>27.3</v>
      </c>
      <c r="K6031">
        <v>36.700000000000003</v>
      </c>
      <c r="L6031">
        <v>0</v>
      </c>
      <c r="M6031" t="s">
        <v>18</v>
      </c>
      <c r="N6031">
        <v>0</v>
      </c>
      <c r="O6031">
        <v>0</v>
      </c>
    </row>
    <row r="6032" spans="1:15" x14ac:dyDescent="0.2">
      <c r="A6032" s="6">
        <v>45793</v>
      </c>
      <c r="B6032" t="s">
        <v>15</v>
      </c>
      <c r="C6032" t="s">
        <v>16</v>
      </c>
      <c r="D6032" s="1">
        <v>45855</v>
      </c>
      <c r="E6032" t="s">
        <v>17</v>
      </c>
      <c r="F6032">
        <v>6350</v>
      </c>
      <c r="J6032">
        <v>36.5</v>
      </c>
      <c r="K6032">
        <v>32.299999999999997</v>
      </c>
      <c r="L6032">
        <v>0</v>
      </c>
      <c r="M6032" t="s">
        <v>18</v>
      </c>
      <c r="N6032">
        <v>0</v>
      </c>
      <c r="O6032">
        <v>0</v>
      </c>
    </row>
    <row r="6033" spans="1:15" x14ac:dyDescent="0.2">
      <c r="A6033" s="6">
        <v>45793</v>
      </c>
      <c r="B6033" t="s">
        <v>15</v>
      </c>
      <c r="C6033" t="s">
        <v>16</v>
      </c>
      <c r="D6033" s="1">
        <v>45855</v>
      </c>
      <c r="E6033" t="s">
        <v>19</v>
      </c>
      <c r="F6033">
        <v>4650</v>
      </c>
      <c r="J6033">
        <v>62.6</v>
      </c>
      <c r="K6033">
        <v>79.5</v>
      </c>
      <c r="L6033">
        <v>0</v>
      </c>
      <c r="M6033" t="s">
        <v>18</v>
      </c>
      <c r="N6033">
        <v>0</v>
      </c>
      <c r="O6033">
        <v>0</v>
      </c>
    </row>
    <row r="6034" spans="1:15" x14ac:dyDescent="0.2">
      <c r="A6034" s="6">
        <v>45793</v>
      </c>
      <c r="B6034" t="s">
        <v>15</v>
      </c>
      <c r="C6034" t="s">
        <v>16</v>
      </c>
      <c r="D6034" s="1">
        <v>45855</v>
      </c>
      <c r="E6034" t="s">
        <v>17</v>
      </c>
      <c r="F6034">
        <v>6250</v>
      </c>
      <c r="J6034">
        <v>45.9</v>
      </c>
      <c r="K6034">
        <v>40.700000000000003</v>
      </c>
      <c r="L6034">
        <v>0</v>
      </c>
      <c r="M6034" t="s">
        <v>18</v>
      </c>
      <c r="N6034">
        <v>0</v>
      </c>
      <c r="O6034">
        <v>0</v>
      </c>
    </row>
    <row r="6035" spans="1:15" x14ac:dyDescent="0.2">
      <c r="A6035" s="6">
        <v>45793</v>
      </c>
      <c r="B6035" t="s">
        <v>15</v>
      </c>
      <c r="C6035" t="s">
        <v>16</v>
      </c>
      <c r="D6035" s="1">
        <v>45855</v>
      </c>
      <c r="E6035" t="s">
        <v>17</v>
      </c>
      <c r="F6035">
        <v>5150</v>
      </c>
      <c r="J6035">
        <v>368.7</v>
      </c>
      <c r="K6035">
        <v>333.2</v>
      </c>
      <c r="L6035">
        <v>0</v>
      </c>
      <c r="M6035" t="s">
        <v>18</v>
      </c>
      <c r="N6035">
        <v>0</v>
      </c>
      <c r="O6035">
        <v>0</v>
      </c>
    </row>
    <row r="6036" spans="1:15" x14ac:dyDescent="0.2">
      <c r="A6036" s="6">
        <v>45793</v>
      </c>
      <c r="B6036" t="s">
        <v>15</v>
      </c>
      <c r="C6036" t="s">
        <v>16</v>
      </c>
      <c r="D6036" s="1">
        <v>45855</v>
      </c>
      <c r="E6036" t="s">
        <v>17</v>
      </c>
      <c r="F6036">
        <v>5800</v>
      </c>
      <c r="J6036">
        <v>119.4</v>
      </c>
      <c r="K6036">
        <v>106.1</v>
      </c>
      <c r="L6036">
        <v>0</v>
      </c>
      <c r="M6036" t="s">
        <v>18</v>
      </c>
      <c r="N6036">
        <v>0</v>
      </c>
      <c r="O6036">
        <v>0</v>
      </c>
    </row>
    <row r="6037" spans="1:15" x14ac:dyDescent="0.2">
      <c r="A6037" s="6">
        <v>45793</v>
      </c>
      <c r="B6037" t="s">
        <v>15</v>
      </c>
      <c r="C6037" t="s">
        <v>16</v>
      </c>
      <c r="D6037" s="1">
        <v>45855</v>
      </c>
      <c r="E6037" t="s">
        <v>17</v>
      </c>
      <c r="F6037">
        <v>4550</v>
      </c>
      <c r="J6037">
        <v>791.6</v>
      </c>
      <c r="K6037">
        <v>732.9</v>
      </c>
      <c r="L6037">
        <v>0</v>
      </c>
      <c r="M6037" t="s">
        <v>18</v>
      </c>
      <c r="N6037">
        <v>0</v>
      </c>
      <c r="O6037">
        <v>0</v>
      </c>
    </row>
    <row r="6038" spans="1:15" x14ac:dyDescent="0.2">
      <c r="A6038" s="6">
        <v>45793</v>
      </c>
      <c r="B6038" t="s">
        <v>15</v>
      </c>
      <c r="C6038" t="s">
        <v>16</v>
      </c>
      <c r="D6038" s="1">
        <v>45855</v>
      </c>
      <c r="E6038" t="s">
        <v>17</v>
      </c>
      <c r="F6038">
        <v>5450</v>
      </c>
      <c r="J6038">
        <v>227.8</v>
      </c>
      <c r="K6038">
        <v>203.8</v>
      </c>
      <c r="L6038">
        <v>0</v>
      </c>
      <c r="M6038" t="s">
        <v>18</v>
      </c>
      <c r="N6038">
        <v>0</v>
      </c>
      <c r="O6038">
        <v>0</v>
      </c>
    </row>
    <row r="6039" spans="1:15" x14ac:dyDescent="0.2">
      <c r="A6039" s="6">
        <v>45793</v>
      </c>
      <c r="B6039" t="s">
        <v>15</v>
      </c>
      <c r="C6039" t="s">
        <v>16</v>
      </c>
      <c r="D6039" s="1">
        <v>45855</v>
      </c>
      <c r="E6039" t="s">
        <v>17</v>
      </c>
      <c r="F6039">
        <v>5050</v>
      </c>
      <c r="J6039">
        <v>426.5</v>
      </c>
      <c r="K6039">
        <v>386.8</v>
      </c>
      <c r="L6039">
        <v>0</v>
      </c>
      <c r="M6039" t="s">
        <v>18</v>
      </c>
      <c r="N6039">
        <v>0</v>
      </c>
      <c r="O6039">
        <v>0</v>
      </c>
    </row>
    <row r="6040" spans="1:15" x14ac:dyDescent="0.2">
      <c r="A6040" s="6">
        <v>45793</v>
      </c>
      <c r="B6040" t="s">
        <v>15</v>
      </c>
      <c r="C6040" t="s">
        <v>16</v>
      </c>
      <c r="D6040" s="1">
        <v>45855</v>
      </c>
      <c r="E6040" t="s">
        <v>19</v>
      </c>
      <c r="F6040">
        <v>6250</v>
      </c>
      <c r="J6040">
        <v>981.6</v>
      </c>
      <c r="K6040">
        <v>1048.4000000000001</v>
      </c>
      <c r="L6040">
        <v>0</v>
      </c>
      <c r="M6040" t="s">
        <v>18</v>
      </c>
      <c r="N6040">
        <v>0</v>
      </c>
      <c r="O6040">
        <v>0</v>
      </c>
    </row>
    <row r="6041" spans="1:15" x14ac:dyDescent="0.2">
      <c r="A6041" s="6">
        <v>45793</v>
      </c>
      <c r="B6041" t="s">
        <v>15</v>
      </c>
      <c r="C6041" t="s">
        <v>16</v>
      </c>
      <c r="D6041" s="1">
        <v>45855</v>
      </c>
      <c r="E6041" t="s">
        <v>19</v>
      </c>
      <c r="F6041">
        <v>5150</v>
      </c>
      <c r="J6041">
        <v>216.4</v>
      </c>
      <c r="K6041">
        <v>253.1</v>
      </c>
      <c r="L6041">
        <v>0</v>
      </c>
      <c r="M6041" t="s">
        <v>18</v>
      </c>
      <c r="N6041">
        <v>0</v>
      </c>
      <c r="O6041">
        <v>0</v>
      </c>
    </row>
    <row r="6042" spans="1:15" x14ac:dyDescent="0.2">
      <c r="A6042" s="6">
        <v>45793</v>
      </c>
      <c r="B6042" t="s">
        <v>15</v>
      </c>
      <c r="C6042" t="s">
        <v>16</v>
      </c>
      <c r="D6042" s="1">
        <v>45855</v>
      </c>
      <c r="E6042" t="s">
        <v>17</v>
      </c>
      <c r="F6042">
        <v>4500</v>
      </c>
      <c r="J6042">
        <v>834.1</v>
      </c>
      <c r="K6042">
        <v>773.8</v>
      </c>
      <c r="L6042">
        <v>0</v>
      </c>
      <c r="M6042" t="s">
        <v>18</v>
      </c>
      <c r="N6042">
        <v>0</v>
      </c>
      <c r="O6042">
        <v>0</v>
      </c>
    </row>
    <row r="6043" spans="1:15" x14ac:dyDescent="0.2">
      <c r="A6043" s="6">
        <v>45793</v>
      </c>
      <c r="B6043" t="s">
        <v>15</v>
      </c>
      <c r="C6043" t="s">
        <v>16</v>
      </c>
      <c r="D6043" s="1">
        <v>45855</v>
      </c>
      <c r="E6043" t="s">
        <v>17</v>
      </c>
      <c r="F6043">
        <v>5500</v>
      </c>
      <c r="J6043">
        <v>208.8</v>
      </c>
      <c r="K6043">
        <v>186.6</v>
      </c>
      <c r="L6043">
        <v>0</v>
      </c>
      <c r="M6043" t="s">
        <v>18</v>
      </c>
      <c r="N6043">
        <v>0</v>
      </c>
      <c r="O6043">
        <v>0</v>
      </c>
    </row>
    <row r="6044" spans="1:15" x14ac:dyDescent="0.2">
      <c r="A6044" s="6">
        <v>45793</v>
      </c>
      <c r="B6044" t="s">
        <v>15</v>
      </c>
      <c r="C6044" t="s">
        <v>16</v>
      </c>
      <c r="D6044" s="1">
        <v>45855</v>
      </c>
      <c r="E6044" t="s">
        <v>17</v>
      </c>
      <c r="F6044">
        <v>4250</v>
      </c>
      <c r="J6044">
        <v>1057.8</v>
      </c>
      <c r="K6044">
        <v>991.5</v>
      </c>
      <c r="L6044">
        <v>0</v>
      </c>
      <c r="M6044" t="s">
        <v>18</v>
      </c>
      <c r="N6044">
        <v>0</v>
      </c>
      <c r="O6044">
        <v>0</v>
      </c>
    </row>
    <row r="6045" spans="1:15" x14ac:dyDescent="0.2">
      <c r="A6045" s="6">
        <v>45793</v>
      </c>
      <c r="B6045" t="s">
        <v>15</v>
      </c>
      <c r="C6045" t="s">
        <v>16</v>
      </c>
      <c r="D6045" s="1">
        <v>45855</v>
      </c>
      <c r="E6045" t="s">
        <v>17</v>
      </c>
      <c r="F6045">
        <v>5200</v>
      </c>
      <c r="J6045">
        <v>341.9</v>
      </c>
      <c r="K6045">
        <v>308.39999999999998</v>
      </c>
      <c r="L6045">
        <v>0</v>
      </c>
      <c r="M6045" t="s">
        <v>18</v>
      </c>
      <c r="N6045">
        <v>0</v>
      </c>
      <c r="O6045">
        <v>0</v>
      </c>
    </row>
    <row r="6046" spans="1:15" x14ac:dyDescent="0.2">
      <c r="A6046" s="6">
        <v>45793</v>
      </c>
      <c r="B6046" t="s">
        <v>15</v>
      </c>
      <c r="C6046" t="s">
        <v>16</v>
      </c>
      <c r="D6046" s="1">
        <v>45855</v>
      </c>
      <c r="E6046" t="s">
        <v>17</v>
      </c>
      <c r="F6046">
        <v>5900</v>
      </c>
      <c r="J6046">
        <v>97.7</v>
      </c>
      <c r="K6046">
        <v>86.7</v>
      </c>
      <c r="L6046">
        <v>0</v>
      </c>
      <c r="M6046" t="s">
        <v>18</v>
      </c>
      <c r="N6046">
        <v>0</v>
      </c>
      <c r="O6046">
        <v>0</v>
      </c>
    </row>
    <row r="6047" spans="1:15" x14ac:dyDescent="0.2">
      <c r="A6047" s="6">
        <v>45793</v>
      </c>
      <c r="B6047" t="s">
        <v>15</v>
      </c>
      <c r="C6047" t="s">
        <v>16</v>
      </c>
      <c r="D6047" s="1">
        <v>45855</v>
      </c>
      <c r="E6047" t="s">
        <v>17</v>
      </c>
      <c r="F6047">
        <v>4150</v>
      </c>
      <c r="J6047">
        <v>1151.4000000000001</v>
      </c>
      <c r="K6047">
        <v>1083.4000000000001</v>
      </c>
      <c r="L6047">
        <v>0</v>
      </c>
      <c r="M6047" t="s">
        <v>18</v>
      </c>
      <c r="N6047">
        <v>0</v>
      </c>
      <c r="O6047">
        <v>0</v>
      </c>
    </row>
    <row r="6048" spans="1:15" x14ac:dyDescent="0.2">
      <c r="A6048" s="6">
        <v>45793</v>
      </c>
      <c r="B6048" t="s">
        <v>15</v>
      </c>
      <c r="C6048" t="s">
        <v>16</v>
      </c>
      <c r="D6048" s="1">
        <v>45855</v>
      </c>
      <c r="E6048" t="s">
        <v>17</v>
      </c>
      <c r="F6048">
        <v>3950</v>
      </c>
      <c r="J6048">
        <v>1343.1</v>
      </c>
      <c r="K6048">
        <v>1272.7</v>
      </c>
      <c r="L6048">
        <v>0</v>
      </c>
      <c r="M6048" t="s">
        <v>18</v>
      </c>
      <c r="N6048">
        <v>0</v>
      </c>
      <c r="O6048">
        <v>0</v>
      </c>
    </row>
    <row r="6049" spans="1:15" x14ac:dyDescent="0.2">
      <c r="A6049" s="6">
        <v>45793</v>
      </c>
      <c r="B6049" t="s">
        <v>15</v>
      </c>
      <c r="C6049" t="s">
        <v>16</v>
      </c>
      <c r="D6049" s="1">
        <v>45855</v>
      </c>
      <c r="E6049" t="s">
        <v>19</v>
      </c>
      <c r="F6049">
        <v>6350</v>
      </c>
      <c r="J6049">
        <v>1071.0999999999999</v>
      </c>
      <c r="K6049">
        <v>1138.9000000000001</v>
      </c>
      <c r="L6049">
        <v>0</v>
      </c>
      <c r="M6049" t="s">
        <v>18</v>
      </c>
      <c r="N6049">
        <v>0</v>
      </c>
      <c r="O6049">
        <v>0</v>
      </c>
    </row>
    <row r="6050" spans="1:15" x14ac:dyDescent="0.2">
      <c r="A6050" s="6">
        <v>45793</v>
      </c>
      <c r="B6050" t="s">
        <v>15</v>
      </c>
      <c r="C6050" t="s">
        <v>16</v>
      </c>
      <c r="D6050" s="1">
        <v>45855</v>
      </c>
      <c r="E6050" t="s">
        <v>19</v>
      </c>
      <c r="F6050">
        <v>5650</v>
      </c>
      <c r="J6050">
        <v>501.4</v>
      </c>
      <c r="K6050">
        <v>556.1</v>
      </c>
      <c r="L6050">
        <v>0</v>
      </c>
      <c r="M6050" t="s">
        <v>18</v>
      </c>
      <c r="N6050">
        <v>0</v>
      </c>
      <c r="O6050">
        <v>0</v>
      </c>
    </row>
    <row r="6051" spans="1:15" x14ac:dyDescent="0.2">
      <c r="A6051" s="6">
        <v>45793</v>
      </c>
      <c r="B6051" t="s">
        <v>15</v>
      </c>
      <c r="C6051" t="s">
        <v>16</v>
      </c>
      <c r="D6051" s="1">
        <v>45855</v>
      </c>
      <c r="E6051" t="s">
        <v>19</v>
      </c>
      <c r="F6051">
        <v>4850</v>
      </c>
      <c r="J6051">
        <v>109.1</v>
      </c>
      <c r="K6051">
        <v>133.5</v>
      </c>
      <c r="L6051">
        <v>0</v>
      </c>
      <c r="M6051" t="s">
        <v>18</v>
      </c>
      <c r="N6051">
        <v>0</v>
      </c>
      <c r="O6051">
        <v>0</v>
      </c>
    </row>
    <row r="6052" spans="1:15" x14ac:dyDescent="0.2">
      <c r="A6052" s="6">
        <v>45793</v>
      </c>
      <c r="B6052" t="s">
        <v>15</v>
      </c>
      <c r="C6052" t="s">
        <v>16</v>
      </c>
      <c r="D6052" s="1">
        <v>45855</v>
      </c>
      <c r="E6052" t="s">
        <v>19</v>
      </c>
      <c r="F6052">
        <v>5600</v>
      </c>
      <c r="J6052">
        <v>467.4</v>
      </c>
      <c r="K6052">
        <v>520.6</v>
      </c>
      <c r="L6052">
        <v>0</v>
      </c>
      <c r="M6052" t="s">
        <v>18</v>
      </c>
      <c r="N6052">
        <v>0</v>
      </c>
      <c r="O6052">
        <v>0</v>
      </c>
    </row>
    <row r="6053" spans="1:15" x14ac:dyDescent="0.2">
      <c r="A6053" s="6">
        <v>45793</v>
      </c>
      <c r="B6053" t="s">
        <v>15</v>
      </c>
      <c r="C6053" t="s">
        <v>16</v>
      </c>
      <c r="D6053" s="1">
        <v>45855</v>
      </c>
      <c r="E6053" t="s">
        <v>19</v>
      </c>
      <c r="F6053">
        <v>4000</v>
      </c>
      <c r="J6053">
        <v>4.9000000000000004</v>
      </c>
      <c r="K6053">
        <v>7.4</v>
      </c>
      <c r="L6053">
        <v>0</v>
      </c>
      <c r="M6053" t="s">
        <v>18</v>
      </c>
      <c r="N6053">
        <v>0</v>
      </c>
      <c r="O6053">
        <v>0</v>
      </c>
    </row>
    <row r="6054" spans="1:15" x14ac:dyDescent="0.2">
      <c r="A6054" s="6">
        <v>45793</v>
      </c>
      <c r="B6054" t="s">
        <v>15</v>
      </c>
      <c r="C6054" t="s">
        <v>16</v>
      </c>
      <c r="D6054" s="1">
        <v>45855</v>
      </c>
      <c r="E6054" t="s">
        <v>17</v>
      </c>
      <c r="F6054">
        <v>6100</v>
      </c>
      <c r="J6054">
        <v>64.099999999999994</v>
      </c>
      <c r="K6054">
        <v>56.8</v>
      </c>
      <c r="L6054">
        <v>0</v>
      </c>
      <c r="M6054" t="s">
        <v>18</v>
      </c>
      <c r="N6054">
        <v>0</v>
      </c>
      <c r="O6054">
        <v>0</v>
      </c>
    </row>
    <row r="6055" spans="1:15" x14ac:dyDescent="0.2">
      <c r="A6055" s="6">
        <v>45793</v>
      </c>
      <c r="B6055" t="s">
        <v>15</v>
      </c>
      <c r="C6055" t="s">
        <v>16</v>
      </c>
      <c r="D6055" s="1">
        <v>45855</v>
      </c>
      <c r="E6055" t="s">
        <v>17</v>
      </c>
      <c r="F6055">
        <v>5350</v>
      </c>
      <c r="J6055">
        <v>269.39999999999998</v>
      </c>
      <c r="K6055">
        <v>241.8</v>
      </c>
      <c r="L6055">
        <v>0</v>
      </c>
      <c r="M6055" t="s">
        <v>18</v>
      </c>
      <c r="N6055">
        <v>0</v>
      </c>
      <c r="O6055">
        <v>0</v>
      </c>
    </row>
    <row r="6056" spans="1:15" x14ac:dyDescent="0.2">
      <c r="A6056" s="6">
        <v>45793</v>
      </c>
      <c r="B6056" t="s">
        <v>15</v>
      </c>
      <c r="C6056" t="s">
        <v>16</v>
      </c>
      <c r="D6056" s="1">
        <v>45855</v>
      </c>
      <c r="E6056" t="s">
        <v>17</v>
      </c>
      <c r="F6056">
        <v>3600</v>
      </c>
      <c r="J6056">
        <v>1685.9</v>
      </c>
      <c r="K6056">
        <v>1613.8</v>
      </c>
      <c r="L6056">
        <v>0</v>
      </c>
      <c r="M6056" t="s">
        <v>18</v>
      </c>
      <c r="N6056">
        <v>0</v>
      </c>
      <c r="O6056">
        <v>0</v>
      </c>
    </row>
    <row r="6057" spans="1:15" x14ac:dyDescent="0.2">
      <c r="A6057" s="6">
        <v>45793</v>
      </c>
      <c r="B6057" t="s">
        <v>15</v>
      </c>
      <c r="C6057" t="s">
        <v>16</v>
      </c>
      <c r="D6057" s="1">
        <v>45855</v>
      </c>
      <c r="E6057" t="s">
        <v>17</v>
      </c>
      <c r="F6057">
        <v>3650</v>
      </c>
      <c r="J6057">
        <v>1636.6</v>
      </c>
      <c r="K6057">
        <v>1564.6</v>
      </c>
      <c r="L6057">
        <v>0</v>
      </c>
      <c r="M6057" t="s">
        <v>18</v>
      </c>
      <c r="N6057">
        <v>0</v>
      </c>
      <c r="O6057">
        <v>0</v>
      </c>
    </row>
    <row r="6058" spans="1:15" x14ac:dyDescent="0.2">
      <c r="A6058" s="6">
        <v>45793</v>
      </c>
      <c r="B6058" t="s">
        <v>15</v>
      </c>
      <c r="C6058" t="s">
        <v>16</v>
      </c>
      <c r="D6058" s="1">
        <v>45855</v>
      </c>
      <c r="E6058" t="s">
        <v>19</v>
      </c>
      <c r="F6058">
        <v>3650</v>
      </c>
      <c r="J6058">
        <v>0.7</v>
      </c>
      <c r="K6058">
        <v>1.1000000000000001</v>
      </c>
      <c r="L6058">
        <v>0</v>
      </c>
      <c r="M6058" t="s">
        <v>18</v>
      </c>
      <c r="N6058">
        <v>0</v>
      </c>
      <c r="O6058">
        <v>0</v>
      </c>
    </row>
    <row r="6059" spans="1:15" x14ac:dyDescent="0.2">
      <c r="A6059" s="6">
        <v>45793</v>
      </c>
      <c r="B6059" t="s">
        <v>15</v>
      </c>
      <c r="C6059" t="s">
        <v>16</v>
      </c>
      <c r="D6059" s="1">
        <v>45855</v>
      </c>
      <c r="E6059" t="s">
        <v>17</v>
      </c>
      <c r="F6059">
        <v>4600</v>
      </c>
      <c r="J6059">
        <v>750.1</v>
      </c>
      <c r="K6059">
        <v>692.9</v>
      </c>
      <c r="L6059">
        <v>0</v>
      </c>
      <c r="M6059" t="s">
        <v>18</v>
      </c>
      <c r="N6059">
        <v>0</v>
      </c>
      <c r="O6059">
        <v>0</v>
      </c>
    </row>
    <row r="6060" spans="1:15" x14ac:dyDescent="0.2">
      <c r="A6060" s="6">
        <v>45793</v>
      </c>
      <c r="B6060" t="s">
        <v>15</v>
      </c>
      <c r="C6060" t="s">
        <v>16</v>
      </c>
      <c r="D6060" s="1">
        <v>45855</v>
      </c>
      <c r="E6060" t="s">
        <v>19</v>
      </c>
      <c r="F6060">
        <v>3950</v>
      </c>
      <c r="J6060">
        <v>3.8</v>
      </c>
      <c r="K6060">
        <v>5.8</v>
      </c>
      <c r="L6060">
        <v>0</v>
      </c>
      <c r="M6060" t="s">
        <v>18</v>
      </c>
      <c r="N6060">
        <v>0</v>
      </c>
      <c r="O6060">
        <v>0</v>
      </c>
    </row>
    <row r="6061" spans="1:15" x14ac:dyDescent="0.2">
      <c r="A6061" s="6">
        <v>45793</v>
      </c>
      <c r="B6061" t="s">
        <v>15</v>
      </c>
      <c r="C6061" t="s">
        <v>16</v>
      </c>
      <c r="D6061" s="1">
        <v>45855</v>
      </c>
      <c r="E6061" t="s">
        <v>17</v>
      </c>
      <c r="F6061">
        <v>6400</v>
      </c>
      <c r="J6061">
        <v>32.5</v>
      </c>
      <c r="K6061">
        <v>28.8</v>
      </c>
      <c r="L6061">
        <v>0</v>
      </c>
      <c r="M6061" t="s">
        <v>18</v>
      </c>
      <c r="N6061">
        <v>0</v>
      </c>
      <c r="O6061">
        <v>0</v>
      </c>
    </row>
    <row r="6062" spans="1:15" x14ac:dyDescent="0.2">
      <c r="A6062" s="6">
        <v>45793</v>
      </c>
      <c r="B6062" t="s">
        <v>15</v>
      </c>
      <c r="C6062" t="s">
        <v>16</v>
      </c>
      <c r="D6062" s="1">
        <v>45855</v>
      </c>
      <c r="E6062" t="s">
        <v>19</v>
      </c>
      <c r="F6062">
        <v>3850</v>
      </c>
      <c r="J6062">
        <v>2.2000000000000002</v>
      </c>
      <c r="K6062">
        <v>3.5</v>
      </c>
      <c r="L6062">
        <v>0</v>
      </c>
      <c r="M6062" t="s">
        <v>18</v>
      </c>
      <c r="N6062">
        <v>0</v>
      </c>
      <c r="O6062">
        <v>0</v>
      </c>
    </row>
    <row r="6063" spans="1:15" x14ac:dyDescent="0.2">
      <c r="A6063" s="6">
        <v>45793</v>
      </c>
      <c r="B6063" t="s">
        <v>15</v>
      </c>
      <c r="C6063" t="s">
        <v>16</v>
      </c>
      <c r="D6063" s="1">
        <v>45855</v>
      </c>
      <c r="E6063" t="s">
        <v>19</v>
      </c>
      <c r="F6063">
        <v>6000</v>
      </c>
      <c r="J6063">
        <v>767.8</v>
      </c>
      <c r="K6063">
        <v>830.9</v>
      </c>
      <c r="L6063">
        <v>0</v>
      </c>
      <c r="M6063" t="s">
        <v>18</v>
      </c>
      <c r="N6063">
        <v>0</v>
      </c>
      <c r="O6063">
        <v>0</v>
      </c>
    </row>
    <row r="6064" spans="1:15" x14ac:dyDescent="0.2">
      <c r="A6064" s="6">
        <v>45793</v>
      </c>
      <c r="B6064" t="s">
        <v>15</v>
      </c>
      <c r="C6064" t="s">
        <v>16</v>
      </c>
      <c r="D6064" s="1">
        <v>45855</v>
      </c>
      <c r="E6064" t="s">
        <v>19</v>
      </c>
      <c r="F6064">
        <v>5550</v>
      </c>
      <c r="J6064">
        <v>434.4</v>
      </c>
      <c r="K6064">
        <v>486.1</v>
      </c>
      <c r="L6064">
        <v>0</v>
      </c>
      <c r="M6064" t="s">
        <v>18</v>
      </c>
      <c r="N6064">
        <v>0</v>
      </c>
      <c r="O6064">
        <v>0</v>
      </c>
    </row>
    <row r="6065" spans="1:15" x14ac:dyDescent="0.2">
      <c r="A6065" s="6">
        <v>45793</v>
      </c>
      <c r="B6065" t="s">
        <v>15</v>
      </c>
      <c r="C6065" t="s">
        <v>16</v>
      </c>
      <c r="D6065" s="1">
        <v>45855</v>
      </c>
      <c r="E6065" t="s">
        <v>19</v>
      </c>
      <c r="F6065">
        <v>4800</v>
      </c>
      <c r="J6065">
        <v>95.7</v>
      </c>
      <c r="K6065">
        <v>118.1</v>
      </c>
      <c r="L6065">
        <v>0</v>
      </c>
      <c r="M6065" t="s">
        <v>18</v>
      </c>
      <c r="N6065">
        <v>0</v>
      </c>
      <c r="O6065">
        <v>0</v>
      </c>
    </row>
    <row r="6066" spans="1:15" x14ac:dyDescent="0.2">
      <c r="A6066" s="6">
        <v>45793</v>
      </c>
      <c r="B6066" t="s">
        <v>15</v>
      </c>
      <c r="C6066" t="s">
        <v>16</v>
      </c>
      <c r="D6066" s="1">
        <v>45855</v>
      </c>
      <c r="E6066" t="s">
        <v>17</v>
      </c>
      <c r="F6066">
        <v>6600</v>
      </c>
      <c r="J6066">
        <v>20</v>
      </c>
      <c r="K6066">
        <v>17.8</v>
      </c>
      <c r="L6066">
        <v>0</v>
      </c>
      <c r="M6066" t="s">
        <v>18</v>
      </c>
      <c r="N6066">
        <v>0</v>
      </c>
      <c r="O6066">
        <v>0</v>
      </c>
    </row>
    <row r="6067" spans="1:15" x14ac:dyDescent="0.2">
      <c r="A6067" s="6">
        <v>45793</v>
      </c>
      <c r="B6067" t="s">
        <v>15</v>
      </c>
      <c r="C6067" t="s">
        <v>16</v>
      </c>
      <c r="D6067" s="1">
        <v>45855</v>
      </c>
      <c r="E6067" t="s">
        <v>19</v>
      </c>
      <c r="F6067">
        <v>5850</v>
      </c>
      <c r="J6067">
        <v>648.20000000000005</v>
      </c>
      <c r="K6067">
        <v>708.1</v>
      </c>
      <c r="L6067">
        <v>0</v>
      </c>
      <c r="M6067" t="s">
        <v>18</v>
      </c>
      <c r="N6067">
        <v>0</v>
      </c>
      <c r="O6067">
        <v>0</v>
      </c>
    </row>
    <row r="6068" spans="1:15" x14ac:dyDescent="0.2">
      <c r="A6068" s="6">
        <v>45793</v>
      </c>
      <c r="B6068" t="s">
        <v>15</v>
      </c>
      <c r="C6068" t="s">
        <v>16</v>
      </c>
      <c r="D6068" s="1">
        <v>45855</v>
      </c>
      <c r="E6068" t="s">
        <v>19</v>
      </c>
      <c r="F6068">
        <v>6500</v>
      </c>
      <c r="J6068">
        <v>1208.5</v>
      </c>
      <c r="K6068">
        <v>1277.5999999999999</v>
      </c>
      <c r="L6068">
        <v>0</v>
      </c>
      <c r="M6068" t="s">
        <v>18</v>
      </c>
      <c r="N6068">
        <v>0</v>
      </c>
      <c r="O6068">
        <v>0</v>
      </c>
    </row>
    <row r="6069" spans="1:15" x14ac:dyDescent="0.2">
      <c r="A6069" s="6">
        <v>45793</v>
      </c>
      <c r="B6069" t="s">
        <v>15</v>
      </c>
      <c r="C6069" t="s">
        <v>16</v>
      </c>
      <c r="D6069" s="1">
        <v>45855</v>
      </c>
      <c r="E6069" t="s">
        <v>17</v>
      </c>
      <c r="F6069">
        <v>3900</v>
      </c>
      <c r="J6069">
        <v>1391.6</v>
      </c>
      <c r="K6069">
        <v>1320.8</v>
      </c>
      <c r="L6069">
        <v>0</v>
      </c>
      <c r="M6069" t="s">
        <v>18</v>
      </c>
      <c r="N6069">
        <v>0</v>
      </c>
      <c r="O6069">
        <v>0</v>
      </c>
    </row>
    <row r="6070" spans="1:15" x14ac:dyDescent="0.2">
      <c r="A6070" s="6">
        <v>45793</v>
      </c>
      <c r="B6070" t="s">
        <v>15</v>
      </c>
      <c r="C6070" t="s">
        <v>16</v>
      </c>
      <c r="D6070" s="1">
        <v>45855</v>
      </c>
      <c r="E6070" t="s">
        <v>19</v>
      </c>
      <c r="F6070">
        <v>6300</v>
      </c>
      <c r="J6070">
        <v>1026.0999999999999</v>
      </c>
      <c r="K6070">
        <v>1093.5</v>
      </c>
      <c r="L6070">
        <v>0</v>
      </c>
      <c r="M6070" t="s">
        <v>18</v>
      </c>
      <c r="N6070">
        <v>0</v>
      </c>
      <c r="O6070">
        <v>0</v>
      </c>
    </row>
    <row r="6071" spans="1:15" x14ac:dyDescent="0.2">
      <c r="A6071" s="6">
        <v>45793</v>
      </c>
      <c r="B6071" t="s">
        <v>15</v>
      </c>
      <c r="C6071" t="s">
        <v>16</v>
      </c>
      <c r="D6071" s="1">
        <v>45855</v>
      </c>
      <c r="E6071" t="s">
        <v>17</v>
      </c>
      <c r="F6071">
        <v>5850</v>
      </c>
      <c r="J6071">
        <v>108.1</v>
      </c>
      <c r="K6071">
        <v>95.9</v>
      </c>
      <c r="L6071">
        <v>0</v>
      </c>
      <c r="M6071" t="s">
        <v>18</v>
      </c>
      <c r="N6071">
        <v>0</v>
      </c>
      <c r="O6071">
        <v>0</v>
      </c>
    </row>
    <row r="6072" spans="1:15" x14ac:dyDescent="0.2">
      <c r="A6072" s="6">
        <v>45793</v>
      </c>
      <c r="B6072" t="s">
        <v>15</v>
      </c>
      <c r="C6072" t="s">
        <v>16</v>
      </c>
      <c r="D6072" s="1">
        <v>45855</v>
      </c>
      <c r="E6072" t="s">
        <v>19</v>
      </c>
      <c r="F6072">
        <v>4350</v>
      </c>
      <c r="J6072">
        <v>22.7</v>
      </c>
      <c r="K6072">
        <v>30.9</v>
      </c>
      <c r="L6072">
        <v>0</v>
      </c>
      <c r="M6072" t="s">
        <v>18</v>
      </c>
      <c r="N6072">
        <v>0</v>
      </c>
      <c r="O6072">
        <v>0</v>
      </c>
    </row>
    <row r="6073" spans="1:15" x14ac:dyDescent="0.2">
      <c r="A6073" s="6">
        <v>45793</v>
      </c>
      <c r="B6073" t="s">
        <v>15</v>
      </c>
      <c r="C6073" t="s">
        <v>16</v>
      </c>
      <c r="D6073" s="1">
        <v>45855</v>
      </c>
      <c r="E6073" t="s">
        <v>17</v>
      </c>
      <c r="F6073">
        <v>6150</v>
      </c>
      <c r="J6073">
        <v>57.5</v>
      </c>
      <c r="K6073">
        <v>50.9</v>
      </c>
      <c r="L6073">
        <v>0</v>
      </c>
      <c r="M6073" t="s">
        <v>18</v>
      </c>
      <c r="N6073">
        <v>0</v>
      </c>
      <c r="O6073">
        <v>0</v>
      </c>
    </row>
    <row r="6074" spans="1:15" x14ac:dyDescent="0.2">
      <c r="A6074" s="6">
        <v>45793</v>
      </c>
      <c r="B6074" t="s">
        <v>15</v>
      </c>
      <c r="C6074" t="s">
        <v>16</v>
      </c>
      <c r="D6074" s="1">
        <v>45855</v>
      </c>
      <c r="E6074" t="s">
        <v>19</v>
      </c>
      <c r="F6074">
        <v>4750</v>
      </c>
      <c r="J6074">
        <v>83.5</v>
      </c>
      <c r="K6074">
        <v>104.1</v>
      </c>
      <c r="L6074">
        <v>0</v>
      </c>
      <c r="M6074" t="s">
        <v>18</v>
      </c>
      <c r="N6074">
        <v>0</v>
      </c>
      <c r="O6074">
        <v>0</v>
      </c>
    </row>
    <row r="6075" spans="1:15" x14ac:dyDescent="0.2">
      <c r="A6075" s="6">
        <v>45793</v>
      </c>
      <c r="B6075" t="s">
        <v>15</v>
      </c>
      <c r="C6075" t="s">
        <v>16</v>
      </c>
      <c r="D6075" s="1">
        <v>45855</v>
      </c>
      <c r="E6075" t="s">
        <v>19</v>
      </c>
      <c r="F6075">
        <v>4300</v>
      </c>
      <c r="J6075">
        <v>18.7</v>
      </c>
      <c r="K6075">
        <v>25.8</v>
      </c>
      <c r="L6075">
        <v>0</v>
      </c>
      <c r="M6075" t="s">
        <v>18</v>
      </c>
      <c r="N6075">
        <v>0</v>
      </c>
      <c r="O6075">
        <v>0</v>
      </c>
    </row>
    <row r="6076" spans="1:15" x14ac:dyDescent="0.2">
      <c r="A6076" s="6">
        <v>45793</v>
      </c>
      <c r="B6076" t="s">
        <v>15</v>
      </c>
      <c r="C6076" t="s">
        <v>16</v>
      </c>
      <c r="D6076" s="1">
        <v>45855</v>
      </c>
      <c r="E6076" t="s">
        <v>17</v>
      </c>
      <c r="F6076">
        <v>5400</v>
      </c>
      <c r="J6076">
        <v>248</v>
      </c>
      <c r="K6076">
        <v>222.2</v>
      </c>
      <c r="L6076">
        <v>0</v>
      </c>
      <c r="M6076" t="s">
        <v>18</v>
      </c>
      <c r="N6076">
        <v>0</v>
      </c>
      <c r="O6076">
        <v>0</v>
      </c>
    </row>
    <row r="6077" spans="1:15" x14ac:dyDescent="0.2">
      <c r="A6077" s="6">
        <v>45793</v>
      </c>
      <c r="B6077" t="s">
        <v>15</v>
      </c>
      <c r="C6077" t="s">
        <v>16</v>
      </c>
      <c r="D6077" s="1">
        <v>45855</v>
      </c>
      <c r="E6077" t="s">
        <v>19</v>
      </c>
      <c r="F6077">
        <v>6600</v>
      </c>
      <c r="J6077">
        <v>1301.9000000000001</v>
      </c>
      <c r="K6077">
        <v>1371.6</v>
      </c>
      <c r="L6077">
        <v>0</v>
      </c>
      <c r="M6077" t="s">
        <v>18</v>
      </c>
      <c r="N6077">
        <v>0</v>
      </c>
      <c r="O6077">
        <v>0</v>
      </c>
    </row>
    <row r="6078" spans="1:15" x14ac:dyDescent="0.2">
      <c r="A6078" s="6">
        <v>45793</v>
      </c>
      <c r="B6078" t="s">
        <v>15</v>
      </c>
      <c r="C6078" t="s">
        <v>16</v>
      </c>
      <c r="D6078" s="1">
        <v>45855</v>
      </c>
      <c r="E6078" t="s">
        <v>17</v>
      </c>
      <c r="F6078">
        <v>5650</v>
      </c>
      <c r="J6078">
        <v>159.19999999999999</v>
      </c>
      <c r="K6078">
        <v>141.80000000000001</v>
      </c>
      <c r="L6078">
        <v>0</v>
      </c>
      <c r="M6078" t="s">
        <v>18</v>
      </c>
      <c r="N6078">
        <v>0</v>
      </c>
      <c r="O6078">
        <v>0</v>
      </c>
    </row>
    <row r="6079" spans="1:15" x14ac:dyDescent="0.2">
      <c r="A6079" s="6">
        <v>45793</v>
      </c>
      <c r="B6079" t="s">
        <v>15</v>
      </c>
      <c r="C6079" t="s">
        <v>16</v>
      </c>
      <c r="D6079" s="1">
        <v>45855</v>
      </c>
      <c r="E6079" t="s">
        <v>17</v>
      </c>
      <c r="F6079">
        <v>4700</v>
      </c>
      <c r="J6079">
        <v>670</v>
      </c>
      <c r="K6079">
        <v>616.29999999999995</v>
      </c>
      <c r="L6079">
        <v>0</v>
      </c>
      <c r="M6079" t="s">
        <v>18</v>
      </c>
      <c r="N6079">
        <v>0</v>
      </c>
      <c r="O6079">
        <v>0</v>
      </c>
    </row>
    <row r="6080" spans="1:15" x14ac:dyDescent="0.2">
      <c r="A6080" s="6">
        <v>45793</v>
      </c>
      <c r="B6080" t="s">
        <v>15</v>
      </c>
      <c r="C6080" t="s">
        <v>16</v>
      </c>
      <c r="D6080" s="1">
        <v>45855</v>
      </c>
      <c r="E6080" t="s">
        <v>19</v>
      </c>
      <c r="F6080">
        <v>6450</v>
      </c>
      <c r="J6080">
        <v>1162.3</v>
      </c>
      <c r="K6080">
        <v>1231.0999999999999</v>
      </c>
      <c r="L6080">
        <v>0</v>
      </c>
      <c r="M6080" t="s">
        <v>18</v>
      </c>
      <c r="N6080">
        <v>0</v>
      </c>
      <c r="O6080">
        <v>0</v>
      </c>
    </row>
    <row r="6081" spans="1:15" x14ac:dyDescent="0.2">
      <c r="A6081" s="6">
        <v>45793</v>
      </c>
      <c r="B6081" t="s">
        <v>15</v>
      </c>
      <c r="C6081" t="s">
        <v>16</v>
      </c>
      <c r="D6081" s="1">
        <v>45855</v>
      </c>
      <c r="E6081" t="s">
        <v>17</v>
      </c>
      <c r="F6081">
        <v>6450</v>
      </c>
      <c r="J6081">
        <v>28.8</v>
      </c>
      <c r="K6081">
        <v>25.6</v>
      </c>
      <c r="L6081">
        <v>0</v>
      </c>
      <c r="M6081" t="s">
        <v>18</v>
      </c>
      <c r="N6081">
        <v>0</v>
      </c>
      <c r="O6081">
        <v>0</v>
      </c>
    </row>
    <row r="6082" spans="1:15" x14ac:dyDescent="0.2">
      <c r="A6082" s="6">
        <v>45793</v>
      </c>
      <c r="B6082" t="s">
        <v>15</v>
      </c>
      <c r="C6082" t="s">
        <v>16</v>
      </c>
      <c r="D6082" s="1">
        <v>45855</v>
      </c>
      <c r="E6082" t="s">
        <v>19</v>
      </c>
      <c r="F6082">
        <v>5000</v>
      </c>
      <c r="J6082">
        <v>156.80000000000001</v>
      </c>
      <c r="K6082">
        <v>187.2</v>
      </c>
      <c r="L6082">
        <v>0</v>
      </c>
      <c r="M6082" t="s">
        <v>18</v>
      </c>
      <c r="N6082">
        <v>0</v>
      </c>
      <c r="O6082">
        <v>0</v>
      </c>
    </row>
    <row r="6083" spans="1:15" x14ac:dyDescent="0.2">
      <c r="A6083" s="6">
        <v>45793</v>
      </c>
      <c r="B6083" t="s">
        <v>15</v>
      </c>
      <c r="C6083" t="s">
        <v>16</v>
      </c>
      <c r="D6083" s="1">
        <v>45855</v>
      </c>
      <c r="E6083" t="s">
        <v>19</v>
      </c>
      <c r="F6083">
        <v>4150</v>
      </c>
      <c r="J6083">
        <v>10</v>
      </c>
      <c r="K6083">
        <v>14.3</v>
      </c>
      <c r="L6083">
        <v>0</v>
      </c>
      <c r="M6083" t="s">
        <v>18</v>
      </c>
      <c r="N6083">
        <v>0</v>
      </c>
      <c r="O6083">
        <v>0</v>
      </c>
    </row>
    <row r="6084" spans="1:15" x14ac:dyDescent="0.2">
      <c r="A6084" s="6">
        <v>45793</v>
      </c>
      <c r="B6084" t="s">
        <v>15</v>
      </c>
      <c r="C6084" t="s">
        <v>16</v>
      </c>
      <c r="D6084" s="1">
        <v>45855</v>
      </c>
      <c r="E6084" t="s">
        <v>19</v>
      </c>
      <c r="F6084">
        <v>5950</v>
      </c>
      <c r="J6084">
        <v>727.1</v>
      </c>
      <c r="K6084">
        <v>789.2</v>
      </c>
      <c r="L6084">
        <v>0</v>
      </c>
      <c r="M6084" t="s">
        <v>18</v>
      </c>
      <c r="N6084">
        <v>0</v>
      </c>
      <c r="O6084">
        <v>0</v>
      </c>
    </row>
    <row r="6085" spans="1:15" x14ac:dyDescent="0.2">
      <c r="A6085" s="6">
        <v>45793</v>
      </c>
      <c r="B6085" t="s">
        <v>15</v>
      </c>
      <c r="C6085" t="s">
        <v>16</v>
      </c>
      <c r="D6085" s="1">
        <v>45855</v>
      </c>
      <c r="E6085" t="s">
        <v>19</v>
      </c>
      <c r="F6085">
        <v>3800</v>
      </c>
      <c r="J6085">
        <v>1.7</v>
      </c>
      <c r="K6085">
        <v>2.7</v>
      </c>
      <c r="L6085">
        <v>0</v>
      </c>
      <c r="M6085" t="s">
        <v>18</v>
      </c>
      <c r="N6085">
        <v>0</v>
      </c>
      <c r="O6085">
        <v>0</v>
      </c>
    </row>
    <row r="6086" spans="1:15" x14ac:dyDescent="0.2">
      <c r="A6086" s="6">
        <v>45793</v>
      </c>
      <c r="B6086" t="s">
        <v>15</v>
      </c>
      <c r="C6086" t="s">
        <v>16</v>
      </c>
      <c r="D6086" s="1">
        <v>45855</v>
      </c>
      <c r="E6086" t="s">
        <v>17</v>
      </c>
      <c r="F6086">
        <v>4300</v>
      </c>
      <c r="J6086">
        <v>1011.8</v>
      </c>
      <c r="K6086">
        <v>946.4</v>
      </c>
      <c r="L6086">
        <v>0</v>
      </c>
      <c r="M6086" t="s">
        <v>18</v>
      </c>
      <c r="N6086">
        <v>0</v>
      </c>
      <c r="O6086">
        <v>0</v>
      </c>
    </row>
    <row r="6087" spans="1:15" x14ac:dyDescent="0.2">
      <c r="A6087" s="6">
        <v>45793</v>
      </c>
      <c r="B6087" t="s">
        <v>15</v>
      </c>
      <c r="C6087" t="s">
        <v>16</v>
      </c>
      <c r="D6087" s="1">
        <v>45855</v>
      </c>
      <c r="E6087" t="s">
        <v>19</v>
      </c>
      <c r="F6087">
        <v>6100</v>
      </c>
      <c r="J6087">
        <v>851.4</v>
      </c>
      <c r="K6087">
        <v>916.2</v>
      </c>
      <c r="L6087">
        <v>0</v>
      </c>
      <c r="M6087" t="s">
        <v>18</v>
      </c>
      <c r="N6087">
        <v>0</v>
      </c>
      <c r="O6087">
        <v>0</v>
      </c>
    </row>
    <row r="6088" spans="1:15" x14ac:dyDescent="0.2">
      <c r="A6088" s="6">
        <v>45793</v>
      </c>
      <c r="B6088" t="s">
        <v>15</v>
      </c>
      <c r="C6088" t="s">
        <v>16</v>
      </c>
      <c r="D6088" s="1">
        <v>45855</v>
      </c>
      <c r="E6088" t="s">
        <v>17</v>
      </c>
      <c r="F6088">
        <v>6000</v>
      </c>
      <c r="J6088">
        <v>79.400000000000006</v>
      </c>
      <c r="K6088">
        <v>70.400000000000006</v>
      </c>
      <c r="L6088">
        <v>0</v>
      </c>
      <c r="M6088" t="s">
        <v>18</v>
      </c>
      <c r="N6088">
        <v>0</v>
      </c>
      <c r="O6088">
        <v>0</v>
      </c>
    </row>
    <row r="6089" spans="1:15" x14ac:dyDescent="0.2">
      <c r="A6089" s="6">
        <v>45793</v>
      </c>
      <c r="B6089" t="s">
        <v>15</v>
      </c>
      <c r="C6089" t="s">
        <v>16</v>
      </c>
      <c r="D6089" s="1">
        <v>45855</v>
      </c>
      <c r="E6089" t="s">
        <v>19</v>
      </c>
      <c r="F6089">
        <v>5750</v>
      </c>
      <c r="J6089">
        <v>572.79999999999995</v>
      </c>
      <c r="K6089">
        <v>630.29999999999995</v>
      </c>
      <c r="L6089">
        <v>0</v>
      </c>
      <c r="M6089" t="s">
        <v>18</v>
      </c>
      <c r="N6089">
        <v>0</v>
      </c>
      <c r="O6089">
        <v>0</v>
      </c>
    </row>
    <row r="6090" spans="1:15" x14ac:dyDescent="0.2">
      <c r="A6090" s="6">
        <v>45793</v>
      </c>
      <c r="B6090" t="s">
        <v>15</v>
      </c>
      <c r="C6090" t="s">
        <v>16</v>
      </c>
      <c r="D6090" s="1">
        <v>45855</v>
      </c>
      <c r="E6090" t="s">
        <v>19</v>
      </c>
      <c r="F6090">
        <v>5500</v>
      </c>
      <c r="J6090">
        <v>402.7</v>
      </c>
      <c r="K6090">
        <v>452.7</v>
      </c>
      <c r="L6090">
        <v>0</v>
      </c>
      <c r="M6090" t="s">
        <v>18</v>
      </c>
      <c r="N6090">
        <v>0</v>
      </c>
      <c r="O6090">
        <v>0</v>
      </c>
    </row>
    <row r="6091" spans="1:15" x14ac:dyDescent="0.2">
      <c r="A6091" s="6">
        <v>45793</v>
      </c>
      <c r="B6091" t="s">
        <v>15</v>
      </c>
      <c r="C6091" t="s">
        <v>16</v>
      </c>
      <c r="D6091" s="1">
        <v>45855</v>
      </c>
      <c r="E6091" t="s">
        <v>19</v>
      </c>
      <c r="F6091">
        <v>4050</v>
      </c>
      <c r="J6091">
        <v>6.3</v>
      </c>
      <c r="K6091">
        <v>9.3000000000000007</v>
      </c>
      <c r="L6091">
        <v>0</v>
      </c>
      <c r="M6091" t="s">
        <v>18</v>
      </c>
      <c r="N6091">
        <v>0</v>
      </c>
      <c r="O6091">
        <v>0</v>
      </c>
    </row>
    <row r="6092" spans="1:15" x14ac:dyDescent="0.2">
      <c r="A6092" s="6">
        <v>45792</v>
      </c>
      <c r="B6092" t="s">
        <v>15</v>
      </c>
      <c r="C6092" t="s">
        <v>16</v>
      </c>
      <c r="D6092" s="1">
        <v>45855</v>
      </c>
      <c r="E6092" t="s">
        <v>17</v>
      </c>
      <c r="F6092">
        <v>4650</v>
      </c>
      <c r="J6092">
        <v>654.1</v>
      </c>
      <c r="K6092">
        <v>769.5</v>
      </c>
      <c r="L6092">
        <v>0</v>
      </c>
      <c r="M6092" t="s">
        <v>18</v>
      </c>
      <c r="N6092">
        <v>0</v>
      </c>
      <c r="O6092">
        <v>0</v>
      </c>
    </row>
    <row r="6093" spans="1:15" x14ac:dyDescent="0.2">
      <c r="A6093" s="6">
        <v>45792</v>
      </c>
      <c r="B6093" t="s">
        <v>15</v>
      </c>
      <c r="C6093" t="s">
        <v>16</v>
      </c>
      <c r="D6093" s="1">
        <v>45855</v>
      </c>
      <c r="E6093" t="s">
        <v>19</v>
      </c>
      <c r="F6093">
        <v>6050</v>
      </c>
      <c r="J6093">
        <v>873.2</v>
      </c>
      <c r="K6093">
        <v>759.1</v>
      </c>
      <c r="L6093">
        <v>0</v>
      </c>
      <c r="M6093" t="s">
        <v>18</v>
      </c>
      <c r="N6093">
        <v>0</v>
      </c>
      <c r="O6093">
        <v>0</v>
      </c>
    </row>
    <row r="6094" spans="1:15" x14ac:dyDescent="0.2">
      <c r="A6094" s="6">
        <v>45792</v>
      </c>
      <c r="B6094" t="s">
        <v>15</v>
      </c>
      <c r="C6094" t="s">
        <v>16</v>
      </c>
      <c r="D6094" s="1">
        <v>45855</v>
      </c>
      <c r="E6094" t="s">
        <v>19</v>
      </c>
      <c r="F6094">
        <v>6650</v>
      </c>
      <c r="J6094">
        <v>1419</v>
      </c>
      <c r="K6094">
        <v>1287.4000000000001</v>
      </c>
      <c r="L6094">
        <v>0</v>
      </c>
      <c r="M6094" t="s">
        <v>18</v>
      </c>
      <c r="N6094">
        <v>0</v>
      </c>
      <c r="O6094">
        <v>0</v>
      </c>
    </row>
    <row r="6095" spans="1:15" x14ac:dyDescent="0.2">
      <c r="A6095" s="6">
        <v>45792</v>
      </c>
      <c r="B6095" t="s">
        <v>15</v>
      </c>
      <c r="C6095" t="s">
        <v>16</v>
      </c>
      <c r="D6095" s="1">
        <v>45855</v>
      </c>
      <c r="E6095" t="s">
        <v>19</v>
      </c>
      <c r="F6095">
        <v>5100</v>
      </c>
      <c r="J6095">
        <v>229.8</v>
      </c>
      <c r="K6095">
        <v>176.4</v>
      </c>
      <c r="L6095">
        <v>0</v>
      </c>
      <c r="M6095" t="s">
        <v>18</v>
      </c>
      <c r="N6095">
        <v>0</v>
      </c>
      <c r="O6095">
        <v>0</v>
      </c>
    </row>
    <row r="6096" spans="1:15" x14ac:dyDescent="0.2">
      <c r="A6096" s="6">
        <v>45792</v>
      </c>
      <c r="B6096" t="s">
        <v>15</v>
      </c>
      <c r="C6096" t="s">
        <v>16</v>
      </c>
      <c r="D6096" s="1">
        <v>45855</v>
      </c>
      <c r="E6096" t="s">
        <v>17</v>
      </c>
      <c r="F6096">
        <v>4200</v>
      </c>
      <c r="J6096">
        <v>1037.0999999999999</v>
      </c>
      <c r="K6096">
        <v>1169.7</v>
      </c>
      <c r="L6096">
        <v>0</v>
      </c>
      <c r="M6096" t="s">
        <v>18</v>
      </c>
      <c r="N6096">
        <v>0</v>
      </c>
      <c r="O6096">
        <v>0</v>
      </c>
    </row>
    <row r="6097" spans="1:15" x14ac:dyDescent="0.2">
      <c r="A6097" s="6">
        <v>45792</v>
      </c>
      <c r="B6097" t="s">
        <v>15</v>
      </c>
      <c r="C6097" t="s">
        <v>16</v>
      </c>
      <c r="D6097" s="1">
        <v>45855</v>
      </c>
      <c r="E6097" t="s">
        <v>17</v>
      </c>
      <c r="F6097">
        <v>5250</v>
      </c>
      <c r="J6097">
        <v>284.89999999999998</v>
      </c>
      <c r="K6097">
        <v>359.8</v>
      </c>
      <c r="L6097">
        <v>0</v>
      </c>
      <c r="M6097" t="s">
        <v>18</v>
      </c>
      <c r="N6097">
        <v>0</v>
      </c>
      <c r="O6097">
        <v>0</v>
      </c>
    </row>
    <row r="6098" spans="1:15" x14ac:dyDescent="0.2">
      <c r="A6098" s="6">
        <v>45792</v>
      </c>
      <c r="B6098" t="s">
        <v>15</v>
      </c>
      <c r="C6098" t="s">
        <v>16</v>
      </c>
      <c r="D6098" s="1">
        <v>45855</v>
      </c>
      <c r="E6098" t="s">
        <v>17</v>
      </c>
      <c r="F6098">
        <v>5700</v>
      </c>
      <c r="J6098">
        <v>128.9</v>
      </c>
      <c r="K6098">
        <v>172.7</v>
      </c>
      <c r="L6098">
        <v>0</v>
      </c>
      <c r="M6098" t="s">
        <v>18</v>
      </c>
      <c r="N6098">
        <v>0</v>
      </c>
      <c r="O6098">
        <v>0</v>
      </c>
    </row>
    <row r="6099" spans="1:15" x14ac:dyDescent="0.2">
      <c r="A6099" s="6">
        <v>45792</v>
      </c>
      <c r="B6099" t="s">
        <v>15</v>
      </c>
      <c r="C6099" t="s">
        <v>16</v>
      </c>
      <c r="D6099" s="1">
        <v>45855</v>
      </c>
      <c r="E6099" t="s">
        <v>17</v>
      </c>
      <c r="F6099">
        <v>4800</v>
      </c>
      <c r="J6099">
        <v>544.4</v>
      </c>
      <c r="K6099">
        <v>651.1</v>
      </c>
      <c r="L6099">
        <v>0</v>
      </c>
      <c r="M6099" t="s">
        <v>18</v>
      </c>
      <c r="N6099">
        <v>0</v>
      </c>
      <c r="O6099">
        <v>0</v>
      </c>
    </row>
    <row r="6100" spans="1:15" x14ac:dyDescent="0.2">
      <c r="A6100" s="6">
        <v>45792</v>
      </c>
      <c r="B6100" t="s">
        <v>15</v>
      </c>
      <c r="C6100" t="s">
        <v>16</v>
      </c>
      <c r="D6100" s="1">
        <v>45855</v>
      </c>
      <c r="E6100" t="s">
        <v>17</v>
      </c>
      <c r="F6100">
        <v>4900</v>
      </c>
      <c r="J6100">
        <v>477.4</v>
      </c>
      <c r="K6100">
        <v>577.6</v>
      </c>
      <c r="L6100">
        <v>0</v>
      </c>
      <c r="M6100" t="s">
        <v>18</v>
      </c>
      <c r="N6100">
        <v>0</v>
      </c>
      <c r="O6100">
        <v>0</v>
      </c>
    </row>
    <row r="6101" spans="1:15" x14ac:dyDescent="0.2">
      <c r="A6101" s="6">
        <v>45792</v>
      </c>
      <c r="B6101" t="s">
        <v>15</v>
      </c>
      <c r="C6101" t="s">
        <v>16</v>
      </c>
      <c r="D6101" s="1">
        <v>45855</v>
      </c>
      <c r="E6101" t="s">
        <v>19</v>
      </c>
      <c r="F6101">
        <v>4200</v>
      </c>
      <c r="J6101">
        <v>17.600000000000001</v>
      </c>
      <c r="K6101">
        <v>10.9</v>
      </c>
      <c r="L6101">
        <v>0</v>
      </c>
      <c r="M6101" t="s">
        <v>18</v>
      </c>
      <c r="N6101">
        <v>0</v>
      </c>
      <c r="O6101">
        <v>0</v>
      </c>
    </row>
    <row r="6102" spans="1:15" x14ac:dyDescent="0.2">
      <c r="A6102" s="6">
        <v>45792</v>
      </c>
      <c r="B6102" t="s">
        <v>15</v>
      </c>
      <c r="C6102" t="s">
        <v>16</v>
      </c>
      <c r="D6102" s="1">
        <v>45855</v>
      </c>
      <c r="E6102" t="s">
        <v>17</v>
      </c>
      <c r="F6102">
        <v>4950</v>
      </c>
      <c r="J6102">
        <v>445.9</v>
      </c>
      <c r="K6102">
        <v>542.70000000000005</v>
      </c>
      <c r="L6102">
        <v>0</v>
      </c>
      <c r="M6102" t="s">
        <v>18</v>
      </c>
      <c r="N6102">
        <v>0</v>
      </c>
      <c r="O6102">
        <v>0</v>
      </c>
    </row>
    <row r="6103" spans="1:15" x14ac:dyDescent="0.2">
      <c r="A6103" s="6">
        <v>45792</v>
      </c>
      <c r="B6103" t="s">
        <v>15</v>
      </c>
      <c r="C6103" t="s">
        <v>16</v>
      </c>
      <c r="D6103" s="1">
        <v>45855</v>
      </c>
      <c r="E6103" t="s">
        <v>17</v>
      </c>
      <c r="F6103">
        <v>5100</v>
      </c>
      <c r="J6103">
        <v>359.3</v>
      </c>
      <c r="K6103">
        <v>445.4</v>
      </c>
      <c r="L6103">
        <v>0</v>
      </c>
      <c r="M6103" t="s">
        <v>18</v>
      </c>
      <c r="N6103">
        <v>0</v>
      </c>
      <c r="O6103">
        <v>0</v>
      </c>
    </row>
    <row r="6104" spans="1:15" x14ac:dyDescent="0.2">
      <c r="A6104" s="6">
        <v>45792</v>
      </c>
      <c r="B6104" t="s">
        <v>15</v>
      </c>
      <c r="C6104" t="s">
        <v>16</v>
      </c>
      <c r="D6104" s="1">
        <v>45855</v>
      </c>
      <c r="E6104" t="s">
        <v>17</v>
      </c>
      <c r="F6104">
        <v>5300</v>
      </c>
      <c r="J6104">
        <v>262.7</v>
      </c>
      <c r="K6104">
        <v>334</v>
      </c>
      <c r="L6104">
        <v>0</v>
      </c>
      <c r="M6104" t="s">
        <v>18</v>
      </c>
      <c r="N6104">
        <v>0</v>
      </c>
      <c r="O6104">
        <v>0</v>
      </c>
    </row>
    <row r="6105" spans="1:15" x14ac:dyDescent="0.2">
      <c r="A6105" s="6">
        <v>45792</v>
      </c>
      <c r="B6105" t="s">
        <v>15</v>
      </c>
      <c r="C6105" t="s">
        <v>16</v>
      </c>
      <c r="D6105" s="1">
        <v>45855</v>
      </c>
      <c r="E6105" t="s">
        <v>19</v>
      </c>
      <c r="F6105">
        <v>3600</v>
      </c>
      <c r="J6105">
        <v>0.8</v>
      </c>
      <c r="K6105">
        <v>0.4</v>
      </c>
      <c r="L6105">
        <v>0</v>
      </c>
      <c r="M6105" t="s">
        <v>18</v>
      </c>
      <c r="N6105">
        <v>0</v>
      </c>
      <c r="O6105">
        <v>0</v>
      </c>
    </row>
    <row r="6106" spans="1:15" x14ac:dyDescent="0.2">
      <c r="A6106" s="6">
        <v>45792</v>
      </c>
      <c r="B6106" t="s">
        <v>15</v>
      </c>
      <c r="C6106" t="s">
        <v>16</v>
      </c>
      <c r="D6106" s="1">
        <v>45855</v>
      </c>
      <c r="E6106" t="s">
        <v>17</v>
      </c>
      <c r="F6106">
        <v>5950</v>
      </c>
      <c r="J6106">
        <v>78.2</v>
      </c>
      <c r="K6106">
        <v>108.2</v>
      </c>
      <c r="L6106">
        <v>0</v>
      </c>
      <c r="M6106" t="s">
        <v>18</v>
      </c>
      <c r="N6106">
        <v>0</v>
      </c>
      <c r="O6106">
        <v>0</v>
      </c>
    </row>
    <row r="6107" spans="1:15" x14ac:dyDescent="0.2">
      <c r="A6107" s="6">
        <v>45792</v>
      </c>
      <c r="B6107" t="s">
        <v>15</v>
      </c>
      <c r="C6107" t="s">
        <v>16</v>
      </c>
      <c r="D6107" s="1">
        <v>45855</v>
      </c>
      <c r="E6107" t="s">
        <v>19</v>
      </c>
      <c r="F6107">
        <v>3900</v>
      </c>
      <c r="J6107">
        <v>4.5999999999999996</v>
      </c>
      <c r="K6107">
        <v>2.6</v>
      </c>
      <c r="L6107">
        <v>0</v>
      </c>
      <c r="M6107" t="s">
        <v>18</v>
      </c>
      <c r="N6107">
        <v>0</v>
      </c>
      <c r="O6107">
        <v>0</v>
      </c>
    </row>
    <row r="6108" spans="1:15" x14ac:dyDescent="0.2">
      <c r="A6108" s="6">
        <v>45792</v>
      </c>
      <c r="B6108" t="s">
        <v>15</v>
      </c>
      <c r="C6108" t="s">
        <v>16</v>
      </c>
      <c r="D6108" s="1">
        <v>45855</v>
      </c>
      <c r="E6108" t="s">
        <v>17</v>
      </c>
      <c r="F6108">
        <v>5200</v>
      </c>
      <c r="J6108">
        <v>308.39999999999998</v>
      </c>
      <c r="K6108">
        <v>387</v>
      </c>
      <c r="L6108">
        <v>0</v>
      </c>
      <c r="M6108" t="s">
        <v>18</v>
      </c>
      <c r="N6108">
        <v>0</v>
      </c>
      <c r="O6108">
        <v>0</v>
      </c>
    </row>
    <row r="6109" spans="1:15" x14ac:dyDescent="0.2">
      <c r="A6109" s="6">
        <v>45792</v>
      </c>
      <c r="B6109" t="s">
        <v>15</v>
      </c>
      <c r="C6109" t="s">
        <v>16</v>
      </c>
      <c r="D6109" s="1">
        <v>45855</v>
      </c>
      <c r="E6109" t="s">
        <v>19</v>
      </c>
      <c r="F6109">
        <v>6150</v>
      </c>
      <c r="J6109">
        <v>959.7</v>
      </c>
      <c r="K6109">
        <v>841.6</v>
      </c>
      <c r="L6109">
        <v>0</v>
      </c>
      <c r="M6109" t="s">
        <v>18</v>
      </c>
      <c r="N6109">
        <v>0</v>
      </c>
      <c r="O6109">
        <v>0</v>
      </c>
    </row>
    <row r="6110" spans="1:15" x14ac:dyDescent="0.2">
      <c r="A6110" s="6">
        <v>45792</v>
      </c>
      <c r="B6110" t="s">
        <v>15</v>
      </c>
      <c r="C6110" t="s">
        <v>16</v>
      </c>
      <c r="D6110" s="1">
        <v>45855</v>
      </c>
      <c r="E6110" t="s">
        <v>17</v>
      </c>
      <c r="F6110">
        <v>6200</v>
      </c>
      <c r="J6110">
        <v>45.5</v>
      </c>
      <c r="K6110">
        <v>65.099999999999994</v>
      </c>
      <c r="L6110">
        <v>0</v>
      </c>
      <c r="M6110" t="s">
        <v>18</v>
      </c>
      <c r="N6110">
        <v>0</v>
      </c>
      <c r="O6110">
        <v>0</v>
      </c>
    </row>
    <row r="6111" spans="1:15" x14ac:dyDescent="0.2">
      <c r="A6111" s="6">
        <v>45792</v>
      </c>
      <c r="B6111" t="s">
        <v>15</v>
      </c>
      <c r="C6111" t="s">
        <v>16</v>
      </c>
      <c r="D6111" s="1">
        <v>45855</v>
      </c>
      <c r="E6111" t="s">
        <v>19</v>
      </c>
      <c r="F6111">
        <v>4900</v>
      </c>
      <c r="J6111">
        <v>150.1</v>
      </c>
      <c r="K6111">
        <v>110.9</v>
      </c>
      <c r="L6111">
        <v>0</v>
      </c>
      <c r="M6111" t="s">
        <v>18</v>
      </c>
      <c r="N6111">
        <v>0</v>
      </c>
      <c r="O6111">
        <v>0</v>
      </c>
    </row>
    <row r="6112" spans="1:15" x14ac:dyDescent="0.2">
      <c r="A6112" s="6">
        <v>45792</v>
      </c>
      <c r="B6112" t="s">
        <v>15</v>
      </c>
      <c r="C6112" t="s">
        <v>16</v>
      </c>
      <c r="D6112" s="1">
        <v>45855</v>
      </c>
      <c r="E6112" t="s">
        <v>17</v>
      </c>
      <c r="F6112">
        <v>4450</v>
      </c>
      <c r="J6112">
        <v>815.7</v>
      </c>
      <c r="K6112">
        <v>940.5</v>
      </c>
      <c r="L6112">
        <v>0</v>
      </c>
      <c r="M6112" t="s">
        <v>18</v>
      </c>
      <c r="N6112">
        <v>0</v>
      </c>
      <c r="O6112">
        <v>0</v>
      </c>
    </row>
    <row r="6113" spans="1:15" x14ac:dyDescent="0.2">
      <c r="A6113" s="6">
        <v>45792</v>
      </c>
      <c r="B6113" t="s">
        <v>15</v>
      </c>
      <c r="C6113" t="s">
        <v>16</v>
      </c>
      <c r="D6113" s="1">
        <v>45855</v>
      </c>
      <c r="E6113" t="s">
        <v>17</v>
      </c>
      <c r="F6113">
        <v>4100</v>
      </c>
      <c r="J6113">
        <v>1130.0999999999999</v>
      </c>
      <c r="K6113">
        <v>1264.7</v>
      </c>
      <c r="L6113">
        <v>0</v>
      </c>
      <c r="M6113" t="s">
        <v>18</v>
      </c>
      <c r="N6113">
        <v>0</v>
      </c>
      <c r="O6113">
        <v>0</v>
      </c>
    </row>
    <row r="6114" spans="1:15" x14ac:dyDescent="0.2">
      <c r="A6114" s="6">
        <v>45792</v>
      </c>
      <c r="B6114" t="s">
        <v>15</v>
      </c>
      <c r="C6114" t="s">
        <v>16</v>
      </c>
      <c r="D6114" s="1">
        <v>45855</v>
      </c>
      <c r="E6114" t="s">
        <v>17</v>
      </c>
      <c r="F6114">
        <v>4750</v>
      </c>
      <c r="J6114">
        <v>579.70000000000005</v>
      </c>
      <c r="K6114">
        <v>689.5</v>
      </c>
      <c r="L6114">
        <v>0</v>
      </c>
      <c r="M6114" t="s">
        <v>18</v>
      </c>
      <c r="N6114">
        <v>0</v>
      </c>
      <c r="O6114">
        <v>0</v>
      </c>
    </row>
    <row r="6115" spans="1:15" x14ac:dyDescent="0.2">
      <c r="A6115" s="6">
        <v>45792</v>
      </c>
      <c r="B6115" t="s">
        <v>15</v>
      </c>
      <c r="C6115" t="s">
        <v>16</v>
      </c>
      <c r="D6115" s="1">
        <v>45855</v>
      </c>
      <c r="E6115" t="s">
        <v>17</v>
      </c>
      <c r="F6115">
        <v>5000</v>
      </c>
      <c r="J6115">
        <v>415.7</v>
      </c>
      <c r="K6115">
        <v>509</v>
      </c>
      <c r="L6115">
        <v>0</v>
      </c>
      <c r="M6115" t="s">
        <v>18</v>
      </c>
      <c r="N6115">
        <v>0</v>
      </c>
      <c r="O6115">
        <v>0</v>
      </c>
    </row>
    <row r="6116" spans="1:15" x14ac:dyDescent="0.2">
      <c r="A6116" s="6">
        <v>45792</v>
      </c>
      <c r="B6116" t="s">
        <v>15</v>
      </c>
      <c r="C6116" t="s">
        <v>16</v>
      </c>
      <c r="D6116" s="1">
        <v>45855</v>
      </c>
      <c r="E6116" t="s">
        <v>17</v>
      </c>
      <c r="F6116">
        <v>4400</v>
      </c>
      <c r="J6116">
        <v>858.5</v>
      </c>
      <c r="K6116">
        <v>985.2</v>
      </c>
      <c r="L6116">
        <v>0</v>
      </c>
      <c r="M6116" t="s">
        <v>18</v>
      </c>
      <c r="N6116">
        <v>0</v>
      </c>
      <c r="O6116">
        <v>0</v>
      </c>
    </row>
    <row r="6117" spans="1:15" x14ac:dyDescent="0.2">
      <c r="A6117" s="6">
        <v>45792</v>
      </c>
      <c r="B6117" t="s">
        <v>15</v>
      </c>
      <c r="C6117" t="s">
        <v>16</v>
      </c>
      <c r="D6117" s="1">
        <v>45855</v>
      </c>
      <c r="E6117" t="s">
        <v>17</v>
      </c>
      <c r="F6117">
        <v>5150</v>
      </c>
      <c r="J6117">
        <v>333.2</v>
      </c>
      <c r="K6117">
        <v>415.5</v>
      </c>
      <c r="L6117">
        <v>0</v>
      </c>
      <c r="M6117" t="s">
        <v>18</v>
      </c>
      <c r="N6117">
        <v>0</v>
      </c>
      <c r="O6117">
        <v>0</v>
      </c>
    </row>
    <row r="6118" spans="1:15" x14ac:dyDescent="0.2">
      <c r="A6118" s="6">
        <v>45792</v>
      </c>
      <c r="B6118" t="s">
        <v>15</v>
      </c>
      <c r="C6118" t="s">
        <v>16</v>
      </c>
      <c r="D6118" s="1">
        <v>45855</v>
      </c>
      <c r="E6118" t="s">
        <v>17</v>
      </c>
      <c r="F6118">
        <v>3700</v>
      </c>
      <c r="J6118">
        <v>1515.6</v>
      </c>
      <c r="K6118">
        <v>1654</v>
      </c>
      <c r="L6118">
        <v>0</v>
      </c>
      <c r="M6118" t="s">
        <v>18</v>
      </c>
      <c r="N6118">
        <v>0</v>
      </c>
      <c r="O6118">
        <v>0</v>
      </c>
    </row>
    <row r="6119" spans="1:15" x14ac:dyDescent="0.2">
      <c r="A6119" s="6">
        <v>45792</v>
      </c>
      <c r="B6119" t="s">
        <v>15</v>
      </c>
      <c r="C6119" t="s">
        <v>16</v>
      </c>
      <c r="D6119" s="1">
        <v>45855</v>
      </c>
      <c r="E6119" t="s">
        <v>17</v>
      </c>
      <c r="F6119">
        <v>4850</v>
      </c>
      <c r="J6119">
        <v>510.2</v>
      </c>
      <c r="K6119">
        <v>613.79999999999995</v>
      </c>
      <c r="L6119">
        <v>0</v>
      </c>
      <c r="M6119" t="s">
        <v>18</v>
      </c>
      <c r="N6119">
        <v>0</v>
      </c>
      <c r="O6119">
        <v>0</v>
      </c>
    </row>
    <row r="6120" spans="1:15" x14ac:dyDescent="0.2">
      <c r="A6120" s="6">
        <v>45792</v>
      </c>
      <c r="B6120" t="s">
        <v>15</v>
      </c>
      <c r="C6120" t="s">
        <v>16</v>
      </c>
      <c r="D6120" s="1">
        <v>45855</v>
      </c>
      <c r="E6120" t="s">
        <v>19</v>
      </c>
      <c r="F6120">
        <v>5250</v>
      </c>
      <c r="J6120">
        <v>303.7</v>
      </c>
      <c r="K6120">
        <v>239.2</v>
      </c>
      <c r="L6120">
        <v>0</v>
      </c>
      <c r="M6120" t="s">
        <v>18</v>
      </c>
      <c r="N6120">
        <v>0</v>
      </c>
      <c r="O6120">
        <v>0</v>
      </c>
    </row>
    <row r="6121" spans="1:15" x14ac:dyDescent="0.2">
      <c r="A6121" s="6">
        <v>45792</v>
      </c>
      <c r="B6121" t="s">
        <v>15</v>
      </c>
      <c r="C6121" t="s">
        <v>16</v>
      </c>
      <c r="D6121" s="1">
        <v>45855</v>
      </c>
      <c r="E6121" t="s">
        <v>17</v>
      </c>
      <c r="F6121">
        <v>4350</v>
      </c>
      <c r="J6121">
        <v>902.1</v>
      </c>
      <c r="K6121">
        <v>1030.5</v>
      </c>
      <c r="L6121">
        <v>0</v>
      </c>
      <c r="M6121" t="s">
        <v>18</v>
      </c>
      <c r="N6121">
        <v>0</v>
      </c>
      <c r="O6121">
        <v>0</v>
      </c>
    </row>
    <row r="6122" spans="1:15" x14ac:dyDescent="0.2">
      <c r="A6122" s="6">
        <v>45792</v>
      </c>
      <c r="B6122" t="s">
        <v>15</v>
      </c>
      <c r="C6122" t="s">
        <v>16</v>
      </c>
      <c r="D6122" s="1">
        <v>45855</v>
      </c>
      <c r="E6122" t="s">
        <v>19</v>
      </c>
      <c r="F6122">
        <v>5200</v>
      </c>
      <c r="J6122">
        <v>277.7</v>
      </c>
      <c r="K6122">
        <v>217</v>
      </c>
      <c r="L6122">
        <v>0</v>
      </c>
      <c r="M6122" t="s">
        <v>18</v>
      </c>
      <c r="N6122">
        <v>0</v>
      </c>
      <c r="O6122">
        <v>0</v>
      </c>
    </row>
    <row r="6123" spans="1:15" x14ac:dyDescent="0.2">
      <c r="A6123" s="6">
        <v>45792</v>
      </c>
      <c r="B6123" t="s">
        <v>15</v>
      </c>
      <c r="C6123" t="s">
        <v>16</v>
      </c>
      <c r="D6123" s="1">
        <v>45855</v>
      </c>
      <c r="E6123" t="s">
        <v>19</v>
      </c>
      <c r="F6123">
        <v>5900</v>
      </c>
      <c r="J6123">
        <v>748.3</v>
      </c>
      <c r="K6123">
        <v>641.29999999999995</v>
      </c>
      <c r="L6123">
        <v>0</v>
      </c>
      <c r="M6123" t="s">
        <v>18</v>
      </c>
      <c r="N6123">
        <v>0</v>
      </c>
      <c r="O6123">
        <v>0</v>
      </c>
    </row>
    <row r="6124" spans="1:15" x14ac:dyDescent="0.2">
      <c r="A6124" s="6">
        <v>45792</v>
      </c>
      <c r="B6124" t="s">
        <v>15</v>
      </c>
      <c r="C6124" t="s">
        <v>16</v>
      </c>
      <c r="D6124" s="1">
        <v>45855</v>
      </c>
      <c r="E6124" t="s">
        <v>17</v>
      </c>
      <c r="F6124">
        <v>3800</v>
      </c>
      <c r="J6124">
        <v>1417.9</v>
      </c>
      <c r="K6124">
        <v>1555.8</v>
      </c>
      <c r="L6124">
        <v>0</v>
      </c>
      <c r="M6124" t="s">
        <v>18</v>
      </c>
      <c r="N6124">
        <v>0</v>
      </c>
      <c r="O6124">
        <v>0</v>
      </c>
    </row>
    <row r="6125" spans="1:15" x14ac:dyDescent="0.2">
      <c r="A6125" s="6">
        <v>45792</v>
      </c>
      <c r="B6125" t="s">
        <v>15</v>
      </c>
      <c r="C6125" t="s">
        <v>16</v>
      </c>
      <c r="D6125" s="1">
        <v>45855</v>
      </c>
      <c r="E6125" t="s">
        <v>19</v>
      </c>
      <c r="F6125">
        <v>6200</v>
      </c>
      <c r="J6125">
        <v>1003.8</v>
      </c>
      <c r="K6125">
        <v>883.8</v>
      </c>
      <c r="L6125">
        <v>0</v>
      </c>
      <c r="M6125" t="s">
        <v>18</v>
      </c>
      <c r="N6125">
        <v>0</v>
      </c>
      <c r="O6125">
        <v>0</v>
      </c>
    </row>
    <row r="6126" spans="1:15" x14ac:dyDescent="0.2">
      <c r="A6126" s="6">
        <v>45792</v>
      </c>
      <c r="B6126" t="s">
        <v>15</v>
      </c>
      <c r="C6126" t="s">
        <v>16</v>
      </c>
      <c r="D6126" s="1">
        <v>45855</v>
      </c>
      <c r="E6126" t="s">
        <v>19</v>
      </c>
      <c r="F6126">
        <v>4250</v>
      </c>
      <c r="J6126">
        <v>21.3</v>
      </c>
      <c r="K6126">
        <v>13.5</v>
      </c>
      <c r="L6126">
        <v>0</v>
      </c>
      <c r="M6126" t="s">
        <v>18</v>
      </c>
      <c r="N6126">
        <v>0</v>
      </c>
      <c r="O6126">
        <v>0</v>
      </c>
    </row>
    <row r="6127" spans="1:15" x14ac:dyDescent="0.2">
      <c r="A6127" s="6">
        <v>45792</v>
      </c>
      <c r="B6127" t="s">
        <v>15</v>
      </c>
      <c r="C6127" t="s">
        <v>16</v>
      </c>
      <c r="D6127" s="1">
        <v>45855</v>
      </c>
      <c r="E6127" t="s">
        <v>17</v>
      </c>
      <c r="F6127">
        <v>5600</v>
      </c>
      <c r="J6127">
        <v>155.6</v>
      </c>
      <c r="K6127">
        <v>205.8</v>
      </c>
      <c r="L6127">
        <v>0</v>
      </c>
      <c r="M6127" t="s">
        <v>18</v>
      </c>
      <c r="N6127">
        <v>0</v>
      </c>
      <c r="O6127">
        <v>0</v>
      </c>
    </row>
    <row r="6128" spans="1:15" x14ac:dyDescent="0.2">
      <c r="A6128" s="6">
        <v>45792</v>
      </c>
      <c r="B6128" t="s">
        <v>15</v>
      </c>
      <c r="C6128" t="s">
        <v>16</v>
      </c>
      <c r="D6128" s="1">
        <v>45855</v>
      </c>
      <c r="E6128" t="s">
        <v>17</v>
      </c>
      <c r="F6128">
        <v>3850</v>
      </c>
      <c r="J6128">
        <v>1369.2</v>
      </c>
      <c r="K6128">
        <v>1506.8</v>
      </c>
      <c r="L6128">
        <v>0</v>
      </c>
      <c r="M6128" t="s">
        <v>18</v>
      </c>
      <c r="N6128">
        <v>0</v>
      </c>
      <c r="O6128">
        <v>0</v>
      </c>
    </row>
    <row r="6129" spans="1:15" x14ac:dyDescent="0.2">
      <c r="A6129" s="6">
        <v>45792</v>
      </c>
      <c r="B6129" t="s">
        <v>15</v>
      </c>
      <c r="C6129" t="s">
        <v>16</v>
      </c>
      <c r="D6129" s="1">
        <v>45855</v>
      </c>
      <c r="E6129" t="s">
        <v>19</v>
      </c>
      <c r="F6129">
        <v>4950</v>
      </c>
      <c r="J6129">
        <v>168</v>
      </c>
      <c r="K6129">
        <v>125.4</v>
      </c>
      <c r="L6129">
        <v>0</v>
      </c>
      <c r="M6129" t="s">
        <v>18</v>
      </c>
      <c r="N6129">
        <v>0</v>
      </c>
      <c r="O6129">
        <v>0</v>
      </c>
    </row>
    <row r="6130" spans="1:15" x14ac:dyDescent="0.2">
      <c r="A6130" s="6">
        <v>45792</v>
      </c>
      <c r="B6130" t="s">
        <v>15</v>
      </c>
      <c r="C6130" t="s">
        <v>16</v>
      </c>
      <c r="D6130" s="1">
        <v>45855</v>
      </c>
      <c r="E6130" t="s">
        <v>19</v>
      </c>
      <c r="F6130">
        <v>4600</v>
      </c>
      <c r="J6130">
        <v>68.900000000000006</v>
      </c>
      <c r="K6130">
        <v>47.7</v>
      </c>
      <c r="L6130">
        <v>0</v>
      </c>
      <c r="M6130" t="s">
        <v>18</v>
      </c>
      <c r="N6130">
        <v>0</v>
      </c>
      <c r="O6130">
        <v>0</v>
      </c>
    </row>
    <row r="6131" spans="1:15" x14ac:dyDescent="0.2">
      <c r="A6131" s="6">
        <v>45792</v>
      </c>
      <c r="B6131" t="s">
        <v>15</v>
      </c>
      <c r="C6131" t="s">
        <v>16</v>
      </c>
      <c r="D6131" s="1">
        <v>45855</v>
      </c>
      <c r="E6131" t="s">
        <v>17</v>
      </c>
      <c r="F6131">
        <v>5750</v>
      </c>
      <c r="J6131">
        <v>117</v>
      </c>
      <c r="K6131">
        <v>157.80000000000001</v>
      </c>
      <c r="L6131">
        <v>0</v>
      </c>
      <c r="M6131" t="s">
        <v>18</v>
      </c>
      <c r="N6131">
        <v>0</v>
      </c>
      <c r="O6131">
        <v>0</v>
      </c>
    </row>
    <row r="6132" spans="1:15" x14ac:dyDescent="0.2">
      <c r="A6132" s="6">
        <v>45792</v>
      </c>
      <c r="B6132" t="s">
        <v>15</v>
      </c>
      <c r="C6132" t="s">
        <v>16</v>
      </c>
      <c r="D6132" s="1">
        <v>45855</v>
      </c>
      <c r="E6132" t="s">
        <v>19</v>
      </c>
      <c r="F6132">
        <v>5050</v>
      </c>
      <c r="J6132">
        <v>207.8</v>
      </c>
      <c r="K6132">
        <v>158.19999999999999</v>
      </c>
      <c r="L6132">
        <v>0</v>
      </c>
      <c r="M6132" t="s">
        <v>18</v>
      </c>
      <c r="N6132">
        <v>0</v>
      </c>
      <c r="O6132">
        <v>0</v>
      </c>
    </row>
    <row r="6133" spans="1:15" x14ac:dyDescent="0.2">
      <c r="A6133" s="6">
        <v>45792</v>
      </c>
      <c r="B6133" t="s">
        <v>15</v>
      </c>
      <c r="C6133" t="s">
        <v>16</v>
      </c>
      <c r="D6133" s="1">
        <v>45855</v>
      </c>
      <c r="E6133" t="s">
        <v>19</v>
      </c>
      <c r="F6133">
        <v>4450</v>
      </c>
      <c r="J6133">
        <v>43.4</v>
      </c>
      <c r="K6133">
        <v>28.9</v>
      </c>
      <c r="L6133">
        <v>0</v>
      </c>
      <c r="M6133" t="s">
        <v>18</v>
      </c>
      <c r="N6133">
        <v>0</v>
      </c>
      <c r="O6133">
        <v>0</v>
      </c>
    </row>
    <row r="6134" spans="1:15" x14ac:dyDescent="0.2">
      <c r="A6134" s="6">
        <v>45792</v>
      </c>
      <c r="B6134" t="s">
        <v>15</v>
      </c>
      <c r="C6134" t="s">
        <v>16</v>
      </c>
      <c r="D6134" s="1">
        <v>45855</v>
      </c>
      <c r="E6134" t="s">
        <v>19</v>
      </c>
      <c r="F6134">
        <v>5700</v>
      </c>
      <c r="J6134">
        <v>592.70000000000005</v>
      </c>
      <c r="K6134">
        <v>497</v>
      </c>
      <c r="L6134">
        <v>0</v>
      </c>
      <c r="M6134" t="s">
        <v>18</v>
      </c>
      <c r="N6134">
        <v>0</v>
      </c>
      <c r="O6134">
        <v>0</v>
      </c>
    </row>
    <row r="6135" spans="1:15" x14ac:dyDescent="0.2">
      <c r="A6135" s="6">
        <v>45792</v>
      </c>
      <c r="B6135" t="s">
        <v>15</v>
      </c>
      <c r="C6135" t="s">
        <v>16</v>
      </c>
      <c r="D6135" s="1">
        <v>45855</v>
      </c>
      <c r="E6135" t="s">
        <v>17</v>
      </c>
      <c r="F6135">
        <v>6550</v>
      </c>
      <c r="J6135">
        <v>20.100000000000001</v>
      </c>
      <c r="K6135">
        <v>30.1</v>
      </c>
      <c r="L6135">
        <v>0</v>
      </c>
      <c r="M6135" t="s">
        <v>18</v>
      </c>
      <c r="N6135">
        <v>0</v>
      </c>
      <c r="O6135">
        <v>0</v>
      </c>
    </row>
    <row r="6136" spans="1:15" x14ac:dyDescent="0.2">
      <c r="A6136" s="6">
        <v>45792</v>
      </c>
      <c r="B6136" t="s">
        <v>15</v>
      </c>
      <c r="C6136" t="s">
        <v>16</v>
      </c>
      <c r="D6136" s="1">
        <v>45855</v>
      </c>
      <c r="E6136" t="s">
        <v>19</v>
      </c>
      <c r="F6136">
        <v>6400</v>
      </c>
      <c r="J6136">
        <v>1184.8</v>
      </c>
      <c r="K6136">
        <v>1058.7</v>
      </c>
      <c r="L6136">
        <v>0</v>
      </c>
      <c r="M6136" t="s">
        <v>18</v>
      </c>
      <c r="N6136">
        <v>0</v>
      </c>
      <c r="O6136">
        <v>0</v>
      </c>
    </row>
    <row r="6137" spans="1:15" x14ac:dyDescent="0.2">
      <c r="A6137" s="6">
        <v>45792</v>
      </c>
      <c r="B6137" t="s">
        <v>15</v>
      </c>
      <c r="C6137" t="s">
        <v>16</v>
      </c>
      <c r="D6137" s="1">
        <v>45855</v>
      </c>
      <c r="E6137" t="s">
        <v>19</v>
      </c>
      <c r="F6137">
        <v>5300</v>
      </c>
      <c r="J6137">
        <v>331</v>
      </c>
      <c r="K6137">
        <v>262.8</v>
      </c>
      <c r="L6137">
        <v>0</v>
      </c>
      <c r="M6137" t="s">
        <v>18</v>
      </c>
      <c r="N6137">
        <v>0</v>
      </c>
      <c r="O6137">
        <v>0</v>
      </c>
    </row>
    <row r="6138" spans="1:15" x14ac:dyDescent="0.2">
      <c r="A6138" s="6">
        <v>45792</v>
      </c>
      <c r="B6138" t="s">
        <v>15</v>
      </c>
      <c r="C6138" t="s">
        <v>16</v>
      </c>
      <c r="D6138" s="1">
        <v>45855</v>
      </c>
      <c r="E6138" t="s">
        <v>19</v>
      </c>
      <c r="F6138">
        <v>5400</v>
      </c>
      <c r="J6138">
        <v>389.3</v>
      </c>
      <c r="K6138">
        <v>313.8</v>
      </c>
      <c r="L6138">
        <v>0</v>
      </c>
      <c r="M6138" t="s">
        <v>18</v>
      </c>
      <c r="N6138">
        <v>0</v>
      </c>
      <c r="O6138">
        <v>0</v>
      </c>
    </row>
    <row r="6139" spans="1:15" x14ac:dyDescent="0.2">
      <c r="A6139" s="6">
        <v>45792</v>
      </c>
      <c r="B6139" t="s">
        <v>15</v>
      </c>
      <c r="C6139" t="s">
        <v>16</v>
      </c>
      <c r="D6139" s="1">
        <v>45855</v>
      </c>
      <c r="E6139" t="s">
        <v>19</v>
      </c>
      <c r="F6139">
        <v>3700</v>
      </c>
      <c r="J6139">
        <v>1.5</v>
      </c>
      <c r="K6139">
        <v>0.8</v>
      </c>
      <c r="L6139">
        <v>0</v>
      </c>
      <c r="M6139" t="s">
        <v>18</v>
      </c>
      <c r="N6139">
        <v>0</v>
      </c>
      <c r="O6139">
        <v>0</v>
      </c>
    </row>
    <row r="6140" spans="1:15" x14ac:dyDescent="0.2">
      <c r="A6140" s="6">
        <v>45792</v>
      </c>
      <c r="B6140" t="s">
        <v>15</v>
      </c>
      <c r="C6140" t="s">
        <v>16</v>
      </c>
      <c r="D6140" s="1">
        <v>45855</v>
      </c>
      <c r="E6140" t="s">
        <v>19</v>
      </c>
      <c r="F6140">
        <v>5800</v>
      </c>
      <c r="J6140">
        <v>668.8</v>
      </c>
      <c r="K6140">
        <v>567.1</v>
      </c>
      <c r="L6140">
        <v>0</v>
      </c>
      <c r="M6140" t="s">
        <v>18</v>
      </c>
      <c r="N6140">
        <v>0</v>
      </c>
      <c r="O6140">
        <v>0</v>
      </c>
    </row>
    <row r="6141" spans="1:15" x14ac:dyDescent="0.2">
      <c r="A6141" s="6">
        <v>45792</v>
      </c>
      <c r="B6141" t="s">
        <v>15</v>
      </c>
      <c r="C6141" t="s">
        <v>16</v>
      </c>
      <c r="D6141" s="1">
        <v>45855</v>
      </c>
      <c r="E6141" t="s">
        <v>17</v>
      </c>
      <c r="F6141">
        <v>6650</v>
      </c>
      <c r="J6141">
        <v>15.7</v>
      </c>
      <c r="K6141">
        <v>23.8</v>
      </c>
      <c r="L6141">
        <v>0</v>
      </c>
      <c r="M6141" t="s">
        <v>18</v>
      </c>
      <c r="N6141">
        <v>0</v>
      </c>
      <c r="O6141">
        <v>0</v>
      </c>
    </row>
    <row r="6142" spans="1:15" x14ac:dyDescent="0.2">
      <c r="A6142" s="6">
        <v>45792</v>
      </c>
      <c r="B6142" t="s">
        <v>15</v>
      </c>
      <c r="C6142" t="s">
        <v>16</v>
      </c>
      <c r="D6142" s="1">
        <v>45855</v>
      </c>
      <c r="E6142" t="s">
        <v>17</v>
      </c>
      <c r="F6142">
        <v>3750</v>
      </c>
      <c r="J6142">
        <v>1466.6</v>
      </c>
      <c r="K6142">
        <v>1604.8</v>
      </c>
      <c r="L6142">
        <v>0</v>
      </c>
      <c r="M6142" t="s">
        <v>18</v>
      </c>
      <c r="N6142">
        <v>0</v>
      </c>
      <c r="O6142">
        <v>0</v>
      </c>
    </row>
    <row r="6143" spans="1:15" x14ac:dyDescent="0.2">
      <c r="A6143" s="6">
        <v>45792</v>
      </c>
      <c r="B6143" t="s">
        <v>15</v>
      </c>
      <c r="C6143" t="s">
        <v>16</v>
      </c>
      <c r="D6143" s="1">
        <v>45855</v>
      </c>
      <c r="E6143" t="s">
        <v>19</v>
      </c>
      <c r="F6143">
        <v>5450</v>
      </c>
      <c r="J6143">
        <v>420.4</v>
      </c>
      <c r="K6143">
        <v>341.3</v>
      </c>
      <c r="L6143">
        <v>0</v>
      </c>
      <c r="M6143" t="s">
        <v>18</v>
      </c>
      <c r="N6143">
        <v>0</v>
      </c>
      <c r="O6143">
        <v>0</v>
      </c>
    </row>
    <row r="6144" spans="1:15" x14ac:dyDescent="0.2">
      <c r="A6144" s="6">
        <v>45792</v>
      </c>
      <c r="B6144" t="s">
        <v>15</v>
      </c>
      <c r="C6144" t="s">
        <v>16</v>
      </c>
      <c r="D6144" s="1">
        <v>45855</v>
      </c>
      <c r="E6144" t="s">
        <v>17</v>
      </c>
      <c r="F6144">
        <v>6050</v>
      </c>
      <c r="J6144">
        <v>63.3</v>
      </c>
      <c r="K6144">
        <v>88.7</v>
      </c>
      <c r="L6144">
        <v>0</v>
      </c>
      <c r="M6144" t="s">
        <v>18</v>
      </c>
      <c r="N6144">
        <v>0</v>
      </c>
      <c r="O6144">
        <v>0</v>
      </c>
    </row>
    <row r="6145" spans="1:15" x14ac:dyDescent="0.2">
      <c r="A6145" s="6">
        <v>45792</v>
      </c>
      <c r="B6145" t="s">
        <v>15</v>
      </c>
      <c r="C6145" t="s">
        <v>16</v>
      </c>
      <c r="D6145" s="1">
        <v>45855</v>
      </c>
      <c r="E6145" t="s">
        <v>19</v>
      </c>
      <c r="F6145">
        <v>3750</v>
      </c>
      <c r="J6145">
        <v>2</v>
      </c>
      <c r="K6145">
        <v>1.1000000000000001</v>
      </c>
      <c r="L6145">
        <v>0</v>
      </c>
      <c r="M6145" t="s">
        <v>18</v>
      </c>
      <c r="N6145">
        <v>0</v>
      </c>
      <c r="O6145">
        <v>0</v>
      </c>
    </row>
    <row r="6146" spans="1:15" x14ac:dyDescent="0.2">
      <c r="A6146" s="6">
        <v>45792</v>
      </c>
      <c r="B6146" t="s">
        <v>15</v>
      </c>
      <c r="C6146" t="s">
        <v>16</v>
      </c>
      <c r="D6146" s="1">
        <v>45855</v>
      </c>
      <c r="E6146" t="s">
        <v>19</v>
      </c>
      <c r="F6146">
        <v>4700</v>
      </c>
      <c r="J6146">
        <v>91.2</v>
      </c>
      <c r="K6146">
        <v>64.599999999999994</v>
      </c>
      <c r="L6146">
        <v>0</v>
      </c>
      <c r="M6146" t="s">
        <v>18</v>
      </c>
      <c r="N6146">
        <v>0</v>
      </c>
      <c r="O6146">
        <v>0</v>
      </c>
    </row>
    <row r="6147" spans="1:15" x14ac:dyDescent="0.2">
      <c r="A6147" s="6">
        <v>45792</v>
      </c>
      <c r="B6147" t="s">
        <v>15</v>
      </c>
      <c r="C6147" t="s">
        <v>16</v>
      </c>
      <c r="D6147" s="1">
        <v>45855</v>
      </c>
      <c r="E6147" t="s">
        <v>19</v>
      </c>
      <c r="F6147">
        <v>4550</v>
      </c>
      <c r="J6147">
        <v>59.4</v>
      </c>
      <c r="K6147">
        <v>40.6</v>
      </c>
      <c r="L6147">
        <v>0</v>
      </c>
      <c r="M6147" t="s">
        <v>18</v>
      </c>
      <c r="N6147">
        <v>0</v>
      </c>
      <c r="O6147">
        <v>0</v>
      </c>
    </row>
    <row r="6148" spans="1:15" x14ac:dyDescent="0.2">
      <c r="A6148" s="6">
        <v>45792</v>
      </c>
      <c r="B6148" t="s">
        <v>15</v>
      </c>
      <c r="C6148" t="s">
        <v>16</v>
      </c>
      <c r="D6148" s="1">
        <v>45855</v>
      </c>
      <c r="E6148" t="s">
        <v>17</v>
      </c>
      <c r="F6148">
        <v>5900</v>
      </c>
      <c r="J6148">
        <v>86.7</v>
      </c>
      <c r="K6148">
        <v>119.2</v>
      </c>
      <c r="L6148">
        <v>0</v>
      </c>
      <c r="M6148" t="s">
        <v>18</v>
      </c>
      <c r="N6148">
        <v>0</v>
      </c>
      <c r="O6148">
        <v>0</v>
      </c>
    </row>
    <row r="6149" spans="1:15" x14ac:dyDescent="0.2">
      <c r="A6149" s="6">
        <v>45792</v>
      </c>
      <c r="B6149" t="s">
        <v>15</v>
      </c>
      <c r="C6149" t="s">
        <v>16</v>
      </c>
      <c r="D6149" s="1">
        <v>45855</v>
      </c>
      <c r="E6149" t="s">
        <v>17</v>
      </c>
      <c r="F6149">
        <v>4250</v>
      </c>
      <c r="J6149">
        <v>991.5</v>
      </c>
      <c r="K6149">
        <v>1122.8</v>
      </c>
      <c r="L6149">
        <v>0</v>
      </c>
      <c r="M6149" t="s">
        <v>18</v>
      </c>
      <c r="N6149">
        <v>0</v>
      </c>
      <c r="O6149">
        <v>0</v>
      </c>
    </row>
    <row r="6150" spans="1:15" x14ac:dyDescent="0.2">
      <c r="A6150" s="6">
        <v>45792</v>
      </c>
      <c r="B6150" t="s">
        <v>15</v>
      </c>
      <c r="C6150" t="s">
        <v>16</v>
      </c>
      <c r="D6150" s="1">
        <v>45855</v>
      </c>
      <c r="E6150" t="s">
        <v>17</v>
      </c>
      <c r="F6150">
        <v>4500</v>
      </c>
      <c r="J6150">
        <v>773.8</v>
      </c>
      <c r="K6150">
        <v>896.6</v>
      </c>
      <c r="L6150">
        <v>0</v>
      </c>
      <c r="M6150" t="s">
        <v>18</v>
      </c>
      <c r="N6150">
        <v>0</v>
      </c>
      <c r="O6150">
        <v>0</v>
      </c>
    </row>
    <row r="6151" spans="1:15" x14ac:dyDescent="0.2">
      <c r="A6151" s="6">
        <v>45792</v>
      </c>
      <c r="B6151" t="s">
        <v>15</v>
      </c>
      <c r="C6151" t="s">
        <v>16</v>
      </c>
      <c r="D6151" s="1">
        <v>45855</v>
      </c>
      <c r="E6151" t="s">
        <v>19</v>
      </c>
      <c r="F6151">
        <v>6250</v>
      </c>
      <c r="J6151">
        <v>1048.4000000000001</v>
      </c>
      <c r="K6151">
        <v>926.7</v>
      </c>
      <c r="L6151">
        <v>0</v>
      </c>
      <c r="M6151" t="s">
        <v>18</v>
      </c>
      <c r="N6151">
        <v>0</v>
      </c>
      <c r="O6151">
        <v>0</v>
      </c>
    </row>
    <row r="6152" spans="1:15" x14ac:dyDescent="0.2">
      <c r="A6152" s="6">
        <v>45792</v>
      </c>
      <c r="B6152" t="s">
        <v>15</v>
      </c>
      <c r="C6152" t="s">
        <v>16</v>
      </c>
      <c r="D6152" s="1">
        <v>45855</v>
      </c>
      <c r="E6152" t="s">
        <v>17</v>
      </c>
      <c r="F6152">
        <v>6250</v>
      </c>
      <c r="J6152">
        <v>40.700000000000003</v>
      </c>
      <c r="K6152">
        <v>58.6</v>
      </c>
      <c r="L6152">
        <v>0</v>
      </c>
      <c r="M6152" t="s">
        <v>18</v>
      </c>
      <c r="N6152">
        <v>0</v>
      </c>
      <c r="O6152">
        <v>0</v>
      </c>
    </row>
    <row r="6153" spans="1:15" x14ac:dyDescent="0.2">
      <c r="A6153" s="6">
        <v>45792</v>
      </c>
      <c r="B6153" t="s">
        <v>15</v>
      </c>
      <c r="C6153" t="s">
        <v>16</v>
      </c>
      <c r="D6153" s="1">
        <v>45855</v>
      </c>
      <c r="E6153" t="s">
        <v>17</v>
      </c>
      <c r="F6153">
        <v>5050</v>
      </c>
      <c r="J6153">
        <v>386.8</v>
      </c>
      <c r="K6153">
        <v>476.5</v>
      </c>
      <c r="L6153">
        <v>0</v>
      </c>
      <c r="M6153" t="s">
        <v>18</v>
      </c>
      <c r="N6153">
        <v>0</v>
      </c>
      <c r="O6153">
        <v>0</v>
      </c>
    </row>
    <row r="6154" spans="1:15" x14ac:dyDescent="0.2">
      <c r="A6154" s="6">
        <v>45792</v>
      </c>
      <c r="B6154" t="s">
        <v>15</v>
      </c>
      <c r="C6154" t="s">
        <v>16</v>
      </c>
      <c r="D6154" s="1">
        <v>45855</v>
      </c>
      <c r="E6154" t="s">
        <v>17</v>
      </c>
      <c r="F6154">
        <v>6500</v>
      </c>
      <c r="J6154">
        <v>22.7</v>
      </c>
      <c r="K6154">
        <v>33.700000000000003</v>
      </c>
      <c r="L6154">
        <v>0</v>
      </c>
      <c r="M6154" t="s">
        <v>18</v>
      </c>
      <c r="N6154">
        <v>0</v>
      </c>
      <c r="O6154">
        <v>0</v>
      </c>
    </row>
    <row r="6155" spans="1:15" x14ac:dyDescent="0.2">
      <c r="A6155" s="6">
        <v>45792</v>
      </c>
      <c r="B6155" t="s">
        <v>15</v>
      </c>
      <c r="C6155" t="s">
        <v>16</v>
      </c>
      <c r="D6155" s="1">
        <v>45855</v>
      </c>
      <c r="E6155" t="s">
        <v>19</v>
      </c>
      <c r="F6155">
        <v>4650</v>
      </c>
      <c r="J6155">
        <v>79.5</v>
      </c>
      <c r="K6155">
        <v>55.7</v>
      </c>
      <c r="L6155">
        <v>0</v>
      </c>
      <c r="M6155" t="s">
        <v>18</v>
      </c>
      <c r="N6155">
        <v>0</v>
      </c>
      <c r="O6155">
        <v>0</v>
      </c>
    </row>
    <row r="6156" spans="1:15" x14ac:dyDescent="0.2">
      <c r="A6156" s="6">
        <v>45792</v>
      </c>
      <c r="B6156" t="s">
        <v>15</v>
      </c>
      <c r="C6156" t="s">
        <v>16</v>
      </c>
      <c r="D6156" s="1">
        <v>45855</v>
      </c>
      <c r="E6156" t="s">
        <v>17</v>
      </c>
      <c r="F6156">
        <v>4150</v>
      </c>
      <c r="J6156">
        <v>1083.4000000000001</v>
      </c>
      <c r="K6156">
        <v>1217</v>
      </c>
      <c r="L6156">
        <v>0</v>
      </c>
      <c r="M6156" t="s">
        <v>18</v>
      </c>
      <c r="N6156">
        <v>0</v>
      </c>
      <c r="O6156">
        <v>0</v>
      </c>
    </row>
    <row r="6157" spans="1:15" x14ac:dyDescent="0.2">
      <c r="A6157" s="6">
        <v>45792</v>
      </c>
      <c r="B6157" t="s">
        <v>15</v>
      </c>
      <c r="C6157" t="s">
        <v>16</v>
      </c>
      <c r="D6157" s="1">
        <v>45855</v>
      </c>
      <c r="E6157" t="s">
        <v>17</v>
      </c>
      <c r="F6157">
        <v>4550</v>
      </c>
      <c r="J6157">
        <v>732.9</v>
      </c>
      <c r="K6157">
        <v>853.4</v>
      </c>
      <c r="L6157">
        <v>0</v>
      </c>
      <c r="M6157" t="s">
        <v>18</v>
      </c>
      <c r="N6157">
        <v>0</v>
      </c>
      <c r="O6157">
        <v>0</v>
      </c>
    </row>
    <row r="6158" spans="1:15" x14ac:dyDescent="0.2">
      <c r="A6158" s="6">
        <v>45792</v>
      </c>
      <c r="B6158" t="s">
        <v>15</v>
      </c>
      <c r="C6158" t="s">
        <v>16</v>
      </c>
      <c r="D6158" s="1">
        <v>45855</v>
      </c>
      <c r="E6158" t="s">
        <v>19</v>
      </c>
      <c r="F6158">
        <v>5150</v>
      </c>
      <c r="J6158">
        <v>253.1</v>
      </c>
      <c r="K6158">
        <v>196</v>
      </c>
      <c r="L6158">
        <v>0</v>
      </c>
      <c r="M6158" t="s">
        <v>18</v>
      </c>
      <c r="N6158">
        <v>0</v>
      </c>
      <c r="O6158">
        <v>0</v>
      </c>
    </row>
    <row r="6159" spans="1:15" x14ac:dyDescent="0.2">
      <c r="A6159" s="6">
        <v>45792</v>
      </c>
      <c r="B6159" t="s">
        <v>15</v>
      </c>
      <c r="C6159" t="s">
        <v>16</v>
      </c>
      <c r="D6159" s="1">
        <v>45855</v>
      </c>
      <c r="E6159" t="s">
        <v>19</v>
      </c>
      <c r="F6159">
        <v>6550</v>
      </c>
      <c r="J6159">
        <v>1324.5</v>
      </c>
      <c r="K6159">
        <v>1194.8</v>
      </c>
      <c r="L6159">
        <v>0</v>
      </c>
      <c r="M6159" t="s">
        <v>18</v>
      </c>
      <c r="N6159">
        <v>0</v>
      </c>
      <c r="O6159">
        <v>0</v>
      </c>
    </row>
    <row r="6160" spans="1:15" x14ac:dyDescent="0.2">
      <c r="A6160" s="6">
        <v>45792</v>
      </c>
      <c r="B6160" t="s">
        <v>15</v>
      </c>
      <c r="C6160" t="s">
        <v>16</v>
      </c>
      <c r="D6160" s="1">
        <v>45855</v>
      </c>
      <c r="E6160" t="s">
        <v>17</v>
      </c>
      <c r="F6160">
        <v>5450</v>
      </c>
      <c r="J6160">
        <v>203.8</v>
      </c>
      <c r="K6160">
        <v>264.2</v>
      </c>
      <c r="L6160">
        <v>0</v>
      </c>
      <c r="M6160" t="s">
        <v>18</v>
      </c>
      <c r="N6160">
        <v>0</v>
      </c>
      <c r="O6160">
        <v>0</v>
      </c>
    </row>
    <row r="6161" spans="1:15" x14ac:dyDescent="0.2">
      <c r="A6161" s="6">
        <v>45792</v>
      </c>
      <c r="B6161" t="s">
        <v>15</v>
      </c>
      <c r="C6161" t="s">
        <v>16</v>
      </c>
      <c r="D6161" s="1">
        <v>45855</v>
      </c>
      <c r="E6161" t="s">
        <v>17</v>
      </c>
      <c r="F6161">
        <v>5800</v>
      </c>
      <c r="J6161">
        <v>106.1</v>
      </c>
      <c r="K6161">
        <v>143.9</v>
      </c>
      <c r="L6161">
        <v>0</v>
      </c>
      <c r="M6161" t="s">
        <v>18</v>
      </c>
      <c r="N6161">
        <v>0</v>
      </c>
      <c r="O6161">
        <v>0</v>
      </c>
    </row>
    <row r="6162" spans="1:15" x14ac:dyDescent="0.2">
      <c r="A6162" s="6">
        <v>45792</v>
      </c>
      <c r="B6162" t="s">
        <v>15</v>
      </c>
      <c r="C6162" t="s">
        <v>16</v>
      </c>
      <c r="D6162" s="1">
        <v>45855</v>
      </c>
      <c r="E6162" t="s">
        <v>17</v>
      </c>
      <c r="F6162">
        <v>6350</v>
      </c>
      <c r="J6162">
        <v>32.299999999999997</v>
      </c>
      <c r="K6162">
        <v>47.2</v>
      </c>
      <c r="L6162">
        <v>0</v>
      </c>
      <c r="M6162" t="s">
        <v>18</v>
      </c>
      <c r="N6162">
        <v>0</v>
      </c>
      <c r="O6162">
        <v>0</v>
      </c>
    </row>
    <row r="6163" spans="1:15" x14ac:dyDescent="0.2">
      <c r="A6163" s="6">
        <v>45792</v>
      </c>
      <c r="B6163" t="s">
        <v>15</v>
      </c>
      <c r="C6163" t="s">
        <v>16</v>
      </c>
      <c r="D6163" s="1">
        <v>45855</v>
      </c>
      <c r="E6163" t="s">
        <v>19</v>
      </c>
      <c r="F6163">
        <v>4400</v>
      </c>
      <c r="J6163">
        <v>36.700000000000003</v>
      </c>
      <c r="K6163">
        <v>24.1</v>
      </c>
      <c r="L6163">
        <v>0</v>
      </c>
      <c r="M6163" t="s">
        <v>18</v>
      </c>
      <c r="N6163">
        <v>0</v>
      </c>
      <c r="O6163">
        <v>0</v>
      </c>
    </row>
    <row r="6164" spans="1:15" x14ac:dyDescent="0.2">
      <c r="A6164" s="6">
        <v>45792</v>
      </c>
      <c r="B6164" t="s">
        <v>15</v>
      </c>
      <c r="C6164" t="s">
        <v>16</v>
      </c>
      <c r="D6164" s="1">
        <v>45855</v>
      </c>
      <c r="E6164" t="s">
        <v>19</v>
      </c>
      <c r="F6164">
        <v>5950</v>
      </c>
      <c r="J6164">
        <v>789.2</v>
      </c>
      <c r="K6164">
        <v>679.7</v>
      </c>
      <c r="L6164">
        <v>0</v>
      </c>
      <c r="M6164" t="s">
        <v>18</v>
      </c>
      <c r="N6164">
        <v>0</v>
      </c>
      <c r="O6164">
        <v>0</v>
      </c>
    </row>
    <row r="6165" spans="1:15" x14ac:dyDescent="0.2">
      <c r="A6165" s="6">
        <v>45792</v>
      </c>
      <c r="B6165" t="s">
        <v>15</v>
      </c>
      <c r="C6165" t="s">
        <v>16</v>
      </c>
      <c r="D6165" s="1">
        <v>45855</v>
      </c>
      <c r="E6165" t="s">
        <v>19</v>
      </c>
      <c r="F6165">
        <v>4050</v>
      </c>
      <c r="J6165">
        <v>9.3000000000000007</v>
      </c>
      <c r="K6165">
        <v>5.5</v>
      </c>
      <c r="L6165">
        <v>0</v>
      </c>
      <c r="M6165" t="s">
        <v>18</v>
      </c>
      <c r="N6165">
        <v>0</v>
      </c>
      <c r="O6165">
        <v>0</v>
      </c>
    </row>
    <row r="6166" spans="1:15" x14ac:dyDescent="0.2">
      <c r="A6166" s="6">
        <v>45792</v>
      </c>
      <c r="B6166" t="s">
        <v>15</v>
      </c>
      <c r="C6166" t="s">
        <v>16</v>
      </c>
      <c r="D6166" s="1">
        <v>45855</v>
      </c>
      <c r="E6166" t="s">
        <v>17</v>
      </c>
      <c r="F6166">
        <v>6300</v>
      </c>
      <c r="J6166">
        <v>36.299999999999997</v>
      </c>
      <c r="K6166">
        <v>52.6</v>
      </c>
      <c r="L6166">
        <v>0</v>
      </c>
      <c r="M6166" t="s">
        <v>18</v>
      </c>
      <c r="N6166">
        <v>0</v>
      </c>
      <c r="O6166">
        <v>0</v>
      </c>
    </row>
    <row r="6167" spans="1:15" x14ac:dyDescent="0.2">
      <c r="A6167" s="6">
        <v>45792</v>
      </c>
      <c r="B6167" t="s">
        <v>15</v>
      </c>
      <c r="C6167" t="s">
        <v>16</v>
      </c>
      <c r="D6167" s="1">
        <v>45855</v>
      </c>
      <c r="E6167" t="s">
        <v>19</v>
      </c>
      <c r="F6167">
        <v>4100</v>
      </c>
      <c r="J6167">
        <v>11.6</v>
      </c>
      <c r="K6167">
        <v>7</v>
      </c>
      <c r="L6167">
        <v>0</v>
      </c>
      <c r="M6167" t="s">
        <v>18</v>
      </c>
      <c r="N6167">
        <v>0</v>
      </c>
      <c r="O6167">
        <v>0</v>
      </c>
    </row>
    <row r="6168" spans="1:15" x14ac:dyDescent="0.2">
      <c r="A6168" s="6">
        <v>45792</v>
      </c>
      <c r="B6168" t="s">
        <v>15</v>
      </c>
      <c r="C6168" t="s">
        <v>16</v>
      </c>
      <c r="D6168" s="1">
        <v>45855</v>
      </c>
      <c r="E6168" t="s">
        <v>17</v>
      </c>
      <c r="F6168">
        <v>5500</v>
      </c>
      <c r="J6168">
        <v>186.6</v>
      </c>
      <c r="K6168">
        <v>243.5</v>
      </c>
      <c r="L6168">
        <v>0</v>
      </c>
      <c r="M6168" t="s">
        <v>18</v>
      </c>
      <c r="N6168">
        <v>0</v>
      </c>
      <c r="O6168">
        <v>0</v>
      </c>
    </row>
    <row r="6169" spans="1:15" x14ac:dyDescent="0.2">
      <c r="A6169" s="6">
        <v>45792</v>
      </c>
      <c r="B6169" t="s">
        <v>15</v>
      </c>
      <c r="C6169" t="s">
        <v>16</v>
      </c>
      <c r="D6169" s="1">
        <v>45855</v>
      </c>
      <c r="E6169" t="s">
        <v>19</v>
      </c>
      <c r="F6169">
        <v>4500</v>
      </c>
      <c r="J6169">
        <v>50.9</v>
      </c>
      <c r="K6169">
        <v>34.4</v>
      </c>
      <c r="L6169">
        <v>0</v>
      </c>
      <c r="M6169" t="s">
        <v>18</v>
      </c>
      <c r="N6169">
        <v>0</v>
      </c>
      <c r="O6169">
        <v>0</v>
      </c>
    </row>
    <row r="6170" spans="1:15" x14ac:dyDescent="0.2">
      <c r="A6170" s="6">
        <v>45792</v>
      </c>
      <c r="B6170" t="s">
        <v>15</v>
      </c>
      <c r="C6170" t="s">
        <v>16</v>
      </c>
      <c r="D6170" s="1">
        <v>45855</v>
      </c>
      <c r="E6170" t="s">
        <v>19</v>
      </c>
      <c r="F6170">
        <v>5350</v>
      </c>
      <c r="J6170">
        <v>359.5</v>
      </c>
      <c r="K6170">
        <v>287.7</v>
      </c>
      <c r="L6170">
        <v>0</v>
      </c>
      <c r="M6170" t="s">
        <v>18</v>
      </c>
      <c r="N6170">
        <v>0</v>
      </c>
      <c r="O6170">
        <v>0</v>
      </c>
    </row>
    <row r="6171" spans="1:15" x14ac:dyDescent="0.2">
      <c r="A6171" s="6">
        <v>45792</v>
      </c>
      <c r="B6171" t="s">
        <v>15</v>
      </c>
      <c r="C6171" t="s">
        <v>16</v>
      </c>
      <c r="D6171" s="1">
        <v>45855</v>
      </c>
      <c r="E6171" t="s">
        <v>19</v>
      </c>
      <c r="F6171">
        <v>5000</v>
      </c>
      <c r="J6171">
        <v>187.2</v>
      </c>
      <c r="K6171">
        <v>141.19999999999999</v>
      </c>
      <c r="L6171">
        <v>0</v>
      </c>
      <c r="M6171" t="s">
        <v>18</v>
      </c>
      <c r="N6171">
        <v>0</v>
      </c>
      <c r="O6171">
        <v>0</v>
      </c>
    </row>
    <row r="6172" spans="1:15" x14ac:dyDescent="0.2">
      <c r="A6172" s="6">
        <v>45792</v>
      </c>
      <c r="B6172" t="s">
        <v>15</v>
      </c>
      <c r="C6172" t="s">
        <v>16</v>
      </c>
      <c r="D6172" s="1">
        <v>45855</v>
      </c>
      <c r="E6172" t="s">
        <v>17</v>
      </c>
      <c r="F6172">
        <v>4000</v>
      </c>
      <c r="J6172">
        <v>1224.8</v>
      </c>
      <c r="K6172">
        <v>1360.9</v>
      </c>
      <c r="L6172">
        <v>0</v>
      </c>
      <c r="M6172" t="s">
        <v>18</v>
      </c>
      <c r="N6172">
        <v>0</v>
      </c>
      <c r="O6172">
        <v>0</v>
      </c>
    </row>
    <row r="6173" spans="1:15" x14ac:dyDescent="0.2">
      <c r="A6173" s="6">
        <v>45792</v>
      </c>
      <c r="B6173" t="s">
        <v>15</v>
      </c>
      <c r="C6173" t="s">
        <v>16</v>
      </c>
      <c r="D6173" s="1">
        <v>45855</v>
      </c>
      <c r="E6173" t="s">
        <v>17</v>
      </c>
      <c r="F6173">
        <v>6450</v>
      </c>
      <c r="J6173">
        <v>25.6</v>
      </c>
      <c r="K6173">
        <v>37.799999999999997</v>
      </c>
      <c r="L6173">
        <v>0</v>
      </c>
      <c r="M6173" t="s">
        <v>18</v>
      </c>
      <c r="N6173">
        <v>0</v>
      </c>
      <c r="O6173">
        <v>0</v>
      </c>
    </row>
    <row r="6174" spans="1:15" x14ac:dyDescent="0.2">
      <c r="A6174" s="6">
        <v>45792</v>
      </c>
      <c r="B6174" t="s">
        <v>15</v>
      </c>
      <c r="C6174" t="s">
        <v>16</v>
      </c>
      <c r="D6174" s="1">
        <v>45855</v>
      </c>
      <c r="E6174" t="s">
        <v>17</v>
      </c>
      <c r="F6174">
        <v>5650</v>
      </c>
      <c r="J6174">
        <v>141.80000000000001</v>
      </c>
      <c r="K6174">
        <v>188.7</v>
      </c>
      <c r="L6174">
        <v>0</v>
      </c>
      <c r="M6174" t="s">
        <v>18</v>
      </c>
      <c r="N6174">
        <v>0</v>
      </c>
      <c r="O6174">
        <v>0</v>
      </c>
    </row>
    <row r="6175" spans="1:15" x14ac:dyDescent="0.2">
      <c r="A6175" s="6">
        <v>45792</v>
      </c>
      <c r="B6175" t="s">
        <v>15</v>
      </c>
      <c r="C6175" t="s">
        <v>16</v>
      </c>
      <c r="D6175" s="1">
        <v>45855</v>
      </c>
      <c r="E6175" t="s">
        <v>17</v>
      </c>
      <c r="F6175">
        <v>4600</v>
      </c>
      <c r="J6175">
        <v>692.9</v>
      </c>
      <c r="K6175">
        <v>811</v>
      </c>
      <c r="L6175">
        <v>0</v>
      </c>
      <c r="M6175" t="s">
        <v>18</v>
      </c>
      <c r="N6175">
        <v>0</v>
      </c>
      <c r="O6175">
        <v>0</v>
      </c>
    </row>
    <row r="6176" spans="1:15" x14ac:dyDescent="0.2">
      <c r="A6176" s="6">
        <v>45792</v>
      </c>
      <c r="B6176" t="s">
        <v>15</v>
      </c>
      <c r="C6176" t="s">
        <v>16</v>
      </c>
      <c r="D6176" s="1">
        <v>45855</v>
      </c>
      <c r="E6176" t="s">
        <v>19</v>
      </c>
      <c r="F6176">
        <v>3650</v>
      </c>
      <c r="J6176">
        <v>1.1000000000000001</v>
      </c>
      <c r="K6176">
        <v>0.6</v>
      </c>
      <c r="L6176">
        <v>0</v>
      </c>
      <c r="M6176" t="s">
        <v>18</v>
      </c>
      <c r="N6176">
        <v>0</v>
      </c>
      <c r="O6176">
        <v>0</v>
      </c>
    </row>
    <row r="6177" spans="1:15" x14ac:dyDescent="0.2">
      <c r="A6177" s="6">
        <v>45792</v>
      </c>
      <c r="B6177" t="s">
        <v>15</v>
      </c>
      <c r="C6177" t="s">
        <v>16</v>
      </c>
      <c r="D6177" s="1">
        <v>45855</v>
      </c>
      <c r="E6177" t="s">
        <v>17</v>
      </c>
      <c r="F6177">
        <v>3650</v>
      </c>
      <c r="J6177">
        <v>1564.6</v>
      </c>
      <c r="K6177">
        <v>1703.2</v>
      </c>
      <c r="L6177">
        <v>0</v>
      </c>
      <c r="M6177" t="s">
        <v>18</v>
      </c>
      <c r="N6177">
        <v>0</v>
      </c>
      <c r="O6177">
        <v>0</v>
      </c>
    </row>
    <row r="6178" spans="1:15" x14ac:dyDescent="0.2">
      <c r="A6178" s="6">
        <v>45792</v>
      </c>
      <c r="B6178" t="s">
        <v>15</v>
      </c>
      <c r="C6178" t="s">
        <v>16</v>
      </c>
      <c r="D6178" s="1">
        <v>45855</v>
      </c>
      <c r="E6178" t="s">
        <v>17</v>
      </c>
      <c r="F6178">
        <v>3600</v>
      </c>
      <c r="J6178">
        <v>1613.8</v>
      </c>
      <c r="K6178">
        <v>1752.5</v>
      </c>
      <c r="L6178">
        <v>0</v>
      </c>
      <c r="M6178" t="s">
        <v>18</v>
      </c>
      <c r="N6178">
        <v>0</v>
      </c>
      <c r="O6178">
        <v>0</v>
      </c>
    </row>
    <row r="6179" spans="1:15" x14ac:dyDescent="0.2">
      <c r="A6179" s="6">
        <v>45792</v>
      </c>
      <c r="B6179" t="s">
        <v>15</v>
      </c>
      <c r="C6179" t="s">
        <v>16</v>
      </c>
      <c r="D6179" s="1">
        <v>45855</v>
      </c>
      <c r="E6179" t="s">
        <v>17</v>
      </c>
      <c r="F6179">
        <v>5350</v>
      </c>
      <c r="J6179">
        <v>241.8</v>
      </c>
      <c r="K6179">
        <v>309.39999999999998</v>
      </c>
      <c r="L6179">
        <v>0</v>
      </c>
      <c r="M6179" t="s">
        <v>18</v>
      </c>
      <c r="N6179">
        <v>0</v>
      </c>
      <c r="O6179">
        <v>0</v>
      </c>
    </row>
    <row r="6180" spans="1:15" x14ac:dyDescent="0.2">
      <c r="A6180" s="6">
        <v>45792</v>
      </c>
      <c r="B6180" t="s">
        <v>15</v>
      </c>
      <c r="C6180" t="s">
        <v>16</v>
      </c>
      <c r="D6180" s="1">
        <v>45855</v>
      </c>
      <c r="E6180" t="s">
        <v>17</v>
      </c>
      <c r="F6180">
        <v>6100</v>
      </c>
      <c r="J6180">
        <v>56.8</v>
      </c>
      <c r="K6180">
        <v>80.2</v>
      </c>
      <c r="L6180">
        <v>0</v>
      </c>
      <c r="M6180" t="s">
        <v>18</v>
      </c>
      <c r="N6180">
        <v>0</v>
      </c>
      <c r="O6180">
        <v>0</v>
      </c>
    </row>
    <row r="6181" spans="1:15" x14ac:dyDescent="0.2">
      <c r="A6181" s="6">
        <v>45792</v>
      </c>
      <c r="B6181" t="s">
        <v>15</v>
      </c>
      <c r="C6181" t="s">
        <v>16</v>
      </c>
      <c r="D6181" s="1">
        <v>45855</v>
      </c>
      <c r="E6181" t="s">
        <v>19</v>
      </c>
      <c r="F6181">
        <v>4000</v>
      </c>
      <c r="J6181">
        <v>7.4</v>
      </c>
      <c r="K6181">
        <v>4.3</v>
      </c>
      <c r="L6181">
        <v>0</v>
      </c>
      <c r="M6181" t="s">
        <v>18</v>
      </c>
      <c r="N6181">
        <v>0</v>
      </c>
      <c r="O6181">
        <v>0</v>
      </c>
    </row>
    <row r="6182" spans="1:15" x14ac:dyDescent="0.2">
      <c r="A6182" s="6">
        <v>45792</v>
      </c>
      <c r="B6182" t="s">
        <v>15</v>
      </c>
      <c r="C6182" t="s">
        <v>16</v>
      </c>
      <c r="D6182" s="1">
        <v>45855</v>
      </c>
      <c r="E6182" t="s">
        <v>19</v>
      </c>
      <c r="F6182">
        <v>5600</v>
      </c>
      <c r="J6182">
        <v>520.6</v>
      </c>
      <c r="K6182">
        <v>431.2</v>
      </c>
      <c r="L6182">
        <v>0</v>
      </c>
      <c r="M6182" t="s">
        <v>18</v>
      </c>
      <c r="N6182">
        <v>0</v>
      </c>
      <c r="O6182">
        <v>0</v>
      </c>
    </row>
    <row r="6183" spans="1:15" x14ac:dyDescent="0.2">
      <c r="A6183" s="6">
        <v>45792</v>
      </c>
      <c r="B6183" t="s">
        <v>15</v>
      </c>
      <c r="C6183" t="s">
        <v>16</v>
      </c>
      <c r="D6183" s="1">
        <v>45855</v>
      </c>
      <c r="E6183" t="s">
        <v>19</v>
      </c>
      <c r="F6183">
        <v>4850</v>
      </c>
      <c r="J6183">
        <v>133.5</v>
      </c>
      <c r="K6183">
        <v>97.7</v>
      </c>
      <c r="L6183">
        <v>0</v>
      </c>
      <c r="M6183" t="s">
        <v>18</v>
      </c>
      <c r="N6183">
        <v>0</v>
      </c>
      <c r="O6183">
        <v>0</v>
      </c>
    </row>
    <row r="6184" spans="1:15" x14ac:dyDescent="0.2">
      <c r="A6184" s="6">
        <v>45792</v>
      </c>
      <c r="B6184" t="s">
        <v>15</v>
      </c>
      <c r="C6184" t="s">
        <v>16</v>
      </c>
      <c r="D6184" s="1">
        <v>45855</v>
      </c>
      <c r="E6184" t="s">
        <v>19</v>
      </c>
      <c r="F6184">
        <v>5650</v>
      </c>
      <c r="J6184">
        <v>556.1</v>
      </c>
      <c r="K6184">
        <v>463.5</v>
      </c>
      <c r="L6184">
        <v>0</v>
      </c>
      <c r="M6184" t="s">
        <v>18</v>
      </c>
      <c r="N6184">
        <v>0</v>
      </c>
      <c r="O6184">
        <v>0</v>
      </c>
    </row>
    <row r="6185" spans="1:15" x14ac:dyDescent="0.2">
      <c r="A6185" s="6">
        <v>45792</v>
      </c>
      <c r="B6185" t="s">
        <v>15</v>
      </c>
      <c r="C6185" t="s">
        <v>16</v>
      </c>
      <c r="D6185" s="1">
        <v>45855</v>
      </c>
      <c r="E6185" t="s">
        <v>19</v>
      </c>
      <c r="F6185">
        <v>6350</v>
      </c>
      <c r="J6185">
        <v>1138.9000000000001</v>
      </c>
      <c r="K6185">
        <v>1014.2</v>
      </c>
      <c r="L6185">
        <v>0</v>
      </c>
      <c r="M6185" t="s">
        <v>18</v>
      </c>
      <c r="N6185">
        <v>0</v>
      </c>
      <c r="O6185">
        <v>0</v>
      </c>
    </row>
    <row r="6186" spans="1:15" x14ac:dyDescent="0.2">
      <c r="A6186" s="6">
        <v>45792</v>
      </c>
      <c r="B6186" t="s">
        <v>15</v>
      </c>
      <c r="C6186" t="s">
        <v>16</v>
      </c>
      <c r="D6186" s="1">
        <v>45855</v>
      </c>
      <c r="E6186" t="s">
        <v>17</v>
      </c>
      <c r="F6186">
        <v>3950</v>
      </c>
      <c r="J6186">
        <v>1272.7</v>
      </c>
      <c r="K6186">
        <v>1409.4</v>
      </c>
      <c r="L6186">
        <v>0</v>
      </c>
      <c r="M6186" t="s">
        <v>18</v>
      </c>
      <c r="N6186">
        <v>0</v>
      </c>
      <c r="O6186">
        <v>0</v>
      </c>
    </row>
    <row r="6187" spans="1:15" x14ac:dyDescent="0.2">
      <c r="A6187" s="6">
        <v>45792</v>
      </c>
      <c r="B6187" t="s">
        <v>15</v>
      </c>
      <c r="C6187" t="s">
        <v>16</v>
      </c>
      <c r="D6187" s="1">
        <v>45855</v>
      </c>
      <c r="E6187" t="s">
        <v>17</v>
      </c>
      <c r="F6187">
        <v>4700</v>
      </c>
      <c r="J6187">
        <v>616.29999999999995</v>
      </c>
      <c r="K6187">
        <v>729</v>
      </c>
      <c r="L6187">
        <v>0</v>
      </c>
      <c r="M6187" t="s">
        <v>18</v>
      </c>
      <c r="N6187">
        <v>0</v>
      </c>
      <c r="O6187">
        <v>0</v>
      </c>
    </row>
    <row r="6188" spans="1:15" x14ac:dyDescent="0.2">
      <c r="A6188" s="6">
        <v>45792</v>
      </c>
      <c r="B6188" t="s">
        <v>15</v>
      </c>
      <c r="C6188" t="s">
        <v>16</v>
      </c>
      <c r="D6188" s="1">
        <v>45855</v>
      </c>
      <c r="E6188" t="s">
        <v>19</v>
      </c>
      <c r="F6188">
        <v>5500</v>
      </c>
      <c r="J6188">
        <v>452.7</v>
      </c>
      <c r="K6188">
        <v>370.1</v>
      </c>
      <c r="L6188">
        <v>0</v>
      </c>
      <c r="M6188" t="s">
        <v>18</v>
      </c>
      <c r="N6188">
        <v>0</v>
      </c>
      <c r="O6188">
        <v>0</v>
      </c>
    </row>
    <row r="6189" spans="1:15" x14ac:dyDescent="0.2">
      <c r="A6189" s="6">
        <v>45792</v>
      </c>
      <c r="B6189" t="s">
        <v>15</v>
      </c>
      <c r="C6189" t="s">
        <v>16</v>
      </c>
      <c r="D6189" s="1">
        <v>45855</v>
      </c>
      <c r="E6189" t="s">
        <v>19</v>
      </c>
      <c r="F6189">
        <v>5750</v>
      </c>
      <c r="J6189">
        <v>630.29999999999995</v>
      </c>
      <c r="K6189">
        <v>531.5</v>
      </c>
      <c r="L6189">
        <v>0</v>
      </c>
      <c r="M6189" t="s">
        <v>18</v>
      </c>
      <c r="N6189">
        <v>0</v>
      </c>
      <c r="O6189">
        <v>0</v>
      </c>
    </row>
    <row r="6190" spans="1:15" x14ac:dyDescent="0.2">
      <c r="A6190" s="6">
        <v>45792</v>
      </c>
      <c r="B6190" t="s">
        <v>15</v>
      </c>
      <c r="C6190" t="s">
        <v>16</v>
      </c>
      <c r="D6190" s="1">
        <v>45855</v>
      </c>
      <c r="E6190" t="s">
        <v>17</v>
      </c>
      <c r="F6190">
        <v>6000</v>
      </c>
      <c r="J6190">
        <v>70.400000000000006</v>
      </c>
      <c r="K6190">
        <v>98.1</v>
      </c>
      <c r="L6190">
        <v>0</v>
      </c>
      <c r="M6190" t="s">
        <v>18</v>
      </c>
      <c r="N6190">
        <v>0</v>
      </c>
      <c r="O6190">
        <v>0</v>
      </c>
    </row>
    <row r="6191" spans="1:15" x14ac:dyDescent="0.2">
      <c r="A6191" s="6">
        <v>45792</v>
      </c>
      <c r="B6191" t="s">
        <v>15</v>
      </c>
      <c r="C6191" t="s">
        <v>16</v>
      </c>
      <c r="D6191" s="1">
        <v>45855</v>
      </c>
      <c r="E6191" t="s">
        <v>19</v>
      </c>
      <c r="F6191">
        <v>6100</v>
      </c>
      <c r="J6191">
        <v>916.2</v>
      </c>
      <c r="K6191">
        <v>800</v>
      </c>
      <c r="L6191">
        <v>0</v>
      </c>
      <c r="M6191" t="s">
        <v>18</v>
      </c>
      <c r="N6191">
        <v>0</v>
      </c>
      <c r="O6191">
        <v>0</v>
      </c>
    </row>
    <row r="6192" spans="1:15" x14ac:dyDescent="0.2">
      <c r="A6192" s="6">
        <v>45792</v>
      </c>
      <c r="B6192" t="s">
        <v>15</v>
      </c>
      <c r="C6192" t="s">
        <v>16</v>
      </c>
      <c r="D6192" s="1">
        <v>45855</v>
      </c>
      <c r="E6192" t="s">
        <v>17</v>
      </c>
      <c r="F6192">
        <v>4300</v>
      </c>
      <c r="J6192">
        <v>946.4</v>
      </c>
      <c r="K6192">
        <v>1076.4000000000001</v>
      </c>
      <c r="L6192">
        <v>0</v>
      </c>
      <c r="M6192" t="s">
        <v>18</v>
      </c>
      <c r="N6192">
        <v>0</v>
      </c>
      <c r="O6192">
        <v>0</v>
      </c>
    </row>
    <row r="6193" spans="1:15" x14ac:dyDescent="0.2">
      <c r="A6193" s="6">
        <v>45792</v>
      </c>
      <c r="B6193" t="s">
        <v>15</v>
      </c>
      <c r="C6193" t="s">
        <v>16</v>
      </c>
      <c r="D6193" s="1">
        <v>45855</v>
      </c>
      <c r="E6193" t="s">
        <v>19</v>
      </c>
      <c r="F6193">
        <v>3800</v>
      </c>
      <c r="J6193">
        <v>2.7</v>
      </c>
      <c r="K6193">
        <v>1.5</v>
      </c>
      <c r="L6193">
        <v>0</v>
      </c>
      <c r="M6193" t="s">
        <v>18</v>
      </c>
      <c r="N6193">
        <v>0</v>
      </c>
      <c r="O6193">
        <v>0</v>
      </c>
    </row>
    <row r="6194" spans="1:15" x14ac:dyDescent="0.2">
      <c r="A6194" s="6">
        <v>45792</v>
      </c>
      <c r="B6194" t="s">
        <v>15</v>
      </c>
      <c r="C6194" t="s">
        <v>16</v>
      </c>
      <c r="D6194" s="1">
        <v>45855</v>
      </c>
      <c r="E6194" t="s">
        <v>19</v>
      </c>
      <c r="F6194">
        <v>6450</v>
      </c>
      <c r="J6194">
        <v>1231.0999999999999</v>
      </c>
      <c r="K6194">
        <v>1103.5999999999999</v>
      </c>
      <c r="L6194">
        <v>0</v>
      </c>
      <c r="M6194" t="s">
        <v>18</v>
      </c>
      <c r="N6194">
        <v>0</v>
      </c>
      <c r="O6194">
        <v>0</v>
      </c>
    </row>
    <row r="6195" spans="1:15" x14ac:dyDescent="0.2">
      <c r="A6195" s="6">
        <v>45792</v>
      </c>
      <c r="B6195" t="s">
        <v>15</v>
      </c>
      <c r="C6195" t="s">
        <v>16</v>
      </c>
      <c r="D6195" s="1">
        <v>45855</v>
      </c>
      <c r="E6195" t="s">
        <v>19</v>
      </c>
      <c r="F6195">
        <v>4300</v>
      </c>
      <c r="J6195">
        <v>25.8</v>
      </c>
      <c r="K6195">
        <v>16.5</v>
      </c>
      <c r="L6195">
        <v>0</v>
      </c>
      <c r="M6195" t="s">
        <v>18</v>
      </c>
      <c r="N6195">
        <v>0</v>
      </c>
      <c r="O6195">
        <v>0</v>
      </c>
    </row>
    <row r="6196" spans="1:15" x14ac:dyDescent="0.2">
      <c r="A6196" s="6">
        <v>45792</v>
      </c>
      <c r="B6196" t="s">
        <v>15</v>
      </c>
      <c r="C6196" t="s">
        <v>16</v>
      </c>
      <c r="D6196" s="1">
        <v>45855</v>
      </c>
      <c r="E6196" t="s">
        <v>17</v>
      </c>
      <c r="F6196">
        <v>6150</v>
      </c>
      <c r="J6196">
        <v>50.9</v>
      </c>
      <c r="K6196">
        <v>72.3</v>
      </c>
      <c r="L6196">
        <v>0</v>
      </c>
      <c r="M6196" t="s">
        <v>18</v>
      </c>
      <c r="N6196">
        <v>0</v>
      </c>
      <c r="O6196">
        <v>0</v>
      </c>
    </row>
    <row r="6197" spans="1:15" x14ac:dyDescent="0.2">
      <c r="A6197" s="6">
        <v>45792</v>
      </c>
      <c r="B6197" t="s">
        <v>15</v>
      </c>
      <c r="C6197" t="s">
        <v>16</v>
      </c>
      <c r="D6197" s="1">
        <v>45855</v>
      </c>
      <c r="E6197" t="s">
        <v>17</v>
      </c>
      <c r="F6197">
        <v>4050</v>
      </c>
      <c r="J6197">
        <v>1177.2</v>
      </c>
      <c r="K6197">
        <v>1312.6</v>
      </c>
      <c r="L6197">
        <v>0</v>
      </c>
      <c r="M6197" t="s">
        <v>18</v>
      </c>
      <c r="N6197">
        <v>0</v>
      </c>
      <c r="O6197">
        <v>0</v>
      </c>
    </row>
    <row r="6198" spans="1:15" x14ac:dyDescent="0.2">
      <c r="A6198" s="6">
        <v>45792</v>
      </c>
      <c r="B6198" t="s">
        <v>15</v>
      </c>
      <c r="C6198" t="s">
        <v>16</v>
      </c>
      <c r="D6198" s="1">
        <v>45855</v>
      </c>
      <c r="E6198" t="s">
        <v>19</v>
      </c>
      <c r="F6198">
        <v>4350</v>
      </c>
      <c r="J6198">
        <v>30.9</v>
      </c>
      <c r="K6198">
        <v>20</v>
      </c>
      <c r="L6198">
        <v>0</v>
      </c>
      <c r="M6198" t="s">
        <v>18</v>
      </c>
      <c r="N6198">
        <v>0</v>
      </c>
      <c r="O6198">
        <v>0</v>
      </c>
    </row>
    <row r="6199" spans="1:15" x14ac:dyDescent="0.2">
      <c r="A6199" s="6">
        <v>45792</v>
      </c>
      <c r="B6199" t="s">
        <v>15</v>
      </c>
      <c r="C6199" t="s">
        <v>16</v>
      </c>
      <c r="D6199" s="1">
        <v>45855</v>
      </c>
      <c r="E6199" t="s">
        <v>19</v>
      </c>
      <c r="F6199">
        <v>4150</v>
      </c>
      <c r="J6199">
        <v>14.3</v>
      </c>
      <c r="K6199">
        <v>8.8000000000000007</v>
      </c>
      <c r="L6199">
        <v>0</v>
      </c>
      <c r="M6199" t="s">
        <v>18</v>
      </c>
      <c r="N6199">
        <v>0</v>
      </c>
      <c r="O6199">
        <v>0</v>
      </c>
    </row>
    <row r="6200" spans="1:15" x14ac:dyDescent="0.2">
      <c r="A6200" s="6">
        <v>45792</v>
      </c>
      <c r="B6200" t="s">
        <v>15</v>
      </c>
      <c r="C6200" t="s">
        <v>16</v>
      </c>
      <c r="D6200" s="1">
        <v>45855</v>
      </c>
      <c r="E6200" t="s">
        <v>19</v>
      </c>
      <c r="F6200">
        <v>5550</v>
      </c>
      <c r="J6200">
        <v>486.1</v>
      </c>
      <c r="K6200">
        <v>400</v>
      </c>
      <c r="L6200">
        <v>0</v>
      </c>
      <c r="M6200" t="s">
        <v>18</v>
      </c>
      <c r="N6200">
        <v>0</v>
      </c>
      <c r="O6200">
        <v>0</v>
      </c>
    </row>
    <row r="6201" spans="1:15" x14ac:dyDescent="0.2">
      <c r="A6201" s="6">
        <v>45792</v>
      </c>
      <c r="B6201" t="s">
        <v>15</v>
      </c>
      <c r="C6201" t="s">
        <v>16</v>
      </c>
      <c r="D6201" s="1">
        <v>45855</v>
      </c>
      <c r="E6201" t="s">
        <v>19</v>
      </c>
      <c r="F6201">
        <v>6600</v>
      </c>
      <c r="J6201">
        <v>1371.6</v>
      </c>
      <c r="K6201">
        <v>1241</v>
      </c>
      <c r="L6201">
        <v>0</v>
      </c>
      <c r="M6201" t="s">
        <v>18</v>
      </c>
      <c r="N6201">
        <v>0</v>
      </c>
      <c r="O6201">
        <v>0</v>
      </c>
    </row>
    <row r="6202" spans="1:15" x14ac:dyDescent="0.2">
      <c r="A6202" s="6">
        <v>45792</v>
      </c>
      <c r="B6202" t="s">
        <v>15</v>
      </c>
      <c r="C6202" t="s">
        <v>16</v>
      </c>
      <c r="D6202" s="1">
        <v>45855</v>
      </c>
      <c r="E6202" t="s">
        <v>17</v>
      </c>
      <c r="F6202">
        <v>5400</v>
      </c>
      <c r="J6202">
        <v>222.2</v>
      </c>
      <c r="K6202">
        <v>286.2</v>
      </c>
      <c r="L6202">
        <v>0</v>
      </c>
      <c r="M6202" t="s">
        <v>18</v>
      </c>
      <c r="N6202">
        <v>0</v>
      </c>
      <c r="O6202">
        <v>0</v>
      </c>
    </row>
    <row r="6203" spans="1:15" x14ac:dyDescent="0.2">
      <c r="A6203" s="6">
        <v>45792</v>
      </c>
      <c r="B6203" t="s">
        <v>15</v>
      </c>
      <c r="C6203" t="s">
        <v>16</v>
      </c>
      <c r="D6203" s="1">
        <v>45855</v>
      </c>
      <c r="E6203" t="s">
        <v>17</v>
      </c>
      <c r="F6203">
        <v>5850</v>
      </c>
      <c r="J6203">
        <v>95.9</v>
      </c>
      <c r="K6203">
        <v>131.1</v>
      </c>
      <c r="L6203">
        <v>0</v>
      </c>
      <c r="M6203" t="s">
        <v>18</v>
      </c>
      <c r="N6203">
        <v>0</v>
      </c>
      <c r="O6203">
        <v>0</v>
      </c>
    </row>
    <row r="6204" spans="1:15" x14ac:dyDescent="0.2">
      <c r="A6204" s="6">
        <v>45792</v>
      </c>
      <c r="B6204" t="s">
        <v>15</v>
      </c>
      <c r="C6204" t="s">
        <v>16</v>
      </c>
      <c r="D6204" s="1">
        <v>45855</v>
      </c>
      <c r="E6204" t="s">
        <v>17</v>
      </c>
      <c r="F6204">
        <v>3900</v>
      </c>
      <c r="J6204">
        <v>1320.8</v>
      </c>
      <c r="K6204">
        <v>1458</v>
      </c>
      <c r="L6204">
        <v>0</v>
      </c>
      <c r="M6204" t="s">
        <v>18</v>
      </c>
      <c r="N6204">
        <v>0</v>
      </c>
      <c r="O6204">
        <v>0</v>
      </c>
    </row>
    <row r="6205" spans="1:15" x14ac:dyDescent="0.2">
      <c r="A6205" s="6">
        <v>45792</v>
      </c>
      <c r="B6205" t="s">
        <v>15</v>
      </c>
      <c r="C6205" t="s">
        <v>16</v>
      </c>
      <c r="D6205" s="1">
        <v>45855</v>
      </c>
      <c r="E6205" t="s">
        <v>19</v>
      </c>
      <c r="F6205">
        <v>6500</v>
      </c>
      <c r="J6205">
        <v>1277.5999999999999</v>
      </c>
      <c r="K6205">
        <v>1149</v>
      </c>
      <c r="L6205">
        <v>0</v>
      </c>
      <c r="M6205" t="s">
        <v>18</v>
      </c>
      <c r="N6205">
        <v>0</v>
      </c>
      <c r="O6205">
        <v>0</v>
      </c>
    </row>
    <row r="6206" spans="1:15" x14ac:dyDescent="0.2">
      <c r="A6206" s="6">
        <v>45792</v>
      </c>
      <c r="B6206" t="s">
        <v>15</v>
      </c>
      <c r="C6206" t="s">
        <v>16</v>
      </c>
      <c r="D6206" s="1">
        <v>45855</v>
      </c>
      <c r="E6206" t="s">
        <v>19</v>
      </c>
      <c r="F6206">
        <v>6300</v>
      </c>
      <c r="J6206">
        <v>1093.5</v>
      </c>
      <c r="K6206">
        <v>970.2</v>
      </c>
      <c r="L6206">
        <v>0</v>
      </c>
      <c r="M6206" t="s">
        <v>18</v>
      </c>
      <c r="N6206">
        <v>0</v>
      </c>
      <c r="O6206">
        <v>0</v>
      </c>
    </row>
    <row r="6207" spans="1:15" x14ac:dyDescent="0.2">
      <c r="A6207" s="6">
        <v>45792</v>
      </c>
      <c r="B6207" t="s">
        <v>15</v>
      </c>
      <c r="C6207" t="s">
        <v>16</v>
      </c>
      <c r="D6207" s="1">
        <v>45855</v>
      </c>
      <c r="E6207" t="s">
        <v>19</v>
      </c>
      <c r="F6207">
        <v>5850</v>
      </c>
      <c r="J6207">
        <v>708.1</v>
      </c>
      <c r="K6207">
        <v>603.70000000000005</v>
      </c>
      <c r="L6207">
        <v>0</v>
      </c>
      <c r="M6207" t="s">
        <v>18</v>
      </c>
      <c r="N6207">
        <v>0</v>
      </c>
      <c r="O6207">
        <v>0</v>
      </c>
    </row>
    <row r="6208" spans="1:15" x14ac:dyDescent="0.2">
      <c r="A6208" s="6">
        <v>45792</v>
      </c>
      <c r="B6208" t="s">
        <v>15</v>
      </c>
      <c r="C6208" t="s">
        <v>16</v>
      </c>
      <c r="D6208" s="1">
        <v>45855</v>
      </c>
      <c r="E6208" t="s">
        <v>17</v>
      </c>
      <c r="F6208">
        <v>6600</v>
      </c>
      <c r="J6208">
        <v>17.8</v>
      </c>
      <c r="K6208">
        <v>26.8</v>
      </c>
      <c r="L6208">
        <v>0</v>
      </c>
      <c r="M6208" t="s">
        <v>18</v>
      </c>
      <c r="N6208">
        <v>0</v>
      </c>
      <c r="O6208">
        <v>0</v>
      </c>
    </row>
    <row r="6209" spans="1:15" x14ac:dyDescent="0.2">
      <c r="A6209" s="6">
        <v>45792</v>
      </c>
      <c r="B6209" t="s">
        <v>15</v>
      </c>
      <c r="C6209" t="s">
        <v>16</v>
      </c>
      <c r="D6209" s="1">
        <v>45855</v>
      </c>
      <c r="E6209" t="s">
        <v>19</v>
      </c>
      <c r="F6209">
        <v>4800</v>
      </c>
      <c r="J6209">
        <v>118.1</v>
      </c>
      <c r="K6209">
        <v>85.5</v>
      </c>
      <c r="L6209">
        <v>0</v>
      </c>
      <c r="M6209" t="s">
        <v>18</v>
      </c>
      <c r="N6209">
        <v>0</v>
      </c>
      <c r="O6209">
        <v>0</v>
      </c>
    </row>
    <row r="6210" spans="1:15" x14ac:dyDescent="0.2">
      <c r="A6210" s="6">
        <v>45792</v>
      </c>
      <c r="B6210" t="s">
        <v>15</v>
      </c>
      <c r="C6210" t="s">
        <v>16</v>
      </c>
      <c r="D6210" s="1">
        <v>45855</v>
      </c>
      <c r="E6210" t="s">
        <v>19</v>
      </c>
      <c r="F6210">
        <v>4750</v>
      </c>
      <c r="J6210">
        <v>104.1</v>
      </c>
      <c r="K6210">
        <v>74.5</v>
      </c>
      <c r="L6210">
        <v>0</v>
      </c>
      <c r="M6210" t="s">
        <v>18</v>
      </c>
      <c r="N6210">
        <v>0</v>
      </c>
      <c r="O6210">
        <v>0</v>
      </c>
    </row>
    <row r="6211" spans="1:15" x14ac:dyDescent="0.2">
      <c r="A6211" s="6">
        <v>45792</v>
      </c>
      <c r="B6211" t="s">
        <v>15</v>
      </c>
      <c r="C6211" t="s">
        <v>16</v>
      </c>
      <c r="D6211" s="1">
        <v>45855</v>
      </c>
      <c r="E6211" t="s">
        <v>19</v>
      </c>
      <c r="F6211">
        <v>6000</v>
      </c>
      <c r="J6211">
        <v>830.9</v>
      </c>
      <c r="K6211">
        <v>719</v>
      </c>
      <c r="L6211">
        <v>0</v>
      </c>
      <c r="M6211" t="s">
        <v>18</v>
      </c>
      <c r="N6211">
        <v>0</v>
      </c>
      <c r="O6211">
        <v>0</v>
      </c>
    </row>
    <row r="6212" spans="1:15" x14ac:dyDescent="0.2">
      <c r="A6212" s="6">
        <v>45792</v>
      </c>
      <c r="B6212" t="s">
        <v>15</v>
      </c>
      <c r="C6212" t="s">
        <v>16</v>
      </c>
      <c r="D6212" s="1">
        <v>45855</v>
      </c>
      <c r="E6212" t="s">
        <v>19</v>
      </c>
      <c r="F6212">
        <v>3850</v>
      </c>
      <c r="J6212">
        <v>3.5</v>
      </c>
      <c r="K6212">
        <v>2</v>
      </c>
      <c r="L6212">
        <v>0</v>
      </c>
      <c r="M6212" t="s">
        <v>18</v>
      </c>
      <c r="N6212">
        <v>0</v>
      </c>
      <c r="O6212">
        <v>0</v>
      </c>
    </row>
    <row r="6213" spans="1:15" x14ac:dyDescent="0.2">
      <c r="A6213" s="6">
        <v>45792</v>
      </c>
      <c r="B6213" t="s">
        <v>15</v>
      </c>
      <c r="C6213" t="s">
        <v>16</v>
      </c>
      <c r="D6213" s="1">
        <v>45855</v>
      </c>
      <c r="E6213" t="s">
        <v>19</v>
      </c>
      <c r="F6213">
        <v>3950</v>
      </c>
      <c r="J6213">
        <v>5.8</v>
      </c>
      <c r="K6213">
        <v>3.3</v>
      </c>
      <c r="L6213">
        <v>0</v>
      </c>
      <c r="M6213" t="s">
        <v>18</v>
      </c>
      <c r="N6213">
        <v>0</v>
      </c>
      <c r="O6213">
        <v>0</v>
      </c>
    </row>
    <row r="6214" spans="1:15" x14ac:dyDescent="0.2">
      <c r="A6214" s="6">
        <v>45792</v>
      </c>
      <c r="B6214" t="s">
        <v>15</v>
      </c>
      <c r="C6214" t="s">
        <v>16</v>
      </c>
      <c r="D6214" s="1">
        <v>45855</v>
      </c>
      <c r="E6214" t="s">
        <v>17</v>
      </c>
      <c r="F6214">
        <v>6400</v>
      </c>
      <c r="J6214">
        <v>28.8</v>
      </c>
      <c r="K6214">
        <v>42.2</v>
      </c>
      <c r="L6214">
        <v>0</v>
      </c>
      <c r="M6214" t="s">
        <v>18</v>
      </c>
      <c r="N6214">
        <v>0</v>
      </c>
      <c r="O6214">
        <v>0</v>
      </c>
    </row>
    <row r="6215" spans="1:15" x14ac:dyDescent="0.2">
      <c r="A6215" s="6">
        <v>45792</v>
      </c>
      <c r="B6215" t="s">
        <v>15</v>
      </c>
      <c r="C6215" t="s">
        <v>16</v>
      </c>
      <c r="D6215" s="1">
        <v>45855</v>
      </c>
      <c r="E6215" t="s">
        <v>17</v>
      </c>
      <c r="F6215">
        <v>5550</v>
      </c>
      <c r="J6215">
        <v>170.6</v>
      </c>
      <c r="K6215">
        <v>224</v>
      </c>
      <c r="L6215">
        <v>0</v>
      </c>
      <c r="M6215" t="s">
        <v>18</v>
      </c>
      <c r="N6215">
        <v>0</v>
      </c>
      <c r="O6215">
        <v>0</v>
      </c>
    </row>
    <row r="6216" spans="1:15" x14ac:dyDescent="0.2">
      <c r="A6216" s="6">
        <v>45791</v>
      </c>
      <c r="B6216" t="s">
        <v>15</v>
      </c>
      <c r="C6216" t="s">
        <v>16</v>
      </c>
      <c r="D6216" s="1">
        <v>45855</v>
      </c>
      <c r="E6216" t="s">
        <v>19</v>
      </c>
      <c r="F6216">
        <v>6150</v>
      </c>
      <c r="J6216">
        <v>841.6</v>
      </c>
      <c r="K6216">
        <v>837.7</v>
      </c>
      <c r="L6216">
        <v>0</v>
      </c>
      <c r="M6216" t="s">
        <v>18</v>
      </c>
      <c r="N6216">
        <v>0</v>
      </c>
      <c r="O6216">
        <v>0</v>
      </c>
    </row>
    <row r="6217" spans="1:15" x14ac:dyDescent="0.2">
      <c r="A6217" s="6">
        <v>45791</v>
      </c>
      <c r="B6217" t="s">
        <v>15</v>
      </c>
      <c r="C6217" t="s">
        <v>16</v>
      </c>
      <c r="D6217" s="1">
        <v>45855</v>
      </c>
      <c r="E6217" t="s">
        <v>17</v>
      </c>
      <c r="F6217">
        <v>4500</v>
      </c>
      <c r="J6217">
        <v>896.6</v>
      </c>
      <c r="K6217">
        <v>914.8</v>
      </c>
      <c r="L6217">
        <v>0</v>
      </c>
      <c r="M6217" t="s">
        <v>18</v>
      </c>
      <c r="N6217">
        <v>0</v>
      </c>
      <c r="O6217">
        <v>0</v>
      </c>
    </row>
    <row r="6218" spans="1:15" x14ac:dyDescent="0.2">
      <c r="A6218" s="6">
        <v>45791</v>
      </c>
      <c r="B6218" t="s">
        <v>15</v>
      </c>
      <c r="C6218" t="s">
        <v>16</v>
      </c>
      <c r="D6218" s="1">
        <v>45855</v>
      </c>
      <c r="E6218" t="s">
        <v>17</v>
      </c>
      <c r="F6218">
        <v>5950</v>
      </c>
      <c r="J6218">
        <v>108.2</v>
      </c>
      <c r="K6218">
        <v>121.8</v>
      </c>
      <c r="L6218">
        <v>0</v>
      </c>
      <c r="M6218" t="s">
        <v>18</v>
      </c>
      <c r="N6218">
        <v>0</v>
      </c>
      <c r="O6218">
        <v>0</v>
      </c>
    </row>
    <row r="6219" spans="1:15" x14ac:dyDescent="0.2">
      <c r="A6219" s="6">
        <v>45791</v>
      </c>
      <c r="B6219" t="s">
        <v>15</v>
      </c>
      <c r="C6219" t="s">
        <v>16</v>
      </c>
      <c r="D6219" s="1">
        <v>45855</v>
      </c>
      <c r="E6219" t="s">
        <v>17</v>
      </c>
      <c r="F6219">
        <v>3700</v>
      </c>
      <c r="J6219">
        <v>1654</v>
      </c>
      <c r="K6219">
        <v>1668.8</v>
      </c>
      <c r="L6219">
        <v>0</v>
      </c>
      <c r="M6219" t="s">
        <v>18</v>
      </c>
      <c r="N6219">
        <v>0</v>
      </c>
      <c r="O6219">
        <v>0</v>
      </c>
    </row>
    <row r="6220" spans="1:15" x14ac:dyDescent="0.2">
      <c r="A6220" s="6">
        <v>45791</v>
      </c>
      <c r="B6220" t="s">
        <v>15</v>
      </c>
      <c r="C6220" t="s">
        <v>16</v>
      </c>
      <c r="D6220" s="1">
        <v>45855</v>
      </c>
      <c r="E6220" t="s">
        <v>17</v>
      </c>
      <c r="F6220">
        <v>4350</v>
      </c>
      <c r="J6220">
        <v>1030.5</v>
      </c>
      <c r="K6220">
        <v>1047.8</v>
      </c>
      <c r="L6220">
        <v>0</v>
      </c>
      <c r="M6220" t="s">
        <v>18</v>
      </c>
      <c r="N6220">
        <v>0</v>
      </c>
      <c r="O6220">
        <v>0</v>
      </c>
    </row>
    <row r="6221" spans="1:15" x14ac:dyDescent="0.2">
      <c r="A6221" s="6">
        <v>45791</v>
      </c>
      <c r="B6221" t="s">
        <v>15</v>
      </c>
      <c r="C6221" t="s">
        <v>16</v>
      </c>
      <c r="D6221" s="1">
        <v>45855</v>
      </c>
      <c r="E6221" t="s">
        <v>17</v>
      </c>
      <c r="F6221">
        <v>5150</v>
      </c>
      <c r="J6221">
        <v>415.5</v>
      </c>
      <c r="K6221">
        <v>436.1</v>
      </c>
      <c r="L6221">
        <v>0</v>
      </c>
      <c r="M6221" t="s">
        <v>18</v>
      </c>
      <c r="N6221">
        <v>0</v>
      </c>
      <c r="O6221">
        <v>0</v>
      </c>
    </row>
    <row r="6222" spans="1:15" x14ac:dyDescent="0.2">
      <c r="A6222" s="6">
        <v>45791</v>
      </c>
      <c r="B6222" t="s">
        <v>15</v>
      </c>
      <c r="C6222" t="s">
        <v>16</v>
      </c>
      <c r="D6222" s="1">
        <v>45855</v>
      </c>
      <c r="E6222" t="s">
        <v>17</v>
      </c>
      <c r="F6222">
        <v>5000</v>
      </c>
      <c r="J6222">
        <v>509</v>
      </c>
      <c r="K6222">
        <v>529.5</v>
      </c>
      <c r="L6222">
        <v>0</v>
      </c>
      <c r="M6222" t="s">
        <v>18</v>
      </c>
      <c r="N6222">
        <v>0</v>
      </c>
      <c r="O6222">
        <v>0</v>
      </c>
    </row>
    <row r="6223" spans="1:15" x14ac:dyDescent="0.2">
      <c r="A6223" s="6">
        <v>45791</v>
      </c>
      <c r="B6223" t="s">
        <v>15</v>
      </c>
      <c r="C6223" t="s">
        <v>16</v>
      </c>
      <c r="D6223" s="1">
        <v>45855</v>
      </c>
      <c r="E6223" t="s">
        <v>17</v>
      </c>
      <c r="F6223">
        <v>4100</v>
      </c>
      <c r="J6223">
        <v>1264.7</v>
      </c>
      <c r="K6223">
        <v>1280.5999999999999</v>
      </c>
      <c r="L6223">
        <v>0</v>
      </c>
      <c r="M6223" t="s">
        <v>18</v>
      </c>
      <c r="N6223">
        <v>0</v>
      </c>
      <c r="O6223">
        <v>0</v>
      </c>
    </row>
    <row r="6224" spans="1:15" x14ac:dyDescent="0.2">
      <c r="A6224" s="6">
        <v>45791</v>
      </c>
      <c r="B6224" t="s">
        <v>15</v>
      </c>
      <c r="C6224" t="s">
        <v>16</v>
      </c>
      <c r="D6224" s="1">
        <v>45855</v>
      </c>
      <c r="E6224" t="s">
        <v>17</v>
      </c>
      <c r="F6224">
        <v>4400</v>
      </c>
      <c r="J6224">
        <v>985.2</v>
      </c>
      <c r="K6224">
        <v>1002.8</v>
      </c>
      <c r="L6224">
        <v>0</v>
      </c>
      <c r="M6224" t="s">
        <v>18</v>
      </c>
      <c r="N6224">
        <v>0</v>
      </c>
      <c r="O6224">
        <v>0</v>
      </c>
    </row>
    <row r="6225" spans="1:15" x14ac:dyDescent="0.2">
      <c r="A6225" s="6">
        <v>45791</v>
      </c>
      <c r="B6225" t="s">
        <v>15</v>
      </c>
      <c r="C6225" t="s">
        <v>16</v>
      </c>
      <c r="D6225" s="1">
        <v>45855</v>
      </c>
      <c r="E6225" t="s">
        <v>19</v>
      </c>
      <c r="F6225">
        <v>4900</v>
      </c>
      <c r="J6225">
        <v>110.9</v>
      </c>
      <c r="K6225">
        <v>116.5</v>
      </c>
      <c r="L6225">
        <v>0</v>
      </c>
      <c r="M6225" t="s">
        <v>18</v>
      </c>
      <c r="N6225">
        <v>0</v>
      </c>
      <c r="O6225">
        <v>0</v>
      </c>
    </row>
    <row r="6226" spans="1:15" x14ac:dyDescent="0.2">
      <c r="A6226" s="6">
        <v>45791</v>
      </c>
      <c r="B6226" t="s">
        <v>15</v>
      </c>
      <c r="C6226" t="s">
        <v>16</v>
      </c>
      <c r="D6226" s="1">
        <v>45855</v>
      </c>
      <c r="E6226" t="s">
        <v>17</v>
      </c>
      <c r="F6226">
        <v>5200</v>
      </c>
      <c r="J6226">
        <v>387</v>
      </c>
      <c r="K6226">
        <v>407.4</v>
      </c>
      <c r="L6226">
        <v>0</v>
      </c>
      <c r="M6226" t="s">
        <v>18</v>
      </c>
      <c r="N6226">
        <v>0</v>
      </c>
      <c r="O6226">
        <v>0</v>
      </c>
    </row>
    <row r="6227" spans="1:15" x14ac:dyDescent="0.2">
      <c r="A6227" s="6">
        <v>45791</v>
      </c>
      <c r="B6227" t="s">
        <v>15</v>
      </c>
      <c r="C6227" t="s">
        <v>16</v>
      </c>
      <c r="D6227" s="1">
        <v>45855</v>
      </c>
      <c r="E6227" t="s">
        <v>17</v>
      </c>
      <c r="F6227">
        <v>4750</v>
      </c>
      <c r="J6227">
        <v>689.5</v>
      </c>
      <c r="K6227">
        <v>709.3</v>
      </c>
      <c r="L6227">
        <v>0</v>
      </c>
      <c r="M6227" t="s">
        <v>18</v>
      </c>
      <c r="N6227">
        <v>0</v>
      </c>
      <c r="O6227">
        <v>0</v>
      </c>
    </row>
    <row r="6228" spans="1:15" x14ac:dyDescent="0.2">
      <c r="A6228" s="6">
        <v>45791</v>
      </c>
      <c r="B6228" t="s">
        <v>15</v>
      </c>
      <c r="C6228" t="s">
        <v>16</v>
      </c>
      <c r="D6228" s="1">
        <v>45855</v>
      </c>
      <c r="E6228" t="s">
        <v>19</v>
      </c>
      <c r="F6228">
        <v>3600</v>
      </c>
      <c r="J6228">
        <v>0.4</v>
      </c>
      <c r="K6228">
        <v>0.6</v>
      </c>
      <c r="L6228">
        <v>0</v>
      </c>
      <c r="M6228" t="s">
        <v>18</v>
      </c>
      <c r="N6228">
        <v>0</v>
      </c>
      <c r="O6228">
        <v>0</v>
      </c>
    </row>
    <row r="6229" spans="1:15" x14ac:dyDescent="0.2">
      <c r="A6229" s="6">
        <v>45791</v>
      </c>
      <c r="B6229" t="s">
        <v>15</v>
      </c>
      <c r="C6229" t="s">
        <v>16</v>
      </c>
      <c r="D6229" s="1">
        <v>45855</v>
      </c>
      <c r="E6229" t="s">
        <v>19</v>
      </c>
      <c r="F6229">
        <v>5250</v>
      </c>
      <c r="J6229">
        <v>239.2</v>
      </c>
      <c r="K6229">
        <v>244.6</v>
      </c>
      <c r="L6229">
        <v>0</v>
      </c>
      <c r="M6229" t="s">
        <v>18</v>
      </c>
      <c r="N6229">
        <v>0</v>
      </c>
      <c r="O6229">
        <v>0</v>
      </c>
    </row>
    <row r="6230" spans="1:15" x14ac:dyDescent="0.2">
      <c r="A6230" s="6">
        <v>45791</v>
      </c>
      <c r="B6230" t="s">
        <v>15</v>
      </c>
      <c r="C6230" t="s">
        <v>16</v>
      </c>
      <c r="D6230" s="1">
        <v>45855</v>
      </c>
      <c r="E6230" t="s">
        <v>17</v>
      </c>
      <c r="F6230">
        <v>4450</v>
      </c>
      <c r="J6230">
        <v>940.5</v>
      </c>
      <c r="K6230">
        <v>958.5</v>
      </c>
      <c r="L6230">
        <v>0</v>
      </c>
      <c r="M6230" t="s">
        <v>18</v>
      </c>
      <c r="N6230">
        <v>0</v>
      </c>
      <c r="O6230">
        <v>0</v>
      </c>
    </row>
    <row r="6231" spans="1:15" x14ac:dyDescent="0.2">
      <c r="A6231" s="6">
        <v>45791</v>
      </c>
      <c r="B6231" t="s">
        <v>15</v>
      </c>
      <c r="C6231" t="s">
        <v>16</v>
      </c>
      <c r="D6231" s="1">
        <v>45855</v>
      </c>
      <c r="E6231" t="s">
        <v>17</v>
      </c>
      <c r="F6231">
        <v>5300</v>
      </c>
      <c r="J6231">
        <v>334</v>
      </c>
      <c r="K6231">
        <v>354</v>
      </c>
      <c r="L6231">
        <v>0</v>
      </c>
      <c r="M6231" t="s">
        <v>18</v>
      </c>
      <c r="N6231">
        <v>0</v>
      </c>
      <c r="O6231">
        <v>0</v>
      </c>
    </row>
    <row r="6232" spans="1:15" x14ac:dyDescent="0.2">
      <c r="A6232" s="6">
        <v>45791</v>
      </c>
      <c r="B6232" t="s">
        <v>15</v>
      </c>
      <c r="C6232" t="s">
        <v>16</v>
      </c>
      <c r="D6232" s="1">
        <v>45855</v>
      </c>
      <c r="E6232" t="s">
        <v>17</v>
      </c>
      <c r="F6232">
        <v>4950</v>
      </c>
      <c r="J6232">
        <v>542.70000000000005</v>
      </c>
      <c r="K6232">
        <v>563.20000000000005</v>
      </c>
      <c r="L6232">
        <v>0</v>
      </c>
      <c r="M6232" t="s">
        <v>18</v>
      </c>
      <c r="N6232">
        <v>0</v>
      </c>
      <c r="O6232">
        <v>0</v>
      </c>
    </row>
    <row r="6233" spans="1:15" x14ac:dyDescent="0.2">
      <c r="A6233" s="6">
        <v>45791</v>
      </c>
      <c r="B6233" t="s">
        <v>15</v>
      </c>
      <c r="C6233" t="s">
        <v>16</v>
      </c>
      <c r="D6233" s="1">
        <v>45855</v>
      </c>
      <c r="E6233" t="s">
        <v>17</v>
      </c>
      <c r="F6233">
        <v>4900</v>
      </c>
      <c r="J6233">
        <v>577.6</v>
      </c>
      <c r="K6233">
        <v>598</v>
      </c>
      <c r="L6233">
        <v>0</v>
      </c>
      <c r="M6233" t="s">
        <v>18</v>
      </c>
      <c r="N6233">
        <v>0</v>
      </c>
      <c r="O6233">
        <v>0</v>
      </c>
    </row>
    <row r="6234" spans="1:15" x14ac:dyDescent="0.2">
      <c r="A6234" s="6">
        <v>45791</v>
      </c>
      <c r="B6234" t="s">
        <v>15</v>
      </c>
      <c r="C6234" t="s">
        <v>16</v>
      </c>
      <c r="D6234" s="1">
        <v>45855</v>
      </c>
      <c r="E6234" t="s">
        <v>17</v>
      </c>
      <c r="F6234">
        <v>4800</v>
      </c>
      <c r="J6234">
        <v>651.1</v>
      </c>
      <c r="K6234">
        <v>671.1</v>
      </c>
      <c r="L6234">
        <v>0</v>
      </c>
      <c r="M6234" t="s">
        <v>18</v>
      </c>
      <c r="N6234">
        <v>0</v>
      </c>
      <c r="O6234">
        <v>0</v>
      </c>
    </row>
    <row r="6235" spans="1:15" x14ac:dyDescent="0.2">
      <c r="A6235" s="6">
        <v>45791</v>
      </c>
      <c r="B6235" t="s">
        <v>15</v>
      </c>
      <c r="C6235" t="s">
        <v>16</v>
      </c>
      <c r="D6235" s="1">
        <v>45855</v>
      </c>
      <c r="E6235" t="s">
        <v>19</v>
      </c>
      <c r="F6235">
        <v>4200</v>
      </c>
      <c r="J6235">
        <v>10.9</v>
      </c>
      <c r="K6235">
        <v>12.7</v>
      </c>
      <c r="L6235">
        <v>0</v>
      </c>
      <c r="M6235" t="s">
        <v>18</v>
      </c>
      <c r="N6235">
        <v>0</v>
      </c>
      <c r="O6235">
        <v>0</v>
      </c>
    </row>
    <row r="6236" spans="1:15" x14ac:dyDescent="0.2">
      <c r="A6236" s="6">
        <v>45791</v>
      </c>
      <c r="B6236" t="s">
        <v>15</v>
      </c>
      <c r="C6236" t="s">
        <v>16</v>
      </c>
      <c r="D6236" s="1">
        <v>45855</v>
      </c>
      <c r="E6236" t="s">
        <v>17</v>
      </c>
      <c r="F6236">
        <v>5700</v>
      </c>
      <c r="J6236">
        <v>172.7</v>
      </c>
      <c r="K6236">
        <v>189.3</v>
      </c>
      <c r="L6236">
        <v>0</v>
      </c>
      <c r="M6236" t="s">
        <v>18</v>
      </c>
      <c r="N6236">
        <v>0</v>
      </c>
      <c r="O6236">
        <v>0</v>
      </c>
    </row>
    <row r="6237" spans="1:15" x14ac:dyDescent="0.2">
      <c r="A6237" s="6">
        <v>45791</v>
      </c>
      <c r="B6237" t="s">
        <v>15</v>
      </c>
      <c r="C6237" t="s">
        <v>16</v>
      </c>
      <c r="D6237" s="1">
        <v>45855</v>
      </c>
      <c r="E6237" t="s">
        <v>17</v>
      </c>
      <c r="F6237">
        <v>5250</v>
      </c>
      <c r="J6237">
        <v>359.8</v>
      </c>
      <c r="K6237">
        <v>380.1</v>
      </c>
      <c r="L6237">
        <v>0</v>
      </c>
      <c r="M6237" t="s">
        <v>18</v>
      </c>
      <c r="N6237">
        <v>0</v>
      </c>
      <c r="O6237">
        <v>0</v>
      </c>
    </row>
    <row r="6238" spans="1:15" x14ac:dyDescent="0.2">
      <c r="A6238" s="6">
        <v>45791</v>
      </c>
      <c r="B6238" t="s">
        <v>15</v>
      </c>
      <c r="C6238" t="s">
        <v>16</v>
      </c>
      <c r="D6238" s="1">
        <v>45855</v>
      </c>
      <c r="E6238" t="s">
        <v>17</v>
      </c>
      <c r="F6238">
        <v>4200</v>
      </c>
      <c r="J6238">
        <v>1169.7</v>
      </c>
      <c r="K6238">
        <v>1186.2</v>
      </c>
      <c r="L6238">
        <v>0</v>
      </c>
      <c r="M6238" t="s">
        <v>18</v>
      </c>
      <c r="N6238">
        <v>0</v>
      </c>
      <c r="O6238">
        <v>0</v>
      </c>
    </row>
    <row r="6239" spans="1:15" x14ac:dyDescent="0.2">
      <c r="A6239" s="6">
        <v>45791</v>
      </c>
      <c r="B6239" t="s">
        <v>15</v>
      </c>
      <c r="C6239" t="s">
        <v>16</v>
      </c>
      <c r="D6239" s="1">
        <v>45855</v>
      </c>
      <c r="E6239" t="s">
        <v>19</v>
      </c>
      <c r="F6239">
        <v>5100</v>
      </c>
      <c r="J6239">
        <v>176.4</v>
      </c>
      <c r="K6239">
        <v>182.2</v>
      </c>
      <c r="L6239">
        <v>0</v>
      </c>
      <c r="M6239" t="s">
        <v>18</v>
      </c>
      <c r="N6239">
        <v>0</v>
      </c>
      <c r="O6239">
        <v>0</v>
      </c>
    </row>
    <row r="6240" spans="1:15" x14ac:dyDescent="0.2">
      <c r="A6240" s="6">
        <v>45791</v>
      </c>
      <c r="B6240" t="s">
        <v>15</v>
      </c>
      <c r="C6240" t="s">
        <v>16</v>
      </c>
      <c r="D6240" s="1">
        <v>45855</v>
      </c>
      <c r="E6240" t="s">
        <v>17</v>
      </c>
      <c r="F6240">
        <v>4650</v>
      </c>
      <c r="J6240">
        <v>769.5</v>
      </c>
      <c r="K6240">
        <v>788.7</v>
      </c>
      <c r="L6240">
        <v>0</v>
      </c>
      <c r="M6240" t="s">
        <v>18</v>
      </c>
      <c r="N6240">
        <v>0</v>
      </c>
      <c r="O6240">
        <v>0</v>
      </c>
    </row>
    <row r="6241" spans="1:15" x14ac:dyDescent="0.2">
      <c r="A6241" s="6">
        <v>45791</v>
      </c>
      <c r="B6241" t="s">
        <v>15</v>
      </c>
      <c r="C6241" t="s">
        <v>16</v>
      </c>
      <c r="D6241" s="1">
        <v>45855</v>
      </c>
      <c r="E6241" t="s">
        <v>19</v>
      </c>
      <c r="F6241">
        <v>6650</v>
      </c>
      <c r="J6241">
        <v>1287.4000000000001</v>
      </c>
      <c r="K6241">
        <v>1278</v>
      </c>
      <c r="L6241">
        <v>0</v>
      </c>
      <c r="M6241" t="s">
        <v>18</v>
      </c>
      <c r="N6241">
        <v>0</v>
      </c>
      <c r="O6241">
        <v>0</v>
      </c>
    </row>
    <row r="6242" spans="1:15" x14ac:dyDescent="0.2">
      <c r="A6242" s="6">
        <v>45791</v>
      </c>
      <c r="B6242" t="s">
        <v>15</v>
      </c>
      <c r="C6242" t="s">
        <v>16</v>
      </c>
      <c r="D6242" s="1">
        <v>45855</v>
      </c>
      <c r="E6242" t="s">
        <v>19</v>
      </c>
      <c r="F6242">
        <v>6050</v>
      </c>
      <c r="J6242">
        <v>759.1</v>
      </c>
      <c r="K6242">
        <v>756.5</v>
      </c>
      <c r="L6242">
        <v>0</v>
      </c>
      <c r="M6242" t="s">
        <v>18</v>
      </c>
      <c r="N6242">
        <v>0</v>
      </c>
      <c r="O6242">
        <v>0</v>
      </c>
    </row>
    <row r="6243" spans="1:15" x14ac:dyDescent="0.2">
      <c r="A6243" s="6">
        <v>45791</v>
      </c>
      <c r="B6243" t="s">
        <v>15</v>
      </c>
      <c r="C6243" t="s">
        <v>16</v>
      </c>
      <c r="D6243" s="1">
        <v>45855</v>
      </c>
      <c r="E6243" t="s">
        <v>17</v>
      </c>
      <c r="F6243">
        <v>5100</v>
      </c>
      <c r="J6243">
        <v>445.4</v>
      </c>
      <c r="K6243">
        <v>466</v>
      </c>
      <c r="L6243">
        <v>0</v>
      </c>
      <c r="M6243" t="s">
        <v>18</v>
      </c>
      <c r="N6243">
        <v>0</v>
      </c>
      <c r="O6243">
        <v>0</v>
      </c>
    </row>
    <row r="6244" spans="1:15" x14ac:dyDescent="0.2">
      <c r="A6244" s="6">
        <v>45791</v>
      </c>
      <c r="B6244" t="s">
        <v>15</v>
      </c>
      <c r="C6244" t="s">
        <v>16</v>
      </c>
      <c r="D6244" s="1">
        <v>45855</v>
      </c>
      <c r="E6244" t="s">
        <v>19</v>
      </c>
      <c r="F6244">
        <v>4550</v>
      </c>
      <c r="J6244">
        <v>40.6</v>
      </c>
      <c r="K6244">
        <v>44.5</v>
      </c>
      <c r="L6244">
        <v>0</v>
      </c>
      <c r="M6244" t="s">
        <v>18</v>
      </c>
      <c r="N6244">
        <v>0</v>
      </c>
      <c r="O6244">
        <v>0</v>
      </c>
    </row>
    <row r="6245" spans="1:15" x14ac:dyDescent="0.2">
      <c r="A6245" s="6">
        <v>45791</v>
      </c>
      <c r="B6245" t="s">
        <v>15</v>
      </c>
      <c r="C6245" t="s">
        <v>16</v>
      </c>
      <c r="D6245" s="1">
        <v>45855</v>
      </c>
      <c r="E6245" t="s">
        <v>19</v>
      </c>
      <c r="F6245">
        <v>4700</v>
      </c>
      <c r="J6245">
        <v>64.599999999999994</v>
      </c>
      <c r="K6245">
        <v>69.400000000000006</v>
      </c>
      <c r="L6245">
        <v>0</v>
      </c>
      <c r="M6245" t="s">
        <v>18</v>
      </c>
      <c r="N6245">
        <v>0</v>
      </c>
      <c r="O6245">
        <v>0</v>
      </c>
    </row>
    <row r="6246" spans="1:15" x14ac:dyDescent="0.2">
      <c r="A6246" s="6">
        <v>45791</v>
      </c>
      <c r="B6246" t="s">
        <v>15</v>
      </c>
      <c r="C6246" t="s">
        <v>16</v>
      </c>
      <c r="D6246" s="1">
        <v>45855</v>
      </c>
      <c r="E6246" t="s">
        <v>19</v>
      </c>
      <c r="F6246">
        <v>3750</v>
      </c>
      <c r="J6246">
        <v>1.1000000000000001</v>
      </c>
      <c r="K6246">
        <v>1.4</v>
      </c>
      <c r="L6246">
        <v>0</v>
      </c>
      <c r="M6246" t="s">
        <v>18</v>
      </c>
      <c r="N6246">
        <v>0</v>
      </c>
      <c r="O6246">
        <v>0</v>
      </c>
    </row>
    <row r="6247" spans="1:15" x14ac:dyDescent="0.2">
      <c r="A6247" s="6">
        <v>45791</v>
      </c>
      <c r="B6247" t="s">
        <v>15</v>
      </c>
      <c r="C6247" t="s">
        <v>16</v>
      </c>
      <c r="D6247" s="1">
        <v>45855</v>
      </c>
      <c r="E6247" t="s">
        <v>17</v>
      </c>
      <c r="F6247">
        <v>3750</v>
      </c>
      <c r="J6247">
        <v>1604.8</v>
      </c>
      <c r="K6247">
        <v>1619.7</v>
      </c>
      <c r="L6247">
        <v>0</v>
      </c>
      <c r="M6247" t="s">
        <v>18</v>
      </c>
      <c r="N6247">
        <v>0</v>
      </c>
      <c r="O6247">
        <v>0</v>
      </c>
    </row>
    <row r="6248" spans="1:15" x14ac:dyDescent="0.2">
      <c r="A6248" s="6">
        <v>45791</v>
      </c>
      <c r="B6248" t="s">
        <v>15</v>
      </c>
      <c r="C6248" t="s">
        <v>16</v>
      </c>
      <c r="D6248" s="1">
        <v>45855</v>
      </c>
      <c r="E6248" t="s">
        <v>17</v>
      </c>
      <c r="F6248">
        <v>6050</v>
      </c>
      <c r="J6248">
        <v>88.7</v>
      </c>
      <c r="K6248">
        <v>101.1</v>
      </c>
      <c r="L6248">
        <v>0</v>
      </c>
      <c r="M6248" t="s">
        <v>18</v>
      </c>
      <c r="N6248">
        <v>0</v>
      </c>
      <c r="O6248">
        <v>0</v>
      </c>
    </row>
    <row r="6249" spans="1:15" x14ac:dyDescent="0.2">
      <c r="A6249" s="6">
        <v>45791</v>
      </c>
      <c r="B6249" t="s">
        <v>15</v>
      </c>
      <c r="C6249" t="s">
        <v>16</v>
      </c>
      <c r="D6249" s="1">
        <v>45855</v>
      </c>
      <c r="E6249" t="s">
        <v>17</v>
      </c>
      <c r="F6249">
        <v>6550</v>
      </c>
      <c r="J6249">
        <v>30.1</v>
      </c>
      <c r="K6249">
        <v>36.6</v>
      </c>
      <c r="L6249">
        <v>0</v>
      </c>
      <c r="M6249" t="s">
        <v>18</v>
      </c>
      <c r="N6249">
        <v>0</v>
      </c>
      <c r="O6249">
        <v>0</v>
      </c>
    </row>
    <row r="6250" spans="1:15" x14ac:dyDescent="0.2">
      <c r="A6250" s="6">
        <v>45791</v>
      </c>
      <c r="B6250" t="s">
        <v>15</v>
      </c>
      <c r="C6250" t="s">
        <v>16</v>
      </c>
      <c r="D6250" s="1">
        <v>45855</v>
      </c>
      <c r="E6250" t="s">
        <v>19</v>
      </c>
      <c r="F6250">
        <v>5700</v>
      </c>
      <c r="J6250">
        <v>497</v>
      </c>
      <c r="K6250">
        <v>498.7</v>
      </c>
      <c r="L6250">
        <v>0</v>
      </c>
      <c r="M6250" t="s">
        <v>18</v>
      </c>
      <c r="N6250">
        <v>0</v>
      </c>
      <c r="O6250">
        <v>0</v>
      </c>
    </row>
    <row r="6251" spans="1:15" x14ac:dyDescent="0.2">
      <c r="A6251" s="6">
        <v>45791</v>
      </c>
      <c r="B6251" t="s">
        <v>15</v>
      </c>
      <c r="C6251" t="s">
        <v>16</v>
      </c>
      <c r="D6251" s="1">
        <v>45855</v>
      </c>
      <c r="E6251" t="s">
        <v>17</v>
      </c>
      <c r="F6251">
        <v>6650</v>
      </c>
      <c r="J6251">
        <v>23.8</v>
      </c>
      <c r="K6251">
        <v>29.4</v>
      </c>
      <c r="L6251">
        <v>0</v>
      </c>
      <c r="M6251" t="s">
        <v>18</v>
      </c>
      <c r="N6251">
        <v>0</v>
      </c>
      <c r="O6251">
        <v>0</v>
      </c>
    </row>
    <row r="6252" spans="1:15" x14ac:dyDescent="0.2">
      <c r="A6252" s="6">
        <v>45791</v>
      </c>
      <c r="B6252" t="s">
        <v>15</v>
      </c>
      <c r="C6252" t="s">
        <v>16</v>
      </c>
      <c r="D6252" s="1">
        <v>45855</v>
      </c>
      <c r="E6252" t="s">
        <v>19</v>
      </c>
      <c r="F6252">
        <v>5450</v>
      </c>
      <c r="J6252">
        <v>341.3</v>
      </c>
      <c r="K6252">
        <v>345.5</v>
      </c>
      <c r="L6252">
        <v>0</v>
      </c>
      <c r="M6252" t="s">
        <v>18</v>
      </c>
      <c r="N6252">
        <v>0</v>
      </c>
      <c r="O6252">
        <v>0</v>
      </c>
    </row>
    <row r="6253" spans="1:15" x14ac:dyDescent="0.2">
      <c r="A6253" s="6">
        <v>45791</v>
      </c>
      <c r="B6253" t="s">
        <v>15</v>
      </c>
      <c r="C6253" t="s">
        <v>16</v>
      </c>
      <c r="D6253" s="1">
        <v>45855</v>
      </c>
      <c r="E6253" t="s">
        <v>19</v>
      </c>
      <c r="F6253">
        <v>3700</v>
      </c>
      <c r="J6253">
        <v>0.8</v>
      </c>
      <c r="K6253">
        <v>1.1000000000000001</v>
      </c>
      <c r="L6253">
        <v>0</v>
      </c>
      <c r="M6253" t="s">
        <v>18</v>
      </c>
      <c r="N6253">
        <v>0</v>
      </c>
      <c r="O6253">
        <v>0</v>
      </c>
    </row>
    <row r="6254" spans="1:15" x14ac:dyDescent="0.2">
      <c r="A6254" s="6">
        <v>45791</v>
      </c>
      <c r="B6254" t="s">
        <v>15</v>
      </c>
      <c r="C6254" t="s">
        <v>16</v>
      </c>
      <c r="D6254" s="1">
        <v>45855</v>
      </c>
      <c r="E6254" t="s">
        <v>17</v>
      </c>
      <c r="F6254">
        <v>5600</v>
      </c>
      <c r="J6254">
        <v>205.8</v>
      </c>
      <c r="K6254">
        <v>223.5</v>
      </c>
      <c r="L6254">
        <v>0</v>
      </c>
      <c r="M6254" t="s">
        <v>18</v>
      </c>
      <c r="N6254">
        <v>0</v>
      </c>
      <c r="O6254">
        <v>0</v>
      </c>
    </row>
    <row r="6255" spans="1:15" x14ac:dyDescent="0.2">
      <c r="A6255" s="6">
        <v>45791</v>
      </c>
      <c r="B6255" t="s">
        <v>15</v>
      </c>
      <c r="C6255" t="s">
        <v>16</v>
      </c>
      <c r="D6255" s="1">
        <v>45855</v>
      </c>
      <c r="E6255" t="s">
        <v>19</v>
      </c>
      <c r="F6255">
        <v>5300</v>
      </c>
      <c r="J6255">
        <v>262.8</v>
      </c>
      <c r="K6255">
        <v>268</v>
      </c>
      <c r="L6255">
        <v>0</v>
      </c>
      <c r="M6255" t="s">
        <v>18</v>
      </c>
      <c r="N6255">
        <v>0</v>
      </c>
      <c r="O6255">
        <v>0</v>
      </c>
    </row>
    <row r="6256" spans="1:15" x14ac:dyDescent="0.2">
      <c r="A6256" s="6">
        <v>45791</v>
      </c>
      <c r="B6256" t="s">
        <v>15</v>
      </c>
      <c r="C6256" t="s">
        <v>16</v>
      </c>
      <c r="D6256" s="1">
        <v>45855</v>
      </c>
      <c r="E6256" t="s">
        <v>19</v>
      </c>
      <c r="F6256">
        <v>6400</v>
      </c>
      <c r="J6256">
        <v>1058.7</v>
      </c>
      <c r="K6256">
        <v>1051.8</v>
      </c>
      <c r="L6256">
        <v>0</v>
      </c>
      <c r="M6256" t="s">
        <v>18</v>
      </c>
      <c r="N6256">
        <v>0</v>
      </c>
      <c r="O6256">
        <v>0</v>
      </c>
    </row>
    <row r="6257" spans="1:15" x14ac:dyDescent="0.2">
      <c r="A6257" s="6">
        <v>45791</v>
      </c>
      <c r="B6257" t="s">
        <v>15</v>
      </c>
      <c r="C6257" t="s">
        <v>16</v>
      </c>
      <c r="D6257" s="1">
        <v>45855</v>
      </c>
      <c r="E6257" t="s">
        <v>19</v>
      </c>
      <c r="F6257">
        <v>5400</v>
      </c>
      <c r="J6257">
        <v>313.8</v>
      </c>
      <c r="K6257">
        <v>318.39999999999998</v>
      </c>
      <c r="L6257">
        <v>0</v>
      </c>
      <c r="M6257" t="s">
        <v>18</v>
      </c>
      <c r="N6257">
        <v>0</v>
      </c>
      <c r="O6257">
        <v>0</v>
      </c>
    </row>
    <row r="6258" spans="1:15" x14ac:dyDescent="0.2">
      <c r="A6258" s="6">
        <v>45791</v>
      </c>
      <c r="B6258" t="s">
        <v>15</v>
      </c>
      <c r="C6258" t="s">
        <v>16</v>
      </c>
      <c r="D6258" s="1">
        <v>45855</v>
      </c>
      <c r="E6258" t="s">
        <v>19</v>
      </c>
      <c r="F6258">
        <v>4450</v>
      </c>
      <c r="J6258">
        <v>28.9</v>
      </c>
      <c r="K6258">
        <v>32.200000000000003</v>
      </c>
      <c r="L6258">
        <v>0</v>
      </c>
      <c r="M6258" t="s">
        <v>18</v>
      </c>
      <c r="N6258">
        <v>0</v>
      </c>
      <c r="O6258">
        <v>0</v>
      </c>
    </row>
    <row r="6259" spans="1:15" x14ac:dyDescent="0.2">
      <c r="A6259" s="6">
        <v>45791</v>
      </c>
      <c r="B6259" t="s">
        <v>15</v>
      </c>
      <c r="C6259" t="s">
        <v>16</v>
      </c>
      <c r="D6259" s="1">
        <v>45855</v>
      </c>
      <c r="E6259" t="s">
        <v>19</v>
      </c>
      <c r="F6259">
        <v>4600</v>
      </c>
      <c r="J6259">
        <v>47.7</v>
      </c>
      <c r="K6259">
        <v>51.9</v>
      </c>
      <c r="L6259">
        <v>0</v>
      </c>
      <c r="M6259" t="s">
        <v>18</v>
      </c>
      <c r="N6259">
        <v>0</v>
      </c>
      <c r="O6259">
        <v>0</v>
      </c>
    </row>
    <row r="6260" spans="1:15" x14ac:dyDescent="0.2">
      <c r="A6260" s="6">
        <v>45791</v>
      </c>
      <c r="B6260" t="s">
        <v>15</v>
      </c>
      <c r="C6260" t="s">
        <v>16</v>
      </c>
      <c r="D6260" s="1">
        <v>45855</v>
      </c>
      <c r="E6260" t="s">
        <v>19</v>
      </c>
      <c r="F6260">
        <v>5050</v>
      </c>
      <c r="J6260">
        <v>158.19999999999999</v>
      </c>
      <c r="K6260">
        <v>164</v>
      </c>
      <c r="L6260">
        <v>0</v>
      </c>
      <c r="M6260" t="s">
        <v>18</v>
      </c>
      <c r="N6260">
        <v>0</v>
      </c>
      <c r="O6260">
        <v>0</v>
      </c>
    </row>
    <row r="6261" spans="1:15" x14ac:dyDescent="0.2">
      <c r="A6261" s="6">
        <v>45791</v>
      </c>
      <c r="B6261" t="s">
        <v>15</v>
      </c>
      <c r="C6261" t="s">
        <v>16</v>
      </c>
      <c r="D6261" s="1">
        <v>45855</v>
      </c>
      <c r="E6261" t="s">
        <v>17</v>
      </c>
      <c r="F6261">
        <v>5750</v>
      </c>
      <c r="J6261">
        <v>157.80000000000001</v>
      </c>
      <c r="K6261">
        <v>173.9</v>
      </c>
      <c r="L6261">
        <v>0</v>
      </c>
      <c r="M6261" t="s">
        <v>18</v>
      </c>
      <c r="N6261">
        <v>0</v>
      </c>
      <c r="O6261">
        <v>0</v>
      </c>
    </row>
    <row r="6262" spans="1:15" x14ac:dyDescent="0.2">
      <c r="A6262" s="6">
        <v>45791</v>
      </c>
      <c r="B6262" t="s">
        <v>15</v>
      </c>
      <c r="C6262" t="s">
        <v>16</v>
      </c>
      <c r="D6262" s="1">
        <v>45855</v>
      </c>
      <c r="E6262" t="s">
        <v>19</v>
      </c>
      <c r="F6262">
        <v>4250</v>
      </c>
      <c r="J6262">
        <v>13.5</v>
      </c>
      <c r="K6262">
        <v>15.5</v>
      </c>
      <c r="L6262">
        <v>0</v>
      </c>
      <c r="M6262" t="s">
        <v>18</v>
      </c>
      <c r="N6262">
        <v>0</v>
      </c>
      <c r="O6262">
        <v>0</v>
      </c>
    </row>
    <row r="6263" spans="1:15" x14ac:dyDescent="0.2">
      <c r="A6263" s="6">
        <v>45791</v>
      </c>
      <c r="B6263" t="s">
        <v>15</v>
      </c>
      <c r="C6263" t="s">
        <v>16</v>
      </c>
      <c r="D6263" s="1">
        <v>45855</v>
      </c>
      <c r="E6263" t="s">
        <v>19</v>
      </c>
      <c r="F6263">
        <v>4950</v>
      </c>
      <c r="J6263">
        <v>125.4</v>
      </c>
      <c r="K6263">
        <v>131.1</v>
      </c>
      <c r="L6263">
        <v>0</v>
      </c>
      <c r="M6263" t="s">
        <v>18</v>
      </c>
      <c r="N6263">
        <v>0</v>
      </c>
      <c r="O6263">
        <v>0</v>
      </c>
    </row>
    <row r="6264" spans="1:15" x14ac:dyDescent="0.2">
      <c r="A6264" s="6">
        <v>45791</v>
      </c>
      <c r="B6264" t="s">
        <v>15</v>
      </c>
      <c r="C6264" t="s">
        <v>16</v>
      </c>
      <c r="D6264" s="1">
        <v>45855</v>
      </c>
      <c r="E6264" t="s">
        <v>17</v>
      </c>
      <c r="F6264">
        <v>3850</v>
      </c>
      <c r="J6264">
        <v>1506.8</v>
      </c>
      <c r="K6264">
        <v>1521.9</v>
      </c>
      <c r="L6264">
        <v>0</v>
      </c>
      <c r="M6264" t="s">
        <v>18</v>
      </c>
      <c r="N6264">
        <v>0</v>
      </c>
      <c r="O6264">
        <v>0</v>
      </c>
    </row>
    <row r="6265" spans="1:15" x14ac:dyDescent="0.2">
      <c r="A6265" s="6">
        <v>45791</v>
      </c>
      <c r="B6265" t="s">
        <v>15</v>
      </c>
      <c r="C6265" t="s">
        <v>16</v>
      </c>
      <c r="D6265" s="1">
        <v>45855</v>
      </c>
      <c r="E6265" t="s">
        <v>19</v>
      </c>
      <c r="F6265">
        <v>6200</v>
      </c>
      <c r="J6265">
        <v>883.8</v>
      </c>
      <c r="K6265">
        <v>879.3</v>
      </c>
      <c r="L6265">
        <v>0</v>
      </c>
      <c r="M6265" t="s">
        <v>18</v>
      </c>
      <c r="N6265">
        <v>0</v>
      </c>
      <c r="O6265">
        <v>0</v>
      </c>
    </row>
    <row r="6266" spans="1:15" x14ac:dyDescent="0.2">
      <c r="A6266" s="6">
        <v>45791</v>
      </c>
      <c r="B6266" t="s">
        <v>15</v>
      </c>
      <c r="C6266" t="s">
        <v>16</v>
      </c>
      <c r="D6266" s="1">
        <v>45855</v>
      </c>
      <c r="E6266" t="s">
        <v>19</v>
      </c>
      <c r="F6266">
        <v>5900</v>
      </c>
      <c r="J6266">
        <v>641.29999999999995</v>
      </c>
      <c r="K6266">
        <v>640.6</v>
      </c>
      <c r="L6266">
        <v>0</v>
      </c>
      <c r="M6266" t="s">
        <v>18</v>
      </c>
      <c r="N6266">
        <v>0</v>
      </c>
      <c r="O6266">
        <v>0</v>
      </c>
    </row>
    <row r="6267" spans="1:15" x14ac:dyDescent="0.2">
      <c r="A6267" s="6">
        <v>45791</v>
      </c>
      <c r="B6267" t="s">
        <v>15</v>
      </c>
      <c r="C6267" t="s">
        <v>16</v>
      </c>
      <c r="D6267" s="1">
        <v>45855</v>
      </c>
      <c r="E6267" t="s">
        <v>17</v>
      </c>
      <c r="F6267">
        <v>6400</v>
      </c>
      <c r="J6267">
        <v>42.2</v>
      </c>
      <c r="K6267">
        <v>50.3</v>
      </c>
      <c r="L6267">
        <v>0</v>
      </c>
      <c r="M6267" t="s">
        <v>18</v>
      </c>
      <c r="N6267">
        <v>0</v>
      </c>
      <c r="O6267">
        <v>0</v>
      </c>
    </row>
    <row r="6268" spans="1:15" x14ac:dyDescent="0.2">
      <c r="A6268" s="6">
        <v>45791</v>
      </c>
      <c r="B6268" t="s">
        <v>15</v>
      </c>
      <c r="C6268" t="s">
        <v>16</v>
      </c>
      <c r="D6268" s="1">
        <v>45855</v>
      </c>
      <c r="E6268" t="s">
        <v>17</v>
      </c>
      <c r="F6268">
        <v>3800</v>
      </c>
      <c r="J6268">
        <v>1555.8</v>
      </c>
      <c r="K6268">
        <v>1570.8</v>
      </c>
      <c r="L6268">
        <v>0</v>
      </c>
      <c r="M6268" t="s">
        <v>18</v>
      </c>
      <c r="N6268">
        <v>0</v>
      </c>
      <c r="O6268">
        <v>0</v>
      </c>
    </row>
    <row r="6269" spans="1:15" x14ac:dyDescent="0.2">
      <c r="A6269" s="6">
        <v>45791</v>
      </c>
      <c r="B6269" t="s">
        <v>15</v>
      </c>
      <c r="C6269" t="s">
        <v>16</v>
      </c>
      <c r="D6269" s="1">
        <v>45855</v>
      </c>
      <c r="E6269" t="s">
        <v>17</v>
      </c>
      <c r="F6269">
        <v>6600</v>
      </c>
      <c r="J6269">
        <v>26.8</v>
      </c>
      <c r="K6269">
        <v>32.799999999999997</v>
      </c>
      <c r="L6269">
        <v>0</v>
      </c>
      <c r="M6269" t="s">
        <v>18</v>
      </c>
      <c r="N6269">
        <v>0</v>
      </c>
      <c r="O6269">
        <v>0</v>
      </c>
    </row>
    <row r="6270" spans="1:15" x14ac:dyDescent="0.2">
      <c r="A6270" s="6">
        <v>45791</v>
      </c>
      <c r="B6270" t="s">
        <v>15</v>
      </c>
      <c r="C6270" t="s">
        <v>16</v>
      </c>
      <c r="D6270" s="1">
        <v>45855</v>
      </c>
      <c r="E6270" t="s">
        <v>17</v>
      </c>
      <c r="F6270">
        <v>5650</v>
      </c>
      <c r="J6270">
        <v>188.7</v>
      </c>
      <c r="K6270">
        <v>205.8</v>
      </c>
      <c r="L6270">
        <v>0</v>
      </c>
      <c r="M6270" t="s">
        <v>18</v>
      </c>
      <c r="N6270">
        <v>0</v>
      </c>
      <c r="O6270">
        <v>0</v>
      </c>
    </row>
    <row r="6271" spans="1:15" x14ac:dyDescent="0.2">
      <c r="A6271" s="6">
        <v>45791</v>
      </c>
      <c r="B6271" t="s">
        <v>15</v>
      </c>
      <c r="C6271" t="s">
        <v>16</v>
      </c>
      <c r="D6271" s="1">
        <v>45855</v>
      </c>
      <c r="E6271" t="s">
        <v>17</v>
      </c>
      <c r="F6271">
        <v>6450</v>
      </c>
      <c r="J6271">
        <v>37.799999999999997</v>
      </c>
      <c r="K6271">
        <v>45.3</v>
      </c>
      <c r="L6271">
        <v>0</v>
      </c>
      <c r="M6271" t="s">
        <v>18</v>
      </c>
      <c r="N6271">
        <v>0</v>
      </c>
      <c r="O6271">
        <v>0</v>
      </c>
    </row>
    <row r="6272" spans="1:15" x14ac:dyDescent="0.2">
      <c r="A6272" s="6">
        <v>45791</v>
      </c>
      <c r="B6272" t="s">
        <v>15</v>
      </c>
      <c r="C6272" t="s">
        <v>16</v>
      </c>
      <c r="D6272" s="1">
        <v>45855</v>
      </c>
      <c r="E6272" t="s">
        <v>17</v>
      </c>
      <c r="F6272">
        <v>4000</v>
      </c>
      <c r="J6272">
        <v>1360.9</v>
      </c>
      <c r="K6272">
        <v>1376.5</v>
      </c>
      <c r="L6272">
        <v>0</v>
      </c>
      <c r="M6272" t="s">
        <v>18</v>
      </c>
      <c r="N6272">
        <v>0</v>
      </c>
      <c r="O6272">
        <v>0</v>
      </c>
    </row>
    <row r="6273" spans="1:15" x14ac:dyDescent="0.2">
      <c r="A6273" s="6">
        <v>45791</v>
      </c>
      <c r="B6273" t="s">
        <v>15</v>
      </c>
      <c r="C6273" t="s">
        <v>16</v>
      </c>
      <c r="D6273" s="1">
        <v>45855</v>
      </c>
      <c r="E6273" t="s">
        <v>17</v>
      </c>
      <c r="F6273">
        <v>4250</v>
      </c>
      <c r="J6273">
        <v>1122.8</v>
      </c>
      <c r="K6273">
        <v>1139.5999999999999</v>
      </c>
      <c r="L6273">
        <v>0</v>
      </c>
      <c r="M6273" t="s">
        <v>18</v>
      </c>
      <c r="N6273">
        <v>0</v>
      </c>
      <c r="O6273">
        <v>0</v>
      </c>
    </row>
    <row r="6274" spans="1:15" x14ac:dyDescent="0.2">
      <c r="A6274" s="6">
        <v>45791</v>
      </c>
      <c r="B6274" t="s">
        <v>15</v>
      </c>
      <c r="C6274" t="s">
        <v>16</v>
      </c>
      <c r="D6274" s="1">
        <v>45855</v>
      </c>
      <c r="E6274" t="s">
        <v>19</v>
      </c>
      <c r="F6274">
        <v>5000</v>
      </c>
      <c r="J6274">
        <v>141.19999999999999</v>
      </c>
      <c r="K6274">
        <v>146.9</v>
      </c>
      <c r="L6274">
        <v>0</v>
      </c>
      <c r="M6274" t="s">
        <v>18</v>
      </c>
      <c r="N6274">
        <v>0</v>
      </c>
      <c r="O6274">
        <v>0</v>
      </c>
    </row>
    <row r="6275" spans="1:15" x14ac:dyDescent="0.2">
      <c r="A6275" s="6">
        <v>45791</v>
      </c>
      <c r="B6275" t="s">
        <v>15</v>
      </c>
      <c r="C6275" t="s">
        <v>16</v>
      </c>
      <c r="D6275" s="1">
        <v>45855</v>
      </c>
      <c r="E6275" t="s">
        <v>17</v>
      </c>
      <c r="F6275">
        <v>4850</v>
      </c>
      <c r="J6275">
        <v>613.79999999999995</v>
      </c>
      <c r="K6275">
        <v>634</v>
      </c>
      <c r="L6275">
        <v>0</v>
      </c>
      <c r="M6275" t="s">
        <v>18</v>
      </c>
      <c r="N6275">
        <v>0</v>
      </c>
      <c r="O6275">
        <v>0</v>
      </c>
    </row>
    <row r="6276" spans="1:15" x14ac:dyDescent="0.2">
      <c r="A6276" s="6">
        <v>45791</v>
      </c>
      <c r="B6276" t="s">
        <v>15</v>
      </c>
      <c r="C6276" t="s">
        <v>16</v>
      </c>
      <c r="D6276" s="1">
        <v>45855</v>
      </c>
      <c r="E6276" t="s">
        <v>19</v>
      </c>
      <c r="F6276">
        <v>5350</v>
      </c>
      <c r="J6276">
        <v>287.7</v>
      </c>
      <c r="K6276">
        <v>292.60000000000002</v>
      </c>
      <c r="L6276">
        <v>0</v>
      </c>
      <c r="M6276" t="s">
        <v>18</v>
      </c>
      <c r="N6276">
        <v>0</v>
      </c>
      <c r="O6276">
        <v>0</v>
      </c>
    </row>
    <row r="6277" spans="1:15" x14ac:dyDescent="0.2">
      <c r="A6277" s="6">
        <v>45791</v>
      </c>
      <c r="B6277" t="s">
        <v>15</v>
      </c>
      <c r="C6277" t="s">
        <v>16</v>
      </c>
      <c r="D6277" s="1">
        <v>45855</v>
      </c>
      <c r="E6277" t="s">
        <v>19</v>
      </c>
      <c r="F6277">
        <v>4500</v>
      </c>
      <c r="J6277">
        <v>34.4</v>
      </c>
      <c r="K6277">
        <v>38</v>
      </c>
      <c r="L6277">
        <v>0</v>
      </c>
      <c r="M6277" t="s">
        <v>18</v>
      </c>
      <c r="N6277">
        <v>0</v>
      </c>
      <c r="O6277">
        <v>0</v>
      </c>
    </row>
    <row r="6278" spans="1:15" x14ac:dyDescent="0.2">
      <c r="A6278" s="6">
        <v>45791</v>
      </c>
      <c r="B6278" t="s">
        <v>15</v>
      </c>
      <c r="C6278" t="s">
        <v>16</v>
      </c>
      <c r="D6278" s="1">
        <v>45855</v>
      </c>
      <c r="E6278" t="s">
        <v>19</v>
      </c>
      <c r="F6278">
        <v>4400</v>
      </c>
      <c r="J6278">
        <v>24.1</v>
      </c>
      <c r="K6278">
        <v>27.1</v>
      </c>
      <c r="L6278">
        <v>0</v>
      </c>
      <c r="M6278" t="s">
        <v>18</v>
      </c>
      <c r="N6278">
        <v>0</v>
      </c>
      <c r="O6278">
        <v>0</v>
      </c>
    </row>
    <row r="6279" spans="1:15" x14ac:dyDescent="0.2">
      <c r="A6279" s="6">
        <v>45791</v>
      </c>
      <c r="B6279" t="s">
        <v>15</v>
      </c>
      <c r="C6279" t="s">
        <v>16</v>
      </c>
      <c r="D6279" s="1">
        <v>45855</v>
      </c>
      <c r="E6279" t="s">
        <v>17</v>
      </c>
      <c r="F6279">
        <v>5500</v>
      </c>
      <c r="J6279">
        <v>243.5</v>
      </c>
      <c r="K6279">
        <v>262.10000000000002</v>
      </c>
      <c r="L6279">
        <v>0</v>
      </c>
      <c r="M6279" t="s">
        <v>18</v>
      </c>
      <c r="N6279">
        <v>0</v>
      </c>
      <c r="O6279">
        <v>0</v>
      </c>
    </row>
    <row r="6280" spans="1:15" x14ac:dyDescent="0.2">
      <c r="A6280" s="6">
        <v>45791</v>
      </c>
      <c r="B6280" t="s">
        <v>15</v>
      </c>
      <c r="C6280" t="s">
        <v>16</v>
      </c>
      <c r="D6280" s="1">
        <v>45855</v>
      </c>
      <c r="E6280" t="s">
        <v>17</v>
      </c>
      <c r="F6280">
        <v>4550</v>
      </c>
      <c r="J6280">
        <v>853.4</v>
      </c>
      <c r="K6280">
        <v>871.9</v>
      </c>
      <c r="L6280">
        <v>0</v>
      </c>
      <c r="M6280" t="s">
        <v>18</v>
      </c>
      <c r="N6280">
        <v>0</v>
      </c>
      <c r="O6280">
        <v>0</v>
      </c>
    </row>
    <row r="6281" spans="1:15" x14ac:dyDescent="0.2">
      <c r="A6281" s="6">
        <v>45791</v>
      </c>
      <c r="B6281" t="s">
        <v>15</v>
      </c>
      <c r="C6281" t="s">
        <v>16</v>
      </c>
      <c r="D6281" s="1">
        <v>45855</v>
      </c>
      <c r="E6281" t="s">
        <v>19</v>
      </c>
      <c r="F6281">
        <v>4100</v>
      </c>
      <c r="J6281">
        <v>7</v>
      </c>
      <c r="K6281">
        <v>8.3000000000000007</v>
      </c>
      <c r="L6281">
        <v>0</v>
      </c>
      <c r="M6281" t="s">
        <v>18</v>
      </c>
      <c r="N6281">
        <v>0</v>
      </c>
      <c r="O6281">
        <v>0</v>
      </c>
    </row>
    <row r="6282" spans="1:15" x14ac:dyDescent="0.2">
      <c r="A6282" s="6">
        <v>45791</v>
      </c>
      <c r="B6282" t="s">
        <v>15</v>
      </c>
      <c r="C6282" t="s">
        <v>16</v>
      </c>
      <c r="D6282" s="1">
        <v>45855</v>
      </c>
      <c r="E6282" t="s">
        <v>17</v>
      </c>
      <c r="F6282">
        <v>6000</v>
      </c>
      <c r="J6282">
        <v>98.1</v>
      </c>
      <c r="K6282">
        <v>111</v>
      </c>
      <c r="L6282">
        <v>0</v>
      </c>
      <c r="M6282" t="s">
        <v>18</v>
      </c>
      <c r="N6282">
        <v>0</v>
      </c>
      <c r="O6282">
        <v>0</v>
      </c>
    </row>
    <row r="6283" spans="1:15" x14ac:dyDescent="0.2">
      <c r="A6283" s="6">
        <v>45791</v>
      </c>
      <c r="B6283" t="s">
        <v>15</v>
      </c>
      <c r="C6283" t="s">
        <v>16</v>
      </c>
      <c r="D6283" s="1">
        <v>45855</v>
      </c>
      <c r="E6283" t="s">
        <v>17</v>
      </c>
      <c r="F6283">
        <v>6300</v>
      </c>
      <c r="J6283">
        <v>52.6</v>
      </c>
      <c r="K6283">
        <v>61.8</v>
      </c>
      <c r="L6283">
        <v>0</v>
      </c>
      <c r="M6283" t="s">
        <v>18</v>
      </c>
      <c r="N6283">
        <v>0</v>
      </c>
      <c r="O6283">
        <v>0</v>
      </c>
    </row>
    <row r="6284" spans="1:15" x14ac:dyDescent="0.2">
      <c r="A6284" s="6">
        <v>45791</v>
      </c>
      <c r="B6284" t="s">
        <v>15</v>
      </c>
      <c r="C6284" t="s">
        <v>16</v>
      </c>
      <c r="D6284" s="1">
        <v>45855</v>
      </c>
      <c r="E6284" t="s">
        <v>19</v>
      </c>
      <c r="F6284">
        <v>4050</v>
      </c>
      <c r="J6284">
        <v>5.5</v>
      </c>
      <c r="K6284">
        <v>6.7</v>
      </c>
      <c r="L6284">
        <v>0</v>
      </c>
      <c r="M6284" t="s">
        <v>18</v>
      </c>
      <c r="N6284">
        <v>0</v>
      </c>
      <c r="O6284">
        <v>0</v>
      </c>
    </row>
    <row r="6285" spans="1:15" x14ac:dyDescent="0.2">
      <c r="A6285" s="6">
        <v>45791</v>
      </c>
      <c r="B6285" t="s">
        <v>15</v>
      </c>
      <c r="C6285" t="s">
        <v>16</v>
      </c>
      <c r="D6285" s="1">
        <v>45855</v>
      </c>
      <c r="E6285" t="s">
        <v>19</v>
      </c>
      <c r="F6285">
        <v>5950</v>
      </c>
      <c r="J6285">
        <v>679.7</v>
      </c>
      <c r="K6285">
        <v>678.4</v>
      </c>
      <c r="L6285">
        <v>0</v>
      </c>
      <c r="M6285" t="s">
        <v>18</v>
      </c>
      <c r="N6285">
        <v>0</v>
      </c>
      <c r="O6285">
        <v>0</v>
      </c>
    </row>
    <row r="6286" spans="1:15" x14ac:dyDescent="0.2">
      <c r="A6286" s="6">
        <v>45791</v>
      </c>
      <c r="B6286" t="s">
        <v>15</v>
      </c>
      <c r="C6286" t="s">
        <v>16</v>
      </c>
      <c r="D6286" s="1">
        <v>45855</v>
      </c>
      <c r="E6286" t="s">
        <v>17</v>
      </c>
      <c r="F6286">
        <v>5800</v>
      </c>
      <c r="J6286">
        <v>143.9</v>
      </c>
      <c r="K6286">
        <v>159.4</v>
      </c>
      <c r="L6286">
        <v>0</v>
      </c>
      <c r="M6286" t="s">
        <v>18</v>
      </c>
      <c r="N6286">
        <v>0</v>
      </c>
      <c r="O6286">
        <v>0</v>
      </c>
    </row>
    <row r="6287" spans="1:15" x14ac:dyDescent="0.2">
      <c r="A6287" s="6">
        <v>45791</v>
      </c>
      <c r="B6287" t="s">
        <v>15</v>
      </c>
      <c r="C6287" t="s">
        <v>16</v>
      </c>
      <c r="D6287" s="1">
        <v>45855</v>
      </c>
      <c r="E6287" t="s">
        <v>17</v>
      </c>
      <c r="F6287">
        <v>5450</v>
      </c>
      <c r="J6287">
        <v>264.2</v>
      </c>
      <c r="K6287">
        <v>283.3</v>
      </c>
      <c r="L6287">
        <v>0</v>
      </c>
      <c r="M6287" t="s">
        <v>18</v>
      </c>
      <c r="N6287">
        <v>0</v>
      </c>
      <c r="O6287">
        <v>0</v>
      </c>
    </row>
    <row r="6288" spans="1:15" x14ac:dyDescent="0.2">
      <c r="A6288" s="6">
        <v>45791</v>
      </c>
      <c r="B6288" t="s">
        <v>15</v>
      </c>
      <c r="C6288" t="s">
        <v>16</v>
      </c>
      <c r="D6288" s="1">
        <v>45855</v>
      </c>
      <c r="E6288" t="s">
        <v>19</v>
      </c>
      <c r="F6288">
        <v>6550</v>
      </c>
      <c r="J6288">
        <v>1194.8</v>
      </c>
      <c r="K6288">
        <v>1186.3</v>
      </c>
      <c r="L6288">
        <v>0</v>
      </c>
      <c r="M6288" t="s">
        <v>18</v>
      </c>
      <c r="N6288">
        <v>0</v>
      </c>
      <c r="O6288">
        <v>0</v>
      </c>
    </row>
    <row r="6289" spans="1:15" x14ac:dyDescent="0.2">
      <c r="A6289" s="6">
        <v>45791</v>
      </c>
      <c r="B6289" t="s">
        <v>15</v>
      </c>
      <c r="C6289" t="s">
        <v>16</v>
      </c>
      <c r="D6289" s="1">
        <v>45855</v>
      </c>
      <c r="E6289" t="s">
        <v>17</v>
      </c>
      <c r="F6289">
        <v>6350</v>
      </c>
      <c r="J6289">
        <v>47.2</v>
      </c>
      <c r="K6289">
        <v>55.8</v>
      </c>
      <c r="L6289">
        <v>0</v>
      </c>
      <c r="M6289" t="s">
        <v>18</v>
      </c>
      <c r="N6289">
        <v>0</v>
      </c>
      <c r="O6289">
        <v>0</v>
      </c>
    </row>
    <row r="6290" spans="1:15" x14ac:dyDescent="0.2">
      <c r="A6290" s="6">
        <v>45791</v>
      </c>
      <c r="B6290" t="s">
        <v>15</v>
      </c>
      <c r="C6290" t="s">
        <v>16</v>
      </c>
      <c r="D6290" s="1">
        <v>45855</v>
      </c>
      <c r="E6290" t="s">
        <v>19</v>
      </c>
      <c r="F6290">
        <v>5150</v>
      </c>
      <c r="J6290">
        <v>196</v>
      </c>
      <c r="K6290">
        <v>201.8</v>
      </c>
      <c r="L6290">
        <v>0</v>
      </c>
      <c r="M6290" t="s">
        <v>18</v>
      </c>
      <c r="N6290">
        <v>0</v>
      </c>
      <c r="O6290">
        <v>0</v>
      </c>
    </row>
    <row r="6291" spans="1:15" x14ac:dyDescent="0.2">
      <c r="A6291" s="6">
        <v>45791</v>
      </c>
      <c r="B6291" t="s">
        <v>15</v>
      </c>
      <c r="C6291" t="s">
        <v>16</v>
      </c>
      <c r="D6291" s="1">
        <v>45855</v>
      </c>
      <c r="E6291" t="s">
        <v>17</v>
      </c>
      <c r="F6291">
        <v>4600</v>
      </c>
      <c r="J6291">
        <v>811</v>
      </c>
      <c r="K6291">
        <v>829.9</v>
      </c>
      <c r="L6291">
        <v>0</v>
      </c>
      <c r="M6291" t="s">
        <v>18</v>
      </c>
      <c r="N6291">
        <v>0</v>
      </c>
      <c r="O6291">
        <v>0</v>
      </c>
    </row>
    <row r="6292" spans="1:15" x14ac:dyDescent="0.2">
      <c r="A6292" s="6">
        <v>45791</v>
      </c>
      <c r="B6292" t="s">
        <v>15</v>
      </c>
      <c r="C6292" t="s">
        <v>16</v>
      </c>
      <c r="D6292" s="1">
        <v>45855</v>
      </c>
      <c r="E6292" t="s">
        <v>17</v>
      </c>
      <c r="F6292">
        <v>4150</v>
      </c>
      <c r="J6292">
        <v>1217</v>
      </c>
      <c r="K6292">
        <v>1233.2</v>
      </c>
      <c r="L6292">
        <v>0</v>
      </c>
      <c r="M6292" t="s">
        <v>18</v>
      </c>
      <c r="N6292">
        <v>0</v>
      </c>
      <c r="O6292">
        <v>0</v>
      </c>
    </row>
    <row r="6293" spans="1:15" x14ac:dyDescent="0.2">
      <c r="A6293" s="6">
        <v>45791</v>
      </c>
      <c r="B6293" t="s">
        <v>15</v>
      </c>
      <c r="C6293" t="s">
        <v>16</v>
      </c>
      <c r="D6293" s="1">
        <v>45855</v>
      </c>
      <c r="E6293" t="s">
        <v>19</v>
      </c>
      <c r="F6293">
        <v>4650</v>
      </c>
      <c r="J6293">
        <v>55.7</v>
      </c>
      <c r="K6293">
        <v>60.2</v>
      </c>
      <c r="L6293">
        <v>0</v>
      </c>
      <c r="M6293" t="s">
        <v>18</v>
      </c>
      <c r="N6293">
        <v>0</v>
      </c>
      <c r="O6293">
        <v>0</v>
      </c>
    </row>
    <row r="6294" spans="1:15" x14ac:dyDescent="0.2">
      <c r="A6294" s="6">
        <v>45791</v>
      </c>
      <c r="B6294" t="s">
        <v>15</v>
      </c>
      <c r="C6294" t="s">
        <v>16</v>
      </c>
      <c r="D6294" s="1">
        <v>45855</v>
      </c>
      <c r="E6294" t="s">
        <v>17</v>
      </c>
      <c r="F6294">
        <v>6500</v>
      </c>
      <c r="J6294">
        <v>33.700000000000003</v>
      </c>
      <c r="K6294">
        <v>40.799999999999997</v>
      </c>
      <c r="L6294">
        <v>0</v>
      </c>
      <c r="M6294" t="s">
        <v>18</v>
      </c>
      <c r="N6294">
        <v>0</v>
      </c>
      <c r="O6294">
        <v>0</v>
      </c>
    </row>
    <row r="6295" spans="1:15" x14ac:dyDescent="0.2">
      <c r="A6295" s="6">
        <v>45791</v>
      </c>
      <c r="B6295" t="s">
        <v>15</v>
      </c>
      <c r="C6295" t="s">
        <v>16</v>
      </c>
      <c r="D6295" s="1">
        <v>45855</v>
      </c>
      <c r="E6295" t="s">
        <v>17</v>
      </c>
      <c r="F6295">
        <v>5900</v>
      </c>
      <c r="J6295">
        <v>119.2</v>
      </c>
      <c r="K6295">
        <v>133.4</v>
      </c>
      <c r="L6295">
        <v>0</v>
      </c>
      <c r="M6295" t="s">
        <v>18</v>
      </c>
      <c r="N6295">
        <v>0</v>
      </c>
      <c r="O6295">
        <v>0</v>
      </c>
    </row>
    <row r="6296" spans="1:15" x14ac:dyDescent="0.2">
      <c r="A6296" s="6">
        <v>45791</v>
      </c>
      <c r="B6296" t="s">
        <v>15</v>
      </c>
      <c r="C6296" t="s">
        <v>16</v>
      </c>
      <c r="D6296" s="1">
        <v>45855</v>
      </c>
      <c r="E6296" t="s">
        <v>19</v>
      </c>
      <c r="F6296">
        <v>3900</v>
      </c>
      <c r="J6296">
        <v>2.6</v>
      </c>
      <c r="K6296">
        <v>3.2</v>
      </c>
      <c r="L6296">
        <v>0</v>
      </c>
      <c r="M6296" t="s">
        <v>18</v>
      </c>
      <c r="N6296">
        <v>0</v>
      </c>
      <c r="O6296">
        <v>0</v>
      </c>
    </row>
    <row r="6297" spans="1:15" x14ac:dyDescent="0.2">
      <c r="A6297" s="6">
        <v>45791</v>
      </c>
      <c r="B6297" t="s">
        <v>15</v>
      </c>
      <c r="C6297" t="s">
        <v>16</v>
      </c>
      <c r="D6297" s="1">
        <v>45855</v>
      </c>
      <c r="E6297" t="s">
        <v>17</v>
      </c>
      <c r="F6297">
        <v>6250</v>
      </c>
      <c r="J6297">
        <v>58.6</v>
      </c>
      <c r="K6297">
        <v>68.400000000000006</v>
      </c>
      <c r="L6297">
        <v>0</v>
      </c>
      <c r="M6297" t="s">
        <v>18</v>
      </c>
      <c r="N6297">
        <v>0</v>
      </c>
      <c r="O6297">
        <v>0</v>
      </c>
    </row>
    <row r="6298" spans="1:15" x14ac:dyDescent="0.2">
      <c r="A6298" s="6">
        <v>45791</v>
      </c>
      <c r="B6298" t="s">
        <v>15</v>
      </c>
      <c r="C6298" t="s">
        <v>16</v>
      </c>
      <c r="D6298" s="1">
        <v>45855</v>
      </c>
      <c r="E6298" t="s">
        <v>17</v>
      </c>
      <c r="F6298">
        <v>5050</v>
      </c>
      <c r="J6298">
        <v>476.5</v>
      </c>
      <c r="K6298">
        <v>497.1</v>
      </c>
      <c r="L6298">
        <v>0</v>
      </c>
      <c r="M6298" t="s">
        <v>18</v>
      </c>
      <c r="N6298">
        <v>0</v>
      </c>
      <c r="O6298">
        <v>0</v>
      </c>
    </row>
    <row r="6299" spans="1:15" x14ac:dyDescent="0.2">
      <c r="A6299" s="6">
        <v>45791</v>
      </c>
      <c r="B6299" t="s">
        <v>15</v>
      </c>
      <c r="C6299" t="s">
        <v>16</v>
      </c>
      <c r="D6299" s="1">
        <v>45855</v>
      </c>
      <c r="E6299" t="s">
        <v>17</v>
      </c>
      <c r="F6299">
        <v>6200</v>
      </c>
      <c r="J6299">
        <v>65.099999999999994</v>
      </c>
      <c r="K6299">
        <v>75.599999999999994</v>
      </c>
      <c r="L6299">
        <v>0</v>
      </c>
      <c r="M6299" t="s">
        <v>18</v>
      </c>
      <c r="N6299">
        <v>0</v>
      </c>
      <c r="O6299">
        <v>0</v>
      </c>
    </row>
    <row r="6300" spans="1:15" x14ac:dyDescent="0.2">
      <c r="A6300" s="6">
        <v>45791</v>
      </c>
      <c r="B6300" t="s">
        <v>15</v>
      </c>
      <c r="C6300" t="s">
        <v>16</v>
      </c>
      <c r="D6300" s="1">
        <v>45855</v>
      </c>
      <c r="E6300" t="s">
        <v>19</v>
      </c>
      <c r="F6300">
        <v>6250</v>
      </c>
      <c r="J6300">
        <v>926.7</v>
      </c>
      <c r="K6300">
        <v>921.6</v>
      </c>
      <c r="L6300">
        <v>0</v>
      </c>
      <c r="M6300" t="s">
        <v>18</v>
      </c>
      <c r="N6300">
        <v>0</v>
      </c>
      <c r="O6300">
        <v>0</v>
      </c>
    </row>
    <row r="6301" spans="1:15" x14ac:dyDescent="0.2">
      <c r="A6301" s="6">
        <v>45791</v>
      </c>
      <c r="B6301" t="s">
        <v>15</v>
      </c>
      <c r="C6301" t="s">
        <v>16</v>
      </c>
      <c r="D6301" s="1">
        <v>45855</v>
      </c>
      <c r="E6301" t="s">
        <v>19</v>
      </c>
      <c r="F6301">
        <v>5200</v>
      </c>
      <c r="J6301">
        <v>217</v>
      </c>
      <c r="K6301">
        <v>222.6</v>
      </c>
      <c r="L6301">
        <v>0</v>
      </c>
      <c r="M6301" t="s">
        <v>18</v>
      </c>
      <c r="N6301">
        <v>0</v>
      </c>
      <c r="O6301">
        <v>0</v>
      </c>
    </row>
    <row r="6302" spans="1:15" x14ac:dyDescent="0.2">
      <c r="A6302" s="6">
        <v>45791</v>
      </c>
      <c r="B6302" t="s">
        <v>15</v>
      </c>
      <c r="C6302" t="s">
        <v>16</v>
      </c>
      <c r="D6302" s="1">
        <v>45855</v>
      </c>
      <c r="E6302" t="s">
        <v>17</v>
      </c>
      <c r="F6302">
        <v>3950</v>
      </c>
      <c r="J6302">
        <v>1409.4</v>
      </c>
      <c r="K6302">
        <v>1424.7</v>
      </c>
      <c r="L6302">
        <v>0</v>
      </c>
      <c r="M6302" t="s">
        <v>18</v>
      </c>
      <c r="N6302">
        <v>0</v>
      </c>
      <c r="O6302">
        <v>0</v>
      </c>
    </row>
    <row r="6303" spans="1:15" x14ac:dyDescent="0.2">
      <c r="A6303" s="6">
        <v>45791</v>
      </c>
      <c r="B6303" t="s">
        <v>15</v>
      </c>
      <c r="C6303" t="s">
        <v>16</v>
      </c>
      <c r="D6303" s="1">
        <v>45855</v>
      </c>
      <c r="E6303" t="s">
        <v>19</v>
      </c>
      <c r="F6303">
        <v>6350</v>
      </c>
      <c r="J6303">
        <v>1014.2</v>
      </c>
      <c r="K6303">
        <v>1007.8</v>
      </c>
      <c r="L6303">
        <v>0</v>
      </c>
      <c r="M6303" t="s">
        <v>18</v>
      </c>
      <c r="N6303">
        <v>0</v>
      </c>
      <c r="O6303">
        <v>0</v>
      </c>
    </row>
    <row r="6304" spans="1:15" x14ac:dyDescent="0.2">
      <c r="A6304" s="6">
        <v>45791</v>
      </c>
      <c r="B6304" t="s">
        <v>15</v>
      </c>
      <c r="C6304" t="s">
        <v>16</v>
      </c>
      <c r="D6304" s="1">
        <v>45855</v>
      </c>
      <c r="E6304" t="s">
        <v>19</v>
      </c>
      <c r="F6304">
        <v>5650</v>
      </c>
      <c r="J6304">
        <v>463.5</v>
      </c>
      <c r="K6304">
        <v>465.8</v>
      </c>
      <c r="L6304">
        <v>0</v>
      </c>
      <c r="M6304" t="s">
        <v>18</v>
      </c>
      <c r="N6304">
        <v>0</v>
      </c>
      <c r="O6304">
        <v>0</v>
      </c>
    </row>
    <row r="6305" spans="1:15" x14ac:dyDescent="0.2">
      <c r="A6305" s="6">
        <v>45791</v>
      </c>
      <c r="B6305" t="s">
        <v>15</v>
      </c>
      <c r="C6305" t="s">
        <v>16</v>
      </c>
      <c r="D6305" s="1">
        <v>45855</v>
      </c>
      <c r="E6305" t="s">
        <v>19</v>
      </c>
      <c r="F6305">
        <v>5600</v>
      </c>
      <c r="J6305">
        <v>431.2</v>
      </c>
      <c r="K6305">
        <v>434</v>
      </c>
      <c r="L6305">
        <v>0</v>
      </c>
      <c r="M6305" t="s">
        <v>18</v>
      </c>
      <c r="N6305">
        <v>0</v>
      </c>
      <c r="O6305">
        <v>0</v>
      </c>
    </row>
    <row r="6306" spans="1:15" x14ac:dyDescent="0.2">
      <c r="A6306" s="6">
        <v>45791</v>
      </c>
      <c r="B6306" t="s">
        <v>15</v>
      </c>
      <c r="C6306" t="s">
        <v>16</v>
      </c>
      <c r="D6306" s="1">
        <v>45855</v>
      </c>
      <c r="E6306" t="s">
        <v>19</v>
      </c>
      <c r="F6306">
        <v>4850</v>
      </c>
      <c r="J6306">
        <v>97.7</v>
      </c>
      <c r="K6306">
        <v>103.1</v>
      </c>
      <c r="L6306">
        <v>0</v>
      </c>
      <c r="M6306" t="s">
        <v>18</v>
      </c>
      <c r="N6306">
        <v>0</v>
      </c>
      <c r="O6306">
        <v>0</v>
      </c>
    </row>
    <row r="6307" spans="1:15" x14ac:dyDescent="0.2">
      <c r="A6307" s="6">
        <v>45791</v>
      </c>
      <c r="B6307" t="s">
        <v>15</v>
      </c>
      <c r="C6307" t="s">
        <v>16</v>
      </c>
      <c r="D6307" s="1">
        <v>45855</v>
      </c>
      <c r="E6307" t="s">
        <v>19</v>
      </c>
      <c r="F6307">
        <v>4000</v>
      </c>
      <c r="J6307">
        <v>4.3</v>
      </c>
      <c r="K6307">
        <v>5.3</v>
      </c>
      <c r="L6307">
        <v>0</v>
      </c>
      <c r="M6307" t="s">
        <v>18</v>
      </c>
      <c r="N6307">
        <v>0</v>
      </c>
      <c r="O6307">
        <v>0</v>
      </c>
    </row>
    <row r="6308" spans="1:15" x14ac:dyDescent="0.2">
      <c r="A6308" s="6">
        <v>45791</v>
      </c>
      <c r="B6308" t="s">
        <v>15</v>
      </c>
      <c r="C6308" t="s">
        <v>16</v>
      </c>
      <c r="D6308" s="1">
        <v>45855</v>
      </c>
      <c r="E6308" t="s">
        <v>17</v>
      </c>
      <c r="F6308">
        <v>6100</v>
      </c>
      <c r="J6308">
        <v>80.2</v>
      </c>
      <c r="K6308">
        <v>91.9</v>
      </c>
      <c r="L6308">
        <v>0</v>
      </c>
      <c r="M6308" t="s">
        <v>18</v>
      </c>
      <c r="N6308">
        <v>0</v>
      </c>
      <c r="O6308">
        <v>0</v>
      </c>
    </row>
    <row r="6309" spans="1:15" x14ac:dyDescent="0.2">
      <c r="A6309" s="6">
        <v>45791</v>
      </c>
      <c r="B6309" t="s">
        <v>15</v>
      </c>
      <c r="C6309" t="s">
        <v>16</v>
      </c>
      <c r="D6309" s="1">
        <v>45855</v>
      </c>
      <c r="E6309" t="s">
        <v>17</v>
      </c>
      <c r="F6309">
        <v>5350</v>
      </c>
      <c r="J6309">
        <v>309.39999999999998</v>
      </c>
      <c r="K6309">
        <v>329.1</v>
      </c>
      <c r="L6309">
        <v>0</v>
      </c>
      <c r="M6309" t="s">
        <v>18</v>
      </c>
      <c r="N6309">
        <v>0</v>
      </c>
      <c r="O6309">
        <v>0</v>
      </c>
    </row>
    <row r="6310" spans="1:15" x14ac:dyDescent="0.2">
      <c r="A6310" s="6">
        <v>45791</v>
      </c>
      <c r="B6310" t="s">
        <v>15</v>
      </c>
      <c r="C6310" t="s">
        <v>16</v>
      </c>
      <c r="D6310" s="1">
        <v>45855</v>
      </c>
      <c r="E6310" t="s">
        <v>17</v>
      </c>
      <c r="F6310">
        <v>3600</v>
      </c>
      <c r="J6310">
        <v>1752.5</v>
      </c>
      <c r="K6310">
        <v>1767.2</v>
      </c>
      <c r="L6310">
        <v>0</v>
      </c>
      <c r="M6310" t="s">
        <v>18</v>
      </c>
      <c r="N6310">
        <v>0</v>
      </c>
      <c r="O6310">
        <v>0</v>
      </c>
    </row>
    <row r="6311" spans="1:15" x14ac:dyDescent="0.2">
      <c r="A6311" s="6">
        <v>45791</v>
      </c>
      <c r="B6311" t="s">
        <v>15</v>
      </c>
      <c r="C6311" t="s">
        <v>16</v>
      </c>
      <c r="D6311" s="1">
        <v>45855</v>
      </c>
      <c r="E6311" t="s">
        <v>17</v>
      </c>
      <c r="F6311">
        <v>3650</v>
      </c>
      <c r="J6311">
        <v>1703.2</v>
      </c>
      <c r="K6311">
        <v>1718</v>
      </c>
      <c r="L6311">
        <v>0</v>
      </c>
      <c r="M6311" t="s">
        <v>18</v>
      </c>
      <c r="N6311">
        <v>0</v>
      </c>
      <c r="O6311">
        <v>0</v>
      </c>
    </row>
    <row r="6312" spans="1:15" x14ac:dyDescent="0.2">
      <c r="A6312" s="6">
        <v>45791</v>
      </c>
      <c r="B6312" t="s">
        <v>15</v>
      </c>
      <c r="C6312" t="s">
        <v>16</v>
      </c>
      <c r="D6312" s="1">
        <v>45855</v>
      </c>
      <c r="E6312" t="s">
        <v>19</v>
      </c>
      <c r="F6312">
        <v>5800</v>
      </c>
      <c r="J6312">
        <v>567.1</v>
      </c>
      <c r="K6312">
        <v>567.70000000000005</v>
      </c>
      <c r="L6312">
        <v>0</v>
      </c>
      <c r="M6312" t="s">
        <v>18</v>
      </c>
      <c r="N6312">
        <v>0</v>
      </c>
      <c r="O6312">
        <v>0</v>
      </c>
    </row>
    <row r="6313" spans="1:15" x14ac:dyDescent="0.2">
      <c r="A6313" s="6">
        <v>45791</v>
      </c>
      <c r="B6313" t="s">
        <v>15</v>
      </c>
      <c r="C6313" t="s">
        <v>16</v>
      </c>
      <c r="D6313" s="1">
        <v>45855</v>
      </c>
      <c r="E6313" t="s">
        <v>19</v>
      </c>
      <c r="F6313">
        <v>3650</v>
      </c>
      <c r="J6313">
        <v>0.6</v>
      </c>
      <c r="K6313">
        <v>0.8</v>
      </c>
      <c r="L6313">
        <v>0</v>
      </c>
      <c r="M6313" t="s">
        <v>18</v>
      </c>
      <c r="N6313">
        <v>0</v>
      </c>
      <c r="O6313">
        <v>0</v>
      </c>
    </row>
    <row r="6314" spans="1:15" x14ac:dyDescent="0.2">
      <c r="A6314" s="6">
        <v>45791</v>
      </c>
      <c r="B6314" t="s">
        <v>15</v>
      </c>
      <c r="C6314" t="s">
        <v>16</v>
      </c>
      <c r="D6314" s="1">
        <v>45855</v>
      </c>
      <c r="E6314" t="s">
        <v>17</v>
      </c>
      <c r="F6314">
        <v>5550</v>
      </c>
      <c r="J6314">
        <v>224</v>
      </c>
      <c r="K6314">
        <v>242.2</v>
      </c>
      <c r="L6314">
        <v>0</v>
      </c>
      <c r="M6314" t="s">
        <v>18</v>
      </c>
      <c r="N6314">
        <v>0</v>
      </c>
      <c r="O6314">
        <v>0</v>
      </c>
    </row>
    <row r="6315" spans="1:15" x14ac:dyDescent="0.2">
      <c r="A6315" s="6">
        <v>45791</v>
      </c>
      <c r="B6315" t="s">
        <v>15</v>
      </c>
      <c r="C6315" t="s">
        <v>16</v>
      </c>
      <c r="D6315" s="1">
        <v>45855</v>
      </c>
      <c r="E6315" t="s">
        <v>19</v>
      </c>
      <c r="F6315">
        <v>6000</v>
      </c>
      <c r="J6315">
        <v>719</v>
      </c>
      <c r="K6315">
        <v>717</v>
      </c>
      <c r="L6315">
        <v>0</v>
      </c>
      <c r="M6315" t="s">
        <v>18</v>
      </c>
      <c r="N6315">
        <v>0</v>
      </c>
      <c r="O6315">
        <v>0</v>
      </c>
    </row>
    <row r="6316" spans="1:15" x14ac:dyDescent="0.2">
      <c r="A6316" s="6">
        <v>45791</v>
      </c>
      <c r="B6316" t="s">
        <v>15</v>
      </c>
      <c r="C6316" t="s">
        <v>16</v>
      </c>
      <c r="D6316" s="1">
        <v>45855</v>
      </c>
      <c r="E6316" t="s">
        <v>19</v>
      </c>
      <c r="F6316">
        <v>3850</v>
      </c>
      <c r="J6316">
        <v>2</v>
      </c>
      <c r="K6316">
        <v>2.5</v>
      </c>
      <c r="L6316">
        <v>0</v>
      </c>
      <c r="M6316" t="s">
        <v>18</v>
      </c>
      <c r="N6316">
        <v>0</v>
      </c>
      <c r="O6316">
        <v>0</v>
      </c>
    </row>
    <row r="6317" spans="1:15" x14ac:dyDescent="0.2">
      <c r="A6317" s="6">
        <v>45791</v>
      </c>
      <c r="B6317" t="s">
        <v>15</v>
      </c>
      <c r="C6317" t="s">
        <v>16</v>
      </c>
      <c r="D6317" s="1">
        <v>45855</v>
      </c>
      <c r="E6317" t="s">
        <v>19</v>
      </c>
      <c r="F6317">
        <v>4750</v>
      </c>
      <c r="J6317">
        <v>74.5</v>
      </c>
      <c r="K6317">
        <v>79.5</v>
      </c>
      <c r="L6317">
        <v>0</v>
      </c>
      <c r="M6317" t="s">
        <v>18</v>
      </c>
      <c r="N6317">
        <v>0</v>
      </c>
      <c r="O6317">
        <v>0</v>
      </c>
    </row>
    <row r="6318" spans="1:15" x14ac:dyDescent="0.2">
      <c r="A6318" s="6">
        <v>45791</v>
      </c>
      <c r="B6318" t="s">
        <v>15</v>
      </c>
      <c r="C6318" t="s">
        <v>16</v>
      </c>
      <c r="D6318" s="1">
        <v>45855</v>
      </c>
      <c r="E6318" t="s">
        <v>19</v>
      </c>
      <c r="F6318">
        <v>4800</v>
      </c>
      <c r="J6318">
        <v>85.5</v>
      </c>
      <c r="K6318">
        <v>90.8</v>
      </c>
      <c r="L6318">
        <v>0</v>
      </c>
      <c r="M6318" t="s">
        <v>18</v>
      </c>
      <c r="N6318">
        <v>0</v>
      </c>
      <c r="O6318">
        <v>0</v>
      </c>
    </row>
    <row r="6319" spans="1:15" x14ac:dyDescent="0.2">
      <c r="A6319" s="6">
        <v>45791</v>
      </c>
      <c r="B6319" t="s">
        <v>15</v>
      </c>
      <c r="C6319" t="s">
        <v>16</v>
      </c>
      <c r="D6319" s="1">
        <v>45855</v>
      </c>
      <c r="E6319" t="s">
        <v>19</v>
      </c>
      <c r="F6319">
        <v>4300</v>
      </c>
      <c r="J6319">
        <v>16.5</v>
      </c>
      <c r="K6319">
        <v>18.8</v>
      </c>
      <c r="L6319">
        <v>0</v>
      </c>
      <c r="M6319" t="s">
        <v>18</v>
      </c>
      <c r="N6319">
        <v>0</v>
      </c>
      <c r="O6319">
        <v>0</v>
      </c>
    </row>
    <row r="6320" spans="1:15" x14ac:dyDescent="0.2">
      <c r="A6320" s="6">
        <v>45791</v>
      </c>
      <c r="B6320" t="s">
        <v>15</v>
      </c>
      <c r="C6320" t="s">
        <v>16</v>
      </c>
      <c r="D6320" s="1">
        <v>45855</v>
      </c>
      <c r="E6320" t="s">
        <v>19</v>
      </c>
      <c r="F6320">
        <v>6300</v>
      </c>
      <c r="J6320">
        <v>970.2</v>
      </c>
      <c r="K6320">
        <v>964.4</v>
      </c>
      <c r="L6320">
        <v>0</v>
      </c>
      <c r="M6320" t="s">
        <v>18</v>
      </c>
      <c r="N6320">
        <v>0</v>
      </c>
      <c r="O6320">
        <v>0</v>
      </c>
    </row>
    <row r="6321" spans="1:15" x14ac:dyDescent="0.2">
      <c r="A6321" s="6">
        <v>45791</v>
      </c>
      <c r="B6321" t="s">
        <v>15</v>
      </c>
      <c r="C6321" t="s">
        <v>16</v>
      </c>
      <c r="D6321" s="1">
        <v>45855</v>
      </c>
      <c r="E6321" t="s">
        <v>19</v>
      </c>
      <c r="F6321">
        <v>6500</v>
      </c>
      <c r="J6321">
        <v>1149</v>
      </c>
      <c r="K6321">
        <v>1141</v>
      </c>
      <c r="L6321">
        <v>0</v>
      </c>
      <c r="M6321" t="s">
        <v>18</v>
      </c>
      <c r="N6321">
        <v>0</v>
      </c>
      <c r="O6321">
        <v>0</v>
      </c>
    </row>
    <row r="6322" spans="1:15" x14ac:dyDescent="0.2">
      <c r="A6322" s="6">
        <v>45791</v>
      </c>
      <c r="B6322" t="s">
        <v>15</v>
      </c>
      <c r="C6322" t="s">
        <v>16</v>
      </c>
      <c r="D6322" s="1">
        <v>45855</v>
      </c>
      <c r="E6322" t="s">
        <v>19</v>
      </c>
      <c r="F6322">
        <v>5850</v>
      </c>
      <c r="J6322">
        <v>603.70000000000005</v>
      </c>
      <c r="K6322">
        <v>603.70000000000005</v>
      </c>
      <c r="L6322">
        <v>0</v>
      </c>
      <c r="M6322" t="s">
        <v>18</v>
      </c>
      <c r="N6322">
        <v>0</v>
      </c>
      <c r="O6322">
        <v>0</v>
      </c>
    </row>
    <row r="6323" spans="1:15" x14ac:dyDescent="0.2">
      <c r="A6323" s="6">
        <v>45791</v>
      </c>
      <c r="B6323" t="s">
        <v>15</v>
      </c>
      <c r="C6323" t="s">
        <v>16</v>
      </c>
      <c r="D6323" s="1">
        <v>45855</v>
      </c>
      <c r="E6323" t="s">
        <v>17</v>
      </c>
      <c r="F6323">
        <v>3900</v>
      </c>
      <c r="J6323">
        <v>1458</v>
      </c>
      <c r="K6323">
        <v>1473.3</v>
      </c>
      <c r="L6323">
        <v>0</v>
      </c>
      <c r="M6323" t="s">
        <v>18</v>
      </c>
      <c r="N6323">
        <v>0</v>
      </c>
      <c r="O6323">
        <v>0</v>
      </c>
    </row>
    <row r="6324" spans="1:15" x14ac:dyDescent="0.2">
      <c r="A6324" s="6">
        <v>45791</v>
      </c>
      <c r="B6324" t="s">
        <v>15</v>
      </c>
      <c r="C6324" t="s">
        <v>16</v>
      </c>
      <c r="D6324" s="1">
        <v>45855</v>
      </c>
      <c r="E6324" t="s">
        <v>17</v>
      </c>
      <c r="F6324">
        <v>5850</v>
      </c>
      <c r="J6324">
        <v>131.1</v>
      </c>
      <c r="K6324">
        <v>146</v>
      </c>
      <c r="L6324">
        <v>0</v>
      </c>
      <c r="M6324" t="s">
        <v>18</v>
      </c>
      <c r="N6324">
        <v>0</v>
      </c>
      <c r="O6324">
        <v>0</v>
      </c>
    </row>
    <row r="6325" spans="1:15" x14ac:dyDescent="0.2">
      <c r="A6325" s="6">
        <v>45791</v>
      </c>
      <c r="B6325" t="s">
        <v>15</v>
      </c>
      <c r="C6325" t="s">
        <v>16</v>
      </c>
      <c r="D6325" s="1">
        <v>45855</v>
      </c>
      <c r="E6325" t="s">
        <v>17</v>
      </c>
      <c r="F6325">
        <v>5400</v>
      </c>
      <c r="J6325">
        <v>286.2</v>
      </c>
      <c r="K6325">
        <v>305.60000000000002</v>
      </c>
      <c r="L6325">
        <v>0</v>
      </c>
      <c r="M6325" t="s">
        <v>18</v>
      </c>
      <c r="N6325">
        <v>0</v>
      </c>
      <c r="O6325">
        <v>0</v>
      </c>
    </row>
    <row r="6326" spans="1:15" x14ac:dyDescent="0.2">
      <c r="A6326" s="6">
        <v>45791</v>
      </c>
      <c r="B6326" t="s">
        <v>15</v>
      </c>
      <c r="C6326" t="s">
        <v>16</v>
      </c>
      <c r="D6326" s="1">
        <v>45855</v>
      </c>
      <c r="E6326" t="s">
        <v>19</v>
      </c>
      <c r="F6326">
        <v>3950</v>
      </c>
      <c r="J6326">
        <v>3.3</v>
      </c>
      <c r="K6326">
        <v>4.2</v>
      </c>
      <c r="L6326">
        <v>0</v>
      </c>
      <c r="M6326" t="s">
        <v>18</v>
      </c>
      <c r="N6326">
        <v>0</v>
      </c>
      <c r="O6326">
        <v>0</v>
      </c>
    </row>
    <row r="6327" spans="1:15" x14ac:dyDescent="0.2">
      <c r="A6327" s="6">
        <v>45791</v>
      </c>
      <c r="B6327" t="s">
        <v>15</v>
      </c>
      <c r="C6327" t="s">
        <v>16</v>
      </c>
      <c r="D6327" s="1">
        <v>45855</v>
      </c>
      <c r="E6327" t="s">
        <v>19</v>
      </c>
      <c r="F6327">
        <v>6600</v>
      </c>
      <c r="J6327">
        <v>1241</v>
      </c>
      <c r="K6327">
        <v>1232</v>
      </c>
      <c r="L6327">
        <v>0</v>
      </c>
      <c r="M6327" t="s">
        <v>18</v>
      </c>
      <c r="N6327">
        <v>0</v>
      </c>
      <c r="O6327">
        <v>0</v>
      </c>
    </row>
    <row r="6328" spans="1:15" x14ac:dyDescent="0.2">
      <c r="A6328" s="6">
        <v>45791</v>
      </c>
      <c r="B6328" t="s">
        <v>15</v>
      </c>
      <c r="C6328" t="s">
        <v>16</v>
      </c>
      <c r="D6328" s="1">
        <v>45855</v>
      </c>
      <c r="E6328" t="s">
        <v>19</v>
      </c>
      <c r="F6328">
        <v>4350</v>
      </c>
      <c r="J6328">
        <v>20</v>
      </c>
      <c r="K6328">
        <v>22.7</v>
      </c>
      <c r="L6328">
        <v>0</v>
      </c>
      <c r="M6328" t="s">
        <v>18</v>
      </c>
      <c r="N6328">
        <v>0</v>
      </c>
      <c r="O6328">
        <v>0</v>
      </c>
    </row>
    <row r="6329" spans="1:15" x14ac:dyDescent="0.2">
      <c r="A6329" s="6">
        <v>45791</v>
      </c>
      <c r="B6329" t="s">
        <v>15</v>
      </c>
      <c r="C6329" t="s">
        <v>16</v>
      </c>
      <c r="D6329" s="1">
        <v>45855</v>
      </c>
      <c r="E6329" t="s">
        <v>19</v>
      </c>
      <c r="F6329">
        <v>5550</v>
      </c>
      <c r="J6329">
        <v>400</v>
      </c>
      <c r="K6329">
        <v>403.4</v>
      </c>
      <c r="L6329">
        <v>0</v>
      </c>
      <c r="M6329" t="s">
        <v>18</v>
      </c>
      <c r="N6329">
        <v>0</v>
      </c>
      <c r="O6329">
        <v>0</v>
      </c>
    </row>
    <row r="6330" spans="1:15" x14ac:dyDescent="0.2">
      <c r="A6330" s="6">
        <v>45791</v>
      </c>
      <c r="B6330" t="s">
        <v>15</v>
      </c>
      <c r="C6330" t="s">
        <v>16</v>
      </c>
      <c r="D6330" s="1">
        <v>45855</v>
      </c>
      <c r="E6330" t="s">
        <v>17</v>
      </c>
      <c r="F6330">
        <v>6150</v>
      </c>
      <c r="J6330">
        <v>72.3</v>
      </c>
      <c r="K6330">
        <v>83.4</v>
      </c>
      <c r="L6330">
        <v>0</v>
      </c>
      <c r="M6330" t="s">
        <v>18</v>
      </c>
      <c r="N6330">
        <v>0</v>
      </c>
      <c r="O6330">
        <v>0</v>
      </c>
    </row>
    <row r="6331" spans="1:15" x14ac:dyDescent="0.2">
      <c r="A6331" s="6">
        <v>45791</v>
      </c>
      <c r="B6331" t="s">
        <v>15</v>
      </c>
      <c r="C6331" t="s">
        <v>16</v>
      </c>
      <c r="D6331" s="1">
        <v>45855</v>
      </c>
      <c r="E6331" t="s">
        <v>19</v>
      </c>
      <c r="F6331">
        <v>4150</v>
      </c>
      <c r="J6331">
        <v>8.8000000000000007</v>
      </c>
      <c r="K6331">
        <v>10.4</v>
      </c>
      <c r="L6331">
        <v>0</v>
      </c>
      <c r="M6331" t="s">
        <v>18</v>
      </c>
      <c r="N6331">
        <v>0</v>
      </c>
      <c r="O6331">
        <v>0</v>
      </c>
    </row>
    <row r="6332" spans="1:15" x14ac:dyDescent="0.2">
      <c r="A6332" s="6">
        <v>45791</v>
      </c>
      <c r="B6332" t="s">
        <v>15</v>
      </c>
      <c r="C6332" t="s">
        <v>16</v>
      </c>
      <c r="D6332" s="1">
        <v>45855</v>
      </c>
      <c r="E6332" t="s">
        <v>17</v>
      </c>
      <c r="F6332">
        <v>4050</v>
      </c>
      <c r="J6332">
        <v>1312.6</v>
      </c>
      <c r="K6332">
        <v>1328.4</v>
      </c>
      <c r="L6332">
        <v>0</v>
      </c>
      <c r="M6332" t="s">
        <v>18</v>
      </c>
      <c r="N6332">
        <v>0</v>
      </c>
      <c r="O6332">
        <v>0</v>
      </c>
    </row>
    <row r="6333" spans="1:15" x14ac:dyDescent="0.2">
      <c r="A6333" s="6">
        <v>45791</v>
      </c>
      <c r="B6333" t="s">
        <v>15</v>
      </c>
      <c r="C6333" t="s">
        <v>16</v>
      </c>
      <c r="D6333" s="1">
        <v>45855</v>
      </c>
      <c r="E6333" t="s">
        <v>19</v>
      </c>
      <c r="F6333">
        <v>3800</v>
      </c>
      <c r="J6333">
        <v>1.5</v>
      </c>
      <c r="K6333">
        <v>1.9</v>
      </c>
      <c r="L6333">
        <v>0</v>
      </c>
      <c r="M6333" t="s">
        <v>18</v>
      </c>
      <c r="N6333">
        <v>0</v>
      </c>
      <c r="O6333">
        <v>0</v>
      </c>
    </row>
    <row r="6334" spans="1:15" x14ac:dyDescent="0.2">
      <c r="A6334" s="6">
        <v>45791</v>
      </c>
      <c r="B6334" t="s">
        <v>15</v>
      </c>
      <c r="C6334" t="s">
        <v>16</v>
      </c>
      <c r="D6334" s="1">
        <v>45855</v>
      </c>
      <c r="E6334" t="s">
        <v>19</v>
      </c>
      <c r="F6334">
        <v>6450</v>
      </c>
      <c r="J6334">
        <v>1103.5999999999999</v>
      </c>
      <c r="K6334">
        <v>1096.2</v>
      </c>
      <c r="L6334">
        <v>0</v>
      </c>
      <c r="M6334" t="s">
        <v>18</v>
      </c>
      <c r="N6334">
        <v>0</v>
      </c>
      <c r="O6334">
        <v>0</v>
      </c>
    </row>
    <row r="6335" spans="1:15" x14ac:dyDescent="0.2">
      <c r="A6335" s="6">
        <v>45791</v>
      </c>
      <c r="B6335" t="s">
        <v>15</v>
      </c>
      <c r="C6335" t="s">
        <v>16</v>
      </c>
      <c r="D6335" s="1">
        <v>45855</v>
      </c>
      <c r="E6335" t="s">
        <v>19</v>
      </c>
      <c r="F6335">
        <v>5500</v>
      </c>
      <c r="J6335">
        <v>370.1</v>
      </c>
      <c r="K6335">
        <v>373.8</v>
      </c>
      <c r="L6335">
        <v>0</v>
      </c>
      <c r="M6335" t="s">
        <v>18</v>
      </c>
      <c r="N6335">
        <v>0</v>
      </c>
      <c r="O6335">
        <v>0</v>
      </c>
    </row>
    <row r="6336" spans="1:15" x14ac:dyDescent="0.2">
      <c r="A6336" s="6">
        <v>45791</v>
      </c>
      <c r="B6336" t="s">
        <v>15</v>
      </c>
      <c r="C6336" t="s">
        <v>16</v>
      </c>
      <c r="D6336" s="1">
        <v>45855</v>
      </c>
      <c r="E6336" t="s">
        <v>19</v>
      </c>
      <c r="F6336">
        <v>6100</v>
      </c>
      <c r="J6336">
        <v>800</v>
      </c>
      <c r="K6336">
        <v>796.7</v>
      </c>
      <c r="L6336">
        <v>0</v>
      </c>
      <c r="M6336" t="s">
        <v>18</v>
      </c>
      <c r="N6336">
        <v>0</v>
      </c>
      <c r="O6336">
        <v>0</v>
      </c>
    </row>
    <row r="6337" spans="1:15" x14ac:dyDescent="0.2">
      <c r="A6337" s="6">
        <v>45791</v>
      </c>
      <c r="B6337" t="s">
        <v>15</v>
      </c>
      <c r="C6337" t="s">
        <v>16</v>
      </c>
      <c r="D6337" s="1">
        <v>45855</v>
      </c>
      <c r="E6337" t="s">
        <v>19</v>
      </c>
      <c r="F6337">
        <v>5750</v>
      </c>
      <c r="J6337">
        <v>531.5</v>
      </c>
      <c r="K6337">
        <v>532.70000000000005</v>
      </c>
      <c r="L6337">
        <v>0</v>
      </c>
      <c r="M6337" t="s">
        <v>18</v>
      </c>
      <c r="N6337">
        <v>0</v>
      </c>
      <c r="O6337">
        <v>0</v>
      </c>
    </row>
    <row r="6338" spans="1:15" x14ac:dyDescent="0.2">
      <c r="A6338" s="6">
        <v>45791</v>
      </c>
      <c r="B6338" t="s">
        <v>15</v>
      </c>
      <c r="C6338" t="s">
        <v>16</v>
      </c>
      <c r="D6338" s="1">
        <v>45855</v>
      </c>
      <c r="E6338" t="s">
        <v>17</v>
      </c>
      <c r="F6338">
        <v>4300</v>
      </c>
      <c r="J6338">
        <v>1076.4000000000001</v>
      </c>
      <c r="K6338">
        <v>1093.4000000000001</v>
      </c>
      <c r="L6338">
        <v>0</v>
      </c>
      <c r="M6338" t="s">
        <v>18</v>
      </c>
      <c r="N6338">
        <v>0</v>
      </c>
      <c r="O6338">
        <v>0</v>
      </c>
    </row>
    <row r="6339" spans="1:15" x14ac:dyDescent="0.2">
      <c r="A6339" s="6">
        <v>45791</v>
      </c>
      <c r="B6339" t="s">
        <v>15</v>
      </c>
      <c r="C6339" t="s">
        <v>16</v>
      </c>
      <c r="D6339" s="1">
        <v>45855</v>
      </c>
      <c r="E6339" t="s">
        <v>17</v>
      </c>
      <c r="F6339">
        <v>4700</v>
      </c>
      <c r="J6339">
        <v>729</v>
      </c>
      <c r="K6339">
        <v>748.5</v>
      </c>
      <c r="L6339">
        <v>0</v>
      </c>
      <c r="M6339" t="s">
        <v>18</v>
      </c>
      <c r="N6339">
        <v>0</v>
      </c>
      <c r="O6339">
        <v>0</v>
      </c>
    </row>
    <row r="6340" spans="1:15" x14ac:dyDescent="0.2">
      <c r="A6340" s="6">
        <v>45790</v>
      </c>
      <c r="B6340" t="s">
        <v>15</v>
      </c>
      <c r="C6340" t="s">
        <v>16</v>
      </c>
      <c r="D6340" s="1">
        <v>45855</v>
      </c>
      <c r="E6340" t="s">
        <v>17</v>
      </c>
      <c r="F6340">
        <v>5100</v>
      </c>
      <c r="J6340">
        <v>466</v>
      </c>
      <c r="K6340">
        <v>388.1</v>
      </c>
      <c r="L6340">
        <v>0</v>
      </c>
      <c r="M6340" t="s">
        <v>18</v>
      </c>
      <c r="N6340">
        <v>0</v>
      </c>
      <c r="O6340">
        <v>0</v>
      </c>
    </row>
    <row r="6341" spans="1:15" x14ac:dyDescent="0.2">
      <c r="A6341" s="6">
        <v>45790</v>
      </c>
      <c r="B6341" t="s">
        <v>15</v>
      </c>
      <c r="C6341" t="s">
        <v>16</v>
      </c>
      <c r="D6341" s="1">
        <v>45855</v>
      </c>
      <c r="E6341" t="s">
        <v>19</v>
      </c>
      <c r="F6341">
        <v>6050</v>
      </c>
      <c r="J6341">
        <v>756.5</v>
      </c>
      <c r="K6341">
        <v>853.5</v>
      </c>
      <c r="L6341">
        <v>0</v>
      </c>
      <c r="M6341" t="s">
        <v>18</v>
      </c>
      <c r="N6341">
        <v>0</v>
      </c>
      <c r="O6341">
        <v>0</v>
      </c>
    </row>
    <row r="6342" spans="1:15" x14ac:dyDescent="0.2">
      <c r="A6342" s="6">
        <v>45790</v>
      </c>
      <c r="B6342" t="s">
        <v>15</v>
      </c>
      <c r="C6342" t="s">
        <v>16</v>
      </c>
      <c r="D6342" s="1">
        <v>45855</v>
      </c>
      <c r="E6342" t="s">
        <v>19</v>
      </c>
      <c r="F6342">
        <v>6650</v>
      </c>
      <c r="J6342">
        <v>1278</v>
      </c>
      <c r="K6342">
        <v>1391.5</v>
      </c>
      <c r="L6342">
        <v>0</v>
      </c>
      <c r="M6342" t="s">
        <v>18</v>
      </c>
      <c r="N6342">
        <v>0</v>
      </c>
      <c r="O6342">
        <v>0</v>
      </c>
    </row>
    <row r="6343" spans="1:15" x14ac:dyDescent="0.2">
      <c r="A6343" s="6">
        <v>45790</v>
      </c>
      <c r="B6343" t="s">
        <v>15</v>
      </c>
      <c r="C6343" t="s">
        <v>16</v>
      </c>
      <c r="D6343" s="1">
        <v>45855</v>
      </c>
      <c r="E6343" t="s">
        <v>17</v>
      </c>
      <c r="F6343">
        <v>4650</v>
      </c>
      <c r="J6343">
        <v>788.7</v>
      </c>
      <c r="K6343">
        <v>686.3</v>
      </c>
      <c r="L6343">
        <v>0</v>
      </c>
      <c r="M6343" t="s">
        <v>18</v>
      </c>
      <c r="N6343">
        <v>0</v>
      </c>
      <c r="O6343">
        <v>0</v>
      </c>
    </row>
    <row r="6344" spans="1:15" x14ac:dyDescent="0.2">
      <c r="A6344" s="6">
        <v>45790</v>
      </c>
      <c r="B6344" t="s">
        <v>15</v>
      </c>
      <c r="C6344" t="s">
        <v>16</v>
      </c>
      <c r="D6344" s="1">
        <v>45855</v>
      </c>
      <c r="E6344" t="s">
        <v>19</v>
      </c>
      <c r="F6344">
        <v>5100</v>
      </c>
      <c r="J6344">
        <v>182.2</v>
      </c>
      <c r="K6344">
        <v>227</v>
      </c>
      <c r="L6344">
        <v>0</v>
      </c>
      <c r="M6344" t="s">
        <v>18</v>
      </c>
      <c r="N6344">
        <v>0</v>
      </c>
      <c r="O6344">
        <v>0</v>
      </c>
    </row>
    <row r="6345" spans="1:15" x14ac:dyDescent="0.2">
      <c r="A6345" s="6">
        <v>45790</v>
      </c>
      <c r="B6345" t="s">
        <v>15</v>
      </c>
      <c r="C6345" t="s">
        <v>16</v>
      </c>
      <c r="D6345" s="1">
        <v>45855</v>
      </c>
      <c r="E6345" t="s">
        <v>17</v>
      </c>
      <c r="F6345">
        <v>4200</v>
      </c>
      <c r="J6345">
        <v>1186.2</v>
      </c>
      <c r="K6345">
        <v>1069.3</v>
      </c>
      <c r="L6345">
        <v>0</v>
      </c>
      <c r="M6345" t="s">
        <v>18</v>
      </c>
      <c r="N6345">
        <v>0</v>
      </c>
      <c r="O6345">
        <v>0</v>
      </c>
    </row>
    <row r="6346" spans="1:15" x14ac:dyDescent="0.2">
      <c r="A6346" s="6">
        <v>45790</v>
      </c>
      <c r="B6346" t="s">
        <v>15</v>
      </c>
      <c r="C6346" t="s">
        <v>16</v>
      </c>
      <c r="D6346" s="1">
        <v>45855</v>
      </c>
      <c r="E6346" t="s">
        <v>17</v>
      </c>
      <c r="F6346">
        <v>5250</v>
      </c>
      <c r="J6346">
        <v>380.1</v>
      </c>
      <c r="K6346">
        <v>311.5</v>
      </c>
      <c r="L6346">
        <v>0</v>
      </c>
      <c r="M6346" t="s">
        <v>18</v>
      </c>
      <c r="N6346">
        <v>0</v>
      </c>
      <c r="O6346">
        <v>0</v>
      </c>
    </row>
    <row r="6347" spans="1:15" x14ac:dyDescent="0.2">
      <c r="A6347" s="6">
        <v>45790</v>
      </c>
      <c r="B6347" t="s">
        <v>15</v>
      </c>
      <c r="C6347" t="s">
        <v>16</v>
      </c>
      <c r="D6347" s="1">
        <v>45855</v>
      </c>
      <c r="E6347" t="s">
        <v>17</v>
      </c>
      <c r="F6347">
        <v>5700</v>
      </c>
      <c r="J6347">
        <v>189.3</v>
      </c>
      <c r="K6347">
        <v>147.6</v>
      </c>
      <c r="L6347">
        <v>0</v>
      </c>
      <c r="M6347" t="s">
        <v>18</v>
      </c>
      <c r="N6347">
        <v>0</v>
      </c>
      <c r="O6347">
        <v>0</v>
      </c>
    </row>
    <row r="6348" spans="1:15" x14ac:dyDescent="0.2">
      <c r="A6348" s="6">
        <v>45790</v>
      </c>
      <c r="B6348" t="s">
        <v>15</v>
      </c>
      <c r="C6348" t="s">
        <v>16</v>
      </c>
      <c r="D6348" s="1">
        <v>45855</v>
      </c>
      <c r="E6348" t="s">
        <v>19</v>
      </c>
      <c r="F6348">
        <v>4200</v>
      </c>
      <c r="J6348">
        <v>12.7</v>
      </c>
      <c r="K6348">
        <v>18.600000000000001</v>
      </c>
      <c r="L6348">
        <v>0</v>
      </c>
      <c r="M6348" t="s">
        <v>18</v>
      </c>
      <c r="N6348">
        <v>0</v>
      </c>
      <c r="O6348">
        <v>0</v>
      </c>
    </row>
    <row r="6349" spans="1:15" x14ac:dyDescent="0.2">
      <c r="A6349" s="6">
        <v>45790</v>
      </c>
      <c r="B6349" t="s">
        <v>15</v>
      </c>
      <c r="C6349" t="s">
        <v>16</v>
      </c>
      <c r="D6349" s="1">
        <v>45855</v>
      </c>
      <c r="E6349" t="s">
        <v>17</v>
      </c>
      <c r="F6349">
        <v>4800</v>
      </c>
      <c r="J6349">
        <v>671.1</v>
      </c>
      <c r="K6349">
        <v>575.9</v>
      </c>
      <c r="L6349">
        <v>0</v>
      </c>
      <c r="M6349" t="s">
        <v>18</v>
      </c>
      <c r="N6349">
        <v>0</v>
      </c>
      <c r="O6349">
        <v>0</v>
      </c>
    </row>
    <row r="6350" spans="1:15" x14ac:dyDescent="0.2">
      <c r="A6350" s="6">
        <v>45790</v>
      </c>
      <c r="B6350" t="s">
        <v>15</v>
      </c>
      <c r="C6350" t="s">
        <v>16</v>
      </c>
      <c r="D6350" s="1">
        <v>45855</v>
      </c>
      <c r="E6350" t="s">
        <v>17</v>
      </c>
      <c r="F6350">
        <v>4900</v>
      </c>
      <c r="J6350">
        <v>598</v>
      </c>
      <c r="K6350">
        <v>508.2</v>
      </c>
      <c r="L6350">
        <v>0</v>
      </c>
      <c r="M6350" t="s">
        <v>18</v>
      </c>
      <c r="N6350">
        <v>0</v>
      </c>
      <c r="O6350">
        <v>0</v>
      </c>
    </row>
    <row r="6351" spans="1:15" x14ac:dyDescent="0.2">
      <c r="A6351" s="6">
        <v>45790</v>
      </c>
      <c r="B6351" t="s">
        <v>15</v>
      </c>
      <c r="C6351" t="s">
        <v>16</v>
      </c>
      <c r="D6351" s="1">
        <v>45855</v>
      </c>
      <c r="E6351" t="s">
        <v>17</v>
      </c>
      <c r="F6351">
        <v>4950</v>
      </c>
      <c r="J6351">
        <v>563.20000000000005</v>
      </c>
      <c r="K6351">
        <v>476.3</v>
      </c>
      <c r="L6351">
        <v>0</v>
      </c>
      <c r="M6351" t="s">
        <v>18</v>
      </c>
      <c r="N6351">
        <v>0</v>
      </c>
      <c r="O6351">
        <v>0</v>
      </c>
    </row>
    <row r="6352" spans="1:15" x14ac:dyDescent="0.2">
      <c r="A6352" s="6">
        <v>45790</v>
      </c>
      <c r="B6352" t="s">
        <v>15</v>
      </c>
      <c r="C6352" t="s">
        <v>16</v>
      </c>
      <c r="D6352" s="1">
        <v>45855</v>
      </c>
      <c r="E6352" t="s">
        <v>17</v>
      </c>
      <c r="F6352">
        <v>5300</v>
      </c>
      <c r="J6352">
        <v>354</v>
      </c>
      <c r="K6352">
        <v>288.60000000000002</v>
      </c>
      <c r="L6352">
        <v>0</v>
      </c>
      <c r="M6352" t="s">
        <v>18</v>
      </c>
      <c r="N6352">
        <v>0</v>
      </c>
      <c r="O6352">
        <v>0</v>
      </c>
    </row>
    <row r="6353" spans="1:15" x14ac:dyDescent="0.2">
      <c r="A6353" s="6">
        <v>45790</v>
      </c>
      <c r="B6353" t="s">
        <v>15</v>
      </c>
      <c r="C6353" t="s">
        <v>16</v>
      </c>
      <c r="D6353" s="1">
        <v>45855</v>
      </c>
      <c r="E6353" t="s">
        <v>17</v>
      </c>
      <c r="F6353">
        <v>4450</v>
      </c>
      <c r="J6353">
        <v>958.5</v>
      </c>
      <c r="K6353">
        <v>848.2</v>
      </c>
      <c r="L6353">
        <v>0</v>
      </c>
      <c r="M6353" t="s">
        <v>18</v>
      </c>
      <c r="N6353">
        <v>0</v>
      </c>
      <c r="O6353">
        <v>0</v>
      </c>
    </row>
    <row r="6354" spans="1:15" x14ac:dyDescent="0.2">
      <c r="A6354" s="6">
        <v>45790</v>
      </c>
      <c r="B6354" t="s">
        <v>15</v>
      </c>
      <c r="C6354" t="s">
        <v>16</v>
      </c>
      <c r="D6354" s="1">
        <v>45855</v>
      </c>
      <c r="E6354" t="s">
        <v>19</v>
      </c>
      <c r="F6354">
        <v>5250</v>
      </c>
      <c r="J6354">
        <v>244.6</v>
      </c>
      <c r="K6354">
        <v>298.7</v>
      </c>
      <c r="L6354">
        <v>0</v>
      </c>
      <c r="M6354" t="s">
        <v>18</v>
      </c>
      <c r="N6354">
        <v>0</v>
      </c>
      <c r="O6354">
        <v>0</v>
      </c>
    </row>
    <row r="6355" spans="1:15" x14ac:dyDescent="0.2">
      <c r="A6355" s="6">
        <v>45790</v>
      </c>
      <c r="B6355" t="s">
        <v>15</v>
      </c>
      <c r="C6355" t="s">
        <v>16</v>
      </c>
      <c r="D6355" s="1">
        <v>45855</v>
      </c>
      <c r="E6355" t="s">
        <v>17</v>
      </c>
      <c r="F6355">
        <v>4750</v>
      </c>
      <c r="J6355">
        <v>709.3</v>
      </c>
      <c r="K6355">
        <v>611.6</v>
      </c>
      <c r="L6355">
        <v>0</v>
      </c>
      <c r="M6355" t="s">
        <v>18</v>
      </c>
      <c r="N6355">
        <v>0</v>
      </c>
      <c r="O6355">
        <v>0</v>
      </c>
    </row>
    <row r="6356" spans="1:15" x14ac:dyDescent="0.2">
      <c r="A6356" s="6">
        <v>45790</v>
      </c>
      <c r="B6356" t="s">
        <v>15</v>
      </c>
      <c r="C6356" t="s">
        <v>16</v>
      </c>
      <c r="D6356" s="1">
        <v>45855</v>
      </c>
      <c r="E6356" t="s">
        <v>17</v>
      </c>
      <c r="F6356">
        <v>5200</v>
      </c>
      <c r="J6356">
        <v>407.4</v>
      </c>
      <c r="K6356">
        <v>335.7</v>
      </c>
      <c r="L6356">
        <v>0</v>
      </c>
      <c r="M6356" t="s">
        <v>18</v>
      </c>
      <c r="N6356">
        <v>0</v>
      </c>
      <c r="O6356">
        <v>0</v>
      </c>
    </row>
    <row r="6357" spans="1:15" x14ac:dyDescent="0.2">
      <c r="A6357" s="6">
        <v>45790</v>
      </c>
      <c r="B6357" t="s">
        <v>15</v>
      </c>
      <c r="C6357" t="s">
        <v>16</v>
      </c>
      <c r="D6357" s="1">
        <v>45855</v>
      </c>
      <c r="E6357" t="s">
        <v>19</v>
      </c>
      <c r="F6357">
        <v>4900</v>
      </c>
      <c r="J6357">
        <v>116.5</v>
      </c>
      <c r="K6357">
        <v>149.5</v>
      </c>
      <c r="L6357">
        <v>0</v>
      </c>
      <c r="M6357" t="s">
        <v>18</v>
      </c>
      <c r="N6357">
        <v>0</v>
      </c>
      <c r="O6357">
        <v>0</v>
      </c>
    </row>
    <row r="6358" spans="1:15" x14ac:dyDescent="0.2">
      <c r="A6358" s="6">
        <v>45790</v>
      </c>
      <c r="B6358" t="s">
        <v>15</v>
      </c>
      <c r="C6358" t="s">
        <v>16</v>
      </c>
      <c r="D6358" s="1">
        <v>45855</v>
      </c>
      <c r="E6358" t="s">
        <v>19</v>
      </c>
      <c r="F6358">
        <v>3600</v>
      </c>
      <c r="J6358">
        <v>0.6</v>
      </c>
      <c r="K6358">
        <v>1</v>
      </c>
      <c r="L6358">
        <v>0</v>
      </c>
      <c r="M6358" t="s">
        <v>18</v>
      </c>
      <c r="N6358">
        <v>0</v>
      </c>
      <c r="O6358">
        <v>0</v>
      </c>
    </row>
    <row r="6359" spans="1:15" x14ac:dyDescent="0.2">
      <c r="A6359" s="6">
        <v>45790</v>
      </c>
      <c r="B6359" t="s">
        <v>15</v>
      </c>
      <c r="C6359" t="s">
        <v>16</v>
      </c>
      <c r="D6359" s="1">
        <v>45855</v>
      </c>
      <c r="E6359" t="s">
        <v>17</v>
      </c>
      <c r="F6359">
        <v>4400</v>
      </c>
      <c r="J6359">
        <v>1002.8</v>
      </c>
      <c r="K6359">
        <v>891</v>
      </c>
      <c r="L6359">
        <v>0</v>
      </c>
      <c r="M6359" t="s">
        <v>18</v>
      </c>
      <c r="N6359">
        <v>0</v>
      </c>
      <c r="O6359">
        <v>0</v>
      </c>
    </row>
    <row r="6360" spans="1:15" x14ac:dyDescent="0.2">
      <c r="A6360" s="6">
        <v>45790</v>
      </c>
      <c r="B6360" t="s">
        <v>15</v>
      </c>
      <c r="C6360" t="s">
        <v>16</v>
      </c>
      <c r="D6360" s="1">
        <v>45855</v>
      </c>
      <c r="E6360" t="s">
        <v>17</v>
      </c>
      <c r="F6360">
        <v>4100</v>
      </c>
      <c r="J6360">
        <v>1280.5999999999999</v>
      </c>
      <c r="K6360">
        <v>1162</v>
      </c>
      <c r="L6360">
        <v>0</v>
      </c>
      <c r="M6360" t="s">
        <v>18</v>
      </c>
      <c r="N6360">
        <v>0</v>
      </c>
      <c r="O6360">
        <v>0</v>
      </c>
    </row>
    <row r="6361" spans="1:15" x14ac:dyDescent="0.2">
      <c r="A6361" s="6">
        <v>45790</v>
      </c>
      <c r="B6361" t="s">
        <v>15</v>
      </c>
      <c r="C6361" t="s">
        <v>16</v>
      </c>
      <c r="D6361" s="1">
        <v>45855</v>
      </c>
      <c r="E6361" t="s">
        <v>17</v>
      </c>
      <c r="F6361">
        <v>5000</v>
      </c>
      <c r="J6361">
        <v>529.5</v>
      </c>
      <c r="K6361">
        <v>445.6</v>
      </c>
      <c r="L6361">
        <v>0</v>
      </c>
      <c r="M6361" t="s">
        <v>18</v>
      </c>
      <c r="N6361">
        <v>0</v>
      </c>
      <c r="O6361">
        <v>0</v>
      </c>
    </row>
    <row r="6362" spans="1:15" x14ac:dyDescent="0.2">
      <c r="A6362" s="6">
        <v>45790</v>
      </c>
      <c r="B6362" t="s">
        <v>15</v>
      </c>
      <c r="C6362" t="s">
        <v>16</v>
      </c>
      <c r="D6362" s="1">
        <v>45855</v>
      </c>
      <c r="E6362" t="s">
        <v>17</v>
      </c>
      <c r="F6362">
        <v>5150</v>
      </c>
      <c r="J6362">
        <v>436.1</v>
      </c>
      <c r="K6362">
        <v>361.3</v>
      </c>
      <c r="L6362">
        <v>0</v>
      </c>
      <c r="M6362" t="s">
        <v>18</v>
      </c>
      <c r="N6362">
        <v>0</v>
      </c>
      <c r="O6362">
        <v>0</v>
      </c>
    </row>
    <row r="6363" spans="1:15" x14ac:dyDescent="0.2">
      <c r="A6363" s="6">
        <v>45790</v>
      </c>
      <c r="B6363" t="s">
        <v>15</v>
      </c>
      <c r="C6363" t="s">
        <v>16</v>
      </c>
      <c r="D6363" s="1">
        <v>45855</v>
      </c>
      <c r="E6363" t="s">
        <v>17</v>
      </c>
      <c r="F6363">
        <v>4350</v>
      </c>
      <c r="J6363">
        <v>1047.8</v>
      </c>
      <c r="K6363">
        <v>934.5</v>
      </c>
      <c r="L6363">
        <v>0</v>
      </c>
      <c r="M6363" t="s">
        <v>18</v>
      </c>
      <c r="N6363">
        <v>0</v>
      </c>
      <c r="O6363">
        <v>0</v>
      </c>
    </row>
    <row r="6364" spans="1:15" x14ac:dyDescent="0.2">
      <c r="A6364" s="6">
        <v>45790</v>
      </c>
      <c r="B6364" t="s">
        <v>15</v>
      </c>
      <c r="C6364" t="s">
        <v>16</v>
      </c>
      <c r="D6364" s="1">
        <v>45855</v>
      </c>
      <c r="E6364" t="s">
        <v>17</v>
      </c>
      <c r="F6364">
        <v>3700</v>
      </c>
      <c r="J6364">
        <v>1668.8</v>
      </c>
      <c r="K6364">
        <v>1546.7</v>
      </c>
      <c r="L6364">
        <v>0</v>
      </c>
      <c r="M6364" t="s">
        <v>18</v>
      </c>
      <c r="N6364">
        <v>0</v>
      </c>
      <c r="O6364">
        <v>0</v>
      </c>
    </row>
    <row r="6365" spans="1:15" x14ac:dyDescent="0.2">
      <c r="A6365" s="6">
        <v>45790</v>
      </c>
      <c r="B6365" t="s">
        <v>15</v>
      </c>
      <c r="C6365" t="s">
        <v>16</v>
      </c>
      <c r="D6365" s="1">
        <v>45855</v>
      </c>
      <c r="E6365" t="s">
        <v>17</v>
      </c>
      <c r="F6365">
        <v>5950</v>
      </c>
      <c r="J6365">
        <v>121.8</v>
      </c>
      <c r="K6365">
        <v>92.2</v>
      </c>
      <c r="L6365">
        <v>0</v>
      </c>
      <c r="M6365" t="s">
        <v>18</v>
      </c>
      <c r="N6365">
        <v>0</v>
      </c>
      <c r="O6365">
        <v>0</v>
      </c>
    </row>
    <row r="6366" spans="1:15" x14ac:dyDescent="0.2">
      <c r="A6366" s="6">
        <v>45790</v>
      </c>
      <c r="B6366" t="s">
        <v>15</v>
      </c>
      <c r="C6366" t="s">
        <v>16</v>
      </c>
      <c r="D6366" s="1">
        <v>45855</v>
      </c>
      <c r="E6366" t="s">
        <v>17</v>
      </c>
      <c r="F6366">
        <v>4500</v>
      </c>
      <c r="J6366">
        <v>914.8</v>
      </c>
      <c r="K6366">
        <v>806.3</v>
      </c>
      <c r="L6366">
        <v>0</v>
      </c>
      <c r="M6366" t="s">
        <v>18</v>
      </c>
      <c r="N6366">
        <v>0</v>
      </c>
      <c r="O6366">
        <v>0</v>
      </c>
    </row>
    <row r="6367" spans="1:15" x14ac:dyDescent="0.2">
      <c r="A6367" s="6">
        <v>45790</v>
      </c>
      <c r="B6367" t="s">
        <v>15</v>
      </c>
      <c r="C6367" t="s">
        <v>16</v>
      </c>
      <c r="D6367" s="1">
        <v>45855</v>
      </c>
      <c r="E6367" t="s">
        <v>19</v>
      </c>
      <c r="F6367">
        <v>6150</v>
      </c>
      <c r="J6367">
        <v>837.7</v>
      </c>
      <c r="K6367">
        <v>938.4</v>
      </c>
      <c r="L6367">
        <v>0</v>
      </c>
      <c r="M6367" t="s">
        <v>18</v>
      </c>
      <c r="N6367">
        <v>0</v>
      </c>
      <c r="O6367">
        <v>0</v>
      </c>
    </row>
    <row r="6368" spans="1:15" x14ac:dyDescent="0.2">
      <c r="A6368" s="6">
        <v>45790</v>
      </c>
      <c r="B6368" t="s">
        <v>15</v>
      </c>
      <c r="C6368" t="s">
        <v>16</v>
      </c>
      <c r="D6368" s="1">
        <v>45855</v>
      </c>
      <c r="E6368" t="s">
        <v>17</v>
      </c>
      <c r="F6368">
        <v>6600</v>
      </c>
      <c r="J6368">
        <v>32.799999999999997</v>
      </c>
      <c r="K6368">
        <v>23.1</v>
      </c>
      <c r="L6368">
        <v>0</v>
      </c>
      <c r="M6368" t="s">
        <v>18</v>
      </c>
      <c r="N6368">
        <v>0</v>
      </c>
      <c r="O6368">
        <v>0</v>
      </c>
    </row>
    <row r="6369" spans="1:15" x14ac:dyDescent="0.2">
      <c r="A6369" s="6">
        <v>45790</v>
      </c>
      <c r="B6369" t="s">
        <v>15</v>
      </c>
      <c r="C6369" t="s">
        <v>16</v>
      </c>
      <c r="D6369" s="1">
        <v>45855</v>
      </c>
      <c r="E6369" t="s">
        <v>19</v>
      </c>
      <c r="F6369">
        <v>3850</v>
      </c>
      <c r="J6369">
        <v>2.5</v>
      </c>
      <c r="K6369">
        <v>4</v>
      </c>
      <c r="L6369">
        <v>0</v>
      </c>
      <c r="M6369" t="s">
        <v>18</v>
      </c>
      <c r="N6369">
        <v>0</v>
      </c>
      <c r="O6369">
        <v>0</v>
      </c>
    </row>
    <row r="6370" spans="1:15" x14ac:dyDescent="0.2">
      <c r="A6370" s="6">
        <v>45790</v>
      </c>
      <c r="B6370" t="s">
        <v>15</v>
      </c>
      <c r="C6370" t="s">
        <v>16</v>
      </c>
      <c r="D6370" s="1">
        <v>45855</v>
      </c>
      <c r="E6370" t="s">
        <v>17</v>
      </c>
      <c r="F6370">
        <v>6400</v>
      </c>
      <c r="J6370">
        <v>50.3</v>
      </c>
      <c r="K6370">
        <v>36.200000000000003</v>
      </c>
      <c r="L6370">
        <v>0</v>
      </c>
      <c r="M6370" t="s">
        <v>18</v>
      </c>
      <c r="N6370">
        <v>0</v>
      </c>
      <c r="O6370">
        <v>0</v>
      </c>
    </row>
    <row r="6371" spans="1:15" x14ac:dyDescent="0.2">
      <c r="A6371" s="6">
        <v>45790</v>
      </c>
      <c r="B6371" t="s">
        <v>15</v>
      </c>
      <c r="C6371" t="s">
        <v>16</v>
      </c>
      <c r="D6371" s="1">
        <v>45855</v>
      </c>
      <c r="E6371" t="s">
        <v>17</v>
      </c>
      <c r="F6371">
        <v>3850</v>
      </c>
      <c r="J6371">
        <v>1521.9</v>
      </c>
      <c r="K6371">
        <v>1400.6</v>
      </c>
      <c r="L6371">
        <v>0</v>
      </c>
      <c r="M6371" t="s">
        <v>18</v>
      </c>
      <c r="N6371">
        <v>0</v>
      </c>
      <c r="O6371">
        <v>0</v>
      </c>
    </row>
    <row r="6372" spans="1:15" x14ac:dyDescent="0.2">
      <c r="A6372" s="6">
        <v>45790</v>
      </c>
      <c r="B6372" t="s">
        <v>15</v>
      </c>
      <c r="C6372" t="s">
        <v>16</v>
      </c>
      <c r="D6372" s="1">
        <v>45855</v>
      </c>
      <c r="E6372" t="s">
        <v>19</v>
      </c>
      <c r="F6372">
        <v>6200</v>
      </c>
      <c r="J6372">
        <v>879.3</v>
      </c>
      <c r="K6372">
        <v>981.7</v>
      </c>
      <c r="L6372">
        <v>0</v>
      </c>
      <c r="M6372" t="s">
        <v>18</v>
      </c>
      <c r="N6372">
        <v>0</v>
      </c>
      <c r="O6372">
        <v>0</v>
      </c>
    </row>
    <row r="6373" spans="1:15" x14ac:dyDescent="0.2">
      <c r="A6373" s="6">
        <v>45790</v>
      </c>
      <c r="B6373" t="s">
        <v>15</v>
      </c>
      <c r="C6373" t="s">
        <v>16</v>
      </c>
      <c r="D6373" s="1">
        <v>45855</v>
      </c>
      <c r="E6373" t="s">
        <v>19</v>
      </c>
      <c r="F6373">
        <v>4950</v>
      </c>
      <c r="J6373">
        <v>131.1</v>
      </c>
      <c r="K6373">
        <v>166.9</v>
      </c>
      <c r="L6373">
        <v>0</v>
      </c>
      <c r="M6373" t="s">
        <v>18</v>
      </c>
      <c r="N6373">
        <v>0</v>
      </c>
      <c r="O6373">
        <v>0</v>
      </c>
    </row>
    <row r="6374" spans="1:15" x14ac:dyDescent="0.2">
      <c r="A6374" s="6">
        <v>45790</v>
      </c>
      <c r="B6374" t="s">
        <v>15</v>
      </c>
      <c r="C6374" t="s">
        <v>16</v>
      </c>
      <c r="D6374" s="1">
        <v>45855</v>
      </c>
      <c r="E6374" t="s">
        <v>19</v>
      </c>
      <c r="F6374">
        <v>4250</v>
      </c>
      <c r="J6374">
        <v>15.5</v>
      </c>
      <c r="K6374">
        <v>22.5</v>
      </c>
      <c r="L6374">
        <v>0</v>
      </c>
      <c r="M6374" t="s">
        <v>18</v>
      </c>
      <c r="N6374">
        <v>0</v>
      </c>
      <c r="O6374">
        <v>0</v>
      </c>
    </row>
    <row r="6375" spans="1:15" x14ac:dyDescent="0.2">
      <c r="A6375" s="6">
        <v>45790</v>
      </c>
      <c r="B6375" t="s">
        <v>15</v>
      </c>
      <c r="C6375" t="s">
        <v>16</v>
      </c>
      <c r="D6375" s="1">
        <v>45855</v>
      </c>
      <c r="E6375" t="s">
        <v>17</v>
      </c>
      <c r="F6375">
        <v>5750</v>
      </c>
      <c r="J6375">
        <v>173.9</v>
      </c>
      <c r="K6375">
        <v>134.69999999999999</v>
      </c>
      <c r="L6375">
        <v>0</v>
      </c>
      <c r="M6375" t="s">
        <v>18</v>
      </c>
      <c r="N6375">
        <v>0</v>
      </c>
      <c r="O6375">
        <v>0</v>
      </c>
    </row>
    <row r="6376" spans="1:15" x14ac:dyDescent="0.2">
      <c r="A6376" s="6">
        <v>45790</v>
      </c>
      <c r="B6376" t="s">
        <v>15</v>
      </c>
      <c r="C6376" t="s">
        <v>16</v>
      </c>
      <c r="D6376" s="1">
        <v>45855</v>
      </c>
      <c r="E6376" t="s">
        <v>19</v>
      </c>
      <c r="F6376">
        <v>5050</v>
      </c>
      <c r="J6376">
        <v>164</v>
      </c>
      <c r="K6376">
        <v>205.6</v>
      </c>
      <c r="L6376">
        <v>0</v>
      </c>
      <c r="M6376" t="s">
        <v>18</v>
      </c>
      <c r="N6376">
        <v>0</v>
      </c>
      <c r="O6376">
        <v>0</v>
      </c>
    </row>
    <row r="6377" spans="1:15" x14ac:dyDescent="0.2">
      <c r="A6377" s="6">
        <v>45790</v>
      </c>
      <c r="B6377" t="s">
        <v>15</v>
      </c>
      <c r="C6377" t="s">
        <v>16</v>
      </c>
      <c r="D6377" s="1">
        <v>45855</v>
      </c>
      <c r="E6377" t="s">
        <v>19</v>
      </c>
      <c r="F6377">
        <v>5900</v>
      </c>
      <c r="J6377">
        <v>640.6</v>
      </c>
      <c r="K6377">
        <v>731.2</v>
      </c>
      <c r="L6377">
        <v>0</v>
      </c>
      <c r="M6377" t="s">
        <v>18</v>
      </c>
      <c r="N6377">
        <v>0</v>
      </c>
      <c r="O6377">
        <v>0</v>
      </c>
    </row>
    <row r="6378" spans="1:15" x14ac:dyDescent="0.2">
      <c r="A6378" s="6">
        <v>45790</v>
      </c>
      <c r="B6378" t="s">
        <v>15</v>
      </c>
      <c r="C6378" t="s">
        <v>16</v>
      </c>
      <c r="D6378" s="1">
        <v>45855</v>
      </c>
      <c r="E6378" t="s">
        <v>19</v>
      </c>
      <c r="F6378">
        <v>4600</v>
      </c>
      <c r="J6378">
        <v>51.9</v>
      </c>
      <c r="K6378">
        <v>70</v>
      </c>
      <c r="L6378">
        <v>0</v>
      </c>
      <c r="M6378" t="s">
        <v>18</v>
      </c>
      <c r="N6378">
        <v>0</v>
      </c>
      <c r="O6378">
        <v>0</v>
      </c>
    </row>
    <row r="6379" spans="1:15" x14ac:dyDescent="0.2">
      <c r="A6379" s="6">
        <v>45790</v>
      </c>
      <c r="B6379" t="s">
        <v>15</v>
      </c>
      <c r="C6379" t="s">
        <v>16</v>
      </c>
      <c r="D6379" s="1">
        <v>45855</v>
      </c>
      <c r="E6379" t="s">
        <v>19</v>
      </c>
      <c r="F6379">
        <v>4450</v>
      </c>
      <c r="J6379">
        <v>32.200000000000003</v>
      </c>
      <c r="K6379">
        <v>44.6</v>
      </c>
      <c r="L6379">
        <v>0</v>
      </c>
      <c r="M6379" t="s">
        <v>18</v>
      </c>
      <c r="N6379">
        <v>0</v>
      </c>
      <c r="O6379">
        <v>0</v>
      </c>
    </row>
    <row r="6380" spans="1:15" x14ac:dyDescent="0.2">
      <c r="A6380" s="6">
        <v>45790</v>
      </c>
      <c r="B6380" t="s">
        <v>15</v>
      </c>
      <c r="C6380" t="s">
        <v>16</v>
      </c>
      <c r="D6380" s="1">
        <v>45855</v>
      </c>
      <c r="E6380" t="s">
        <v>19</v>
      </c>
      <c r="F6380">
        <v>5400</v>
      </c>
      <c r="J6380">
        <v>318.39999999999998</v>
      </c>
      <c r="K6380">
        <v>381.8</v>
      </c>
      <c r="L6380">
        <v>0</v>
      </c>
      <c r="M6380" t="s">
        <v>18</v>
      </c>
      <c r="N6380">
        <v>0</v>
      </c>
      <c r="O6380">
        <v>0</v>
      </c>
    </row>
    <row r="6381" spans="1:15" x14ac:dyDescent="0.2">
      <c r="A6381" s="6">
        <v>45790</v>
      </c>
      <c r="B6381" t="s">
        <v>15</v>
      </c>
      <c r="C6381" t="s">
        <v>16</v>
      </c>
      <c r="D6381" s="1">
        <v>45855</v>
      </c>
      <c r="E6381" t="s">
        <v>17</v>
      </c>
      <c r="F6381">
        <v>3750</v>
      </c>
      <c r="J6381">
        <v>1619.7</v>
      </c>
      <c r="K6381">
        <v>1497.8</v>
      </c>
      <c r="L6381">
        <v>0</v>
      </c>
      <c r="M6381" t="s">
        <v>18</v>
      </c>
      <c r="N6381">
        <v>0</v>
      </c>
      <c r="O6381">
        <v>0</v>
      </c>
    </row>
    <row r="6382" spans="1:15" x14ac:dyDescent="0.2">
      <c r="A6382" s="6">
        <v>45790</v>
      </c>
      <c r="B6382" t="s">
        <v>15</v>
      </c>
      <c r="C6382" t="s">
        <v>16</v>
      </c>
      <c r="D6382" s="1">
        <v>45855</v>
      </c>
      <c r="E6382" t="s">
        <v>19</v>
      </c>
      <c r="F6382">
        <v>6400</v>
      </c>
      <c r="J6382">
        <v>1051.8</v>
      </c>
      <c r="K6382">
        <v>1160</v>
      </c>
      <c r="L6382">
        <v>0</v>
      </c>
      <c r="M6382" t="s">
        <v>18</v>
      </c>
      <c r="N6382">
        <v>0</v>
      </c>
      <c r="O6382">
        <v>0</v>
      </c>
    </row>
    <row r="6383" spans="1:15" x14ac:dyDescent="0.2">
      <c r="A6383" s="6">
        <v>45790</v>
      </c>
      <c r="B6383" t="s">
        <v>15</v>
      </c>
      <c r="C6383" t="s">
        <v>16</v>
      </c>
      <c r="D6383" s="1">
        <v>45855</v>
      </c>
      <c r="E6383" t="s">
        <v>19</v>
      </c>
      <c r="F6383">
        <v>5300</v>
      </c>
      <c r="J6383">
        <v>268</v>
      </c>
      <c r="K6383">
        <v>325.10000000000002</v>
      </c>
      <c r="L6383">
        <v>0</v>
      </c>
      <c r="M6383" t="s">
        <v>18</v>
      </c>
      <c r="N6383">
        <v>0</v>
      </c>
      <c r="O6383">
        <v>0</v>
      </c>
    </row>
    <row r="6384" spans="1:15" x14ac:dyDescent="0.2">
      <c r="A6384" s="6">
        <v>45790</v>
      </c>
      <c r="B6384" t="s">
        <v>15</v>
      </c>
      <c r="C6384" t="s">
        <v>16</v>
      </c>
      <c r="D6384" s="1">
        <v>45855</v>
      </c>
      <c r="E6384" t="s">
        <v>17</v>
      </c>
      <c r="F6384">
        <v>5600</v>
      </c>
      <c r="J6384">
        <v>223.5</v>
      </c>
      <c r="K6384">
        <v>176.2</v>
      </c>
      <c r="L6384">
        <v>0</v>
      </c>
      <c r="M6384" t="s">
        <v>18</v>
      </c>
      <c r="N6384">
        <v>0</v>
      </c>
      <c r="O6384">
        <v>0</v>
      </c>
    </row>
    <row r="6385" spans="1:15" x14ac:dyDescent="0.2">
      <c r="A6385" s="6">
        <v>45790</v>
      </c>
      <c r="B6385" t="s">
        <v>15</v>
      </c>
      <c r="C6385" t="s">
        <v>16</v>
      </c>
      <c r="D6385" s="1">
        <v>45855</v>
      </c>
      <c r="E6385" t="s">
        <v>19</v>
      </c>
      <c r="F6385">
        <v>5450</v>
      </c>
      <c r="J6385">
        <v>345.5</v>
      </c>
      <c r="K6385">
        <v>411.9</v>
      </c>
      <c r="L6385">
        <v>0</v>
      </c>
      <c r="M6385" t="s">
        <v>18</v>
      </c>
      <c r="N6385">
        <v>0</v>
      </c>
      <c r="O6385">
        <v>0</v>
      </c>
    </row>
    <row r="6386" spans="1:15" x14ac:dyDescent="0.2">
      <c r="A6386" s="6">
        <v>45790</v>
      </c>
      <c r="B6386" t="s">
        <v>15</v>
      </c>
      <c r="C6386" t="s">
        <v>16</v>
      </c>
      <c r="D6386" s="1">
        <v>45855</v>
      </c>
      <c r="E6386" t="s">
        <v>19</v>
      </c>
      <c r="F6386">
        <v>3700</v>
      </c>
      <c r="J6386">
        <v>1.1000000000000001</v>
      </c>
      <c r="K6386">
        <v>1.8</v>
      </c>
      <c r="L6386">
        <v>0</v>
      </c>
      <c r="M6386" t="s">
        <v>18</v>
      </c>
      <c r="N6386">
        <v>0</v>
      </c>
      <c r="O6386">
        <v>0</v>
      </c>
    </row>
    <row r="6387" spans="1:15" x14ac:dyDescent="0.2">
      <c r="A6387" s="6">
        <v>45790</v>
      </c>
      <c r="B6387" t="s">
        <v>15</v>
      </c>
      <c r="C6387" t="s">
        <v>16</v>
      </c>
      <c r="D6387" s="1">
        <v>45855</v>
      </c>
      <c r="E6387" t="s">
        <v>17</v>
      </c>
      <c r="F6387">
        <v>6550</v>
      </c>
      <c r="J6387">
        <v>36.6</v>
      </c>
      <c r="K6387">
        <v>25.9</v>
      </c>
      <c r="L6387">
        <v>0</v>
      </c>
      <c r="M6387" t="s">
        <v>18</v>
      </c>
      <c r="N6387">
        <v>0</v>
      </c>
      <c r="O6387">
        <v>0</v>
      </c>
    </row>
    <row r="6388" spans="1:15" x14ac:dyDescent="0.2">
      <c r="A6388" s="6">
        <v>45790</v>
      </c>
      <c r="B6388" t="s">
        <v>15</v>
      </c>
      <c r="C6388" t="s">
        <v>16</v>
      </c>
      <c r="D6388" s="1">
        <v>45855</v>
      </c>
      <c r="E6388" t="s">
        <v>17</v>
      </c>
      <c r="F6388">
        <v>6650</v>
      </c>
      <c r="J6388">
        <v>29.4</v>
      </c>
      <c r="K6388">
        <v>20.6</v>
      </c>
      <c r="L6388">
        <v>0</v>
      </c>
      <c r="M6388" t="s">
        <v>18</v>
      </c>
      <c r="N6388">
        <v>0</v>
      </c>
      <c r="O6388">
        <v>0</v>
      </c>
    </row>
    <row r="6389" spans="1:15" x14ac:dyDescent="0.2">
      <c r="A6389" s="6">
        <v>45790</v>
      </c>
      <c r="B6389" t="s">
        <v>15</v>
      </c>
      <c r="C6389" t="s">
        <v>16</v>
      </c>
      <c r="D6389" s="1">
        <v>45855</v>
      </c>
      <c r="E6389" t="s">
        <v>17</v>
      </c>
      <c r="F6389">
        <v>6050</v>
      </c>
      <c r="J6389">
        <v>101.1</v>
      </c>
      <c r="K6389">
        <v>75.599999999999994</v>
      </c>
      <c r="L6389">
        <v>0</v>
      </c>
      <c r="M6389" t="s">
        <v>18</v>
      </c>
      <c r="N6389">
        <v>0</v>
      </c>
      <c r="O6389">
        <v>0</v>
      </c>
    </row>
    <row r="6390" spans="1:15" x14ac:dyDescent="0.2">
      <c r="A6390" s="6">
        <v>45790</v>
      </c>
      <c r="B6390" t="s">
        <v>15</v>
      </c>
      <c r="C6390" t="s">
        <v>16</v>
      </c>
      <c r="D6390" s="1">
        <v>45855</v>
      </c>
      <c r="E6390" t="s">
        <v>19</v>
      </c>
      <c r="F6390">
        <v>3750</v>
      </c>
      <c r="J6390">
        <v>1.4</v>
      </c>
      <c r="K6390">
        <v>2.4</v>
      </c>
      <c r="L6390">
        <v>0</v>
      </c>
      <c r="M6390" t="s">
        <v>18</v>
      </c>
      <c r="N6390">
        <v>0</v>
      </c>
      <c r="O6390">
        <v>0</v>
      </c>
    </row>
    <row r="6391" spans="1:15" x14ac:dyDescent="0.2">
      <c r="A6391" s="6">
        <v>45790</v>
      </c>
      <c r="B6391" t="s">
        <v>15</v>
      </c>
      <c r="C6391" t="s">
        <v>16</v>
      </c>
      <c r="D6391" s="1">
        <v>45855</v>
      </c>
      <c r="E6391" t="s">
        <v>19</v>
      </c>
      <c r="F6391">
        <v>4700</v>
      </c>
      <c r="J6391">
        <v>69.400000000000006</v>
      </c>
      <c r="K6391">
        <v>91.9</v>
      </c>
      <c r="L6391">
        <v>0</v>
      </c>
      <c r="M6391" t="s">
        <v>18</v>
      </c>
      <c r="N6391">
        <v>0</v>
      </c>
      <c r="O6391">
        <v>0</v>
      </c>
    </row>
    <row r="6392" spans="1:15" x14ac:dyDescent="0.2">
      <c r="A6392" s="6">
        <v>45790</v>
      </c>
      <c r="B6392" t="s">
        <v>15</v>
      </c>
      <c r="C6392" t="s">
        <v>16</v>
      </c>
      <c r="D6392" s="1">
        <v>45855</v>
      </c>
      <c r="E6392" t="s">
        <v>19</v>
      </c>
      <c r="F6392">
        <v>5700</v>
      </c>
      <c r="J6392">
        <v>498.7</v>
      </c>
      <c r="K6392">
        <v>579.5</v>
      </c>
      <c r="L6392">
        <v>0</v>
      </c>
      <c r="M6392" t="s">
        <v>18</v>
      </c>
      <c r="N6392">
        <v>0</v>
      </c>
      <c r="O6392">
        <v>0</v>
      </c>
    </row>
    <row r="6393" spans="1:15" x14ac:dyDescent="0.2">
      <c r="A6393" s="6">
        <v>45790</v>
      </c>
      <c r="B6393" t="s">
        <v>15</v>
      </c>
      <c r="C6393" t="s">
        <v>16</v>
      </c>
      <c r="D6393" s="1">
        <v>45855</v>
      </c>
      <c r="E6393" t="s">
        <v>19</v>
      </c>
      <c r="F6393">
        <v>4550</v>
      </c>
      <c r="J6393">
        <v>44.5</v>
      </c>
      <c r="K6393">
        <v>60.6</v>
      </c>
      <c r="L6393">
        <v>0</v>
      </c>
      <c r="M6393" t="s">
        <v>18</v>
      </c>
      <c r="N6393">
        <v>0</v>
      </c>
      <c r="O6393">
        <v>0</v>
      </c>
    </row>
    <row r="6394" spans="1:15" x14ac:dyDescent="0.2">
      <c r="A6394" s="6">
        <v>45790</v>
      </c>
      <c r="B6394" t="s">
        <v>15</v>
      </c>
      <c r="C6394" t="s">
        <v>16</v>
      </c>
      <c r="D6394" s="1">
        <v>45855</v>
      </c>
      <c r="E6394" t="s">
        <v>19</v>
      </c>
      <c r="F6394">
        <v>5200</v>
      </c>
      <c r="J6394">
        <v>222.6</v>
      </c>
      <c r="K6394">
        <v>273.5</v>
      </c>
      <c r="L6394">
        <v>0</v>
      </c>
      <c r="M6394" t="s">
        <v>18</v>
      </c>
      <c r="N6394">
        <v>0</v>
      </c>
      <c r="O6394">
        <v>0</v>
      </c>
    </row>
    <row r="6395" spans="1:15" x14ac:dyDescent="0.2">
      <c r="A6395" s="6">
        <v>45790</v>
      </c>
      <c r="B6395" t="s">
        <v>15</v>
      </c>
      <c r="C6395" t="s">
        <v>16</v>
      </c>
      <c r="D6395" s="1">
        <v>45855</v>
      </c>
      <c r="E6395" t="s">
        <v>19</v>
      </c>
      <c r="F6395">
        <v>6250</v>
      </c>
      <c r="J6395">
        <v>921.6</v>
      </c>
      <c r="K6395">
        <v>1025.5999999999999</v>
      </c>
      <c r="L6395">
        <v>0</v>
      </c>
      <c r="M6395" t="s">
        <v>18</v>
      </c>
      <c r="N6395">
        <v>0</v>
      </c>
      <c r="O6395">
        <v>0</v>
      </c>
    </row>
    <row r="6396" spans="1:15" x14ac:dyDescent="0.2">
      <c r="A6396" s="6">
        <v>45790</v>
      </c>
      <c r="B6396" t="s">
        <v>15</v>
      </c>
      <c r="C6396" t="s">
        <v>16</v>
      </c>
      <c r="D6396" s="1">
        <v>45855</v>
      </c>
      <c r="E6396" t="s">
        <v>17</v>
      </c>
      <c r="F6396">
        <v>6200</v>
      </c>
      <c r="J6396">
        <v>75.599999999999994</v>
      </c>
      <c r="K6396">
        <v>55.6</v>
      </c>
      <c r="L6396">
        <v>0</v>
      </c>
      <c r="M6396" t="s">
        <v>18</v>
      </c>
      <c r="N6396">
        <v>0</v>
      </c>
      <c r="O6396">
        <v>0</v>
      </c>
    </row>
    <row r="6397" spans="1:15" x14ac:dyDescent="0.2">
      <c r="A6397" s="6">
        <v>45790</v>
      </c>
      <c r="B6397" t="s">
        <v>15</v>
      </c>
      <c r="C6397" t="s">
        <v>16</v>
      </c>
      <c r="D6397" s="1">
        <v>45855</v>
      </c>
      <c r="E6397" t="s">
        <v>17</v>
      </c>
      <c r="F6397">
        <v>5050</v>
      </c>
      <c r="J6397">
        <v>497.1</v>
      </c>
      <c r="K6397">
        <v>416.2</v>
      </c>
      <c r="L6397">
        <v>0</v>
      </c>
      <c r="M6397" t="s">
        <v>18</v>
      </c>
      <c r="N6397">
        <v>0</v>
      </c>
      <c r="O6397">
        <v>0</v>
      </c>
    </row>
    <row r="6398" spans="1:15" x14ac:dyDescent="0.2">
      <c r="A6398" s="6">
        <v>45790</v>
      </c>
      <c r="B6398" t="s">
        <v>15</v>
      </c>
      <c r="C6398" t="s">
        <v>16</v>
      </c>
      <c r="D6398" s="1">
        <v>45855</v>
      </c>
      <c r="E6398" t="s">
        <v>17</v>
      </c>
      <c r="F6398">
        <v>6250</v>
      </c>
      <c r="J6398">
        <v>68.400000000000006</v>
      </c>
      <c r="K6398">
        <v>50</v>
      </c>
      <c r="L6398">
        <v>0</v>
      </c>
      <c r="M6398" t="s">
        <v>18</v>
      </c>
      <c r="N6398">
        <v>0</v>
      </c>
      <c r="O6398">
        <v>0</v>
      </c>
    </row>
    <row r="6399" spans="1:15" x14ac:dyDescent="0.2">
      <c r="A6399" s="6">
        <v>45790</v>
      </c>
      <c r="B6399" t="s">
        <v>15</v>
      </c>
      <c r="C6399" t="s">
        <v>16</v>
      </c>
      <c r="D6399" s="1">
        <v>45855</v>
      </c>
      <c r="E6399" t="s">
        <v>19</v>
      </c>
      <c r="F6399">
        <v>3900</v>
      </c>
      <c r="J6399">
        <v>3.2</v>
      </c>
      <c r="K6399">
        <v>5.0999999999999996</v>
      </c>
      <c r="L6399">
        <v>0</v>
      </c>
      <c r="M6399" t="s">
        <v>18</v>
      </c>
      <c r="N6399">
        <v>0</v>
      </c>
      <c r="O6399">
        <v>0</v>
      </c>
    </row>
    <row r="6400" spans="1:15" x14ac:dyDescent="0.2">
      <c r="A6400" s="6">
        <v>45790</v>
      </c>
      <c r="B6400" t="s">
        <v>15</v>
      </c>
      <c r="C6400" t="s">
        <v>16</v>
      </c>
      <c r="D6400" s="1">
        <v>45855</v>
      </c>
      <c r="E6400" t="s">
        <v>17</v>
      </c>
      <c r="F6400">
        <v>6500</v>
      </c>
      <c r="J6400">
        <v>40.799999999999997</v>
      </c>
      <c r="K6400">
        <v>29</v>
      </c>
      <c r="L6400">
        <v>0</v>
      </c>
      <c r="M6400" t="s">
        <v>18</v>
      </c>
      <c r="N6400">
        <v>0</v>
      </c>
      <c r="O6400">
        <v>0</v>
      </c>
    </row>
    <row r="6401" spans="1:15" x14ac:dyDescent="0.2">
      <c r="A6401" s="6">
        <v>45790</v>
      </c>
      <c r="B6401" t="s">
        <v>15</v>
      </c>
      <c r="C6401" t="s">
        <v>16</v>
      </c>
      <c r="D6401" s="1">
        <v>45855</v>
      </c>
      <c r="E6401" t="s">
        <v>17</v>
      </c>
      <c r="F6401">
        <v>5900</v>
      </c>
      <c r="J6401">
        <v>133.4</v>
      </c>
      <c r="K6401">
        <v>101.6</v>
      </c>
      <c r="L6401">
        <v>0</v>
      </c>
      <c r="M6401" t="s">
        <v>18</v>
      </c>
      <c r="N6401">
        <v>0</v>
      </c>
      <c r="O6401">
        <v>0</v>
      </c>
    </row>
    <row r="6402" spans="1:15" x14ac:dyDescent="0.2">
      <c r="A6402" s="6">
        <v>45790</v>
      </c>
      <c r="B6402" t="s">
        <v>15</v>
      </c>
      <c r="C6402" t="s">
        <v>16</v>
      </c>
      <c r="D6402" s="1">
        <v>45855</v>
      </c>
      <c r="E6402" t="s">
        <v>19</v>
      </c>
      <c r="F6402">
        <v>4650</v>
      </c>
      <c r="J6402">
        <v>60.2</v>
      </c>
      <c r="K6402">
        <v>80.400000000000006</v>
      </c>
      <c r="L6402">
        <v>0</v>
      </c>
      <c r="M6402" t="s">
        <v>18</v>
      </c>
      <c r="N6402">
        <v>0</v>
      </c>
      <c r="O6402">
        <v>0</v>
      </c>
    </row>
    <row r="6403" spans="1:15" x14ac:dyDescent="0.2">
      <c r="A6403" s="6">
        <v>45790</v>
      </c>
      <c r="B6403" t="s">
        <v>15</v>
      </c>
      <c r="C6403" t="s">
        <v>16</v>
      </c>
      <c r="D6403" s="1">
        <v>45855</v>
      </c>
      <c r="E6403" t="s">
        <v>17</v>
      </c>
      <c r="F6403">
        <v>4150</v>
      </c>
      <c r="J6403">
        <v>1233.2</v>
      </c>
      <c r="K6403">
        <v>1115.4000000000001</v>
      </c>
      <c r="L6403">
        <v>0</v>
      </c>
      <c r="M6403" t="s">
        <v>18</v>
      </c>
      <c r="N6403">
        <v>0</v>
      </c>
      <c r="O6403">
        <v>0</v>
      </c>
    </row>
    <row r="6404" spans="1:15" x14ac:dyDescent="0.2">
      <c r="A6404" s="6">
        <v>45790</v>
      </c>
      <c r="B6404" t="s">
        <v>15</v>
      </c>
      <c r="C6404" t="s">
        <v>16</v>
      </c>
      <c r="D6404" s="1">
        <v>45855</v>
      </c>
      <c r="E6404" t="s">
        <v>17</v>
      </c>
      <c r="F6404">
        <v>4600</v>
      </c>
      <c r="J6404">
        <v>829.9</v>
      </c>
      <c r="K6404">
        <v>725.3</v>
      </c>
      <c r="L6404">
        <v>0</v>
      </c>
      <c r="M6404" t="s">
        <v>18</v>
      </c>
      <c r="N6404">
        <v>0</v>
      </c>
      <c r="O6404">
        <v>0</v>
      </c>
    </row>
    <row r="6405" spans="1:15" x14ac:dyDescent="0.2">
      <c r="A6405" s="6">
        <v>45790</v>
      </c>
      <c r="B6405" t="s">
        <v>15</v>
      </c>
      <c r="C6405" t="s">
        <v>16</v>
      </c>
      <c r="D6405" s="1">
        <v>45855</v>
      </c>
      <c r="E6405" t="s">
        <v>19</v>
      </c>
      <c r="F6405">
        <v>5150</v>
      </c>
      <c r="J6405">
        <v>201.8</v>
      </c>
      <c r="K6405">
        <v>249.6</v>
      </c>
      <c r="L6405">
        <v>0</v>
      </c>
      <c r="M6405" t="s">
        <v>18</v>
      </c>
      <c r="N6405">
        <v>0</v>
      </c>
      <c r="O6405">
        <v>0</v>
      </c>
    </row>
    <row r="6406" spans="1:15" x14ac:dyDescent="0.2">
      <c r="A6406" s="6">
        <v>45790</v>
      </c>
      <c r="B6406" t="s">
        <v>15</v>
      </c>
      <c r="C6406" t="s">
        <v>16</v>
      </c>
      <c r="D6406" s="1">
        <v>45855</v>
      </c>
      <c r="E6406" t="s">
        <v>19</v>
      </c>
      <c r="F6406">
        <v>6550</v>
      </c>
      <c r="J6406">
        <v>1186.3</v>
      </c>
      <c r="K6406">
        <v>1297.9000000000001</v>
      </c>
      <c r="L6406">
        <v>0</v>
      </c>
      <c r="M6406" t="s">
        <v>18</v>
      </c>
      <c r="N6406">
        <v>0</v>
      </c>
      <c r="O6406">
        <v>0</v>
      </c>
    </row>
    <row r="6407" spans="1:15" x14ac:dyDescent="0.2">
      <c r="A6407" s="6">
        <v>45790</v>
      </c>
      <c r="B6407" t="s">
        <v>15</v>
      </c>
      <c r="C6407" t="s">
        <v>16</v>
      </c>
      <c r="D6407" s="1">
        <v>45855</v>
      </c>
      <c r="E6407" t="s">
        <v>17</v>
      </c>
      <c r="F6407">
        <v>6350</v>
      </c>
      <c r="J6407">
        <v>55.8</v>
      </c>
      <c r="K6407">
        <v>40.4</v>
      </c>
      <c r="L6407">
        <v>0</v>
      </c>
      <c r="M6407" t="s">
        <v>18</v>
      </c>
      <c r="N6407">
        <v>0</v>
      </c>
      <c r="O6407">
        <v>0</v>
      </c>
    </row>
    <row r="6408" spans="1:15" x14ac:dyDescent="0.2">
      <c r="A6408" s="6">
        <v>45790</v>
      </c>
      <c r="B6408" t="s">
        <v>15</v>
      </c>
      <c r="C6408" t="s">
        <v>16</v>
      </c>
      <c r="D6408" s="1">
        <v>45855</v>
      </c>
      <c r="E6408" t="s">
        <v>17</v>
      </c>
      <c r="F6408">
        <v>5800</v>
      </c>
      <c r="J6408">
        <v>159.4</v>
      </c>
      <c r="K6408">
        <v>122.8</v>
      </c>
      <c r="L6408">
        <v>0</v>
      </c>
      <c r="M6408" t="s">
        <v>18</v>
      </c>
      <c r="N6408">
        <v>0</v>
      </c>
      <c r="O6408">
        <v>0</v>
      </c>
    </row>
    <row r="6409" spans="1:15" x14ac:dyDescent="0.2">
      <c r="A6409" s="6">
        <v>45790</v>
      </c>
      <c r="B6409" t="s">
        <v>15</v>
      </c>
      <c r="C6409" t="s">
        <v>16</v>
      </c>
      <c r="D6409" s="1">
        <v>45855</v>
      </c>
      <c r="E6409" t="s">
        <v>17</v>
      </c>
      <c r="F6409">
        <v>5450</v>
      </c>
      <c r="J6409">
        <v>283.3</v>
      </c>
      <c r="K6409">
        <v>227.1</v>
      </c>
      <c r="L6409">
        <v>0</v>
      </c>
      <c r="M6409" t="s">
        <v>18</v>
      </c>
      <c r="N6409">
        <v>0</v>
      </c>
      <c r="O6409">
        <v>0</v>
      </c>
    </row>
    <row r="6410" spans="1:15" x14ac:dyDescent="0.2">
      <c r="A6410" s="6">
        <v>45790</v>
      </c>
      <c r="B6410" t="s">
        <v>15</v>
      </c>
      <c r="C6410" t="s">
        <v>16</v>
      </c>
      <c r="D6410" s="1">
        <v>45855</v>
      </c>
      <c r="E6410" t="s">
        <v>19</v>
      </c>
      <c r="F6410">
        <v>5950</v>
      </c>
      <c r="J6410">
        <v>678.4</v>
      </c>
      <c r="K6410">
        <v>771.3</v>
      </c>
      <c r="L6410">
        <v>0</v>
      </c>
      <c r="M6410" t="s">
        <v>18</v>
      </c>
      <c r="N6410">
        <v>0</v>
      </c>
      <c r="O6410">
        <v>0</v>
      </c>
    </row>
    <row r="6411" spans="1:15" x14ac:dyDescent="0.2">
      <c r="A6411" s="6">
        <v>45790</v>
      </c>
      <c r="B6411" t="s">
        <v>15</v>
      </c>
      <c r="C6411" t="s">
        <v>16</v>
      </c>
      <c r="D6411" s="1">
        <v>45855</v>
      </c>
      <c r="E6411" t="s">
        <v>19</v>
      </c>
      <c r="F6411">
        <v>4050</v>
      </c>
      <c r="J6411">
        <v>6.7</v>
      </c>
      <c r="K6411">
        <v>10.1</v>
      </c>
      <c r="L6411">
        <v>0</v>
      </c>
      <c r="M6411" t="s">
        <v>18</v>
      </c>
      <c r="N6411">
        <v>0</v>
      </c>
      <c r="O6411">
        <v>0</v>
      </c>
    </row>
    <row r="6412" spans="1:15" x14ac:dyDescent="0.2">
      <c r="A6412" s="6">
        <v>45790</v>
      </c>
      <c r="B6412" t="s">
        <v>15</v>
      </c>
      <c r="C6412" t="s">
        <v>16</v>
      </c>
      <c r="D6412" s="1">
        <v>45855</v>
      </c>
      <c r="E6412" t="s">
        <v>17</v>
      </c>
      <c r="F6412">
        <v>6300</v>
      </c>
      <c r="J6412">
        <v>61.8</v>
      </c>
      <c r="K6412">
        <v>45</v>
      </c>
      <c r="L6412">
        <v>0</v>
      </c>
      <c r="M6412" t="s">
        <v>18</v>
      </c>
      <c r="N6412">
        <v>0</v>
      </c>
      <c r="O6412">
        <v>0</v>
      </c>
    </row>
    <row r="6413" spans="1:15" x14ac:dyDescent="0.2">
      <c r="A6413" s="6">
        <v>45790</v>
      </c>
      <c r="B6413" t="s">
        <v>15</v>
      </c>
      <c r="C6413" t="s">
        <v>16</v>
      </c>
      <c r="D6413" s="1">
        <v>45855</v>
      </c>
      <c r="E6413" t="s">
        <v>17</v>
      </c>
      <c r="F6413">
        <v>6000</v>
      </c>
      <c r="J6413">
        <v>111</v>
      </c>
      <c r="K6413">
        <v>83.6</v>
      </c>
      <c r="L6413">
        <v>0</v>
      </c>
      <c r="M6413" t="s">
        <v>18</v>
      </c>
      <c r="N6413">
        <v>0</v>
      </c>
      <c r="O6413">
        <v>0</v>
      </c>
    </row>
    <row r="6414" spans="1:15" x14ac:dyDescent="0.2">
      <c r="A6414" s="6">
        <v>45790</v>
      </c>
      <c r="B6414" t="s">
        <v>15</v>
      </c>
      <c r="C6414" t="s">
        <v>16</v>
      </c>
      <c r="D6414" s="1">
        <v>45855</v>
      </c>
      <c r="E6414" t="s">
        <v>19</v>
      </c>
      <c r="F6414">
        <v>4100</v>
      </c>
      <c r="J6414">
        <v>8.3000000000000007</v>
      </c>
      <c r="K6414">
        <v>12.5</v>
      </c>
      <c r="L6414">
        <v>0</v>
      </c>
      <c r="M6414" t="s">
        <v>18</v>
      </c>
      <c r="N6414">
        <v>0</v>
      </c>
      <c r="O6414">
        <v>0</v>
      </c>
    </row>
    <row r="6415" spans="1:15" x14ac:dyDescent="0.2">
      <c r="A6415" s="6">
        <v>45790</v>
      </c>
      <c r="B6415" t="s">
        <v>15</v>
      </c>
      <c r="C6415" t="s">
        <v>16</v>
      </c>
      <c r="D6415" s="1">
        <v>45855</v>
      </c>
      <c r="E6415" t="s">
        <v>17</v>
      </c>
      <c r="F6415">
        <v>4550</v>
      </c>
      <c r="J6415">
        <v>871.9</v>
      </c>
      <c r="K6415">
        <v>765.3</v>
      </c>
      <c r="L6415">
        <v>0</v>
      </c>
      <c r="M6415" t="s">
        <v>18</v>
      </c>
      <c r="N6415">
        <v>0</v>
      </c>
      <c r="O6415">
        <v>0</v>
      </c>
    </row>
    <row r="6416" spans="1:15" x14ac:dyDescent="0.2">
      <c r="A6416" s="6">
        <v>45790</v>
      </c>
      <c r="B6416" t="s">
        <v>15</v>
      </c>
      <c r="C6416" t="s">
        <v>16</v>
      </c>
      <c r="D6416" s="1">
        <v>45855</v>
      </c>
      <c r="E6416" t="s">
        <v>17</v>
      </c>
      <c r="F6416">
        <v>4850</v>
      </c>
      <c r="J6416">
        <v>634</v>
      </c>
      <c r="K6416">
        <v>541.5</v>
      </c>
      <c r="L6416">
        <v>0</v>
      </c>
      <c r="M6416" t="s">
        <v>18</v>
      </c>
      <c r="N6416">
        <v>0</v>
      </c>
      <c r="O6416">
        <v>0</v>
      </c>
    </row>
    <row r="6417" spans="1:15" x14ac:dyDescent="0.2">
      <c r="A6417" s="6">
        <v>45790</v>
      </c>
      <c r="B6417" t="s">
        <v>15</v>
      </c>
      <c r="C6417" t="s">
        <v>16</v>
      </c>
      <c r="D6417" s="1">
        <v>45855</v>
      </c>
      <c r="E6417" t="s">
        <v>17</v>
      </c>
      <c r="F6417">
        <v>5500</v>
      </c>
      <c r="J6417">
        <v>262.10000000000002</v>
      </c>
      <c r="K6417">
        <v>209</v>
      </c>
      <c r="L6417">
        <v>0</v>
      </c>
      <c r="M6417" t="s">
        <v>18</v>
      </c>
      <c r="N6417">
        <v>0</v>
      </c>
      <c r="O6417">
        <v>0</v>
      </c>
    </row>
    <row r="6418" spans="1:15" x14ac:dyDescent="0.2">
      <c r="A6418" s="6">
        <v>45790</v>
      </c>
      <c r="B6418" t="s">
        <v>15</v>
      </c>
      <c r="C6418" t="s">
        <v>16</v>
      </c>
      <c r="D6418" s="1">
        <v>45855</v>
      </c>
      <c r="E6418" t="s">
        <v>19</v>
      </c>
      <c r="F6418">
        <v>4400</v>
      </c>
      <c r="J6418">
        <v>27.1</v>
      </c>
      <c r="K6418">
        <v>38</v>
      </c>
      <c r="L6418">
        <v>0</v>
      </c>
      <c r="M6418" t="s">
        <v>18</v>
      </c>
      <c r="N6418">
        <v>0</v>
      </c>
      <c r="O6418">
        <v>0</v>
      </c>
    </row>
    <row r="6419" spans="1:15" x14ac:dyDescent="0.2">
      <c r="A6419" s="6">
        <v>45790</v>
      </c>
      <c r="B6419" t="s">
        <v>15</v>
      </c>
      <c r="C6419" t="s">
        <v>16</v>
      </c>
      <c r="D6419" s="1">
        <v>45855</v>
      </c>
      <c r="E6419" t="s">
        <v>19</v>
      </c>
      <c r="F6419">
        <v>4500</v>
      </c>
      <c r="J6419">
        <v>38</v>
      </c>
      <c r="K6419">
        <v>52.2</v>
      </c>
      <c r="L6419">
        <v>0</v>
      </c>
      <c r="M6419" t="s">
        <v>18</v>
      </c>
      <c r="N6419">
        <v>0</v>
      </c>
      <c r="O6419">
        <v>0</v>
      </c>
    </row>
    <row r="6420" spans="1:15" x14ac:dyDescent="0.2">
      <c r="A6420" s="6">
        <v>45790</v>
      </c>
      <c r="B6420" t="s">
        <v>15</v>
      </c>
      <c r="C6420" t="s">
        <v>16</v>
      </c>
      <c r="D6420" s="1">
        <v>45855</v>
      </c>
      <c r="E6420" t="s">
        <v>19</v>
      </c>
      <c r="F6420">
        <v>5350</v>
      </c>
      <c r="J6420">
        <v>292.60000000000002</v>
      </c>
      <c r="K6420">
        <v>352.8</v>
      </c>
      <c r="L6420">
        <v>0</v>
      </c>
      <c r="M6420" t="s">
        <v>18</v>
      </c>
      <c r="N6420">
        <v>0</v>
      </c>
      <c r="O6420">
        <v>0</v>
      </c>
    </row>
    <row r="6421" spans="1:15" x14ac:dyDescent="0.2">
      <c r="A6421" s="6">
        <v>45790</v>
      </c>
      <c r="B6421" t="s">
        <v>15</v>
      </c>
      <c r="C6421" t="s">
        <v>16</v>
      </c>
      <c r="D6421" s="1">
        <v>45855</v>
      </c>
      <c r="E6421" t="s">
        <v>19</v>
      </c>
      <c r="F6421">
        <v>5000</v>
      </c>
      <c r="J6421">
        <v>146.9</v>
      </c>
      <c r="K6421">
        <v>185.6</v>
      </c>
      <c r="L6421">
        <v>0</v>
      </c>
      <c r="M6421" t="s">
        <v>18</v>
      </c>
      <c r="N6421">
        <v>0</v>
      </c>
      <c r="O6421">
        <v>0</v>
      </c>
    </row>
    <row r="6422" spans="1:15" x14ac:dyDescent="0.2">
      <c r="A6422" s="6">
        <v>45790</v>
      </c>
      <c r="B6422" t="s">
        <v>15</v>
      </c>
      <c r="C6422" t="s">
        <v>16</v>
      </c>
      <c r="D6422" s="1">
        <v>45855</v>
      </c>
      <c r="E6422" t="s">
        <v>17</v>
      </c>
      <c r="F6422">
        <v>4250</v>
      </c>
      <c r="J6422">
        <v>1139.5999999999999</v>
      </c>
      <c r="K6422">
        <v>1023.7</v>
      </c>
      <c r="L6422">
        <v>0</v>
      </c>
      <c r="M6422" t="s">
        <v>18</v>
      </c>
      <c r="N6422">
        <v>0</v>
      </c>
      <c r="O6422">
        <v>0</v>
      </c>
    </row>
    <row r="6423" spans="1:15" x14ac:dyDescent="0.2">
      <c r="A6423" s="6">
        <v>45790</v>
      </c>
      <c r="B6423" t="s">
        <v>15</v>
      </c>
      <c r="C6423" t="s">
        <v>16</v>
      </c>
      <c r="D6423" s="1">
        <v>45855</v>
      </c>
      <c r="E6423" t="s">
        <v>17</v>
      </c>
      <c r="F6423">
        <v>4000</v>
      </c>
      <c r="J6423">
        <v>1376.5</v>
      </c>
      <c r="K6423">
        <v>1256.5</v>
      </c>
      <c r="L6423">
        <v>0</v>
      </c>
      <c r="M6423" t="s">
        <v>18</v>
      </c>
      <c r="N6423">
        <v>0</v>
      </c>
      <c r="O6423">
        <v>0</v>
      </c>
    </row>
    <row r="6424" spans="1:15" x14ac:dyDescent="0.2">
      <c r="A6424" s="6">
        <v>45790</v>
      </c>
      <c r="B6424" t="s">
        <v>15</v>
      </c>
      <c r="C6424" t="s">
        <v>16</v>
      </c>
      <c r="D6424" s="1">
        <v>45855</v>
      </c>
      <c r="E6424" t="s">
        <v>17</v>
      </c>
      <c r="F6424">
        <v>6450</v>
      </c>
      <c r="J6424">
        <v>45.3</v>
      </c>
      <c r="K6424">
        <v>32.4</v>
      </c>
      <c r="L6424">
        <v>0</v>
      </c>
      <c r="M6424" t="s">
        <v>18</v>
      </c>
      <c r="N6424">
        <v>0</v>
      </c>
      <c r="O6424">
        <v>0</v>
      </c>
    </row>
    <row r="6425" spans="1:15" x14ac:dyDescent="0.2">
      <c r="A6425" s="6">
        <v>45790</v>
      </c>
      <c r="B6425" t="s">
        <v>15</v>
      </c>
      <c r="C6425" t="s">
        <v>16</v>
      </c>
      <c r="D6425" s="1">
        <v>45855</v>
      </c>
      <c r="E6425" t="s">
        <v>17</v>
      </c>
      <c r="F6425">
        <v>5650</v>
      </c>
      <c r="J6425">
        <v>205.8</v>
      </c>
      <c r="K6425">
        <v>161.4</v>
      </c>
      <c r="L6425">
        <v>0</v>
      </c>
      <c r="M6425" t="s">
        <v>18</v>
      </c>
      <c r="N6425">
        <v>0</v>
      </c>
      <c r="O6425">
        <v>0</v>
      </c>
    </row>
    <row r="6426" spans="1:15" x14ac:dyDescent="0.2">
      <c r="A6426" s="6">
        <v>45790</v>
      </c>
      <c r="B6426" t="s">
        <v>15</v>
      </c>
      <c r="C6426" t="s">
        <v>16</v>
      </c>
      <c r="D6426" s="1">
        <v>45855</v>
      </c>
      <c r="E6426" t="s">
        <v>19</v>
      </c>
      <c r="F6426">
        <v>3650</v>
      </c>
      <c r="J6426">
        <v>0.8</v>
      </c>
      <c r="K6426">
        <v>1.3</v>
      </c>
      <c r="L6426">
        <v>0</v>
      </c>
      <c r="M6426" t="s">
        <v>18</v>
      </c>
      <c r="N6426">
        <v>0</v>
      </c>
      <c r="O6426">
        <v>0</v>
      </c>
    </row>
    <row r="6427" spans="1:15" x14ac:dyDescent="0.2">
      <c r="A6427" s="6">
        <v>45790</v>
      </c>
      <c r="B6427" t="s">
        <v>15</v>
      </c>
      <c r="C6427" t="s">
        <v>16</v>
      </c>
      <c r="D6427" s="1">
        <v>45855</v>
      </c>
      <c r="E6427" t="s">
        <v>17</v>
      </c>
      <c r="F6427">
        <v>3650</v>
      </c>
      <c r="J6427">
        <v>1718</v>
      </c>
      <c r="K6427">
        <v>1595.6</v>
      </c>
      <c r="L6427">
        <v>0</v>
      </c>
      <c r="M6427" t="s">
        <v>18</v>
      </c>
      <c r="N6427">
        <v>0</v>
      </c>
      <c r="O6427">
        <v>0</v>
      </c>
    </row>
    <row r="6428" spans="1:15" x14ac:dyDescent="0.2">
      <c r="A6428" s="6">
        <v>45790</v>
      </c>
      <c r="B6428" t="s">
        <v>15</v>
      </c>
      <c r="C6428" t="s">
        <v>16</v>
      </c>
      <c r="D6428" s="1">
        <v>45855</v>
      </c>
      <c r="E6428" t="s">
        <v>19</v>
      </c>
      <c r="F6428">
        <v>5800</v>
      </c>
      <c r="J6428">
        <v>567.70000000000005</v>
      </c>
      <c r="K6428">
        <v>653.6</v>
      </c>
      <c r="L6428">
        <v>0</v>
      </c>
      <c r="M6428" t="s">
        <v>18</v>
      </c>
      <c r="N6428">
        <v>0</v>
      </c>
      <c r="O6428">
        <v>0</v>
      </c>
    </row>
    <row r="6429" spans="1:15" x14ac:dyDescent="0.2">
      <c r="A6429" s="6">
        <v>45790</v>
      </c>
      <c r="B6429" t="s">
        <v>15</v>
      </c>
      <c r="C6429" t="s">
        <v>16</v>
      </c>
      <c r="D6429" s="1">
        <v>45855</v>
      </c>
      <c r="E6429" t="s">
        <v>17</v>
      </c>
      <c r="F6429">
        <v>3600</v>
      </c>
      <c r="J6429">
        <v>1767.2</v>
      </c>
      <c r="K6429">
        <v>1644.7</v>
      </c>
      <c r="L6429">
        <v>0</v>
      </c>
      <c r="M6429" t="s">
        <v>18</v>
      </c>
      <c r="N6429">
        <v>0</v>
      </c>
      <c r="O6429">
        <v>0</v>
      </c>
    </row>
    <row r="6430" spans="1:15" x14ac:dyDescent="0.2">
      <c r="A6430" s="6">
        <v>45790</v>
      </c>
      <c r="B6430" t="s">
        <v>15</v>
      </c>
      <c r="C6430" t="s">
        <v>16</v>
      </c>
      <c r="D6430" s="1">
        <v>45855</v>
      </c>
      <c r="E6430" t="s">
        <v>17</v>
      </c>
      <c r="F6430">
        <v>5350</v>
      </c>
      <c r="J6430">
        <v>329.1</v>
      </c>
      <c r="K6430">
        <v>266.89999999999998</v>
      </c>
      <c r="L6430">
        <v>0</v>
      </c>
      <c r="M6430" t="s">
        <v>18</v>
      </c>
      <c r="N6430">
        <v>0</v>
      </c>
      <c r="O6430">
        <v>0</v>
      </c>
    </row>
    <row r="6431" spans="1:15" x14ac:dyDescent="0.2">
      <c r="A6431" s="6">
        <v>45790</v>
      </c>
      <c r="B6431" t="s">
        <v>15</v>
      </c>
      <c r="C6431" t="s">
        <v>16</v>
      </c>
      <c r="D6431" s="1">
        <v>45855</v>
      </c>
      <c r="E6431" t="s">
        <v>17</v>
      </c>
      <c r="F6431">
        <v>6100</v>
      </c>
      <c r="J6431">
        <v>91.9</v>
      </c>
      <c r="K6431">
        <v>68.400000000000006</v>
      </c>
      <c r="L6431">
        <v>0</v>
      </c>
      <c r="M6431" t="s">
        <v>18</v>
      </c>
      <c r="N6431">
        <v>0</v>
      </c>
      <c r="O6431">
        <v>0</v>
      </c>
    </row>
    <row r="6432" spans="1:15" x14ac:dyDescent="0.2">
      <c r="A6432" s="6">
        <v>45790</v>
      </c>
      <c r="B6432" t="s">
        <v>15</v>
      </c>
      <c r="C6432" t="s">
        <v>16</v>
      </c>
      <c r="D6432" s="1">
        <v>45855</v>
      </c>
      <c r="E6432" t="s">
        <v>19</v>
      </c>
      <c r="F6432">
        <v>4000</v>
      </c>
      <c r="J6432">
        <v>5.3</v>
      </c>
      <c r="K6432">
        <v>8.1</v>
      </c>
      <c r="L6432">
        <v>0</v>
      </c>
      <c r="M6432" t="s">
        <v>18</v>
      </c>
      <c r="N6432">
        <v>0</v>
      </c>
      <c r="O6432">
        <v>0</v>
      </c>
    </row>
    <row r="6433" spans="1:15" x14ac:dyDescent="0.2">
      <c r="A6433" s="6">
        <v>45790</v>
      </c>
      <c r="B6433" t="s">
        <v>15</v>
      </c>
      <c r="C6433" t="s">
        <v>16</v>
      </c>
      <c r="D6433" s="1">
        <v>45855</v>
      </c>
      <c r="E6433" t="s">
        <v>19</v>
      </c>
      <c r="F6433">
        <v>4850</v>
      </c>
      <c r="J6433">
        <v>103.1</v>
      </c>
      <c r="K6433">
        <v>133.30000000000001</v>
      </c>
      <c r="L6433">
        <v>0</v>
      </c>
      <c r="M6433" t="s">
        <v>18</v>
      </c>
      <c r="N6433">
        <v>0</v>
      </c>
      <c r="O6433">
        <v>0</v>
      </c>
    </row>
    <row r="6434" spans="1:15" x14ac:dyDescent="0.2">
      <c r="A6434" s="6">
        <v>45790</v>
      </c>
      <c r="B6434" t="s">
        <v>15</v>
      </c>
      <c r="C6434" t="s">
        <v>16</v>
      </c>
      <c r="D6434" s="1">
        <v>45855</v>
      </c>
      <c r="E6434" t="s">
        <v>19</v>
      </c>
      <c r="F6434">
        <v>5600</v>
      </c>
      <c r="J6434">
        <v>434</v>
      </c>
      <c r="K6434">
        <v>509.3</v>
      </c>
      <c r="L6434">
        <v>0</v>
      </c>
      <c r="M6434" t="s">
        <v>18</v>
      </c>
      <c r="N6434">
        <v>0</v>
      </c>
      <c r="O6434">
        <v>0</v>
      </c>
    </row>
    <row r="6435" spans="1:15" x14ac:dyDescent="0.2">
      <c r="A6435" s="6">
        <v>45790</v>
      </c>
      <c r="B6435" t="s">
        <v>15</v>
      </c>
      <c r="C6435" t="s">
        <v>16</v>
      </c>
      <c r="D6435" s="1">
        <v>45855</v>
      </c>
      <c r="E6435" t="s">
        <v>19</v>
      </c>
      <c r="F6435">
        <v>5650</v>
      </c>
      <c r="J6435">
        <v>465.8</v>
      </c>
      <c r="K6435">
        <v>543.9</v>
      </c>
      <c r="L6435">
        <v>0</v>
      </c>
      <c r="M6435" t="s">
        <v>18</v>
      </c>
      <c r="N6435">
        <v>0</v>
      </c>
      <c r="O6435">
        <v>0</v>
      </c>
    </row>
    <row r="6436" spans="1:15" x14ac:dyDescent="0.2">
      <c r="A6436" s="6">
        <v>45790</v>
      </c>
      <c r="B6436" t="s">
        <v>15</v>
      </c>
      <c r="C6436" t="s">
        <v>16</v>
      </c>
      <c r="D6436" s="1">
        <v>45855</v>
      </c>
      <c r="E6436" t="s">
        <v>19</v>
      </c>
      <c r="F6436">
        <v>6350</v>
      </c>
      <c r="J6436">
        <v>1007.8</v>
      </c>
      <c r="K6436">
        <v>1114.8</v>
      </c>
      <c r="L6436">
        <v>0</v>
      </c>
      <c r="M6436" t="s">
        <v>18</v>
      </c>
      <c r="N6436">
        <v>0</v>
      </c>
      <c r="O6436">
        <v>0</v>
      </c>
    </row>
    <row r="6437" spans="1:15" x14ac:dyDescent="0.2">
      <c r="A6437" s="6">
        <v>45790</v>
      </c>
      <c r="B6437" t="s">
        <v>15</v>
      </c>
      <c r="C6437" t="s">
        <v>16</v>
      </c>
      <c r="D6437" s="1">
        <v>45855</v>
      </c>
      <c r="E6437" t="s">
        <v>17</v>
      </c>
      <c r="F6437">
        <v>3950</v>
      </c>
      <c r="J6437">
        <v>1424.7</v>
      </c>
      <c r="K6437">
        <v>1304.2</v>
      </c>
      <c r="L6437">
        <v>0</v>
      </c>
      <c r="M6437" t="s">
        <v>18</v>
      </c>
      <c r="N6437">
        <v>0</v>
      </c>
      <c r="O6437">
        <v>0</v>
      </c>
    </row>
    <row r="6438" spans="1:15" x14ac:dyDescent="0.2">
      <c r="A6438" s="6">
        <v>45790</v>
      </c>
      <c r="B6438" t="s">
        <v>15</v>
      </c>
      <c r="C6438" t="s">
        <v>16</v>
      </c>
      <c r="D6438" s="1">
        <v>45855</v>
      </c>
      <c r="E6438" t="s">
        <v>17</v>
      </c>
      <c r="F6438">
        <v>4700</v>
      </c>
      <c r="J6438">
        <v>748.5</v>
      </c>
      <c r="K6438">
        <v>648.4</v>
      </c>
      <c r="L6438">
        <v>0</v>
      </c>
      <c r="M6438" t="s">
        <v>18</v>
      </c>
      <c r="N6438">
        <v>0</v>
      </c>
      <c r="O6438">
        <v>0</v>
      </c>
    </row>
    <row r="6439" spans="1:15" x14ac:dyDescent="0.2">
      <c r="A6439" s="6">
        <v>45790</v>
      </c>
      <c r="B6439" t="s">
        <v>15</v>
      </c>
      <c r="C6439" t="s">
        <v>16</v>
      </c>
      <c r="D6439" s="1">
        <v>45855</v>
      </c>
      <c r="E6439" t="s">
        <v>17</v>
      </c>
      <c r="F6439">
        <v>4300</v>
      </c>
      <c r="J6439">
        <v>1093.4000000000001</v>
      </c>
      <c r="K6439">
        <v>978.8</v>
      </c>
      <c r="L6439">
        <v>0</v>
      </c>
      <c r="M6439" t="s">
        <v>18</v>
      </c>
      <c r="N6439">
        <v>0</v>
      </c>
      <c r="O6439">
        <v>0</v>
      </c>
    </row>
    <row r="6440" spans="1:15" x14ac:dyDescent="0.2">
      <c r="A6440" s="6">
        <v>45790</v>
      </c>
      <c r="B6440" t="s">
        <v>15</v>
      </c>
      <c r="C6440" t="s">
        <v>16</v>
      </c>
      <c r="D6440" s="1">
        <v>45855</v>
      </c>
      <c r="E6440" t="s">
        <v>19</v>
      </c>
      <c r="F6440">
        <v>5750</v>
      </c>
      <c r="J6440">
        <v>532.70000000000005</v>
      </c>
      <c r="K6440">
        <v>616.1</v>
      </c>
      <c r="L6440">
        <v>0</v>
      </c>
      <c r="M6440" t="s">
        <v>18</v>
      </c>
      <c r="N6440">
        <v>0</v>
      </c>
      <c r="O6440">
        <v>0</v>
      </c>
    </row>
    <row r="6441" spans="1:15" x14ac:dyDescent="0.2">
      <c r="A6441" s="6">
        <v>45790</v>
      </c>
      <c r="B6441" t="s">
        <v>15</v>
      </c>
      <c r="C6441" t="s">
        <v>16</v>
      </c>
      <c r="D6441" s="1">
        <v>45855</v>
      </c>
      <c r="E6441" t="s">
        <v>19</v>
      </c>
      <c r="F6441">
        <v>6100</v>
      </c>
      <c r="J6441">
        <v>796.7</v>
      </c>
      <c r="K6441">
        <v>895.7</v>
      </c>
      <c r="L6441">
        <v>0</v>
      </c>
      <c r="M6441" t="s">
        <v>18</v>
      </c>
      <c r="N6441">
        <v>0</v>
      </c>
      <c r="O6441">
        <v>0</v>
      </c>
    </row>
    <row r="6442" spans="1:15" x14ac:dyDescent="0.2">
      <c r="A6442" s="6">
        <v>45790</v>
      </c>
      <c r="B6442" t="s">
        <v>15</v>
      </c>
      <c r="C6442" t="s">
        <v>16</v>
      </c>
      <c r="D6442" s="1">
        <v>45855</v>
      </c>
      <c r="E6442" t="s">
        <v>19</v>
      </c>
      <c r="F6442">
        <v>5500</v>
      </c>
      <c r="J6442">
        <v>373.8</v>
      </c>
      <c r="K6442">
        <v>443.3</v>
      </c>
      <c r="L6442">
        <v>0</v>
      </c>
      <c r="M6442" t="s">
        <v>18</v>
      </c>
      <c r="N6442">
        <v>0</v>
      </c>
      <c r="O6442">
        <v>0</v>
      </c>
    </row>
    <row r="6443" spans="1:15" x14ac:dyDescent="0.2">
      <c r="A6443" s="6">
        <v>45790</v>
      </c>
      <c r="B6443" t="s">
        <v>15</v>
      </c>
      <c r="C6443" t="s">
        <v>16</v>
      </c>
      <c r="D6443" s="1">
        <v>45855</v>
      </c>
      <c r="E6443" t="s">
        <v>19</v>
      </c>
      <c r="F6443">
        <v>6450</v>
      </c>
      <c r="J6443">
        <v>1096.2</v>
      </c>
      <c r="K6443">
        <v>1205.5999999999999</v>
      </c>
      <c r="L6443">
        <v>0</v>
      </c>
      <c r="M6443" t="s">
        <v>18</v>
      </c>
      <c r="N6443">
        <v>0</v>
      </c>
      <c r="O6443">
        <v>0</v>
      </c>
    </row>
    <row r="6444" spans="1:15" x14ac:dyDescent="0.2">
      <c r="A6444" s="6">
        <v>45790</v>
      </c>
      <c r="B6444" t="s">
        <v>15</v>
      </c>
      <c r="C6444" t="s">
        <v>16</v>
      </c>
      <c r="D6444" s="1">
        <v>45855</v>
      </c>
      <c r="E6444" t="s">
        <v>19</v>
      </c>
      <c r="F6444">
        <v>3800</v>
      </c>
      <c r="J6444">
        <v>1.9</v>
      </c>
      <c r="K6444">
        <v>3.1</v>
      </c>
      <c r="L6444">
        <v>0</v>
      </c>
      <c r="M6444" t="s">
        <v>18</v>
      </c>
      <c r="N6444">
        <v>0</v>
      </c>
      <c r="O6444">
        <v>0</v>
      </c>
    </row>
    <row r="6445" spans="1:15" x14ac:dyDescent="0.2">
      <c r="A6445" s="6">
        <v>45790</v>
      </c>
      <c r="B6445" t="s">
        <v>15</v>
      </c>
      <c r="C6445" t="s">
        <v>16</v>
      </c>
      <c r="D6445" s="1">
        <v>45855</v>
      </c>
      <c r="E6445" t="s">
        <v>17</v>
      </c>
      <c r="F6445">
        <v>4050</v>
      </c>
      <c r="J6445">
        <v>1328.4</v>
      </c>
      <c r="K6445">
        <v>1209</v>
      </c>
      <c r="L6445">
        <v>0</v>
      </c>
      <c r="M6445" t="s">
        <v>18</v>
      </c>
      <c r="N6445">
        <v>0</v>
      </c>
      <c r="O6445">
        <v>0</v>
      </c>
    </row>
    <row r="6446" spans="1:15" x14ac:dyDescent="0.2">
      <c r="A6446" s="6">
        <v>45790</v>
      </c>
      <c r="B6446" t="s">
        <v>15</v>
      </c>
      <c r="C6446" t="s">
        <v>16</v>
      </c>
      <c r="D6446" s="1">
        <v>45855</v>
      </c>
      <c r="E6446" t="s">
        <v>19</v>
      </c>
      <c r="F6446">
        <v>4150</v>
      </c>
      <c r="J6446">
        <v>10.4</v>
      </c>
      <c r="K6446">
        <v>15.3</v>
      </c>
      <c r="L6446">
        <v>0</v>
      </c>
      <c r="M6446" t="s">
        <v>18</v>
      </c>
      <c r="N6446">
        <v>0</v>
      </c>
      <c r="O6446">
        <v>0</v>
      </c>
    </row>
    <row r="6447" spans="1:15" x14ac:dyDescent="0.2">
      <c r="A6447" s="6">
        <v>45790</v>
      </c>
      <c r="B6447" t="s">
        <v>15</v>
      </c>
      <c r="C6447" t="s">
        <v>16</v>
      </c>
      <c r="D6447" s="1">
        <v>45855</v>
      </c>
      <c r="E6447" t="s">
        <v>17</v>
      </c>
      <c r="F6447">
        <v>6150</v>
      </c>
      <c r="J6447">
        <v>83.4</v>
      </c>
      <c r="K6447">
        <v>61.7</v>
      </c>
      <c r="L6447">
        <v>0</v>
      </c>
      <c r="M6447" t="s">
        <v>18</v>
      </c>
      <c r="N6447">
        <v>0</v>
      </c>
      <c r="O6447">
        <v>0</v>
      </c>
    </row>
    <row r="6448" spans="1:15" x14ac:dyDescent="0.2">
      <c r="A6448" s="6">
        <v>45790</v>
      </c>
      <c r="B6448" t="s">
        <v>15</v>
      </c>
      <c r="C6448" t="s">
        <v>16</v>
      </c>
      <c r="D6448" s="1">
        <v>45855</v>
      </c>
      <c r="E6448" t="s">
        <v>19</v>
      </c>
      <c r="F6448">
        <v>5550</v>
      </c>
      <c r="J6448">
        <v>403.4</v>
      </c>
      <c r="K6448">
        <v>475.7</v>
      </c>
      <c r="L6448">
        <v>0</v>
      </c>
      <c r="M6448" t="s">
        <v>18</v>
      </c>
      <c r="N6448">
        <v>0</v>
      </c>
      <c r="O6448">
        <v>0</v>
      </c>
    </row>
    <row r="6449" spans="1:15" x14ac:dyDescent="0.2">
      <c r="A6449" s="6">
        <v>45790</v>
      </c>
      <c r="B6449" t="s">
        <v>15</v>
      </c>
      <c r="C6449" t="s">
        <v>16</v>
      </c>
      <c r="D6449" s="1">
        <v>45855</v>
      </c>
      <c r="E6449" t="s">
        <v>19</v>
      </c>
      <c r="F6449">
        <v>6500</v>
      </c>
      <c r="J6449">
        <v>1141</v>
      </c>
      <c r="K6449">
        <v>1251.5999999999999</v>
      </c>
      <c r="L6449">
        <v>0</v>
      </c>
      <c r="M6449" t="s">
        <v>18</v>
      </c>
      <c r="N6449">
        <v>0</v>
      </c>
      <c r="O6449">
        <v>0</v>
      </c>
    </row>
    <row r="6450" spans="1:15" x14ac:dyDescent="0.2">
      <c r="A6450" s="6">
        <v>45790</v>
      </c>
      <c r="B6450" t="s">
        <v>15</v>
      </c>
      <c r="C6450" t="s">
        <v>16</v>
      </c>
      <c r="D6450" s="1">
        <v>45855</v>
      </c>
      <c r="E6450" t="s">
        <v>19</v>
      </c>
      <c r="F6450">
        <v>4350</v>
      </c>
      <c r="J6450">
        <v>22.7</v>
      </c>
      <c r="K6450">
        <v>32.1</v>
      </c>
      <c r="L6450">
        <v>0</v>
      </c>
      <c r="M6450" t="s">
        <v>18</v>
      </c>
      <c r="N6450">
        <v>0</v>
      </c>
      <c r="O6450">
        <v>0</v>
      </c>
    </row>
    <row r="6451" spans="1:15" x14ac:dyDescent="0.2">
      <c r="A6451" s="6">
        <v>45790</v>
      </c>
      <c r="B6451" t="s">
        <v>15</v>
      </c>
      <c r="C6451" t="s">
        <v>16</v>
      </c>
      <c r="D6451" s="1">
        <v>45855</v>
      </c>
      <c r="E6451" t="s">
        <v>19</v>
      </c>
      <c r="F6451">
        <v>6600</v>
      </c>
      <c r="J6451">
        <v>1232</v>
      </c>
      <c r="K6451">
        <v>1344.6</v>
      </c>
      <c r="L6451">
        <v>0</v>
      </c>
      <c r="M6451" t="s">
        <v>18</v>
      </c>
      <c r="N6451">
        <v>0</v>
      </c>
      <c r="O6451">
        <v>0</v>
      </c>
    </row>
    <row r="6452" spans="1:15" x14ac:dyDescent="0.2">
      <c r="A6452" s="6">
        <v>45790</v>
      </c>
      <c r="B6452" t="s">
        <v>15</v>
      </c>
      <c r="C6452" t="s">
        <v>16</v>
      </c>
      <c r="D6452" s="1">
        <v>45855</v>
      </c>
      <c r="E6452" t="s">
        <v>19</v>
      </c>
      <c r="F6452">
        <v>3950</v>
      </c>
      <c r="J6452">
        <v>4.2</v>
      </c>
      <c r="K6452">
        <v>6.5</v>
      </c>
      <c r="L6452">
        <v>0</v>
      </c>
      <c r="M6452" t="s">
        <v>18</v>
      </c>
      <c r="N6452">
        <v>0</v>
      </c>
      <c r="O6452">
        <v>0</v>
      </c>
    </row>
    <row r="6453" spans="1:15" x14ac:dyDescent="0.2">
      <c r="A6453" s="6">
        <v>45790</v>
      </c>
      <c r="B6453" t="s">
        <v>15</v>
      </c>
      <c r="C6453" t="s">
        <v>16</v>
      </c>
      <c r="D6453" s="1">
        <v>45855</v>
      </c>
      <c r="E6453" t="s">
        <v>17</v>
      </c>
      <c r="F6453">
        <v>3900</v>
      </c>
      <c r="J6453">
        <v>1473.3</v>
      </c>
      <c r="K6453">
        <v>1352.3</v>
      </c>
      <c r="L6453">
        <v>0</v>
      </c>
      <c r="M6453" t="s">
        <v>18</v>
      </c>
      <c r="N6453">
        <v>0</v>
      </c>
      <c r="O6453">
        <v>0</v>
      </c>
    </row>
    <row r="6454" spans="1:15" x14ac:dyDescent="0.2">
      <c r="A6454" s="6">
        <v>45790</v>
      </c>
      <c r="B6454" t="s">
        <v>15</v>
      </c>
      <c r="C6454" t="s">
        <v>16</v>
      </c>
      <c r="D6454" s="1">
        <v>45855</v>
      </c>
      <c r="E6454" t="s">
        <v>17</v>
      </c>
      <c r="F6454">
        <v>5400</v>
      </c>
      <c r="J6454">
        <v>305.60000000000002</v>
      </c>
      <c r="K6454">
        <v>246.4</v>
      </c>
      <c r="L6454">
        <v>0</v>
      </c>
      <c r="M6454" t="s">
        <v>18</v>
      </c>
      <c r="N6454">
        <v>0</v>
      </c>
      <c r="O6454">
        <v>0</v>
      </c>
    </row>
    <row r="6455" spans="1:15" x14ac:dyDescent="0.2">
      <c r="A6455" s="6">
        <v>45790</v>
      </c>
      <c r="B6455" t="s">
        <v>15</v>
      </c>
      <c r="C6455" t="s">
        <v>16</v>
      </c>
      <c r="D6455" s="1">
        <v>45855</v>
      </c>
      <c r="E6455" t="s">
        <v>17</v>
      </c>
      <c r="F6455">
        <v>5850</v>
      </c>
      <c r="J6455">
        <v>146</v>
      </c>
      <c r="K6455">
        <v>111.8</v>
      </c>
      <c r="L6455">
        <v>0</v>
      </c>
      <c r="M6455" t="s">
        <v>18</v>
      </c>
      <c r="N6455">
        <v>0</v>
      </c>
      <c r="O6455">
        <v>0</v>
      </c>
    </row>
    <row r="6456" spans="1:15" x14ac:dyDescent="0.2">
      <c r="A6456" s="6">
        <v>45790</v>
      </c>
      <c r="B6456" t="s">
        <v>15</v>
      </c>
      <c r="C6456" t="s">
        <v>16</v>
      </c>
      <c r="D6456" s="1">
        <v>45855</v>
      </c>
      <c r="E6456" t="s">
        <v>19</v>
      </c>
      <c r="F6456">
        <v>5850</v>
      </c>
      <c r="J6456">
        <v>603.70000000000005</v>
      </c>
      <c r="K6456">
        <v>692</v>
      </c>
      <c r="L6456">
        <v>0</v>
      </c>
      <c r="M6456" t="s">
        <v>18</v>
      </c>
      <c r="N6456">
        <v>0</v>
      </c>
      <c r="O6456">
        <v>0</v>
      </c>
    </row>
    <row r="6457" spans="1:15" x14ac:dyDescent="0.2">
      <c r="A6457" s="6">
        <v>45790</v>
      </c>
      <c r="B6457" t="s">
        <v>15</v>
      </c>
      <c r="C6457" t="s">
        <v>16</v>
      </c>
      <c r="D6457" s="1">
        <v>45855</v>
      </c>
      <c r="E6457" t="s">
        <v>19</v>
      </c>
      <c r="F6457">
        <v>6300</v>
      </c>
      <c r="J6457">
        <v>964.4</v>
      </c>
      <c r="K6457">
        <v>1069.9000000000001</v>
      </c>
      <c r="L6457">
        <v>0</v>
      </c>
      <c r="M6457" t="s">
        <v>18</v>
      </c>
      <c r="N6457">
        <v>0</v>
      </c>
      <c r="O6457">
        <v>0</v>
      </c>
    </row>
    <row r="6458" spans="1:15" x14ac:dyDescent="0.2">
      <c r="A6458" s="6">
        <v>45790</v>
      </c>
      <c r="B6458" t="s">
        <v>15</v>
      </c>
      <c r="C6458" t="s">
        <v>16</v>
      </c>
      <c r="D6458" s="1">
        <v>45855</v>
      </c>
      <c r="E6458" t="s">
        <v>19</v>
      </c>
      <c r="F6458">
        <v>4300</v>
      </c>
      <c r="J6458">
        <v>18.8</v>
      </c>
      <c r="K6458">
        <v>27</v>
      </c>
      <c r="L6458">
        <v>0</v>
      </c>
      <c r="M6458" t="s">
        <v>18</v>
      </c>
      <c r="N6458">
        <v>0</v>
      </c>
      <c r="O6458">
        <v>0</v>
      </c>
    </row>
    <row r="6459" spans="1:15" x14ac:dyDescent="0.2">
      <c r="A6459" s="6">
        <v>45790</v>
      </c>
      <c r="B6459" t="s">
        <v>15</v>
      </c>
      <c r="C6459" t="s">
        <v>16</v>
      </c>
      <c r="D6459" s="1">
        <v>45855</v>
      </c>
      <c r="E6459" t="s">
        <v>19</v>
      </c>
      <c r="F6459">
        <v>4800</v>
      </c>
      <c r="J6459">
        <v>90.8</v>
      </c>
      <c r="K6459">
        <v>118.3</v>
      </c>
      <c r="L6459">
        <v>0</v>
      </c>
      <c r="M6459" t="s">
        <v>18</v>
      </c>
      <c r="N6459">
        <v>0</v>
      </c>
      <c r="O6459">
        <v>0</v>
      </c>
    </row>
    <row r="6460" spans="1:15" x14ac:dyDescent="0.2">
      <c r="A6460" s="6">
        <v>45790</v>
      </c>
      <c r="B6460" t="s">
        <v>15</v>
      </c>
      <c r="C6460" t="s">
        <v>16</v>
      </c>
      <c r="D6460" s="1">
        <v>45855</v>
      </c>
      <c r="E6460" t="s">
        <v>19</v>
      </c>
      <c r="F6460">
        <v>4750</v>
      </c>
      <c r="J6460">
        <v>79.5</v>
      </c>
      <c r="K6460">
        <v>104.5</v>
      </c>
      <c r="L6460">
        <v>0</v>
      </c>
      <c r="M6460" t="s">
        <v>18</v>
      </c>
      <c r="N6460">
        <v>0</v>
      </c>
      <c r="O6460">
        <v>0</v>
      </c>
    </row>
    <row r="6461" spans="1:15" x14ac:dyDescent="0.2">
      <c r="A6461" s="6">
        <v>45790</v>
      </c>
      <c r="B6461" t="s">
        <v>15</v>
      </c>
      <c r="C6461" t="s">
        <v>16</v>
      </c>
      <c r="D6461" s="1">
        <v>45855</v>
      </c>
      <c r="E6461" t="s">
        <v>17</v>
      </c>
      <c r="F6461">
        <v>5550</v>
      </c>
      <c r="J6461">
        <v>242.2</v>
      </c>
      <c r="K6461">
        <v>192</v>
      </c>
      <c r="L6461">
        <v>0</v>
      </c>
      <c r="M6461" t="s">
        <v>18</v>
      </c>
      <c r="N6461">
        <v>0</v>
      </c>
      <c r="O6461">
        <v>0</v>
      </c>
    </row>
    <row r="6462" spans="1:15" x14ac:dyDescent="0.2">
      <c r="A6462" s="6">
        <v>45790</v>
      </c>
      <c r="B6462" t="s">
        <v>15</v>
      </c>
      <c r="C6462" t="s">
        <v>16</v>
      </c>
      <c r="D6462" s="1">
        <v>45855</v>
      </c>
      <c r="E6462" t="s">
        <v>19</v>
      </c>
      <c r="F6462">
        <v>6000</v>
      </c>
      <c r="J6462">
        <v>717</v>
      </c>
      <c r="K6462">
        <v>812</v>
      </c>
      <c r="L6462">
        <v>0</v>
      </c>
      <c r="M6462" t="s">
        <v>18</v>
      </c>
      <c r="N6462">
        <v>0</v>
      </c>
      <c r="O6462">
        <v>0</v>
      </c>
    </row>
    <row r="6463" spans="1:15" x14ac:dyDescent="0.2">
      <c r="A6463" s="6">
        <v>45790</v>
      </c>
      <c r="B6463" t="s">
        <v>15</v>
      </c>
      <c r="C6463" t="s">
        <v>16</v>
      </c>
      <c r="D6463" s="1">
        <v>45855</v>
      </c>
      <c r="E6463" t="s">
        <v>17</v>
      </c>
      <c r="F6463">
        <v>3800</v>
      </c>
      <c r="J6463">
        <v>1570.8</v>
      </c>
      <c r="K6463">
        <v>1449.1</v>
      </c>
      <c r="L6463">
        <v>0</v>
      </c>
      <c r="M6463" t="s">
        <v>18</v>
      </c>
      <c r="N6463">
        <v>0</v>
      </c>
      <c r="O6463">
        <v>0</v>
      </c>
    </row>
    <row r="6464" spans="1:15" x14ac:dyDescent="0.2">
      <c r="A6464" s="6">
        <v>45789</v>
      </c>
      <c r="B6464" t="s">
        <v>15</v>
      </c>
      <c r="C6464" t="s">
        <v>16</v>
      </c>
      <c r="D6464" s="1">
        <v>45855</v>
      </c>
      <c r="E6464" t="s">
        <v>19</v>
      </c>
      <c r="F6464">
        <v>6150</v>
      </c>
      <c r="J6464">
        <v>938.4</v>
      </c>
      <c r="K6464">
        <v>1018</v>
      </c>
      <c r="L6464">
        <v>0</v>
      </c>
      <c r="M6464" t="s">
        <v>18</v>
      </c>
      <c r="N6464">
        <v>0</v>
      </c>
      <c r="O6464">
        <v>0</v>
      </c>
    </row>
    <row r="6465" spans="1:15" x14ac:dyDescent="0.2">
      <c r="A6465" s="6">
        <v>45789</v>
      </c>
      <c r="B6465" t="s">
        <v>15</v>
      </c>
      <c r="C6465" t="s">
        <v>16</v>
      </c>
      <c r="D6465" s="1">
        <v>45855</v>
      </c>
      <c r="E6465" t="s">
        <v>17</v>
      </c>
      <c r="F6465">
        <v>5950</v>
      </c>
      <c r="J6465">
        <v>92.2</v>
      </c>
      <c r="K6465">
        <v>81.7</v>
      </c>
      <c r="L6465">
        <v>0</v>
      </c>
      <c r="M6465" t="s">
        <v>18</v>
      </c>
      <c r="N6465">
        <v>0</v>
      </c>
      <c r="O6465">
        <v>0</v>
      </c>
    </row>
    <row r="6466" spans="1:15" x14ac:dyDescent="0.2">
      <c r="A6466" s="6">
        <v>45789</v>
      </c>
      <c r="B6466" t="s">
        <v>15</v>
      </c>
      <c r="C6466" t="s">
        <v>16</v>
      </c>
      <c r="D6466" s="1">
        <v>45855</v>
      </c>
      <c r="E6466" t="s">
        <v>17</v>
      </c>
      <c r="F6466">
        <v>3700</v>
      </c>
      <c r="J6466">
        <v>1546.7</v>
      </c>
      <c r="K6466">
        <v>1460.4</v>
      </c>
      <c r="L6466">
        <v>0</v>
      </c>
      <c r="M6466" t="s">
        <v>18</v>
      </c>
      <c r="N6466">
        <v>0</v>
      </c>
      <c r="O6466">
        <v>0</v>
      </c>
    </row>
    <row r="6467" spans="1:15" x14ac:dyDescent="0.2">
      <c r="A6467" s="6">
        <v>45789</v>
      </c>
      <c r="B6467" t="s">
        <v>15</v>
      </c>
      <c r="C6467" t="s">
        <v>16</v>
      </c>
      <c r="D6467" s="1">
        <v>45855</v>
      </c>
      <c r="E6467" t="s">
        <v>17</v>
      </c>
      <c r="F6467">
        <v>4350</v>
      </c>
      <c r="J6467">
        <v>934.5</v>
      </c>
      <c r="K6467">
        <v>860.5</v>
      </c>
      <c r="L6467">
        <v>0</v>
      </c>
      <c r="M6467" t="s">
        <v>18</v>
      </c>
      <c r="N6467">
        <v>0</v>
      </c>
      <c r="O6467">
        <v>0</v>
      </c>
    </row>
    <row r="6468" spans="1:15" x14ac:dyDescent="0.2">
      <c r="A6468" s="6">
        <v>45789</v>
      </c>
      <c r="B6468" t="s">
        <v>15</v>
      </c>
      <c r="C6468" t="s">
        <v>16</v>
      </c>
      <c r="D6468" s="1">
        <v>45855</v>
      </c>
      <c r="E6468" t="s">
        <v>17</v>
      </c>
      <c r="F6468">
        <v>4500</v>
      </c>
      <c r="J6468">
        <v>806.3</v>
      </c>
      <c r="K6468">
        <v>737.7</v>
      </c>
      <c r="L6468">
        <v>0</v>
      </c>
      <c r="M6468" t="s">
        <v>18</v>
      </c>
      <c r="N6468">
        <v>0</v>
      </c>
      <c r="O6468">
        <v>0</v>
      </c>
    </row>
    <row r="6469" spans="1:15" x14ac:dyDescent="0.2">
      <c r="A6469" s="6">
        <v>45789</v>
      </c>
      <c r="B6469" t="s">
        <v>15</v>
      </c>
      <c r="C6469" t="s">
        <v>16</v>
      </c>
      <c r="D6469" s="1">
        <v>45855</v>
      </c>
      <c r="E6469" t="s">
        <v>17</v>
      </c>
      <c r="F6469">
        <v>5150</v>
      </c>
      <c r="J6469">
        <v>361.3</v>
      </c>
      <c r="K6469">
        <v>322.8</v>
      </c>
      <c r="L6469">
        <v>0</v>
      </c>
      <c r="M6469" t="s">
        <v>18</v>
      </c>
      <c r="N6469">
        <v>0</v>
      </c>
      <c r="O6469">
        <v>0</v>
      </c>
    </row>
    <row r="6470" spans="1:15" x14ac:dyDescent="0.2">
      <c r="A6470" s="6">
        <v>45789</v>
      </c>
      <c r="B6470" t="s">
        <v>15</v>
      </c>
      <c r="C6470" t="s">
        <v>16</v>
      </c>
      <c r="D6470" s="1">
        <v>45855</v>
      </c>
      <c r="E6470" t="s">
        <v>17</v>
      </c>
      <c r="F6470">
        <v>5000</v>
      </c>
      <c r="J6470">
        <v>445.6</v>
      </c>
      <c r="K6470">
        <v>399.9</v>
      </c>
      <c r="L6470">
        <v>0</v>
      </c>
      <c r="M6470" t="s">
        <v>18</v>
      </c>
      <c r="N6470">
        <v>0</v>
      </c>
      <c r="O6470">
        <v>0</v>
      </c>
    </row>
    <row r="6471" spans="1:15" x14ac:dyDescent="0.2">
      <c r="A6471" s="6">
        <v>45789</v>
      </c>
      <c r="B6471" t="s">
        <v>15</v>
      </c>
      <c r="C6471" t="s">
        <v>16</v>
      </c>
      <c r="D6471" s="1">
        <v>45855</v>
      </c>
      <c r="E6471" t="s">
        <v>17</v>
      </c>
      <c r="F6471">
        <v>4100</v>
      </c>
      <c r="J6471">
        <v>1162</v>
      </c>
      <c r="K6471">
        <v>1081.0999999999999</v>
      </c>
      <c r="L6471">
        <v>0</v>
      </c>
      <c r="M6471" t="s">
        <v>18</v>
      </c>
      <c r="N6471">
        <v>0</v>
      </c>
      <c r="O6471">
        <v>0</v>
      </c>
    </row>
    <row r="6472" spans="1:15" x14ac:dyDescent="0.2">
      <c r="A6472" s="6">
        <v>45789</v>
      </c>
      <c r="B6472" t="s">
        <v>15</v>
      </c>
      <c r="C6472" t="s">
        <v>16</v>
      </c>
      <c r="D6472" s="1">
        <v>45855</v>
      </c>
      <c r="E6472" t="s">
        <v>17</v>
      </c>
      <c r="F6472">
        <v>4400</v>
      </c>
      <c r="J6472">
        <v>891</v>
      </c>
      <c r="K6472">
        <v>818.6</v>
      </c>
      <c r="L6472">
        <v>0</v>
      </c>
      <c r="M6472" t="s">
        <v>18</v>
      </c>
      <c r="N6472">
        <v>0</v>
      </c>
      <c r="O6472">
        <v>0</v>
      </c>
    </row>
    <row r="6473" spans="1:15" x14ac:dyDescent="0.2">
      <c r="A6473" s="6">
        <v>45789</v>
      </c>
      <c r="B6473" t="s">
        <v>15</v>
      </c>
      <c r="C6473" t="s">
        <v>16</v>
      </c>
      <c r="D6473" s="1">
        <v>45855</v>
      </c>
      <c r="E6473" t="s">
        <v>19</v>
      </c>
      <c r="F6473">
        <v>3600</v>
      </c>
      <c r="J6473">
        <v>1</v>
      </c>
      <c r="K6473">
        <v>1.9</v>
      </c>
      <c r="L6473">
        <v>0</v>
      </c>
      <c r="M6473" t="s">
        <v>18</v>
      </c>
      <c r="N6473">
        <v>0</v>
      </c>
      <c r="O6473">
        <v>0</v>
      </c>
    </row>
    <row r="6474" spans="1:15" x14ac:dyDescent="0.2">
      <c r="A6474" s="6">
        <v>45789</v>
      </c>
      <c r="B6474" t="s">
        <v>15</v>
      </c>
      <c r="C6474" t="s">
        <v>16</v>
      </c>
      <c r="D6474" s="1">
        <v>45855</v>
      </c>
      <c r="E6474" t="s">
        <v>19</v>
      </c>
      <c r="F6474">
        <v>4900</v>
      </c>
      <c r="J6474">
        <v>149.5</v>
      </c>
      <c r="K6474">
        <v>186</v>
      </c>
      <c r="L6474">
        <v>0</v>
      </c>
      <c r="M6474" t="s">
        <v>18</v>
      </c>
      <c r="N6474">
        <v>0</v>
      </c>
      <c r="O6474">
        <v>0</v>
      </c>
    </row>
    <row r="6475" spans="1:15" x14ac:dyDescent="0.2">
      <c r="A6475" s="6">
        <v>45789</v>
      </c>
      <c r="B6475" t="s">
        <v>15</v>
      </c>
      <c r="C6475" t="s">
        <v>16</v>
      </c>
      <c r="D6475" s="1">
        <v>45855</v>
      </c>
      <c r="E6475" t="s">
        <v>17</v>
      </c>
      <c r="F6475">
        <v>5200</v>
      </c>
      <c r="J6475">
        <v>335.7</v>
      </c>
      <c r="K6475">
        <v>299.60000000000002</v>
      </c>
      <c r="L6475">
        <v>0</v>
      </c>
      <c r="M6475" t="s">
        <v>18</v>
      </c>
      <c r="N6475">
        <v>0</v>
      </c>
      <c r="O6475">
        <v>0</v>
      </c>
    </row>
    <row r="6476" spans="1:15" x14ac:dyDescent="0.2">
      <c r="A6476" s="6">
        <v>45789</v>
      </c>
      <c r="B6476" t="s">
        <v>15</v>
      </c>
      <c r="C6476" t="s">
        <v>16</v>
      </c>
      <c r="D6476" s="1">
        <v>45855</v>
      </c>
      <c r="E6476" t="s">
        <v>17</v>
      </c>
      <c r="F6476">
        <v>4750</v>
      </c>
      <c r="J6476">
        <v>611.6</v>
      </c>
      <c r="K6476">
        <v>553.79999999999995</v>
      </c>
      <c r="L6476">
        <v>0</v>
      </c>
      <c r="M6476" t="s">
        <v>18</v>
      </c>
      <c r="N6476">
        <v>0</v>
      </c>
      <c r="O6476">
        <v>0</v>
      </c>
    </row>
    <row r="6477" spans="1:15" x14ac:dyDescent="0.2">
      <c r="A6477" s="6">
        <v>45789</v>
      </c>
      <c r="B6477" t="s">
        <v>15</v>
      </c>
      <c r="C6477" t="s">
        <v>16</v>
      </c>
      <c r="D6477" s="1">
        <v>45855</v>
      </c>
      <c r="E6477" t="s">
        <v>19</v>
      </c>
      <c r="F6477">
        <v>5250</v>
      </c>
      <c r="J6477">
        <v>298.7</v>
      </c>
      <c r="K6477">
        <v>351.7</v>
      </c>
      <c r="L6477">
        <v>0</v>
      </c>
      <c r="M6477" t="s">
        <v>18</v>
      </c>
      <c r="N6477">
        <v>0</v>
      </c>
      <c r="O6477">
        <v>0</v>
      </c>
    </row>
    <row r="6478" spans="1:15" x14ac:dyDescent="0.2">
      <c r="A6478" s="6">
        <v>45789</v>
      </c>
      <c r="B6478" t="s">
        <v>15</v>
      </c>
      <c r="C6478" t="s">
        <v>16</v>
      </c>
      <c r="D6478" s="1">
        <v>45855</v>
      </c>
      <c r="E6478" t="s">
        <v>17</v>
      </c>
      <c r="F6478">
        <v>4450</v>
      </c>
      <c r="J6478">
        <v>848.2</v>
      </c>
      <c r="K6478">
        <v>777.7</v>
      </c>
      <c r="L6478">
        <v>0</v>
      </c>
      <c r="M6478" t="s">
        <v>18</v>
      </c>
      <c r="N6478">
        <v>0</v>
      </c>
      <c r="O6478">
        <v>0</v>
      </c>
    </row>
    <row r="6479" spans="1:15" x14ac:dyDescent="0.2">
      <c r="A6479" s="6">
        <v>45789</v>
      </c>
      <c r="B6479" t="s">
        <v>15</v>
      </c>
      <c r="C6479" t="s">
        <v>16</v>
      </c>
      <c r="D6479" s="1">
        <v>45855</v>
      </c>
      <c r="E6479" t="s">
        <v>17</v>
      </c>
      <c r="F6479">
        <v>5300</v>
      </c>
      <c r="J6479">
        <v>288.60000000000002</v>
      </c>
      <c r="K6479">
        <v>256.89999999999998</v>
      </c>
      <c r="L6479">
        <v>0</v>
      </c>
      <c r="M6479" t="s">
        <v>18</v>
      </c>
      <c r="N6479">
        <v>0</v>
      </c>
      <c r="O6479">
        <v>0</v>
      </c>
    </row>
    <row r="6480" spans="1:15" x14ac:dyDescent="0.2">
      <c r="A6480" s="6">
        <v>45789</v>
      </c>
      <c r="B6480" t="s">
        <v>15</v>
      </c>
      <c r="C6480" t="s">
        <v>16</v>
      </c>
      <c r="D6480" s="1">
        <v>45855</v>
      </c>
      <c r="E6480" t="s">
        <v>17</v>
      </c>
      <c r="F6480">
        <v>4950</v>
      </c>
      <c r="J6480">
        <v>476.3</v>
      </c>
      <c r="K6480">
        <v>428.2</v>
      </c>
      <c r="L6480">
        <v>0</v>
      </c>
      <c r="M6480" t="s">
        <v>18</v>
      </c>
      <c r="N6480">
        <v>0</v>
      </c>
      <c r="O6480">
        <v>0</v>
      </c>
    </row>
    <row r="6481" spans="1:15" x14ac:dyDescent="0.2">
      <c r="A6481" s="6">
        <v>45789</v>
      </c>
      <c r="B6481" t="s">
        <v>15</v>
      </c>
      <c r="C6481" t="s">
        <v>16</v>
      </c>
      <c r="D6481" s="1">
        <v>45855</v>
      </c>
      <c r="E6481" t="s">
        <v>17</v>
      </c>
      <c r="F6481">
        <v>4900</v>
      </c>
      <c r="J6481">
        <v>508.2</v>
      </c>
      <c r="K6481">
        <v>457.7</v>
      </c>
      <c r="L6481">
        <v>0</v>
      </c>
      <c r="M6481" t="s">
        <v>18</v>
      </c>
      <c r="N6481">
        <v>0</v>
      </c>
      <c r="O6481">
        <v>0</v>
      </c>
    </row>
    <row r="6482" spans="1:15" x14ac:dyDescent="0.2">
      <c r="A6482" s="6">
        <v>45789</v>
      </c>
      <c r="B6482" t="s">
        <v>15</v>
      </c>
      <c r="C6482" t="s">
        <v>16</v>
      </c>
      <c r="D6482" s="1">
        <v>45855</v>
      </c>
      <c r="E6482" t="s">
        <v>17</v>
      </c>
      <c r="F6482">
        <v>4800</v>
      </c>
      <c r="J6482">
        <v>575.9</v>
      </c>
      <c r="K6482">
        <v>520.6</v>
      </c>
      <c r="L6482">
        <v>0</v>
      </c>
      <c r="M6482" t="s">
        <v>18</v>
      </c>
      <c r="N6482">
        <v>0</v>
      </c>
      <c r="O6482">
        <v>0</v>
      </c>
    </row>
    <row r="6483" spans="1:15" x14ac:dyDescent="0.2">
      <c r="A6483" s="6">
        <v>45789</v>
      </c>
      <c r="B6483" t="s">
        <v>15</v>
      </c>
      <c r="C6483" t="s">
        <v>16</v>
      </c>
      <c r="D6483" s="1">
        <v>45855</v>
      </c>
      <c r="E6483" t="s">
        <v>19</v>
      </c>
      <c r="F6483">
        <v>4200</v>
      </c>
      <c r="J6483">
        <v>18.600000000000001</v>
      </c>
      <c r="K6483">
        <v>27.6</v>
      </c>
      <c r="L6483">
        <v>0</v>
      </c>
      <c r="M6483" t="s">
        <v>18</v>
      </c>
      <c r="N6483">
        <v>0</v>
      </c>
      <c r="O6483">
        <v>0</v>
      </c>
    </row>
    <row r="6484" spans="1:15" x14ac:dyDescent="0.2">
      <c r="A6484" s="6">
        <v>45789</v>
      </c>
      <c r="B6484" t="s">
        <v>15</v>
      </c>
      <c r="C6484" t="s">
        <v>16</v>
      </c>
      <c r="D6484" s="1">
        <v>45855</v>
      </c>
      <c r="E6484" t="s">
        <v>17</v>
      </c>
      <c r="F6484">
        <v>5700</v>
      </c>
      <c r="J6484">
        <v>147.6</v>
      </c>
      <c r="K6484">
        <v>130.69999999999999</v>
      </c>
      <c r="L6484">
        <v>0</v>
      </c>
      <c r="M6484" t="s">
        <v>18</v>
      </c>
      <c r="N6484">
        <v>0</v>
      </c>
      <c r="O6484">
        <v>0</v>
      </c>
    </row>
    <row r="6485" spans="1:15" x14ac:dyDescent="0.2">
      <c r="A6485" s="6">
        <v>45789</v>
      </c>
      <c r="B6485" t="s">
        <v>15</v>
      </c>
      <c r="C6485" t="s">
        <v>16</v>
      </c>
      <c r="D6485" s="1">
        <v>45855</v>
      </c>
      <c r="E6485" t="s">
        <v>17</v>
      </c>
      <c r="F6485">
        <v>5250</v>
      </c>
      <c r="J6485">
        <v>311.5</v>
      </c>
      <c r="K6485">
        <v>277.60000000000002</v>
      </c>
      <c r="L6485">
        <v>0</v>
      </c>
      <c r="M6485" t="s">
        <v>18</v>
      </c>
      <c r="N6485">
        <v>0</v>
      </c>
      <c r="O6485">
        <v>0</v>
      </c>
    </row>
    <row r="6486" spans="1:15" x14ac:dyDescent="0.2">
      <c r="A6486" s="6">
        <v>45789</v>
      </c>
      <c r="B6486" t="s">
        <v>15</v>
      </c>
      <c r="C6486" t="s">
        <v>16</v>
      </c>
      <c r="D6486" s="1">
        <v>45855</v>
      </c>
      <c r="E6486" t="s">
        <v>17</v>
      </c>
      <c r="F6486">
        <v>4200</v>
      </c>
      <c r="J6486">
        <v>1069.3</v>
      </c>
      <c r="K6486">
        <v>990.8</v>
      </c>
      <c r="L6486">
        <v>0</v>
      </c>
      <c r="M6486" t="s">
        <v>18</v>
      </c>
      <c r="N6486">
        <v>0</v>
      </c>
      <c r="O6486">
        <v>0</v>
      </c>
    </row>
    <row r="6487" spans="1:15" x14ac:dyDescent="0.2">
      <c r="A6487" s="6">
        <v>45789</v>
      </c>
      <c r="B6487" t="s">
        <v>15</v>
      </c>
      <c r="C6487" t="s">
        <v>16</v>
      </c>
      <c r="D6487" s="1">
        <v>45855</v>
      </c>
      <c r="E6487" t="s">
        <v>19</v>
      </c>
      <c r="F6487">
        <v>5100</v>
      </c>
      <c r="J6487">
        <v>227</v>
      </c>
      <c r="K6487">
        <v>273.10000000000002</v>
      </c>
      <c r="L6487">
        <v>0</v>
      </c>
      <c r="M6487" t="s">
        <v>18</v>
      </c>
      <c r="N6487">
        <v>0</v>
      </c>
      <c r="O6487">
        <v>0</v>
      </c>
    </row>
    <row r="6488" spans="1:15" x14ac:dyDescent="0.2">
      <c r="A6488" s="6">
        <v>45789</v>
      </c>
      <c r="B6488" t="s">
        <v>15</v>
      </c>
      <c r="C6488" t="s">
        <v>16</v>
      </c>
      <c r="D6488" s="1">
        <v>45855</v>
      </c>
      <c r="E6488" t="s">
        <v>17</v>
      </c>
      <c r="F6488">
        <v>4650</v>
      </c>
      <c r="J6488">
        <v>686.3</v>
      </c>
      <c r="K6488">
        <v>624</v>
      </c>
      <c r="L6488">
        <v>0</v>
      </c>
      <c r="M6488" t="s">
        <v>18</v>
      </c>
      <c r="N6488">
        <v>0</v>
      </c>
      <c r="O6488">
        <v>0</v>
      </c>
    </row>
    <row r="6489" spans="1:15" x14ac:dyDescent="0.2">
      <c r="A6489" s="6">
        <v>45789</v>
      </c>
      <c r="B6489" t="s">
        <v>15</v>
      </c>
      <c r="C6489" t="s">
        <v>16</v>
      </c>
      <c r="D6489" s="1">
        <v>45855</v>
      </c>
      <c r="E6489" t="s">
        <v>19</v>
      </c>
      <c r="F6489">
        <v>6650</v>
      </c>
      <c r="J6489">
        <v>1391.5</v>
      </c>
      <c r="K6489">
        <v>1475.7</v>
      </c>
      <c r="L6489">
        <v>0</v>
      </c>
      <c r="M6489" t="s">
        <v>18</v>
      </c>
      <c r="N6489">
        <v>0</v>
      </c>
      <c r="O6489">
        <v>0</v>
      </c>
    </row>
    <row r="6490" spans="1:15" x14ac:dyDescent="0.2">
      <c r="A6490" s="6">
        <v>45789</v>
      </c>
      <c r="B6490" t="s">
        <v>15</v>
      </c>
      <c r="C6490" t="s">
        <v>16</v>
      </c>
      <c r="D6490" s="1">
        <v>45855</v>
      </c>
      <c r="E6490" t="s">
        <v>19</v>
      </c>
      <c r="F6490">
        <v>6050</v>
      </c>
      <c r="J6490">
        <v>853.5</v>
      </c>
      <c r="K6490">
        <v>931.5</v>
      </c>
      <c r="L6490">
        <v>0</v>
      </c>
      <c r="M6490" t="s">
        <v>18</v>
      </c>
      <c r="N6490">
        <v>0</v>
      </c>
      <c r="O6490">
        <v>0</v>
      </c>
    </row>
    <row r="6491" spans="1:15" x14ac:dyDescent="0.2">
      <c r="A6491" s="6">
        <v>45789</v>
      </c>
      <c r="B6491" t="s">
        <v>15</v>
      </c>
      <c r="C6491" t="s">
        <v>16</v>
      </c>
      <c r="D6491" s="1">
        <v>45855</v>
      </c>
      <c r="E6491" t="s">
        <v>17</v>
      </c>
      <c r="F6491">
        <v>5100</v>
      </c>
      <c r="J6491">
        <v>388.1</v>
      </c>
      <c r="K6491">
        <v>347.2</v>
      </c>
      <c r="L6491">
        <v>0</v>
      </c>
      <c r="M6491" t="s">
        <v>18</v>
      </c>
      <c r="N6491">
        <v>0</v>
      </c>
      <c r="O6491">
        <v>0</v>
      </c>
    </row>
    <row r="6492" spans="1:15" x14ac:dyDescent="0.2">
      <c r="A6492" s="6">
        <v>45789</v>
      </c>
      <c r="B6492" t="s">
        <v>15</v>
      </c>
      <c r="C6492" t="s">
        <v>16</v>
      </c>
      <c r="D6492" s="1">
        <v>45855</v>
      </c>
      <c r="E6492" t="s">
        <v>19</v>
      </c>
      <c r="F6492">
        <v>4550</v>
      </c>
      <c r="J6492">
        <v>60.6</v>
      </c>
      <c r="K6492">
        <v>81.3</v>
      </c>
      <c r="L6492">
        <v>0</v>
      </c>
      <c r="M6492" t="s">
        <v>18</v>
      </c>
      <c r="N6492">
        <v>0</v>
      </c>
      <c r="O6492">
        <v>0</v>
      </c>
    </row>
    <row r="6493" spans="1:15" x14ac:dyDescent="0.2">
      <c r="A6493" s="6">
        <v>45789</v>
      </c>
      <c r="B6493" t="s">
        <v>15</v>
      </c>
      <c r="C6493" t="s">
        <v>16</v>
      </c>
      <c r="D6493" s="1">
        <v>45855</v>
      </c>
      <c r="E6493" t="s">
        <v>19</v>
      </c>
      <c r="F6493">
        <v>5700</v>
      </c>
      <c r="J6493">
        <v>579.5</v>
      </c>
      <c r="K6493">
        <v>649.29999999999995</v>
      </c>
      <c r="L6493">
        <v>0</v>
      </c>
      <c r="M6493" t="s">
        <v>18</v>
      </c>
      <c r="N6493">
        <v>0</v>
      </c>
      <c r="O6493">
        <v>0</v>
      </c>
    </row>
    <row r="6494" spans="1:15" x14ac:dyDescent="0.2">
      <c r="A6494" s="6">
        <v>45789</v>
      </c>
      <c r="B6494" t="s">
        <v>15</v>
      </c>
      <c r="C6494" t="s">
        <v>16</v>
      </c>
      <c r="D6494" s="1">
        <v>45855</v>
      </c>
      <c r="E6494" t="s">
        <v>19</v>
      </c>
      <c r="F6494">
        <v>4700</v>
      </c>
      <c r="J6494">
        <v>91.9</v>
      </c>
      <c r="K6494">
        <v>119.1</v>
      </c>
      <c r="L6494">
        <v>0</v>
      </c>
      <c r="M6494" t="s">
        <v>18</v>
      </c>
      <c r="N6494">
        <v>0</v>
      </c>
      <c r="O6494">
        <v>0</v>
      </c>
    </row>
    <row r="6495" spans="1:15" x14ac:dyDescent="0.2">
      <c r="A6495" s="6">
        <v>45789</v>
      </c>
      <c r="B6495" t="s">
        <v>15</v>
      </c>
      <c r="C6495" t="s">
        <v>16</v>
      </c>
      <c r="D6495" s="1">
        <v>45855</v>
      </c>
      <c r="E6495" t="s">
        <v>19</v>
      </c>
      <c r="F6495">
        <v>3750</v>
      </c>
      <c r="J6495">
        <v>2.4</v>
      </c>
      <c r="K6495">
        <v>4.2</v>
      </c>
      <c r="L6495">
        <v>0</v>
      </c>
      <c r="M6495" t="s">
        <v>18</v>
      </c>
      <c r="N6495">
        <v>0</v>
      </c>
      <c r="O6495">
        <v>0</v>
      </c>
    </row>
    <row r="6496" spans="1:15" x14ac:dyDescent="0.2">
      <c r="A6496" s="6">
        <v>45789</v>
      </c>
      <c r="B6496" t="s">
        <v>15</v>
      </c>
      <c r="C6496" t="s">
        <v>16</v>
      </c>
      <c r="D6496" s="1">
        <v>45855</v>
      </c>
      <c r="E6496" t="s">
        <v>17</v>
      </c>
      <c r="F6496">
        <v>6050</v>
      </c>
      <c r="J6496">
        <v>75.599999999999994</v>
      </c>
      <c r="K6496">
        <v>67.099999999999994</v>
      </c>
      <c r="L6496">
        <v>0</v>
      </c>
      <c r="M6496" t="s">
        <v>18</v>
      </c>
      <c r="N6496">
        <v>0</v>
      </c>
      <c r="O6496">
        <v>0</v>
      </c>
    </row>
    <row r="6497" spans="1:15" x14ac:dyDescent="0.2">
      <c r="A6497" s="6">
        <v>45789</v>
      </c>
      <c r="B6497" t="s">
        <v>15</v>
      </c>
      <c r="C6497" t="s">
        <v>16</v>
      </c>
      <c r="D6497" s="1">
        <v>45855</v>
      </c>
      <c r="E6497" t="s">
        <v>17</v>
      </c>
      <c r="F6497">
        <v>6650</v>
      </c>
      <c r="J6497">
        <v>20.6</v>
      </c>
      <c r="K6497">
        <v>18.5</v>
      </c>
      <c r="L6497">
        <v>0</v>
      </c>
      <c r="M6497" t="s">
        <v>18</v>
      </c>
      <c r="N6497">
        <v>0</v>
      </c>
      <c r="O6497">
        <v>0</v>
      </c>
    </row>
    <row r="6498" spans="1:15" x14ac:dyDescent="0.2">
      <c r="A6498" s="6">
        <v>45789</v>
      </c>
      <c r="B6498" t="s">
        <v>15</v>
      </c>
      <c r="C6498" t="s">
        <v>16</v>
      </c>
      <c r="D6498" s="1">
        <v>45855</v>
      </c>
      <c r="E6498" t="s">
        <v>17</v>
      </c>
      <c r="F6498">
        <v>6550</v>
      </c>
      <c r="J6498">
        <v>25.9</v>
      </c>
      <c r="K6498">
        <v>23.2</v>
      </c>
      <c r="L6498">
        <v>0</v>
      </c>
      <c r="M6498" t="s">
        <v>18</v>
      </c>
      <c r="N6498">
        <v>0</v>
      </c>
      <c r="O6498">
        <v>0</v>
      </c>
    </row>
    <row r="6499" spans="1:15" x14ac:dyDescent="0.2">
      <c r="A6499" s="6">
        <v>45789</v>
      </c>
      <c r="B6499" t="s">
        <v>15</v>
      </c>
      <c r="C6499" t="s">
        <v>16</v>
      </c>
      <c r="D6499" s="1">
        <v>45855</v>
      </c>
      <c r="E6499" t="s">
        <v>19</v>
      </c>
      <c r="F6499">
        <v>3700</v>
      </c>
      <c r="J6499">
        <v>1.8</v>
      </c>
      <c r="K6499">
        <v>3.2</v>
      </c>
      <c r="L6499">
        <v>0</v>
      </c>
      <c r="M6499" t="s">
        <v>18</v>
      </c>
      <c r="N6499">
        <v>0</v>
      </c>
      <c r="O6499">
        <v>0</v>
      </c>
    </row>
    <row r="6500" spans="1:15" x14ac:dyDescent="0.2">
      <c r="A6500" s="6">
        <v>45789</v>
      </c>
      <c r="B6500" t="s">
        <v>15</v>
      </c>
      <c r="C6500" t="s">
        <v>16</v>
      </c>
      <c r="D6500" s="1">
        <v>45855</v>
      </c>
      <c r="E6500" t="s">
        <v>19</v>
      </c>
      <c r="F6500">
        <v>5450</v>
      </c>
      <c r="J6500">
        <v>411.9</v>
      </c>
      <c r="K6500">
        <v>473.3</v>
      </c>
      <c r="L6500">
        <v>0</v>
      </c>
      <c r="M6500" t="s">
        <v>18</v>
      </c>
      <c r="N6500">
        <v>0</v>
      </c>
      <c r="O6500">
        <v>0</v>
      </c>
    </row>
    <row r="6501" spans="1:15" x14ac:dyDescent="0.2">
      <c r="A6501" s="6">
        <v>45789</v>
      </c>
      <c r="B6501" t="s">
        <v>15</v>
      </c>
      <c r="C6501" t="s">
        <v>16</v>
      </c>
      <c r="D6501" s="1">
        <v>45855</v>
      </c>
      <c r="E6501" t="s">
        <v>17</v>
      </c>
      <c r="F6501">
        <v>5600</v>
      </c>
      <c r="J6501">
        <v>176.2</v>
      </c>
      <c r="K6501">
        <v>156.1</v>
      </c>
      <c r="L6501">
        <v>0</v>
      </c>
      <c r="M6501" t="s">
        <v>18</v>
      </c>
      <c r="N6501">
        <v>0</v>
      </c>
      <c r="O6501">
        <v>0</v>
      </c>
    </row>
    <row r="6502" spans="1:15" x14ac:dyDescent="0.2">
      <c r="A6502" s="6">
        <v>45789</v>
      </c>
      <c r="B6502" t="s">
        <v>15</v>
      </c>
      <c r="C6502" t="s">
        <v>16</v>
      </c>
      <c r="D6502" s="1">
        <v>45855</v>
      </c>
      <c r="E6502" t="s">
        <v>19</v>
      </c>
      <c r="F6502">
        <v>6400</v>
      </c>
      <c r="J6502">
        <v>1160</v>
      </c>
      <c r="K6502">
        <v>1242.5</v>
      </c>
      <c r="L6502">
        <v>0</v>
      </c>
      <c r="M6502" t="s">
        <v>18</v>
      </c>
      <c r="N6502">
        <v>0</v>
      </c>
      <c r="O6502">
        <v>0</v>
      </c>
    </row>
    <row r="6503" spans="1:15" x14ac:dyDescent="0.2">
      <c r="A6503" s="6">
        <v>45789</v>
      </c>
      <c r="B6503" t="s">
        <v>15</v>
      </c>
      <c r="C6503" t="s">
        <v>16</v>
      </c>
      <c r="D6503" s="1">
        <v>45855</v>
      </c>
      <c r="E6503" t="s">
        <v>17</v>
      </c>
      <c r="F6503">
        <v>3750</v>
      </c>
      <c r="J6503">
        <v>1497.8</v>
      </c>
      <c r="K6503">
        <v>1411.9</v>
      </c>
      <c r="L6503">
        <v>0</v>
      </c>
      <c r="M6503" t="s">
        <v>18</v>
      </c>
      <c r="N6503">
        <v>0</v>
      </c>
      <c r="O6503">
        <v>0</v>
      </c>
    </row>
    <row r="6504" spans="1:15" x14ac:dyDescent="0.2">
      <c r="A6504" s="6">
        <v>45789</v>
      </c>
      <c r="B6504" t="s">
        <v>15</v>
      </c>
      <c r="C6504" t="s">
        <v>16</v>
      </c>
      <c r="D6504" s="1">
        <v>45855</v>
      </c>
      <c r="E6504" t="s">
        <v>19</v>
      </c>
      <c r="F6504">
        <v>5400</v>
      </c>
      <c r="J6504">
        <v>381.8</v>
      </c>
      <c r="K6504">
        <v>441.2</v>
      </c>
      <c r="L6504">
        <v>0</v>
      </c>
      <c r="M6504" t="s">
        <v>18</v>
      </c>
      <c r="N6504">
        <v>0</v>
      </c>
      <c r="O6504">
        <v>0</v>
      </c>
    </row>
    <row r="6505" spans="1:15" x14ac:dyDescent="0.2">
      <c r="A6505" s="6">
        <v>45789</v>
      </c>
      <c r="B6505" t="s">
        <v>15</v>
      </c>
      <c r="C6505" t="s">
        <v>16</v>
      </c>
      <c r="D6505" s="1">
        <v>45855</v>
      </c>
      <c r="E6505" t="s">
        <v>19</v>
      </c>
      <c r="F6505">
        <v>4450</v>
      </c>
      <c r="J6505">
        <v>44.6</v>
      </c>
      <c r="K6505">
        <v>61.5</v>
      </c>
      <c r="L6505">
        <v>0</v>
      </c>
      <c r="M6505" t="s">
        <v>18</v>
      </c>
      <c r="N6505">
        <v>0</v>
      </c>
      <c r="O6505">
        <v>0</v>
      </c>
    </row>
    <row r="6506" spans="1:15" x14ac:dyDescent="0.2">
      <c r="A6506" s="6">
        <v>45789</v>
      </c>
      <c r="B6506" t="s">
        <v>15</v>
      </c>
      <c r="C6506" t="s">
        <v>16</v>
      </c>
      <c r="D6506" s="1">
        <v>45855</v>
      </c>
      <c r="E6506" t="s">
        <v>19</v>
      </c>
      <c r="F6506">
        <v>4600</v>
      </c>
      <c r="J6506">
        <v>70</v>
      </c>
      <c r="K6506">
        <v>92.8</v>
      </c>
      <c r="L6506">
        <v>0</v>
      </c>
      <c r="M6506" t="s">
        <v>18</v>
      </c>
      <c r="N6506">
        <v>0</v>
      </c>
      <c r="O6506">
        <v>0</v>
      </c>
    </row>
    <row r="6507" spans="1:15" x14ac:dyDescent="0.2">
      <c r="A6507" s="6">
        <v>45789</v>
      </c>
      <c r="B6507" t="s">
        <v>15</v>
      </c>
      <c r="C6507" t="s">
        <v>16</v>
      </c>
      <c r="D6507" s="1">
        <v>45855</v>
      </c>
      <c r="E6507" t="s">
        <v>19</v>
      </c>
      <c r="F6507">
        <v>5300</v>
      </c>
      <c r="J6507">
        <v>325.10000000000002</v>
      </c>
      <c r="K6507">
        <v>380.3</v>
      </c>
      <c r="L6507">
        <v>0</v>
      </c>
      <c r="M6507" t="s">
        <v>18</v>
      </c>
      <c r="N6507">
        <v>0</v>
      </c>
      <c r="O6507">
        <v>0</v>
      </c>
    </row>
    <row r="6508" spans="1:15" x14ac:dyDescent="0.2">
      <c r="A6508" s="6">
        <v>45789</v>
      </c>
      <c r="B6508" t="s">
        <v>15</v>
      </c>
      <c r="C6508" t="s">
        <v>16</v>
      </c>
      <c r="D6508" s="1">
        <v>45855</v>
      </c>
      <c r="E6508" t="s">
        <v>19</v>
      </c>
      <c r="F6508">
        <v>5900</v>
      </c>
      <c r="J6508">
        <v>731.2</v>
      </c>
      <c r="K6508">
        <v>806.2</v>
      </c>
      <c r="L6508">
        <v>0</v>
      </c>
      <c r="M6508" t="s">
        <v>18</v>
      </c>
      <c r="N6508">
        <v>0</v>
      </c>
      <c r="O6508">
        <v>0</v>
      </c>
    </row>
    <row r="6509" spans="1:15" x14ac:dyDescent="0.2">
      <c r="A6509" s="6">
        <v>45789</v>
      </c>
      <c r="B6509" t="s">
        <v>15</v>
      </c>
      <c r="C6509" t="s">
        <v>16</v>
      </c>
      <c r="D6509" s="1">
        <v>45855</v>
      </c>
      <c r="E6509" t="s">
        <v>19</v>
      </c>
      <c r="F6509">
        <v>5050</v>
      </c>
      <c r="J6509">
        <v>205.6</v>
      </c>
      <c r="K6509">
        <v>249.4</v>
      </c>
      <c r="L6509">
        <v>0</v>
      </c>
      <c r="M6509" t="s">
        <v>18</v>
      </c>
      <c r="N6509">
        <v>0</v>
      </c>
      <c r="O6509">
        <v>0</v>
      </c>
    </row>
    <row r="6510" spans="1:15" x14ac:dyDescent="0.2">
      <c r="A6510" s="6">
        <v>45789</v>
      </c>
      <c r="B6510" t="s">
        <v>15</v>
      </c>
      <c r="C6510" t="s">
        <v>16</v>
      </c>
      <c r="D6510" s="1">
        <v>45855</v>
      </c>
      <c r="E6510" t="s">
        <v>17</v>
      </c>
      <c r="F6510">
        <v>5750</v>
      </c>
      <c r="J6510">
        <v>134.69999999999999</v>
      </c>
      <c r="K6510">
        <v>119.3</v>
      </c>
      <c r="L6510">
        <v>0</v>
      </c>
      <c r="M6510" t="s">
        <v>18</v>
      </c>
      <c r="N6510">
        <v>0</v>
      </c>
      <c r="O6510">
        <v>0</v>
      </c>
    </row>
    <row r="6511" spans="1:15" x14ac:dyDescent="0.2">
      <c r="A6511" s="6">
        <v>45789</v>
      </c>
      <c r="B6511" t="s">
        <v>15</v>
      </c>
      <c r="C6511" t="s">
        <v>16</v>
      </c>
      <c r="D6511" s="1">
        <v>45855</v>
      </c>
      <c r="E6511" t="s">
        <v>19</v>
      </c>
      <c r="F6511">
        <v>4250</v>
      </c>
      <c r="J6511">
        <v>22.5</v>
      </c>
      <c r="K6511">
        <v>32.799999999999997</v>
      </c>
      <c r="L6511">
        <v>0</v>
      </c>
      <c r="M6511" t="s">
        <v>18</v>
      </c>
      <c r="N6511">
        <v>0</v>
      </c>
      <c r="O6511">
        <v>0</v>
      </c>
    </row>
    <row r="6512" spans="1:15" x14ac:dyDescent="0.2">
      <c r="A6512" s="6">
        <v>45789</v>
      </c>
      <c r="B6512" t="s">
        <v>15</v>
      </c>
      <c r="C6512" t="s">
        <v>16</v>
      </c>
      <c r="D6512" s="1">
        <v>45855</v>
      </c>
      <c r="E6512" t="s">
        <v>17</v>
      </c>
      <c r="F6512">
        <v>6400</v>
      </c>
      <c r="J6512">
        <v>36.200000000000003</v>
      </c>
      <c r="K6512">
        <v>32.299999999999997</v>
      </c>
      <c r="L6512">
        <v>0</v>
      </c>
      <c r="M6512" t="s">
        <v>18</v>
      </c>
      <c r="N6512">
        <v>0</v>
      </c>
      <c r="O6512">
        <v>0</v>
      </c>
    </row>
    <row r="6513" spans="1:15" x14ac:dyDescent="0.2">
      <c r="A6513" s="6">
        <v>45789</v>
      </c>
      <c r="B6513" t="s">
        <v>15</v>
      </c>
      <c r="C6513" t="s">
        <v>16</v>
      </c>
      <c r="D6513" s="1">
        <v>45855</v>
      </c>
      <c r="E6513" t="s">
        <v>19</v>
      </c>
      <c r="F6513">
        <v>4950</v>
      </c>
      <c r="J6513">
        <v>166.9</v>
      </c>
      <c r="K6513">
        <v>205.9</v>
      </c>
      <c r="L6513">
        <v>0</v>
      </c>
      <c r="M6513" t="s">
        <v>18</v>
      </c>
      <c r="N6513">
        <v>0</v>
      </c>
      <c r="O6513">
        <v>0</v>
      </c>
    </row>
    <row r="6514" spans="1:15" x14ac:dyDescent="0.2">
      <c r="A6514" s="6">
        <v>45789</v>
      </c>
      <c r="B6514" t="s">
        <v>15</v>
      </c>
      <c r="C6514" t="s">
        <v>16</v>
      </c>
      <c r="D6514" s="1">
        <v>45855</v>
      </c>
      <c r="E6514" t="s">
        <v>19</v>
      </c>
      <c r="F6514">
        <v>3850</v>
      </c>
      <c r="J6514">
        <v>4</v>
      </c>
      <c r="K6514">
        <v>6.7</v>
      </c>
      <c r="L6514">
        <v>0</v>
      </c>
      <c r="M6514" t="s">
        <v>18</v>
      </c>
      <c r="N6514">
        <v>0</v>
      </c>
      <c r="O6514">
        <v>0</v>
      </c>
    </row>
    <row r="6515" spans="1:15" x14ac:dyDescent="0.2">
      <c r="A6515" s="6">
        <v>45789</v>
      </c>
      <c r="B6515" t="s">
        <v>15</v>
      </c>
      <c r="C6515" t="s">
        <v>16</v>
      </c>
      <c r="D6515" s="1">
        <v>45855</v>
      </c>
      <c r="E6515" t="s">
        <v>17</v>
      </c>
      <c r="F6515">
        <v>6600</v>
      </c>
      <c r="J6515">
        <v>23.1</v>
      </c>
      <c r="K6515">
        <v>20.8</v>
      </c>
      <c r="L6515">
        <v>0</v>
      </c>
      <c r="M6515" t="s">
        <v>18</v>
      </c>
      <c r="N6515">
        <v>0</v>
      </c>
      <c r="O6515">
        <v>0</v>
      </c>
    </row>
    <row r="6516" spans="1:15" x14ac:dyDescent="0.2">
      <c r="A6516" s="6">
        <v>45789</v>
      </c>
      <c r="B6516" t="s">
        <v>15</v>
      </c>
      <c r="C6516" t="s">
        <v>16</v>
      </c>
      <c r="D6516" s="1">
        <v>45855</v>
      </c>
      <c r="E6516" t="s">
        <v>17</v>
      </c>
      <c r="F6516">
        <v>3850</v>
      </c>
      <c r="J6516">
        <v>1400.6</v>
      </c>
      <c r="K6516">
        <v>1315.7</v>
      </c>
      <c r="L6516">
        <v>0</v>
      </c>
      <c r="M6516" t="s">
        <v>18</v>
      </c>
      <c r="N6516">
        <v>0</v>
      </c>
      <c r="O6516">
        <v>0</v>
      </c>
    </row>
    <row r="6517" spans="1:15" x14ac:dyDescent="0.2">
      <c r="A6517" s="6">
        <v>45789</v>
      </c>
      <c r="B6517" t="s">
        <v>15</v>
      </c>
      <c r="C6517" t="s">
        <v>16</v>
      </c>
      <c r="D6517" s="1">
        <v>45855</v>
      </c>
      <c r="E6517" t="s">
        <v>17</v>
      </c>
      <c r="F6517">
        <v>5650</v>
      </c>
      <c r="J6517">
        <v>161.4</v>
      </c>
      <c r="K6517">
        <v>142.9</v>
      </c>
      <c r="L6517">
        <v>0</v>
      </c>
      <c r="M6517" t="s">
        <v>18</v>
      </c>
      <c r="N6517">
        <v>0</v>
      </c>
      <c r="O6517">
        <v>0</v>
      </c>
    </row>
    <row r="6518" spans="1:15" x14ac:dyDescent="0.2">
      <c r="A6518" s="6">
        <v>45789</v>
      </c>
      <c r="B6518" t="s">
        <v>15</v>
      </c>
      <c r="C6518" t="s">
        <v>16</v>
      </c>
      <c r="D6518" s="1">
        <v>45855</v>
      </c>
      <c r="E6518" t="s">
        <v>17</v>
      </c>
      <c r="F6518">
        <v>6450</v>
      </c>
      <c r="J6518">
        <v>32.4</v>
      </c>
      <c r="K6518">
        <v>29</v>
      </c>
      <c r="L6518">
        <v>0</v>
      </c>
      <c r="M6518" t="s">
        <v>18</v>
      </c>
      <c r="N6518">
        <v>0</v>
      </c>
      <c r="O6518">
        <v>0</v>
      </c>
    </row>
    <row r="6519" spans="1:15" x14ac:dyDescent="0.2">
      <c r="A6519" s="6">
        <v>45789</v>
      </c>
      <c r="B6519" t="s">
        <v>15</v>
      </c>
      <c r="C6519" t="s">
        <v>16</v>
      </c>
      <c r="D6519" s="1">
        <v>45855</v>
      </c>
      <c r="E6519" t="s">
        <v>17</v>
      </c>
      <c r="F6519">
        <v>4000</v>
      </c>
      <c r="J6519">
        <v>1256.5</v>
      </c>
      <c r="K6519">
        <v>1173.7</v>
      </c>
      <c r="L6519">
        <v>0</v>
      </c>
      <c r="M6519" t="s">
        <v>18</v>
      </c>
      <c r="N6519">
        <v>0</v>
      </c>
      <c r="O6519">
        <v>0</v>
      </c>
    </row>
    <row r="6520" spans="1:15" x14ac:dyDescent="0.2">
      <c r="A6520" s="6">
        <v>45789</v>
      </c>
      <c r="B6520" t="s">
        <v>15</v>
      </c>
      <c r="C6520" t="s">
        <v>16</v>
      </c>
      <c r="D6520" s="1">
        <v>45855</v>
      </c>
      <c r="E6520" t="s">
        <v>17</v>
      </c>
      <c r="F6520">
        <v>4250</v>
      </c>
      <c r="J6520">
        <v>1023.7</v>
      </c>
      <c r="K6520">
        <v>946.6</v>
      </c>
      <c r="L6520">
        <v>0</v>
      </c>
      <c r="M6520" t="s">
        <v>18</v>
      </c>
      <c r="N6520">
        <v>0</v>
      </c>
      <c r="O6520">
        <v>0</v>
      </c>
    </row>
    <row r="6521" spans="1:15" x14ac:dyDescent="0.2">
      <c r="A6521" s="6">
        <v>45789</v>
      </c>
      <c r="B6521" t="s">
        <v>15</v>
      </c>
      <c r="C6521" t="s">
        <v>16</v>
      </c>
      <c r="D6521" s="1">
        <v>45855</v>
      </c>
      <c r="E6521" t="s">
        <v>17</v>
      </c>
      <c r="F6521">
        <v>5800</v>
      </c>
      <c r="J6521">
        <v>122.8</v>
      </c>
      <c r="K6521">
        <v>108.7</v>
      </c>
      <c r="L6521">
        <v>0</v>
      </c>
      <c r="M6521" t="s">
        <v>18</v>
      </c>
      <c r="N6521">
        <v>0</v>
      </c>
      <c r="O6521">
        <v>0</v>
      </c>
    </row>
    <row r="6522" spans="1:15" x14ac:dyDescent="0.2">
      <c r="A6522" s="6">
        <v>45789</v>
      </c>
      <c r="B6522" t="s">
        <v>15</v>
      </c>
      <c r="C6522" t="s">
        <v>16</v>
      </c>
      <c r="D6522" s="1">
        <v>45855</v>
      </c>
      <c r="E6522" t="s">
        <v>19</v>
      </c>
      <c r="F6522">
        <v>5000</v>
      </c>
      <c r="J6522">
        <v>185.6</v>
      </c>
      <c r="K6522">
        <v>227</v>
      </c>
      <c r="L6522">
        <v>0</v>
      </c>
      <c r="M6522" t="s">
        <v>18</v>
      </c>
      <c r="N6522">
        <v>0</v>
      </c>
      <c r="O6522">
        <v>0</v>
      </c>
    </row>
    <row r="6523" spans="1:15" x14ac:dyDescent="0.2">
      <c r="A6523" s="6">
        <v>45789</v>
      </c>
      <c r="B6523" t="s">
        <v>15</v>
      </c>
      <c r="C6523" t="s">
        <v>16</v>
      </c>
      <c r="D6523" s="1">
        <v>45855</v>
      </c>
      <c r="E6523" t="s">
        <v>19</v>
      </c>
      <c r="F6523">
        <v>5350</v>
      </c>
      <c r="J6523">
        <v>352.8</v>
      </c>
      <c r="K6523">
        <v>410.2</v>
      </c>
      <c r="L6523">
        <v>0</v>
      </c>
      <c r="M6523" t="s">
        <v>18</v>
      </c>
      <c r="N6523">
        <v>0</v>
      </c>
      <c r="O6523">
        <v>0</v>
      </c>
    </row>
    <row r="6524" spans="1:15" x14ac:dyDescent="0.2">
      <c r="A6524" s="6">
        <v>45789</v>
      </c>
      <c r="B6524" t="s">
        <v>15</v>
      </c>
      <c r="C6524" t="s">
        <v>16</v>
      </c>
      <c r="D6524" s="1">
        <v>45855</v>
      </c>
      <c r="E6524" t="s">
        <v>19</v>
      </c>
      <c r="F6524">
        <v>4500</v>
      </c>
      <c r="J6524">
        <v>52.2</v>
      </c>
      <c r="K6524">
        <v>70.900000000000006</v>
      </c>
      <c r="L6524">
        <v>0</v>
      </c>
      <c r="M6524" t="s">
        <v>18</v>
      </c>
      <c r="N6524">
        <v>0</v>
      </c>
      <c r="O6524">
        <v>0</v>
      </c>
    </row>
    <row r="6525" spans="1:15" x14ac:dyDescent="0.2">
      <c r="A6525" s="6">
        <v>45789</v>
      </c>
      <c r="B6525" t="s">
        <v>15</v>
      </c>
      <c r="C6525" t="s">
        <v>16</v>
      </c>
      <c r="D6525" s="1">
        <v>45855</v>
      </c>
      <c r="E6525" t="s">
        <v>19</v>
      </c>
      <c r="F6525">
        <v>4400</v>
      </c>
      <c r="J6525">
        <v>38</v>
      </c>
      <c r="K6525">
        <v>53</v>
      </c>
      <c r="L6525">
        <v>0</v>
      </c>
      <c r="M6525" t="s">
        <v>18</v>
      </c>
      <c r="N6525">
        <v>0</v>
      </c>
      <c r="O6525">
        <v>0</v>
      </c>
    </row>
    <row r="6526" spans="1:15" x14ac:dyDescent="0.2">
      <c r="A6526" s="6">
        <v>45789</v>
      </c>
      <c r="B6526" t="s">
        <v>15</v>
      </c>
      <c r="C6526" t="s">
        <v>16</v>
      </c>
      <c r="D6526" s="1">
        <v>45855</v>
      </c>
      <c r="E6526" t="s">
        <v>17</v>
      </c>
      <c r="F6526">
        <v>4550</v>
      </c>
      <c r="J6526">
        <v>765.3</v>
      </c>
      <c r="K6526">
        <v>698.7</v>
      </c>
      <c r="L6526">
        <v>0</v>
      </c>
      <c r="M6526" t="s">
        <v>18</v>
      </c>
      <c r="N6526">
        <v>0</v>
      </c>
      <c r="O6526">
        <v>0</v>
      </c>
    </row>
    <row r="6527" spans="1:15" x14ac:dyDescent="0.2">
      <c r="A6527" s="6">
        <v>45789</v>
      </c>
      <c r="B6527" t="s">
        <v>15</v>
      </c>
      <c r="C6527" t="s">
        <v>16</v>
      </c>
      <c r="D6527" s="1">
        <v>45855</v>
      </c>
      <c r="E6527" t="s">
        <v>17</v>
      </c>
      <c r="F6527">
        <v>4850</v>
      </c>
      <c r="J6527">
        <v>541.5</v>
      </c>
      <c r="K6527">
        <v>488.5</v>
      </c>
      <c r="L6527">
        <v>0</v>
      </c>
      <c r="M6527" t="s">
        <v>18</v>
      </c>
      <c r="N6527">
        <v>0</v>
      </c>
      <c r="O6527">
        <v>0</v>
      </c>
    </row>
    <row r="6528" spans="1:15" x14ac:dyDescent="0.2">
      <c r="A6528" s="6">
        <v>45789</v>
      </c>
      <c r="B6528" t="s">
        <v>15</v>
      </c>
      <c r="C6528" t="s">
        <v>16</v>
      </c>
      <c r="D6528" s="1">
        <v>45855</v>
      </c>
      <c r="E6528" t="s">
        <v>19</v>
      </c>
      <c r="F6528">
        <v>4100</v>
      </c>
      <c r="J6528">
        <v>12.5</v>
      </c>
      <c r="K6528">
        <v>19.2</v>
      </c>
      <c r="L6528">
        <v>0</v>
      </c>
      <c r="M6528" t="s">
        <v>18</v>
      </c>
      <c r="N6528">
        <v>0</v>
      </c>
      <c r="O6528">
        <v>0</v>
      </c>
    </row>
    <row r="6529" spans="1:15" x14ac:dyDescent="0.2">
      <c r="A6529" s="6">
        <v>45789</v>
      </c>
      <c r="B6529" t="s">
        <v>15</v>
      </c>
      <c r="C6529" t="s">
        <v>16</v>
      </c>
      <c r="D6529" s="1">
        <v>45855</v>
      </c>
      <c r="E6529" t="s">
        <v>17</v>
      </c>
      <c r="F6529">
        <v>5500</v>
      </c>
      <c r="J6529">
        <v>209</v>
      </c>
      <c r="K6529">
        <v>185.4</v>
      </c>
      <c r="L6529">
        <v>0</v>
      </c>
      <c r="M6529" t="s">
        <v>18</v>
      </c>
      <c r="N6529">
        <v>0</v>
      </c>
      <c r="O6529">
        <v>0</v>
      </c>
    </row>
    <row r="6530" spans="1:15" x14ac:dyDescent="0.2">
      <c r="A6530" s="6">
        <v>45789</v>
      </c>
      <c r="B6530" t="s">
        <v>15</v>
      </c>
      <c r="C6530" t="s">
        <v>16</v>
      </c>
      <c r="D6530" s="1">
        <v>45855</v>
      </c>
      <c r="E6530" t="s">
        <v>17</v>
      </c>
      <c r="F6530">
        <v>6000</v>
      </c>
      <c r="J6530">
        <v>83.6</v>
      </c>
      <c r="K6530">
        <v>74.099999999999994</v>
      </c>
      <c r="L6530">
        <v>0</v>
      </c>
      <c r="M6530" t="s">
        <v>18</v>
      </c>
      <c r="N6530">
        <v>0</v>
      </c>
      <c r="O6530">
        <v>0</v>
      </c>
    </row>
    <row r="6531" spans="1:15" x14ac:dyDescent="0.2">
      <c r="A6531" s="6">
        <v>45789</v>
      </c>
      <c r="B6531" t="s">
        <v>15</v>
      </c>
      <c r="C6531" t="s">
        <v>16</v>
      </c>
      <c r="D6531" s="1">
        <v>45855</v>
      </c>
      <c r="E6531" t="s">
        <v>17</v>
      </c>
      <c r="F6531">
        <v>6300</v>
      </c>
      <c r="J6531">
        <v>45</v>
      </c>
      <c r="K6531">
        <v>40.1</v>
      </c>
      <c r="L6531">
        <v>0</v>
      </c>
      <c r="M6531" t="s">
        <v>18</v>
      </c>
      <c r="N6531">
        <v>0</v>
      </c>
      <c r="O6531">
        <v>0</v>
      </c>
    </row>
    <row r="6532" spans="1:15" x14ac:dyDescent="0.2">
      <c r="A6532" s="6">
        <v>45789</v>
      </c>
      <c r="B6532" t="s">
        <v>15</v>
      </c>
      <c r="C6532" t="s">
        <v>16</v>
      </c>
      <c r="D6532" s="1">
        <v>45855</v>
      </c>
      <c r="E6532" t="s">
        <v>19</v>
      </c>
      <c r="F6532">
        <v>4050</v>
      </c>
      <c r="J6532">
        <v>10.1</v>
      </c>
      <c r="K6532">
        <v>15.8</v>
      </c>
      <c r="L6532">
        <v>0</v>
      </c>
      <c r="M6532" t="s">
        <v>18</v>
      </c>
      <c r="N6532">
        <v>0</v>
      </c>
      <c r="O6532">
        <v>0</v>
      </c>
    </row>
    <row r="6533" spans="1:15" x14ac:dyDescent="0.2">
      <c r="A6533" s="6">
        <v>45789</v>
      </c>
      <c r="B6533" t="s">
        <v>15</v>
      </c>
      <c r="C6533" t="s">
        <v>16</v>
      </c>
      <c r="D6533" s="1">
        <v>45855</v>
      </c>
      <c r="E6533" t="s">
        <v>19</v>
      </c>
      <c r="F6533">
        <v>5950</v>
      </c>
      <c r="J6533">
        <v>771.3</v>
      </c>
      <c r="K6533">
        <v>847.3</v>
      </c>
      <c r="L6533">
        <v>0</v>
      </c>
      <c r="M6533" t="s">
        <v>18</v>
      </c>
      <c r="N6533">
        <v>0</v>
      </c>
      <c r="O6533">
        <v>0</v>
      </c>
    </row>
    <row r="6534" spans="1:15" x14ac:dyDescent="0.2">
      <c r="A6534" s="6">
        <v>45789</v>
      </c>
      <c r="B6534" t="s">
        <v>15</v>
      </c>
      <c r="C6534" t="s">
        <v>16</v>
      </c>
      <c r="D6534" s="1">
        <v>45855</v>
      </c>
      <c r="E6534" t="s">
        <v>17</v>
      </c>
      <c r="F6534">
        <v>5450</v>
      </c>
      <c r="J6534">
        <v>227.1</v>
      </c>
      <c r="K6534">
        <v>201.6</v>
      </c>
      <c r="L6534">
        <v>0</v>
      </c>
      <c r="M6534" t="s">
        <v>18</v>
      </c>
      <c r="N6534">
        <v>0</v>
      </c>
      <c r="O6534">
        <v>0</v>
      </c>
    </row>
    <row r="6535" spans="1:15" x14ac:dyDescent="0.2">
      <c r="A6535" s="6">
        <v>45789</v>
      </c>
      <c r="B6535" t="s">
        <v>15</v>
      </c>
      <c r="C6535" t="s">
        <v>16</v>
      </c>
      <c r="D6535" s="1">
        <v>45855</v>
      </c>
      <c r="E6535" t="s">
        <v>17</v>
      </c>
      <c r="F6535">
        <v>6350</v>
      </c>
      <c r="J6535">
        <v>40.4</v>
      </c>
      <c r="K6535">
        <v>36</v>
      </c>
      <c r="L6535">
        <v>0</v>
      </c>
      <c r="M6535" t="s">
        <v>18</v>
      </c>
      <c r="N6535">
        <v>0</v>
      </c>
      <c r="O6535">
        <v>0</v>
      </c>
    </row>
    <row r="6536" spans="1:15" x14ac:dyDescent="0.2">
      <c r="A6536" s="6">
        <v>45789</v>
      </c>
      <c r="B6536" t="s">
        <v>15</v>
      </c>
      <c r="C6536" t="s">
        <v>16</v>
      </c>
      <c r="D6536" s="1">
        <v>45855</v>
      </c>
      <c r="E6536" t="s">
        <v>19</v>
      </c>
      <c r="F6536">
        <v>6550</v>
      </c>
      <c r="J6536">
        <v>1297.9000000000001</v>
      </c>
      <c r="K6536">
        <v>1381.6</v>
      </c>
      <c r="L6536">
        <v>0</v>
      </c>
      <c r="M6536" t="s">
        <v>18</v>
      </c>
      <c r="N6536">
        <v>0</v>
      </c>
      <c r="O6536">
        <v>0</v>
      </c>
    </row>
    <row r="6537" spans="1:15" x14ac:dyDescent="0.2">
      <c r="A6537" s="6">
        <v>45789</v>
      </c>
      <c r="B6537" t="s">
        <v>15</v>
      </c>
      <c r="C6537" t="s">
        <v>16</v>
      </c>
      <c r="D6537" s="1">
        <v>45855</v>
      </c>
      <c r="E6537" t="s">
        <v>17</v>
      </c>
      <c r="F6537">
        <v>4150</v>
      </c>
      <c r="J6537">
        <v>1115.4000000000001</v>
      </c>
      <c r="K6537">
        <v>1035.7</v>
      </c>
      <c r="L6537">
        <v>0</v>
      </c>
      <c r="M6537" t="s">
        <v>18</v>
      </c>
      <c r="N6537">
        <v>0</v>
      </c>
      <c r="O6537">
        <v>0</v>
      </c>
    </row>
    <row r="6538" spans="1:15" x14ac:dyDescent="0.2">
      <c r="A6538" s="6">
        <v>45789</v>
      </c>
      <c r="B6538" t="s">
        <v>15</v>
      </c>
      <c r="C6538" t="s">
        <v>16</v>
      </c>
      <c r="D6538" s="1">
        <v>45855</v>
      </c>
      <c r="E6538" t="s">
        <v>19</v>
      </c>
      <c r="F6538">
        <v>5150</v>
      </c>
      <c r="J6538">
        <v>249.6</v>
      </c>
      <c r="K6538">
        <v>298.10000000000002</v>
      </c>
      <c r="L6538">
        <v>0</v>
      </c>
      <c r="M6538" t="s">
        <v>18</v>
      </c>
      <c r="N6538">
        <v>0</v>
      </c>
      <c r="O6538">
        <v>0</v>
      </c>
    </row>
    <row r="6539" spans="1:15" x14ac:dyDescent="0.2">
      <c r="A6539" s="6">
        <v>45789</v>
      </c>
      <c r="B6539" t="s">
        <v>15</v>
      </c>
      <c r="C6539" t="s">
        <v>16</v>
      </c>
      <c r="D6539" s="1">
        <v>45855</v>
      </c>
      <c r="E6539" t="s">
        <v>17</v>
      </c>
      <c r="F6539">
        <v>4600</v>
      </c>
      <c r="J6539">
        <v>725.3</v>
      </c>
      <c r="K6539">
        <v>660.8</v>
      </c>
      <c r="L6539">
        <v>0</v>
      </c>
      <c r="M6539" t="s">
        <v>18</v>
      </c>
      <c r="N6539">
        <v>0</v>
      </c>
      <c r="O6539">
        <v>0</v>
      </c>
    </row>
    <row r="6540" spans="1:15" x14ac:dyDescent="0.2">
      <c r="A6540" s="6">
        <v>45789</v>
      </c>
      <c r="B6540" t="s">
        <v>15</v>
      </c>
      <c r="C6540" t="s">
        <v>16</v>
      </c>
      <c r="D6540" s="1">
        <v>45855</v>
      </c>
      <c r="E6540" t="s">
        <v>19</v>
      </c>
      <c r="F6540">
        <v>4650</v>
      </c>
      <c r="J6540">
        <v>80.400000000000006</v>
      </c>
      <c r="K6540">
        <v>105.4</v>
      </c>
      <c r="L6540">
        <v>0</v>
      </c>
      <c r="M6540" t="s">
        <v>18</v>
      </c>
      <c r="N6540">
        <v>0</v>
      </c>
      <c r="O6540">
        <v>0</v>
      </c>
    </row>
    <row r="6541" spans="1:15" x14ac:dyDescent="0.2">
      <c r="A6541" s="6">
        <v>45789</v>
      </c>
      <c r="B6541" t="s">
        <v>15</v>
      </c>
      <c r="C6541" t="s">
        <v>16</v>
      </c>
      <c r="D6541" s="1">
        <v>45855</v>
      </c>
      <c r="E6541" t="s">
        <v>17</v>
      </c>
      <c r="F6541">
        <v>6500</v>
      </c>
      <c r="J6541">
        <v>29</v>
      </c>
      <c r="K6541">
        <v>26</v>
      </c>
      <c r="L6541">
        <v>0</v>
      </c>
      <c r="M6541" t="s">
        <v>18</v>
      </c>
      <c r="N6541">
        <v>0</v>
      </c>
      <c r="O6541">
        <v>0</v>
      </c>
    </row>
    <row r="6542" spans="1:15" x14ac:dyDescent="0.2">
      <c r="A6542" s="6">
        <v>45789</v>
      </c>
      <c r="B6542" t="s">
        <v>15</v>
      </c>
      <c r="C6542" t="s">
        <v>16</v>
      </c>
      <c r="D6542" s="1">
        <v>45855</v>
      </c>
      <c r="E6542" t="s">
        <v>17</v>
      </c>
      <c r="F6542">
        <v>5900</v>
      </c>
      <c r="J6542">
        <v>101.6</v>
      </c>
      <c r="K6542">
        <v>90</v>
      </c>
      <c r="L6542">
        <v>0</v>
      </c>
      <c r="M6542" t="s">
        <v>18</v>
      </c>
      <c r="N6542">
        <v>0</v>
      </c>
      <c r="O6542">
        <v>0</v>
      </c>
    </row>
    <row r="6543" spans="1:15" x14ac:dyDescent="0.2">
      <c r="A6543" s="6">
        <v>45789</v>
      </c>
      <c r="B6543" t="s">
        <v>15</v>
      </c>
      <c r="C6543" t="s">
        <v>16</v>
      </c>
      <c r="D6543" s="1">
        <v>45855</v>
      </c>
      <c r="E6543" t="s">
        <v>19</v>
      </c>
      <c r="F6543">
        <v>3900</v>
      </c>
      <c r="J6543">
        <v>5.0999999999999996</v>
      </c>
      <c r="K6543">
        <v>8.4</v>
      </c>
      <c r="L6543">
        <v>0</v>
      </c>
      <c r="M6543" t="s">
        <v>18</v>
      </c>
      <c r="N6543">
        <v>0</v>
      </c>
      <c r="O6543">
        <v>0</v>
      </c>
    </row>
    <row r="6544" spans="1:15" x14ac:dyDescent="0.2">
      <c r="A6544" s="6">
        <v>45789</v>
      </c>
      <c r="B6544" t="s">
        <v>15</v>
      </c>
      <c r="C6544" t="s">
        <v>16</v>
      </c>
      <c r="D6544" s="1">
        <v>45855</v>
      </c>
      <c r="E6544" t="s">
        <v>17</v>
      </c>
      <c r="F6544">
        <v>5050</v>
      </c>
      <c r="J6544">
        <v>416.2</v>
      </c>
      <c r="K6544">
        <v>372.9</v>
      </c>
      <c r="L6544">
        <v>0</v>
      </c>
      <c r="M6544" t="s">
        <v>18</v>
      </c>
      <c r="N6544">
        <v>0</v>
      </c>
      <c r="O6544">
        <v>0</v>
      </c>
    </row>
    <row r="6545" spans="1:15" x14ac:dyDescent="0.2">
      <c r="A6545" s="6">
        <v>45789</v>
      </c>
      <c r="B6545" t="s">
        <v>15</v>
      </c>
      <c r="C6545" t="s">
        <v>16</v>
      </c>
      <c r="D6545" s="1">
        <v>45855</v>
      </c>
      <c r="E6545" t="s">
        <v>17</v>
      </c>
      <c r="F6545">
        <v>6250</v>
      </c>
      <c r="J6545">
        <v>50</v>
      </c>
      <c r="K6545">
        <v>44.5</v>
      </c>
      <c r="L6545">
        <v>0</v>
      </c>
      <c r="M6545" t="s">
        <v>18</v>
      </c>
      <c r="N6545">
        <v>0</v>
      </c>
      <c r="O6545">
        <v>0</v>
      </c>
    </row>
    <row r="6546" spans="1:15" x14ac:dyDescent="0.2">
      <c r="A6546" s="6">
        <v>45789</v>
      </c>
      <c r="B6546" t="s">
        <v>15</v>
      </c>
      <c r="C6546" t="s">
        <v>16</v>
      </c>
      <c r="D6546" s="1">
        <v>45855</v>
      </c>
      <c r="E6546" t="s">
        <v>17</v>
      </c>
      <c r="F6546">
        <v>6200</v>
      </c>
      <c r="J6546">
        <v>55.6</v>
      </c>
      <c r="K6546">
        <v>49.4</v>
      </c>
      <c r="L6546">
        <v>0</v>
      </c>
      <c r="M6546" t="s">
        <v>18</v>
      </c>
      <c r="N6546">
        <v>0</v>
      </c>
      <c r="O6546">
        <v>0</v>
      </c>
    </row>
    <row r="6547" spans="1:15" x14ac:dyDescent="0.2">
      <c r="A6547" s="6">
        <v>45789</v>
      </c>
      <c r="B6547" t="s">
        <v>15</v>
      </c>
      <c r="C6547" t="s">
        <v>16</v>
      </c>
      <c r="D6547" s="1">
        <v>45855</v>
      </c>
      <c r="E6547" t="s">
        <v>19</v>
      </c>
      <c r="F6547">
        <v>6250</v>
      </c>
      <c r="J6547">
        <v>1025.5999999999999</v>
      </c>
      <c r="K6547">
        <v>1106.5</v>
      </c>
      <c r="L6547">
        <v>0</v>
      </c>
      <c r="M6547" t="s">
        <v>18</v>
      </c>
      <c r="N6547">
        <v>0</v>
      </c>
      <c r="O6547">
        <v>0</v>
      </c>
    </row>
    <row r="6548" spans="1:15" x14ac:dyDescent="0.2">
      <c r="A6548" s="6">
        <v>45789</v>
      </c>
      <c r="B6548" t="s">
        <v>15</v>
      </c>
      <c r="C6548" t="s">
        <v>16</v>
      </c>
      <c r="D6548" s="1">
        <v>45855</v>
      </c>
      <c r="E6548" t="s">
        <v>19</v>
      </c>
      <c r="F6548">
        <v>5200</v>
      </c>
      <c r="J6548">
        <v>273.5</v>
      </c>
      <c r="K6548">
        <v>324.3</v>
      </c>
      <c r="L6548">
        <v>0</v>
      </c>
      <c r="M6548" t="s">
        <v>18</v>
      </c>
      <c r="N6548">
        <v>0</v>
      </c>
      <c r="O6548">
        <v>0</v>
      </c>
    </row>
    <row r="6549" spans="1:15" x14ac:dyDescent="0.2">
      <c r="A6549" s="6">
        <v>45789</v>
      </c>
      <c r="B6549" t="s">
        <v>15</v>
      </c>
      <c r="C6549" t="s">
        <v>16</v>
      </c>
      <c r="D6549" s="1">
        <v>45855</v>
      </c>
      <c r="E6549" t="s">
        <v>17</v>
      </c>
      <c r="F6549">
        <v>3950</v>
      </c>
      <c r="J6549">
        <v>1304.2</v>
      </c>
      <c r="K6549">
        <v>1220.5999999999999</v>
      </c>
      <c r="L6549">
        <v>0</v>
      </c>
      <c r="M6549" t="s">
        <v>18</v>
      </c>
      <c r="N6549">
        <v>0</v>
      </c>
      <c r="O6549">
        <v>0</v>
      </c>
    </row>
    <row r="6550" spans="1:15" x14ac:dyDescent="0.2">
      <c r="A6550" s="6">
        <v>45789</v>
      </c>
      <c r="B6550" t="s">
        <v>15</v>
      </c>
      <c r="C6550" t="s">
        <v>16</v>
      </c>
      <c r="D6550" s="1">
        <v>45855</v>
      </c>
      <c r="E6550" t="s">
        <v>19</v>
      </c>
      <c r="F6550">
        <v>6350</v>
      </c>
      <c r="J6550">
        <v>1114.8</v>
      </c>
      <c r="K6550">
        <v>1196.8</v>
      </c>
      <c r="L6550">
        <v>0</v>
      </c>
      <c r="M6550" t="s">
        <v>18</v>
      </c>
      <c r="N6550">
        <v>0</v>
      </c>
      <c r="O6550">
        <v>0</v>
      </c>
    </row>
    <row r="6551" spans="1:15" x14ac:dyDescent="0.2">
      <c r="A6551" s="6">
        <v>45789</v>
      </c>
      <c r="B6551" t="s">
        <v>15</v>
      </c>
      <c r="C6551" t="s">
        <v>16</v>
      </c>
      <c r="D6551" s="1">
        <v>45855</v>
      </c>
      <c r="E6551" t="s">
        <v>19</v>
      </c>
      <c r="F6551">
        <v>5650</v>
      </c>
      <c r="J6551">
        <v>543.9</v>
      </c>
      <c r="K6551">
        <v>612.20000000000005</v>
      </c>
      <c r="L6551">
        <v>0</v>
      </c>
      <c r="M6551" t="s">
        <v>18</v>
      </c>
      <c r="N6551">
        <v>0</v>
      </c>
      <c r="O6551">
        <v>0</v>
      </c>
    </row>
    <row r="6552" spans="1:15" x14ac:dyDescent="0.2">
      <c r="A6552" s="6">
        <v>45789</v>
      </c>
      <c r="B6552" t="s">
        <v>15</v>
      </c>
      <c r="C6552" t="s">
        <v>16</v>
      </c>
      <c r="D6552" s="1">
        <v>45855</v>
      </c>
      <c r="E6552" t="s">
        <v>19</v>
      </c>
      <c r="F6552">
        <v>5600</v>
      </c>
      <c r="J6552">
        <v>509.3</v>
      </c>
      <c r="K6552">
        <v>575.9</v>
      </c>
      <c r="L6552">
        <v>0</v>
      </c>
      <c r="M6552" t="s">
        <v>18</v>
      </c>
      <c r="N6552">
        <v>0</v>
      </c>
      <c r="O6552">
        <v>0</v>
      </c>
    </row>
    <row r="6553" spans="1:15" x14ac:dyDescent="0.2">
      <c r="A6553" s="6">
        <v>45789</v>
      </c>
      <c r="B6553" t="s">
        <v>15</v>
      </c>
      <c r="C6553" t="s">
        <v>16</v>
      </c>
      <c r="D6553" s="1">
        <v>45855</v>
      </c>
      <c r="E6553" t="s">
        <v>19</v>
      </c>
      <c r="F6553">
        <v>4850</v>
      </c>
      <c r="J6553">
        <v>133.30000000000001</v>
      </c>
      <c r="K6553">
        <v>167.4</v>
      </c>
      <c r="L6553">
        <v>0</v>
      </c>
      <c r="M6553" t="s">
        <v>18</v>
      </c>
      <c r="N6553">
        <v>0</v>
      </c>
      <c r="O6553">
        <v>0</v>
      </c>
    </row>
    <row r="6554" spans="1:15" x14ac:dyDescent="0.2">
      <c r="A6554" s="6">
        <v>45789</v>
      </c>
      <c r="B6554" t="s">
        <v>15</v>
      </c>
      <c r="C6554" t="s">
        <v>16</v>
      </c>
      <c r="D6554" s="1">
        <v>45855</v>
      </c>
      <c r="E6554" t="s">
        <v>19</v>
      </c>
      <c r="F6554">
        <v>4000</v>
      </c>
      <c r="J6554">
        <v>8.1</v>
      </c>
      <c r="K6554">
        <v>12.9</v>
      </c>
      <c r="L6554">
        <v>0</v>
      </c>
      <c r="M6554" t="s">
        <v>18</v>
      </c>
      <c r="N6554">
        <v>0</v>
      </c>
      <c r="O6554">
        <v>0</v>
      </c>
    </row>
    <row r="6555" spans="1:15" x14ac:dyDescent="0.2">
      <c r="A6555" s="6">
        <v>45789</v>
      </c>
      <c r="B6555" t="s">
        <v>15</v>
      </c>
      <c r="C6555" t="s">
        <v>16</v>
      </c>
      <c r="D6555" s="1">
        <v>45855</v>
      </c>
      <c r="E6555" t="s">
        <v>17</v>
      </c>
      <c r="F6555">
        <v>6100</v>
      </c>
      <c r="J6555">
        <v>68.400000000000006</v>
      </c>
      <c r="K6555">
        <v>60.7</v>
      </c>
      <c r="L6555">
        <v>0</v>
      </c>
      <c r="M6555" t="s">
        <v>18</v>
      </c>
      <c r="N6555">
        <v>0</v>
      </c>
      <c r="O6555">
        <v>0</v>
      </c>
    </row>
    <row r="6556" spans="1:15" x14ac:dyDescent="0.2">
      <c r="A6556" s="6">
        <v>45789</v>
      </c>
      <c r="B6556" t="s">
        <v>15</v>
      </c>
      <c r="C6556" t="s">
        <v>16</v>
      </c>
      <c r="D6556" s="1">
        <v>45855</v>
      </c>
      <c r="E6556" t="s">
        <v>17</v>
      </c>
      <c r="F6556">
        <v>5350</v>
      </c>
      <c r="J6556">
        <v>266.89999999999998</v>
      </c>
      <c r="K6556">
        <v>237.3</v>
      </c>
      <c r="L6556">
        <v>0</v>
      </c>
      <c r="M6556" t="s">
        <v>18</v>
      </c>
      <c r="N6556">
        <v>0</v>
      </c>
      <c r="O6556">
        <v>0</v>
      </c>
    </row>
    <row r="6557" spans="1:15" x14ac:dyDescent="0.2">
      <c r="A6557" s="6">
        <v>45789</v>
      </c>
      <c r="B6557" t="s">
        <v>15</v>
      </c>
      <c r="C6557" t="s">
        <v>16</v>
      </c>
      <c r="D6557" s="1">
        <v>45855</v>
      </c>
      <c r="E6557" t="s">
        <v>17</v>
      </c>
      <c r="F6557">
        <v>3600</v>
      </c>
      <c r="J6557">
        <v>1644.7</v>
      </c>
      <c r="K6557">
        <v>1557.8</v>
      </c>
      <c r="L6557">
        <v>0</v>
      </c>
      <c r="M6557" t="s">
        <v>18</v>
      </c>
      <c r="N6557">
        <v>0</v>
      </c>
      <c r="O6557">
        <v>0</v>
      </c>
    </row>
    <row r="6558" spans="1:15" x14ac:dyDescent="0.2">
      <c r="A6558" s="6">
        <v>45789</v>
      </c>
      <c r="B6558" t="s">
        <v>15</v>
      </c>
      <c r="C6558" t="s">
        <v>16</v>
      </c>
      <c r="D6558" s="1">
        <v>45855</v>
      </c>
      <c r="E6558" t="s">
        <v>19</v>
      </c>
      <c r="F6558">
        <v>5800</v>
      </c>
      <c r="J6558">
        <v>653.6</v>
      </c>
      <c r="K6558">
        <v>726.2</v>
      </c>
      <c r="L6558">
        <v>0</v>
      </c>
      <c r="M6558" t="s">
        <v>18</v>
      </c>
      <c r="N6558">
        <v>0</v>
      </c>
      <c r="O6558">
        <v>0</v>
      </c>
    </row>
    <row r="6559" spans="1:15" x14ac:dyDescent="0.2">
      <c r="A6559" s="6">
        <v>45789</v>
      </c>
      <c r="B6559" t="s">
        <v>15</v>
      </c>
      <c r="C6559" t="s">
        <v>16</v>
      </c>
      <c r="D6559" s="1">
        <v>45855</v>
      </c>
      <c r="E6559" t="s">
        <v>17</v>
      </c>
      <c r="F6559">
        <v>3650</v>
      </c>
      <c r="J6559">
        <v>1595.6</v>
      </c>
      <c r="K6559">
        <v>1509</v>
      </c>
      <c r="L6559">
        <v>0</v>
      </c>
      <c r="M6559" t="s">
        <v>18</v>
      </c>
      <c r="N6559">
        <v>0</v>
      </c>
      <c r="O6559">
        <v>0</v>
      </c>
    </row>
    <row r="6560" spans="1:15" x14ac:dyDescent="0.2">
      <c r="A6560" s="6">
        <v>45789</v>
      </c>
      <c r="B6560" t="s">
        <v>15</v>
      </c>
      <c r="C6560" t="s">
        <v>16</v>
      </c>
      <c r="D6560" s="1">
        <v>45855</v>
      </c>
      <c r="E6560" t="s">
        <v>19</v>
      </c>
      <c r="F6560">
        <v>3650</v>
      </c>
      <c r="J6560">
        <v>1.3</v>
      </c>
      <c r="K6560">
        <v>2.5</v>
      </c>
      <c r="L6560">
        <v>0</v>
      </c>
      <c r="M6560" t="s">
        <v>18</v>
      </c>
      <c r="N6560">
        <v>0</v>
      </c>
      <c r="O6560">
        <v>0</v>
      </c>
    </row>
    <row r="6561" spans="1:15" x14ac:dyDescent="0.2">
      <c r="A6561" s="6">
        <v>45789</v>
      </c>
      <c r="B6561" t="s">
        <v>15</v>
      </c>
      <c r="C6561" t="s">
        <v>16</v>
      </c>
      <c r="D6561" s="1">
        <v>45855</v>
      </c>
      <c r="E6561" t="s">
        <v>17</v>
      </c>
      <c r="F6561">
        <v>3800</v>
      </c>
      <c r="J6561">
        <v>1449.1</v>
      </c>
      <c r="K6561">
        <v>1363.7</v>
      </c>
      <c r="L6561">
        <v>0</v>
      </c>
      <c r="M6561" t="s">
        <v>18</v>
      </c>
      <c r="N6561">
        <v>0</v>
      </c>
      <c r="O6561">
        <v>0</v>
      </c>
    </row>
    <row r="6562" spans="1:15" x14ac:dyDescent="0.2">
      <c r="A6562" s="6">
        <v>45789</v>
      </c>
      <c r="B6562" t="s">
        <v>15</v>
      </c>
      <c r="C6562" t="s">
        <v>16</v>
      </c>
      <c r="D6562" s="1">
        <v>45855</v>
      </c>
      <c r="E6562" t="s">
        <v>19</v>
      </c>
      <c r="F6562">
        <v>6000</v>
      </c>
      <c r="J6562">
        <v>812</v>
      </c>
      <c r="K6562">
        <v>889.1</v>
      </c>
      <c r="L6562">
        <v>0</v>
      </c>
      <c r="M6562" t="s">
        <v>18</v>
      </c>
      <c r="N6562">
        <v>0</v>
      </c>
      <c r="O6562">
        <v>0</v>
      </c>
    </row>
    <row r="6563" spans="1:15" x14ac:dyDescent="0.2">
      <c r="A6563" s="6">
        <v>45789</v>
      </c>
      <c r="B6563" t="s">
        <v>15</v>
      </c>
      <c r="C6563" t="s">
        <v>16</v>
      </c>
      <c r="D6563" s="1">
        <v>45855</v>
      </c>
      <c r="E6563" t="s">
        <v>17</v>
      </c>
      <c r="F6563">
        <v>5550</v>
      </c>
      <c r="J6563">
        <v>192</v>
      </c>
      <c r="K6563">
        <v>170.2</v>
      </c>
      <c r="L6563">
        <v>0</v>
      </c>
      <c r="M6563" t="s">
        <v>18</v>
      </c>
      <c r="N6563">
        <v>0</v>
      </c>
      <c r="O6563">
        <v>0</v>
      </c>
    </row>
    <row r="6564" spans="1:15" x14ac:dyDescent="0.2">
      <c r="A6564" s="6">
        <v>45789</v>
      </c>
      <c r="B6564" t="s">
        <v>15</v>
      </c>
      <c r="C6564" t="s">
        <v>16</v>
      </c>
      <c r="D6564" s="1">
        <v>45855</v>
      </c>
      <c r="E6564" t="s">
        <v>19</v>
      </c>
      <c r="F6564">
        <v>4750</v>
      </c>
      <c r="J6564">
        <v>104.5</v>
      </c>
      <c r="K6564">
        <v>134</v>
      </c>
      <c r="L6564">
        <v>0</v>
      </c>
      <c r="M6564" t="s">
        <v>18</v>
      </c>
      <c r="N6564">
        <v>0</v>
      </c>
      <c r="O6564">
        <v>0</v>
      </c>
    </row>
    <row r="6565" spans="1:15" x14ac:dyDescent="0.2">
      <c r="A6565" s="6">
        <v>45789</v>
      </c>
      <c r="B6565" t="s">
        <v>15</v>
      </c>
      <c r="C6565" t="s">
        <v>16</v>
      </c>
      <c r="D6565" s="1">
        <v>45855</v>
      </c>
      <c r="E6565" t="s">
        <v>19</v>
      </c>
      <c r="F6565">
        <v>6200</v>
      </c>
      <c r="J6565">
        <v>981.7</v>
      </c>
      <c r="K6565">
        <v>1062</v>
      </c>
      <c r="L6565">
        <v>0</v>
      </c>
      <c r="M6565" t="s">
        <v>18</v>
      </c>
      <c r="N6565">
        <v>0</v>
      </c>
      <c r="O6565">
        <v>0</v>
      </c>
    </row>
    <row r="6566" spans="1:15" x14ac:dyDescent="0.2">
      <c r="A6566" s="6">
        <v>45789</v>
      </c>
      <c r="B6566" t="s">
        <v>15</v>
      </c>
      <c r="C6566" t="s">
        <v>16</v>
      </c>
      <c r="D6566" s="1">
        <v>45855</v>
      </c>
      <c r="E6566" t="s">
        <v>19</v>
      </c>
      <c r="F6566">
        <v>4800</v>
      </c>
      <c r="J6566">
        <v>118.3</v>
      </c>
      <c r="K6566">
        <v>150.1</v>
      </c>
      <c r="L6566">
        <v>0</v>
      </c>
      <c r="M6566" t="s">
        <v>18</v>
      </c>
      <c r="N6566">
        <v>0</v>
      </c>
      <c r="O6566">
        <v>0</v>
      </c>
    </row>
    <row r="6567" spans="1:15" x14ac:dyDescent="0.2">
      <c r="A6567" s="6">
        <v>45789</v>
      </c>
      <c r="B6567" t="s">
        <v>15</v>
      </c>
      <c r="C6567" t="s">
        <v>16</v>
      </c>
      <c r="D6567" s="1">
        <v>45855</v>
      </c>
      <c r="E6567" t="s">
        <v>19</v>
      </c>
      <c r="F6567">
        <v>4300</v>
      </c>
      <c r="J6567">
        <v>27</v>
      </c>
      <c r="K6567">
        <v>38.700000000000003</v>
      </c>
      <c r="L6567">
        <v>0</v>
      </c>
      <c r="M6567" t="s">
        <v>18</v>
      </c>
      <c r="N6567">
        <v>0</v>
      </c>
      <c r="O6567">
        <v>0</v>
      </c>
    </row>
    <row r="6568" spans="1:15" x14ac:dyDescent="0.2">
      <c r="A6568" s="6">
        <v>45789</v>
      </c>
      <c r="B6568" t="s">
        <v>15</v>
      </c>
      <c r="C6568" t="s">
        <v>16</v>
      </c>
      <c r="D6568" s="1">
        <v>45855</v>
      </c>
      <c r="E6568" t="s">
        <v>17</v>
      </c>
      <c r="F6568">
        <v>5850</v>
      </c>
      <c r="J6568">
        <v>111.8</v>
      </c>
      <c r="K6568">
        <v>99</v>
      </c>
      <c r="L6568">
        <v>0</v>
      </c>
      <c r="M6568" t="s">
        <v>18</v>
      </c>
      <c r="N6568">
        <v>0</v>
      </c>
      <c r="O6568">
        <v>0</v>
      </c>
    </row>
    <row r="6569" spans="1:15" x14ac:dyDescent="0.2">
      <c r="A6569" s="6">
        <v>45789</v>
      </c>
      <c r="B6569" t="s">
        <v>15</v>
      </c>
      <c r="C6569" t="s">
        <v>16</v>
      </c>
      <c r="D6569" s="1">
        <v>45855</v>
      </c>
      <c r="E6569" t="s">
        <v>17</v>
      </c>
      <c r="F6569">
        <v>5400</v>
      </c>
      <c r="J6569">
        <v>246.4</v>
      </c>
      <c r="K6569">
        <v>218.9</v>
      </c>
      <c r="L6569">
        <v>0</v>
      </c>
      <c r="M6569" t="s">
        <v>18</v>
      </c>
      <c r="N6569">
        <v>0</v>
      </c>
      <c r="O6569">
        <v>0</v>
      </c>
    </row>
    <row r="6570" spans="1:15" x14ac:dyDescent="0.2">
      <c r="A6570" s="6">
        <v>45789</v>
      </c>
      <c r="B6570" t="s">
        <v>15</v>
      </c>
      <c r="C6570" t="s">
        <v>16</v>
      </c>
      <c r="D6570" s="1">
        <v>45855</v>
      </c>
      <c r="E6570" t="s">
        <v>17</v>
      </c>
      <c r="F6570">
        <v>3900</v>
      </c>
      <c r="J6570">
        <v>1352.3</v>
      </c>
      <c r="K6570">
        <v>1268</v>
      </c>
      <c r="L6570">
        <v>0</v>
      </c>
      <c r="M6570" t="s">
        <v>18</v>
      </c>
      <c r="N6570">
        <v>0</v>
      </c>
      <c r="O6570">
        <v>0</v>
      </c>
    </row>
    <row r="6571" spans="1:15" x14ac:dyDescent="0.2">
      <c r="A6571" s="6">
        <v>45789</v>
      </c>
      <c r="B6571" t="s">
        <v>15</v>
      </c>
      <c r="C6571" t="s">
        <v>16</v>
      </c>
      <c r="D6571" s="1">
        <v>45855</v>
      </c>
      <c r="E6571" t="s">
        <v>19</v>
      </c>
      <c r="F6571">
        <v>3950</v>
      </c>
      <c r="J6571">
        <v>6.5</v>
      </c>
      <c r="K6571">
        <v>10.5</v>
      </c>
      <c r="L6571">
        <v>0</v>
      </c>
      <c r="M6571" t="s">
        <v>18</v>
      </c>
      <c r="N6571">
        <v>0</v>
      </c>
      <c r="O6571">
        <v>0</v>
      </c>
    </row>
    <row r="6572" spans="1:15" x14ac:dyDescent="0.2">
      <c r="A6572" s="6">
        <v>45789</v>
      </c>
      <c r="B6572" t="s">
        <v>15</v>
      </c>
      <c r="C6572" t="s">
        <v>16</v>
      </c>
      <c r="D6572" s="1">
        <v>45855</v>
      </c>
      <c r="E6572" t="s">
        <v>19</v>
      </c>
      <c r="F6572">
        <v>6600</v>
      </c>
      <c r="J6572">
        <v>1344.6</v>
      </c>
      <c r="K6572">
        <v>1428.5</v>
      </c>
      <c r="L6572">
        <v>0</v>
      </c>
      <c r="M6572" t="s">
        <v>18</v>
      </c>
      <c r="N6572">
        <v>0</v>
      </c>
      <c r="O6572">
        <v>0</v>
      </c>
    </row>
    <row r="6573" spans="1:15" x14ac:dyDescent="0.2">
      <c r="A6573" s="6">
        <v>45789</v>
      </c>
      <c r="B6573" t="s">
        <v>15</v>
      </c>
      <c r="C6573" t="s">
        <v>16</v>
      </c>
      <c r="D6573" s="1">
        <v>45855</v>
      </c>
      <c r="E6573" t="s">
        <v>19</v>
      </c>
      <c r="F6573">
        <v>4350</v>
      </c>
      <c r="J6573">
        <v>32.1</v>
      </c>
      <c r="K6573">
        <v>45.5</v>
      </c>
      <c r="L6573">
        <v>0</v>
      </c>
      <c r="M6573" t="s">
        <v>18</v>
      </c>
      <c r="N6573">
        <v>0</v>
      </c>
      <c r="O6573">
        <v>0</v>
      </c>
    </row>
    <row r="6574" spans="1:15" x14ac:dyDescent="0.2">
      <c r="A6574" s="6">
        <v>45789</v>
      </c>
      <c r="B6574" t="s">
        <v>15</v>
      </c>
      <c r="C6574" t="s">
        <v>16</v>
      </c>
      <c r="D6574" s="1">
        <v>45855</v>
      </c>
      <c r="E6574" t="s">
        <v>19</v>
      </c>
      <c r="F6574">
        <v>6300</v>
      </c>
      <c r="J6574">
        <v>1069.9000000000001</v>
      </c>
      <c r="K6574">
        <v>1151.4000000000001</v>
      </c>
      <c r="L6574">
        <v>0</v>
      </c>
      <c r="M6574" t="s">
        <v>18</v>
      </c>
      <c r="N6574">
        <v>0</v>
      </c>
      <c r="O6574">
        <v>0</v>
      </c>
    </row>
    <row r="6575" spans="1:15" x14ac:dyDescent="0.2">
      <c r="A6575" s="6">
        <v>45789</v>
      </c>
      <c r="B6575" t="s">
        <v>15</v>
      </c>
      <c r="C6575" t="s">
        <v>16</v>
      </c>
      <c r="D6575" s="1">
        <v>45855</v>
      </c>
      <c r="E6575" t="s">
        <v>19</v>
      </c>
      <c r="F6575">
        <v>6500</v>
      </c>
      <c r="J6575">
        <v>1251.5999999999999</v>
      </c>
      <c r="K6575">
        <v>1334.9</v>
      </c>
      <c r="L6575">
        <v>0</v>
      </c>
      <c r="M6575" t="s">
        <v>18</v>
      </c>
      <c r="N6575">
        <v>0</v>
      </c>
      <c r="O6575">
        <v>0</v>
      </c>
    </row>
    <row r="6576" spans="1:15" x14ac:dyDescent="0.2">
      <c r="A6576" s="6">
        <v>45789</v>
      </c>
      <c r="B6576" t="s">
        <v>15</v>
      </c>
      <c r="C6576" t="s">
        <v>16</v>
      </c>
      <c r="D6576" s="1">
        <v>45855</v>
      </c>
      <c r="E6576" t="s">
        <v>19</v>
      </c>
      <c r="F6576">
        <v>5550</v>
      </c>
      <c r="J6576">
        <v>475.7</v>
      </c>
      <c r="K6576">
        <v>540.70000000000005</v>
      </c>
      <c r="L6576">
        <v>0</v>
      </c>
      <c r="M6576" t="s">
        <v>18</v>
      </c>
      <c r="N6576">
        <v>0</v>
      </c>
      <c r="O6576">
        <v>0</v>
      </c>
    </row>
    <row r="6577" spans="1:15" x14ac:dyDescent="0.2">
      <c r="A6577" s="6">
        <v>45789</v>
      </c>
      <c r="B6577" t="s">
        <v>15</v>
      </c>
      <c r="C6577" t="s">
        <v>16</v>
      </c>
      <c r="D6577" s="1">
        <v>45855</v>
      </c>
      <c r="E6577" t="s">
        <v>17</v>
      </c>
      <c r="F6577">
        <v>6150</v>
      </c>
      <c r="J6577">
        <v>61.7</v>
      </c>
      <c r="K6577">
        <v>54.8</v>
      </c>
      <c r="L6577">
        <v>0</v>
      </c>
      <c r="M6577" t="s">
        <v>18</v>
      </c>
      <c r="N6577">
        <v>0</v>
      </c>
      <c r="O6577">
        <v>0</v>
      </c>
    </row>
    <row r="6578" spans="1:15" x14ac:dyDescent="0.2">
      <c r="A6578" s="6">
        <v>45789</v>
      </c>
      <c r="B6578" t="s">
        <v>15</v>
      </c>
      <c r="C6578" t="s">
        <v>16</v>
      </c>
      <c r="D6578" s="1">
        <v>45855</v>
      </c>
      <c r="E6578" t="s">
        <v>19</v>
      </c>
      <c r="F6578">
        <v>4150</v>
      </c>
      <c r="J6578">
        <v>15.3</v>
      </c>
      <c r="K6578">
        <v>23.1</v>
      </c>
      <c r="L6578">
        <v>0</v>
      </c>
      <c r="M6578" t="s">
        <v>18</v>
      </c>
      <c r="N6578">
        <v>0</v>
      </c>
      <c r="O6578">
        <v>0</v>
      </c>
    </row>
    <row r="6579" spans="1:15" x14ac:dyDescent="0.2">
      <c r="A6579" s="6">
        <v>45789</v>
      </c>
      <c r="B6579" t="s">
        <v>15</v>
      </c>
      <c r="C6579" t="s">
        <v>16</v>
      </c>
      <c r="D6579" s="1">
        <v>45855</v>
      </c>
      <c r="E6579" t="s">
        <v>17</v>
      </c>
      <c r="F6579">
        <v>4050</v>
      </c>
      <c r="J6579">
        <v>1209</v>
      </c>
      <c r="K6579">
        <v>1127.2</v>
      </c>
      <c r="L6579">
        <v>0</v>
      </c>
      <c r="M6579" t="s">
        <v>18</v>
      </c>
      <c r="N6579">
        <v>0</v>
      </c>
      <c r="O6579">
        <v>0</v>
      </c>
    </row>
    <row r="6580" spans="1:15" x14ac:dyDescent="0.2">
      <c r="A6580" s="6">
        <v>45789</v>
      </c>
      <c r="B6580" t="s">
        <v>15</v>
      </c>
      <c r="C6580" t="s">
        <v>16</v>
      </c>
      <c r="D6580" s="1">
        <v>45855</v>
      </c>
      <c r="E6580" t="s">
        <v>19</v>
      </c>
      <c r="F6580">
        <v>3800</v>
      </c>
      <c r="J6580">
        <v>3.1</v>
      </c>
      <c r="K6580">
        <v>5.3</v>
      </c>
      <c r="L6580">
        <v>0</v>
      </c>
      <c r="M6580" t="s">
        <v>18</v>
      </c>
      <c r="N6580">
        <v>0</v>
      </c>
      <c r="O6580">
        <v>0</v>
      </c>
    </row>
    <row r="6581" spans="1:15" x14ac:dyDescent="0.2">
      <c r="A6581" s="6">
        <v>45789</v>
      </c>
      <c r="B6581" t="s">
        <v>15</v>
      </c>
      <c r="C6581" t="s">
        <v>16</v>
      </c>
      <c r="D6581" s="1">
        <v>45855</v>
      </c>
      <c r="E6581" t="s">
        <v>19</v>
      </c>
      <c r="F6581">
        <v>5500</v>
      </c>
      <c r="J6581">
        <v>443.3</v>
      </c>
      <c r="K6581">
        <v>506.5</v>
      </c>
      <c r="L6581">
        <v>0</v>
      </c>
      <c r="M6581" t="s">
        <v>18</v>
      </c>
      <c r="N6581">
        <v>0</v>
      </c>
      <c r="O6581">
        <v>0</v>
      </c>
    </row>
    <row r="6582" spans="1:15" x14ac:dyDescent="0.2">
      <c r="A6582" s="6">
        <v>45789</v>
      </c>
      <c r="B6582" t="s">
        <v>15</v>
      </c>
      <c r="C6582" t="s">
        <v>16</v>
      </c>
      <c r="D6582" s="1">
        <v>45855</v>
      </c>
      <c r="E6582" t="s">
        <v>19</v>
      </c>
      <c r="F6582">
        <v>5850</v>
      </c>
      <c r="J6582">
        <v>692</v>
      </c>
      <c r="K6582">
        <v>765.8</v>
      </c>
      <c r="L6582">
        <v>0</v>
      </c>
      <c r="M6582" t="s">
        <v>18</v>
      </c>
      <c r="N6582">
        <v>0</v>
      </c>
      <c r="O6582">
        <v>0</v>
      </c>
    </row>
    <row r="6583" spans="1:15" x14ac:dyDescent="0.2">
      <c r="A6583" s="6">
        <v>45789</v>
      </c>
      <c r="B6583" t="s">
        <v>15</v>
      </c>
      <c r="C6583" t="s">
        <v>16</v>
      </c>
      <c r="D6583" s="1">
        <v>45855</v>
      </c>
      <c r="E6583" t="s">
        <v>19</v>
      </c>
      <c r="F6583">
        <v>6100</v>
      </c>
      <c r="J6583">
        <v>895.7</v>
      </c>
      <c r="K6583">
        <v>974.5</v>
      </c>
      <c r="L6583">
        <v>0</v>
      </c>
      <c r="M6583" t="s">
        <v>18</v>
      </c>
      <c r="N6583">
        <v>0</v>
      </c>
      <c r="O6583">
        <v>0</v>
      </c>
    </row>
    <row r="6584" spans="1:15" x14ac:dyDescent="0.2">
      <c r="A6584" s="6">
        <v>45789</v>
      </c>
      <c r="B6584" t="s">
        <v>15</v>
      </c>
      <c r="C6584" t="s">
        <v>16</v>
      </c>
      <c r="D6584" s="1">
        <v>45855</v>
      </c>
      <c r="E6584" t="s">
        <v>19</v>
      </c>
      <c r="F6584">
        <v>5750</v>
      </c>
      <c r="J6584">
        <v>616.1</v>
      </c>
      <c r="K6584">
        <v>687.3</v>
      </c>
      <c r="L6584">
        <v>0</v>
      </c>
      <c r="M6584" t="s">
        <v>18</v>
      </c>
      <c r="N6584">
        <v>0</v>
      </c>
      <c r="O6584">
        <v>0</v>
      </c>
    </row>
    <row r="6585" spans="1:15" x14ac:dyDescent="0.2">
      <c r="A6585" s="6">
        <v>45789</v>
      </c>
      <c r="B6585" t="s">
        <v>15</v>
      </c>
      <c r="C6585" t="s">
        <v>16</v>
      </c>
      <c r="D6585" s="1">
        <v>45855</v>
      </c>
      <c r="E6585" t="s">
        <v>19</v>
      </c>
      <c r="F6585">
        <v>6450</v>
      </c>
      <c r="J6585">
        <v>1205.5999999999999</v>
      </c>
      <c r="K6585">
        <v>1288.5</v>
      </c>
      <c r="L6585">
        <v>0</v>
      </c>
      <c r="M6585" t="s">
        <v>18</v>
      </c>
      <c r="N6585">
        <v>0</v>
      </c>
      <c r="O6585">
        <v>0</v>
      </c>
    </row>
    <row r="6586" spans="1:15" x14ac:dyDescent="0.2">
      <c r="A6586" s="6">
        <v>45789</v>
      </c>
      <c r="B6586" t="s">
        <v>15</v>
      </c>
      <c r="C6586" t="s">
        <v>16</v>
      </c>
      <c r="D6586" s="1">
        <v>45855</v>
      </c>
      <c r="E6586" t="s">
        <v>17</v>
      </c>
      <c r="F6586">
        <v>4300</v>
      </c>
      <c r="J6586">
        <v>978.8</v>
      </c>
      <c r="K6586">
        <v>903.1</v>
      </c>
      <c r="L6586">
        <v>0</v>
      </c>
      <c r="M6586" t="s">
        <v>18</v>
      </c>
      <c r="N6586">
        <v>0</v>
      </c>
      <c r="O6586">
        <v>0</v>
      </c>
    </row>
    <row r="6587" spans="1:15" x14ac:dyDescent="0.2">
      <c r="A6587" s="6">
        <v>45789</v>
      </c>
      <c r="B6587" t="s">
        <v>15</v>
      </c>
      <c r="C6587" t="s">
        <v>16</v>
      </c>
      <c r="D6587" s="1">
        <v>45855</v>
      </c>
      <c r="E6587" t="s">
        <v>17</v>
      </c>
      <c r="F6587">
        <v>4700</v>
      </c>
      <c r="J6587">
        <v>648.4</v>
      </c>
      <c r="K6587">
        <v>588.29999999999995</v>
      </c>
      <c r="L6587">
        <v>0</v>
      </c>
      <c r="M6587" t="s">
        <v>18</v>
      </c>
      <c r="N6587">
        <v>0</v>
      </c>
      <c r="O6587">
        <v>0</v>
      </c>
    </row>
    <row r="6588" spans="1:15" x14ac:dyDescent="0.2">
      <c r="A6588" s="6">
        <v>45786</v>
      </c>
      <c r="B6588" t="s">
        <v>15</v>
      </c>
      <c r="C6588" t="s">
        <v>16</v>
      </c>
      <c r="D6588" s="1">
        <v>45855</v>
      </c>
      <c r="E6588" t="s">
        <v>17</v>
      </c>
      <c r="F6588">
        <v>5100</v>
      </c>
      <c r="J6588">
        <v>347.2</v>
      </c>
      <c r="K6588">
        <v>334</v>
      </c>
      <c r="L6588">
        <v>0</v>
      </c>
      <c r="M6588" t="s">
        <v>18</v>
      </c>
      <c r="N6588">
        <v>0</v>
      </c>
      <c r="O6588">
        <v>0</v>
      </c>
    </row>
    <row r="6589" spans="1:15" x14ac:dyDescent="0.2">
      <c r="A6589" s="6">
        <v>45786</v>
      </c>
      <c r="B6589" t="s">
        <v>15</v>
      </c>
      <c r="C6589" t="s">
        <v>16</v>
      </c>
      <c r="D6589" s="1">
        <v>45855</v>
      </c>
      <c r="E6589" t="s">
        <v>19</v>
      </c>
      <c r="F6589">
        <v>6050</v>
      </c>
      <c r="J6589">
        <v>931.5</v>
      </c>
      <c r="K6589">
        <v>973.4</v>
      </c>
      <c r="L6589">
        <v>0</v>
      </c>
      <c r="M6589" t="s">
        <v>18</v>
      </c>
      <c r="N6589">
        <v>0</v>
      </c>
      <c r="O6589">
        <v>0</v>
      </c>
    </row>
    <row r="6590" spans="1:15" x14ac:dyDescent="0.2">
      <c r="A6590" s="6">
        <v>45786</v>
      </c>
      <c r="B6590" t="s">
        <v>15</v>
      </c>
      <c r="C6590" t="s">
        <v>16</v>
      </c>
      <c r="D6590" s="1">
        <v>45855</v>
      </c>
      <c r="E6590" t="s">
        <v>17</v>
      </c>
      <c r="F6590">
        <v>4650</v>
      </c>
      <c r="J6590">
        <v>624</v>
      </c>
      <c r="K6590">
        <v>599.29999999999995</v>
      </c>
      <c r="L6590">
        <v>0</v>
      </c>
      <c r="M6590" t="s">
        <v>18</v>
      </c>
      <c r="N6590">
        <v>0</v>
      </c>
      <c r="O6590">
        <v>0</v>
      </c>
    </row>
    <row r="6591" spans="1:15" x14ac:dyDescent="0.2">
      <c r="A6591" s="6">
        <v>45786</v>
      </c>
      <c r="B6591" t="s">
        <v>15</v>
      </c>
      <c r="C6591" t="s">
        <v>16</v>
      </c>
      <c r="D6591" s="1">
        <v>45855</v>
      </c>
      <c r="E6591" t="s">
        <v>19</v>
      </c>
      <c r="F6591">
        <v>5100</v>
      </c>
      <c r="J6591">
        <v>273.10000000000002</v>
      </c>
      <c r="K6591">
        <v>302.39999999999998</v>
      </c>
      <c r="L6591">
        <v>0</v>
      </c>
      <c r="M6591" t="s">
        <v>18</v>
      </c>
      <c r="N6591">
        <v>0</v>
      </c>
      <c r="O6591">
        <v>0</v>
      </c>
    </row>
    <row r="6592" spans="1:15" x14ac:dyDescent="0.2">
      <c r="A6592" s="6">
        <v>45786</v>
      </c>
      <c r="B6592" t="s">
        <v>15</v>
      </c>
      <c r="C6592" t="s">
        <v>16</v>
      </c>
      <c r="D6592" s="1">
        <v>45855</v>
      </c>
      <c r="E6592" t="s">
        <v>17</v>
      </c>
      <c r="F6592">
        <v>4200</v>
      </c>
      <c r="J6592">
        <v>990.8</v>
      </c>
      <c r="K6592">
        <v>955.6</v>
      </c>
      <c r="L6592">
        <v>0</v>
      </c>
      <c r="M6592" t="s">
        <v>18</v>
      </c>
      <c r="N6592">
        <v>0</v>
      </c>
      <c r="O6592">
        <v>0</v>
      </c>
    </row>
    <row r="6593" spans="1:15" x14ac:dyDescent="0.2">
      <c r="A6593" s="6">
        <v>45786</v>
      </c>
      <c r="B6593" t="s">
        <v>15</v>
      </c>
      <c r="C6593" t="s">
        <v>16</v>
      </c>
      <c r="D6593" s="1">
        <v>45855</v>
      </c>
      <c r="E6593" t="s">
        <v>19</v>
      </c>
      <c r="F6593">
        <v>6650</v>
      </c>
      <c r="J6593">
        <v>1475.7</v>
      </c>
      <c r="K6593">
        <v>1518.5</v>
      </c>
      <c r="L6593">
        <v>0</v>
      </c>
      <c r="M6593" t="s">
        <v>18</v>
      </c>
      <c r="N6593">
        <v>0</v>
      </c>
      <c r="O6593">
        <v>0</v>
      </c>
    </row>
    <row r="6594" spans="1:15" x14ac:dyDescent="0.2">
      <c r="A6594" s="6">
        <v>45786</v>
      </c>
      <c r="B6594" t="s">
        <v>15</v>
      </c>
      <c r="C6594" t="s">
        <v>16</v>
      </c>
      <c r="D6594" s="1">
        <v>45855</v>
      </c>
      <c r="E6594" t="s">
        <v>17</v>
      </c>
      <c r="F6594">
        <v>5250</v>
      </c>
      <c r="J6594">
        <v>277.60000000000002</v>
      </c>
      <c r="K6594">
        <v>267.7</v>
      </c>
      <c r="L6594">
        <v>0</v>
      </c>
      <c r="M6594" t="s">
        <v>18</v>
      </c>
      <c r="N6594">
        <v>0</v>
      </c>
      <c r="O6594">
        <v>0</v>
      </c>
    </row>
    <row r="6595" spans="1:15" x14ac:dyDescent="0.2">
      <c r="A6595" s="6">
        <v>45786</v>
      </c>
      <c r="B6595" t="s">
        <v>15</v>
      </c>
      <c r="C6595" t="s">
        <v>16</v>
      </c>
      <c r="D6595" s="1">
        <v>45855</v>
      </c>
      <c r="E6595" t="s">
        <v>17</v>
      </c>
      <c r="F6595">
        <v>5700</v>
      </c>
      <c r="J6595">
        <v>130.69999999999999</v>
      </c>
      <c r="K6595">
        <v>127.7</v>
      </c>
      <c r="L6595">
        <v>0</v>
      </c>
      <c r="M6595" t="s">
        <v>18</v>
      </c>
      <c r="N6595">
        <v>0</v>
      </c>
      <c r="O6595">
        <v>0</v>
      </c>
    </row>
    <row r="6596" spans="1:15" x14ac:dyDescent="0.2">
      <c r="A6596" s="6">
        <v>45786</v>
      </c>
      <c r="B6596" t="s">
        <v>15</v>
      </c>
      <c r="C6596" t="s">
        <v>16</v>
      </c>
      <c r="D6596" s="1">
        <v>45855</v>
      </c>
      <c r="E6596" t="s">
        <v>19</v>
      </c>
      <c r="F6596">
        <v>4200</v>
      </c>
      <c r="J6596">
        <v>27.6</v>
      </c>
      <c r="K6596">
        <v>35.1</v>
      </c>
      <c r="L6596">
        <v>0</v>
      </c>
      <c r="M6596" t="s">
        <v>18</v>
      </c>
      <c r="N6596">
        <v>0</v>
      </c>
      <c r="O6596">
        <v>0</v>
      </c>
    </row>
    <row r="6597" spans="1:15" x14ac:dyDescent="0.2">
      <c r="A6597" s="6">
        <v>45786</v>
      </c>
      <c r="B6597" t="s">
        <v>15</v>
      </c>
      <c r="C6597" t="s">
        <v>16</v>
      </c>
      <c r="D6597" s="1">
        <v>45855</v>
      </c>
      <c r="E6597" t="s">
        <v>17</v>
      </c>
      <c r="F6597">
        <v>4800</v>
      </c>
      <c r="J6597">
        <v>520.6</v>
      </c>
      <c r="K6597">
        <v>499.8</v>
      </c>
      <c r="L6597">
        <v>0</v>
      </c>
      <c r="M6597" t="s">
        <v>18</v>
      </c>
      <c r="N6597">
        <v>0</v>
      </c>
      <c r="O6597">
        <v>0</v>
      </c>
    </row>
    <row r="6598" spans="1:15" x14ac:dyDescent="0.2">
      <c r="A6598" s="6">
        <v>45786</v>
      </c>
      <c r="B6598" t="s">
        <v>15</v>
      </c>
      <c r="C6598" t="s">
        <v>16</v>
      </c>
      <c r="D6598" s="1">
        <v>45855</v>
      </c>
      <c r="E6598" t="s">
        <v>17</v>
      </c>
      <c r="F6598">
        <v>4900</v>
      </c>
      <c r="J6598">
        <v>457.7</v>
      </c>
      <c r="K6598">
        <v>439.6</v>
      </c>
      <c r="L6598">
        <v>0</v>
      </c>
      <c r="M6598" t="s">
        <v>18</v>
      </c>
      <c r="N6598">
        <v>0</v>
      </c>
      <c r="O6598">
        <v>0</v>
      </c>
    </row>
    <row r="6599" spans="1:15" x14ac:dyDescent="0.2">
      <c r="A6599" s="6">
        <v>45786</v>
      </c>
      <c r="B6599" t="s">
        <v>15</v>
      </c>
      <c r="C6599" t="s">
        <v>16</v>
      </c>
      <c r="D6599" s="1">
        <v>45855</v>
      </c>
      <c r="E6599" t="s">
        <v>17</v>
      </c>
      <c r="F6599">
        <v>4950</v>
      </c>
      <c r="J6599">
        <v>428.2</v>
      </c>
      <c r="K6599">
        <v>411.3</v>
      </c>
      <c r="L6599">
        <v>0</v>
      </c>
      <c r="M6599" t="s">
        <v>18</v>
      </c>
      <c r="N6599">
        <v>0</v>
      </c>
      <c r="O6599">
        <v>0</v>
      </c>
    </row>
    <row r="6600" spans="1:15" x14ac:dyDescent="0.2">
      <c r="A6600" s="6">
        <v>45786</v>
      </c>
      <c r="B6600" t="s">
        <v>15</v>
      </c>
      <c r="C6600" t="s">
        <v>16</v>
      </c>
      <c r="D6600" s="1">
        <v>45855</v>
      </c>
      <c r="E6600" t="s">
        <v>17</v>
      </c>
      <c r="F6600">
        <v>5300</v>
      </c>
      <c r="J6600">
        <v>256.89999999999998</v>
      </c>
      <c r="K6600">
        <v>247.9</v>
      </c>
      <c r="L6600">
        <v>0</v>
      </c>
      <c r="M6600" t="s">
        <v>18</v>
      </c>
      <c r="N6600">
        <v>0</v>
      </c>
      <c r="O6600">
        <v>0</v>
      </c>
    </row>
    <row r="6601" spans="1:15" x14ac:dyDescent="0.2">
      <c r="A6601" s="6">
        <v>45786</v>
      </c>
      <c r="B6601" t="s">
        <v>15</v>
      </c>
      <c r="C6601" t="s">
        <v>16</v>
      </c>
      <c r="D6601" s="1">
        <v>45855</v>
      </c>
      <c r="E6601" t="s">
        <v>17</v>
      </c>
      <c r="F6601">
        <v>4450</v>
      </c>
      <c r="J6601">
        <v>777.7</v>
      </c>
      <c r="K6601">
        <v>747.9</v>
      </c>
      <c r="L6601">
        <v>0</v>
      </c>
      <c r="M6601" t="s">
        <v>18</v>
      </c>
      <c r="N6601">
        <v>0</v>
      </c>
      <c r="O6601">
        <v>0</v>
      </c>
    </row>
    <row r="6602" spans="1:15" x14ac:dyDescent="0.2">
      <c r="A6602" s="6">
        <v>45786</v>
      </c>
      <c r="B6602" t="s">
        <v>15</v>
      </c>
      <c r="C6602" t="s">
        <v>16</v>
      </c>
      <c r="D6602" s="1">
        <v>45855</v>
      </c>
      <c r="E6602" t="s">
        <v>19</v>
      </c>
      <c r="F6602">
        <v>5250</v>
      </c>
      <c r="J6602">
        <v>351.7</v>
      </c>
      <c r="K6602">
        <v>384.2</v>
      </c>
      <c r="L6602">
        <v>0</v>
      </c>
      <c r="M6602" t="s">
        <v>18</v>
      </c>
      <c r="N6602">
        <v>0</v>
      </c>
      <c r="O6602">
        <v>0</v>
      </c>
    </row>
    <row r="6603" spans="1:15" x14ac:dyDescent="0.2">
      <c r="A6603" s="6">
        <v>45786</v>
      </c>
      <c r="B6603" t="s">
        <v>15</v>
      </c>
      <c r="C6603" t="s">
        <v>16</v>
      </c>
      <c r="D6603" s="1">
        <v>45855</v>
      </c>
      <c r="E6603" t="s">
        <v>17</v>
      </c>
      <c r="F6603">
        <v>4750</v>
      </c>
      <c r="J6603">
        <v>553.79999999999995</v>
      </c>
      <c r="K6603">
        <v>531.79999999999995</v>
      </c>
      <c r="L6603">
        <v>0</v>
      </c>
      <c r="M6603" t="s">
        <v>18</v>
      </c>
      <c r="N6603">
        <v>0</v>
      </c>
      <c r="O6603">
        <v>0</v>
      </c>
    </row>
    <row r="6604" spans="1:15" x14ac:dyDescent="0.2">
      <c r="A6604" s="6">
        <v>45786</v>
      </c>
      <c r="B6604" t="s">
        <v>15</v>
      </c>
      <c r="C6604" t="s">
        <v>16</v>
      </c>
      <c r="D6604" s="1">
        <v>45855</v>
      </c>
      <c r="E6604" t="s">
        <v>17</v>
      </c>
      <c r="F6604">
        <v>5200</v>
      </c>
      <c r="J6604">
        <v>299.60000000000002</v>
      </c>
      <c r="K6604">
        <v>288.60000000000002</v>
      </c>
      <c r="L6604">
        <v>0</v>
      </c>
      <c r="M6604" t="s">
        <v>18</v>
      </c>
      <c r="N6604">
        <v>0</v>
      </c>
      <c r="O6604">
        <v>0</v>
      </c>
    </row>
    <row r="6605" spans="1:15" x14ac:dyDescent="0.2">
      <c r="A6605" s="6">
        <v>45786</v>
      </c>
      <c r="B6605" t="s">
        <v>15</v>
      </c>
      <c r="C6605" t="s">
        <v>16</v>
      </c>
      <c r="D6605" s="1">
        <v>45855</v>
      </c>
      <c r="E6605" t="s">
        <v>19</v>
      </c>
      <c r="F6605">
        <v>4900</v>
      </c>
      <c r="J6605">
        <v>186</v>
      </c>
      <c r="K6605">
        <v>210.4</v>
      </c>
      <c r="L6605">
        <v>0</v>
      </c>
      <c r="M6605" t="s">
        <v>18</v>
      </c>
      <c r="N6605">
        <v>0</v>
      </c>
      <c r="O6605">
        <v>0</v>
      </c>
    </row>
    <row r="6606" spans="1:15" x14ac:dyDescent="0.2">
      <c r="A6606" s="6">
        <v>45786</v>
      </c>
      <c r="B6606" t="s">
        <v>15</v>
      </c>
      <c r="C6606" t="s">
        <v>16</v>
      </c>
      <c r="D6606" s="1">
        <v>45855</v>
      </c>
      <c r="E6606" t="s">
        <v>17</v>
      </c>
      <c r="F6606">
        <v>3700</v>
      </c>
      <c r="J6606">
        <v>1460.4</v>
      </c>
      <c r="K6606">
        <v>1419.1</v>
      </c>
      <c r="L6606">
        <v>0</v>
      </c>
      <c r="M6606" t="s">
        <v>18</v>
      </c>
      <c r="N6606">
        <v>0</v>
      </c>
      <c r="O6606">
        <v>0</v>
      </c>
    </row>
    <row r="6607" spans="1:15" x14ac:dyDescent="0.2">
      <c r="A6607" s="6">
        <v>45786</v>
      </c>
      <c r="B6607" t="s">
        <v>15</v>
      </c>
      <c r="C6607" t="s">
        <v>16</v>
      </c>
      <c r="D6607" s="1">
        <v>45855</v>
      </c>
      <c r="E6607" t="s">
        <v>19</v>
      </c>
      <c r="F6607">
        <v>3600</v>
      </c>
      <c r="J6607">
        <v>1.9</v>
      </c>
      <c r="K6607">
        <v>2.9</v>
      </c>
      <c r="L6607">
        <v>0</v>
      </c>
      <c r="M6607" t="s">
        <v>18</v>
      </c>
      <c r="N6607">
        <v>0</v>
      </c>
      <c r="O6607">
        <v>0</v>
      </c>
    </row>
    <row r="6608" spans="1:15" x14ac:dyDescent="0.2">
      <c r="A6608" s="6">
        <v>45786</v>
      </c>
      <c r="B6608" t="s">
        <v>15</v>
      </c>
      <c r="C6608" t="s">
        <v>16</v>
      </c>
      <c r="D6608" s="1">
        <v>45855</v>
      </c>
      <c r="E6608" t="s">
        <v>17</v>
      </c>
      <c r="F6608">
        <v>4400</v>
      </c>
      <c r="J6608">
        <v>818.6</v>
      </c>
      <c r="K6608">
        <v>787.7</v>
      </c>
      <c r="L6608">
        <v>0</v>
      </c>
      <c r="M6608" t="s">
        <v>18</v>
      </c>
      <c r="N6608">
        <v>0</v>
      </c>
      <c r="O6608">
        <v>0</v>
      </c>
    </row>
    <row r="6609" spans="1:15" x14ac:dyDescent="0.2">
      <c r="A6609" s="6">
        <v>45786</v>
      </c>
      <c r="B6609" t="s">
        <v>15</v>
      </c>
      <c r="C6609" t="s">
        <v>16</v>
      </c>
      <c r="D6609" s="1">
        <v>45855</v>
      </c>
      <c r="E6609" t="s">
        <v>17</v>
      </c>
      <c r="F6609">
        <v>4100</v>
      </c>
      <c r="J6609">
        <v>1081.0999999999999</v>
      </c>
      <c r="K6609">
        <v>1044.3</v>
      </c>
      <c r="L6609">
        <v>0</v>
      </c>
      <c r="M6609" t="s">
        <v>18</v>
      </c>
      <c r="N6609">
        <v>0</v>
      </c>
      <c r="O6609">
        <v>0</v>
      </c>
    </row>
    <row r="6610" spans="1:15" x14ac:dyDescent="0.2">
      <c r="A6610" s="6">
        <v>45786</v>
      </c>
      <c r="B6610" t="s">
        <v>15</v>
      </c>
      <c r="C6610" t="s">
        <v>16</v>
      </c>
      <c r="D6610" s="1">
        <v>45855</v>
      </c>
      <c r="E6610" t="s">
        <v>17</v>
      </c>
      <c r="F6610">
        <v>5000</v>
      </c>
      <c r="J6610">
        <v>399.9</v>
      </c>
      <c r="K6610">
        <v>384.3</v>
      </c>
      <c r="L6610">
        <v>0</v>
      </c>
      <c r="M6610" t="s">
        <v>18</v>
      </c>
      <c r="N6610">
        <v>0</v>
      </c>
      <c r="O6610">
        <v>0</v>
      </c>
    </row>
    <row r="6611" spans="1:15" x14ac:dyDescent="0.2">
      <c r="A6611" s="6">
        <v>45786</v>
      </c>
      <c r="B6611" t="s">
        <v>15</v>
      </c>
      <c r="C6611" t="s">
        <v>16</v>
      </c>
      <c r="D6611" s="1">
        <v>45855</v>
      </c>
      <c r="E6611" t="s">
        <v>17</v>
      </c>
      <c r="F6611">
        <v>5150</v>
      </c>
      <c r="J6611">
        <v>322.8</v>
      </c>
      <c r="K6611">
        <v>310.7</v>
      </c>
      <c r="L6611">
        <v>0</v>
      </c>
      <c r="M6611" t="s">
        <v>18</v>
      </c>
      <c r="N6611">
        <v>0</v>
      </c>
      <c r="O6611">
        <v>0</v>
      </c>
    </row>
    <row r="6612" spans="1:15" x14ac:dyDescent="0.2">
      <c r="A6612" s="6">
        <v>45786</v>
      </c>
      <c r="B6612" t="s">
        <v>15</v>
      </c>
      <c r="C6612" t="s">
        <v>16</v>
      </c>
      <c r="D6612" s="1">
        <v>45855</v>
      </c>
      <c r="E6612" t="s">
        <v>17</v>
      </c>
      <c r="F6612">
        <v>4500</v>
      </c>
      <c r="J6612">
        <v>737.7</v>
      </c>
      <c r="K6612">
        <v>709.2</v>
      </c>
      <c r="L6612">
        <v>0</v>
      </c>
      <c r="M6612" t="s">
        <v>18</v>
      </c>
      <c r="N6612">
        <v>0</v>
      </c>
      <c r="O6612">
        <v>0</v>
      </c>
    </row>
    <row r="6613" spans="1:15" x14ac:dyDescent="0.2">
      <c r="A6613" s="6">
        <v>45786</v>
      </c>
      <c r="B6613" t="s">
        <v>15</v>
      </c>
      <c r="C6613" t="s">
        <v>16</v>
      </c>
      <c r="D6613" s="1">
        <v>45855</v>
      </c>
      <c r="E6613" t="s">
        <v>17</v>
      </c>
      <c r="F6613">
        <v>4350</v>
      </c>
      <c r="J6613">
        <v>860.5</v>
      </c>
      <c r="K6613">
        <v>828.4</v>
      </c>
      <c r="L6613">
        <v>0</v>
      </c>
      <c r="M6613" t="s">
        <v>18</v>
      </c>
      <c r="N6613">
        <v>0</v>
      </c>
      <c r="O6613">
        <v>0</v>
      </c>
    </row>
    <row r="6614" spans="1:15" x14ac:dyDescent="0.2">
      <c r="A6614" s="6">
        <v>45786</v>
      </c>
      <c r="B6614" t="s">
        <v>15</v>
      </c>
      <c r="C6614" t="s">
        <v>16</v>
      </c>
      <c r="D6614" s="1">
        <v>45855</v>
      </c>
      <c r="E6614" t="s">
        <v>17</v>
      </c>
      <c r="F6614">
        <v>5950</v>
      </c>
      <c r="J6614">
        <v>81.7</v>
      </c>
      <c r="K6614">
        <v>80.7</v>
      </c>
      <c r="L6614">
        <v>0</v>
      </c>
      <c r="M6614" t="s">
        <v>18</v>
      </c>
      <c r="N6614">
        <v>0</v>
      </c>
      <c r="O6614">
        <v>0</v>
      </c>
    </row>
    <row r="6615" spans="1:15" x14ac:dyDescent="0.2">
      <c r="A6615" s="6">
        <v>45786</v>
      </c>
      <c r="B6615" t="s">
        <v>15</v>
      </c>
      <c r="C6615" t="s">
        <v>16</v>
      </c>
      <c r="D6615" s="1">
        <v>45855</v>
      </c>
      <c r="E6615" t="s">
        <v>19</v>
      </c>
      <c r="F6615">
        <v>6150</v>
      </c>
      <c r="J6615">
        <v>1018</v>
      </c>
      <c r="K6615">
        <v>1060.2</v>
      </c>
      <c r="L6615">
        <v>0</v>
      </c>
      <c r="M6615" t="s">
        <v>18</v>
      </c>
      <c r="N6615">
        <v>0</v>
      </c>
      <c r="O6615">
        <v>0</v>
      </c>
    </row>
    <row r="6616" spans="1:15" x14ac:dyDescent="0.2">
      <c r="A6616" s="6">
        <v>45786</v>
      </c>
      <c r="B6616" t="s">
        <v>15</v>
      </c>
      <c r="C6616" t="s">
        <v>16</v>
      </c>
      <c r="D6616" s="1">
        <v>45855</v>
      </c>
      <c r="E6616" t="s">
        <v>17</v>
      </c>
      <c r="F6616">
        <v>3850</v>
      </c>
      <c r="J6616">
        <v>1315.7</v>
      </c>
      <c r="K6616">
        <v>1275.5999999999999</v>
      </c>
      <c r="L6616">
        <v>0</v>
      </c>
      <c r="M6616" t="s">
        <v>18</v>
      </c>
      <c r="N6616">
        <v>0</v>
      </c>
      <c r="O6616">
        <v>0</v>
      </c>
    </row>
    <row r="6617" spans="1:15" x14ac:dyDescent="0.2">
      <c r="A6617" s="6">
        <v>45786</v>
      </c>
      <c r="B6617" t="s">
        <v>15</v>
      </c>
      <c r="C6617" t="s">
        <v>16</v>
      </c>
      <c r="D6617" s="1">
        <v>45855</v>
      </c>
      <c r="E6617" t="s">
        <v>17</v>
      </c>
      <c r="F6617">
        <v>6600</v>
      </c>
      <c r="J6617">
        <v>20.8</v>
      </c>
      <c r="K6617">
        <v>21.4</v>
      </c>
      <c r="L6617">
        <v>0</v>
      </c>
      <c r="M6617" t="s">
        <v>18</v>
      </c>
      <c r="N6617">
        <v>0</v>
      </c>
      <c r="O6617">
        <v>0</v>
      </c>
    </row>
    <row r="6618" spans="1:15" x14ac:dyDescent="0.2">
      <c r="A6618" s="6">
        <v>45786</v>
      </c>
      <c r="B6618" t="s">
        <v>15</v>
      </c>
      <c r="C6618" t="s">
        <v>16</v>
      </c>
      <c r="D6618" s="1">
        <v>45855</v>
      </c>
      <c r="E6618" t="s">
        <v>19</v>
      </c>
      <c r="F6618">
        <v>3850</v>
      </c>
      <c r="J6618">
        <v>6.7</v>
      </c>
      <c r="K6618">
        <v>9.4</v>
      </c>
      <c r="L6618">
        <v>0</v>
      </c>
      <c r="M6618" t="s">
        <v>18</v>
      </c>
      <c r="N6618">
        <v>0</v>
      </c>
      <c r="O6618">
        <v>0</v>
      </c>
    </row>
    <row r="6619" spans="1:15" x14ac:dyDescent="0.2">
      <c r="A6619" s="6">
        <v>45786</v>
      </c>
      <c r="B6619" t="s">
        <v>15</v>
      </c>
      <c r="C6619" t="s">
        <v>16</v>
      </c>
      <c r="D6619" s="1">
        <v>45855</v>
      </c>
      <c r="E6619" t="s">
        <v>17</v>
      </c>
      <c r="F6619">
        <v>6400</v>
      </c>
      <c r="J6619">
        <v>32.299999999999997</v>
      </c>
      <c r="K6619">
        <v>32.799999999999997</v>
      </c>
      <c r="L6619">
        <v>0</v>
      </c>
      <c r="M6619" t="s">
        <v>18</v>
      </c>
      <c r="N6619">
        <v>0</v>
      </c>
      <c r="O6619">
        <v>0</v>
      </c>
    </row>
    <row r="6620" spans="1:15" x14ac:dyDescent="0.2">
      <c r="A6620" s="6">
        <v>45786</v>
      </c>
      <c r="B6620" t="s">
        <v>15</v>
      </c>
      <c r="C6620" t="s">
        <v>16</v>
      </c>
      <c r="D6620" s="1">
        <v>45855</v>
      </c>
      <c r="E6620" t="s">
        <v>19</v>
      </c>
      <c r="F6620">
        <v>4950</v>
      </c>
      <c r="J6620">
        <v>205.9</v>
      </c>
      <c r="K6620">
        <v>231.6</v>
      </c>
      <c r="L6620">
        <v>0</v>
      </c>
      <c r="M6620" t="s">
        <v>18</v>
      </c>
      <c r="N6620">
        <v>0</v>
      </c>
      <c r="O6620">
        <v>0</v>
      </c>
    </row>
    <row r="6621" spans="1:15" x14ac:dyDescent="0.2">
      <c r="A6621" s="6">
        <v>45786</v>
      </c>
      <c r="B6621" t="s">
        <v>15</v>
      </c>
      <c r="C6621" t="s">
        <v>16</v>
      </c>
      <c r="D6621" s="1">
        <v>45855</v>
      </c>
      <c r="E6621" t="s">
        <v>17</v>
      </c>
      <c r="F6621">
        <v>5750</v>
      </c>
      <c r="J6621">
        <v>119.3</v>
      </c>
      <c r="K6621">
        <v>116.8</v>
      </c>
      <c r="L6621">
        <v>0</v>
      </c>
      <c r="M6621" t="s">
        <v>18</v>
      </c>
      <c r="N6621">
        <v>0</v>
      </c>
      <c r="O6621">
        <v>0</v>
      </c>
    </row>
    <row r="6622" spans="1:15" x14ac:dyDescent="0.2">
      <c r="A6622" s="6">
        <v>45786</v>
      </c>
      <c r="B6622" t="s">
        <v>15</v>
      </c>
      <c r="C6622" t="s">
        <v>16</v>
      </c>
      <c r="D6622" s="1">
        <v>45855</v>
      </c>
      <c r="E6622" t="s">
        <v>19</v>
      </c>
      <c r="F6622">
        <v>5050</v>
      </c>
      <c r="J6622">
        <v>249.4</v>
      </c>
      <c r="K6622">
        <v>277.60000000000002</v>
      </c>
      <c r="L6622">
        <v>0</v>
      </c>
      <c r="M6622" t="s">
        <v>18</v>
      </c>
      <c r="N6622">
        <v>0</v>
      </c>
      <c r="O6622">
        <v>0</v>
      </c>
    </row>
    <row r="6623" spans="1:15" x14ac:dyDescent="0.2">
      <c r="A6623" s="6">
        <v>45786</v>
      </c>
      <c r="B6623" t="s">
        <v>15</v>
      </c>
      <c r="C6623" t="s">
        <v>16</v>
      </c>
      <c r="D6623" s="1">
        <v>45855</v>
      </c>
      <c r="E6623" t="s">
        <v>19</v>
      </c>
      <c r="F6623">
        <v>6400</v>
      </c>
      <c r="J6623">
        <v>1242.5</v>
      </c>
      <c r="K6623">
        <v>1285.2</v>
      </c>
      <c r="L6623">
        <v>0</v>
      </c>
      <c r="M6623" t="s">
        <v>18</v>
      </c>
      <c r="N6623">
        <v>0</v>
      </c>
      <c r="O6623">
        <v>0</v>
      </c>
    </row>
    <row r="6624" spans="1:15" x14ac:dyDescent="0.2">
      <c r="A6624" s="6">
        <v>45786</v>
      </c>
      <c r="B6624" t="s">
        <v>15</v>
      </c>
      <c r="C6624" t="s">
        <v>16</v>
      </c>
      <c r="D6624" s="1">
        <v>45855</v>
      </c>
      <c r="E6624" t="s">
        <v>19</v>
      </c>
      <c r="F6624">
        <v>5900</v>
      </c>
      <c r="J6624">
        <v>806.2</v>
      </c>
      <c r="K6624">
        <v>847.3</v>
      </c>
      <c r="L6624">
        <v>0</v>
      </c>
      <c r="M6624" t="s">
        <v>18</v>
      </c>
      <c r="N6624">
        <v>0</v>
      </c>
      <c r="O6624">
        <v>0</v>
      </c>
    </row>
    <row r="6625" spans="1:15" x14ac:dyDescent="0.2">
      <c r="A6625" s="6">
        <v>45786</v>
      </c>
      <c r="B6625" t="s">
        <v>15</v>
      </c>
      <c r="C6625" t="s">
        <v>16</v>
      </c>
      <c r="D6625" s="1">
        <v>45855</v>
      </c>
      <c r="E6625" t="s">
        <v>19</v>
      </c>
      <c r="F6625">
        <v>5300</v>
      </c>
      <c r="J6625">
        <v>380.3</v>
      </c>
      <c r="K6625">
        <v>413.9</v>
      </c>
      <c r="L6625">
        <v>0</v>
      </c>
      <c r="M6625" t="s">
        <v>18</v>
      </c>
      <c r="N6625">
        <v>0</v>
      </c>
      <c r="O6625">
        <v>0</v>
      </c>
    </row>
    <row r="6626" spans="1:15" x14ac:dyDescent="0.2">
      <c r="A6626" s="6">
        <v>45786</v>
      </c>
      <c r="B6626" t="s">
        <v>15</v>
      </c>
      <c r="C6626" t="s">
        <v>16</v>
      </c>
      <c r="D6626" s="1">
        <v>45855</v>
      </c>
      <c r="E6626" t="s">
        <v>19</v>
      </c>
      <c r="F6626">
        <v>4600</v>
      </c>
      <c r="J6626">
        <v>92.8</v>
      </c>
      <c r="K6626">
        <v>109.3</v>
      </c>
      <c r="L6626">
        <v>0</v>
      </c>
      <c r="M6626" t="s">
        <v>18</v>
      </c>
      <c r="N6626">
        <v>0</v>
      </c>
      <c r="O6626">
        <v>0</v>
      </c>
    </row>
    <row r="6627" spans="1:15" x14ac:dyDescent="0.2">
      <c r="A6627" s="6">
        <v>45786</v>
      </c>
      <c r="B6627" t="s">
        <v>15</v>
      </c>
      <c r="C6627" t="s">
        <v>16</v>
      </c>
      <c r="D6627" s="1">
        <v>45855</v>
      </c>
      <c r="E6627" t="s">
        <v>19</v>
      </c>
      <c r="F6627">
        <v>5450</v>
      </c>
      <c r="J6627">
        <v>473.3</v>
      </c>
      <c r="K6627">
        <v>509.4</v>
      </c>
      <c r="L6627">
        <v>0</v>
      </c>
      <c r="M6627" t="s">
        <v>18</v>
      </c>
      <c r="N6627">
        <v>0</v>
      </c>
      <c r="O6627">
        <v>0</v>
      </c>
    </row>
    <row r="6628" spans="1:15" x14ac:dyDescent="0.2">
      <c r="A6628" s="6">
        <v>45786</v>
      </c>
      <c r="B6628" t="s">
        <v>15</v>
      </c>
      <c r="C6628" t="s">
        <v>16</v>
      </c>
      <c r="D6628" s="1">
        <v>45855</v>
      </c>
      <c r="E6628" t="s">
        <v>19</v>
      </c>
      <c r="F6628">
        <v>5400</v>
      </c>
      <c r="J6628">
        <v>441.2</v>
      </c>
      <c r="K6628">
        <v>476.5</v>
      </c>
      <c r="L6628">
        <v>0</v>
      </c>
      <c r="M6628" t="s">
        <v>18</v>
      </c>
      <c r="N6628">
        <v>0</v>
      </c>
      <c r="O6628">
        <v>0</v>
      </c>
    </row>
    <row r="6629" spans="1:15" x14ac:dyDescent="0.2">
      <c r="A6629" s="6">
        <v>45786</v>
      </c>
      <c r="B6629" t="s">
        <v>15</v>
      </c>
      <c r="C6629" t="s">
        <v>16</v>
      </c>
      <c r="D6629" s="1">
        <v>45855</v>
      </c>
      <c r="E6629" t="s">
        <v>19</v>
      </c>
      <c r="F6629">
        <v>4450</v>
      </c>
      <c r="J6629">
        <v>61.5</v>
      </c>
      <c r="K6629">
        <v>74.3</v>
      </c>
      <c r="L6629">
        <v>0</v>
      </c>
      <c r="M6629" t="s">
        <v>18</v>
      </c>
      <c r="N6629">
        <v>0</v>
      </c>
      <c r="O6629">
        <v>0</v>
      </c>
    </row>
    <row r="6630" spans="1:15" x14ac:dyDescent="0.2">
      <c r="A6630" s="6">
        <v>45786</v>
      </c>
      <c r="B6630" t="s">
        <v>15</v>
      </c>
      <c r="C6630" t="s">
        <v>16</v>
      </c>
      <c r="D6630" s="1">
        <v>45855</v>
      </c>
      <c r="E6630" t="s">
        <v>17</v>
      </c>
      <c r="F6630">
        <v>3750</v>
      </c>
      <c r="J6630">
        <v>1411.9</v>
      </c>
      <c r="K6630">
        <v>1371</v>
      </c>
      <c r="L6630">
        <v>0</v>
      </c>
      <c r="M6630" t="s">
        <v>18</v>
      </c>
      <c r="N6630">
        <v>0</v>
      </c>
      <c r="O6630">
        <v>0</v>
      </c>
    </row>
    <row r="6631" spans="1:15" x14ac:dyDescent="0.2">
      <c r="A6631" s="6">
        <v>45786</v>
      </c>
      <c r="B6631" t="s">
        <v>15</v>
      </c>
      <c r="C6631" t="s">
        <v>16</v>
      </c>
      <c r="D6631" s="1">
        <v>45855</v>
      </c>
      <c r="E6631" t="s">
        <v>17</v>
      </c>
      <c r="F6631">
        <v>5600</v>
      </c>
      <c r="J6631">
        <v>156.1</v>
      </c>
      <c r="K6631">
        <v>151.9</v>
      </c>
      <c r="L6631">
        <v>0</v>
      </c>
      <c r="M6631" t="s">
        <v>18</v>
      </c>
      <c r="N6631">
        <v>0</v>
      </c>
      <c r="O6631">
        <v>0</v>
      </c>
    </row>
    <row r="6632" spans="1:15" x14ac:dyDescent="0.2">
      <c r="A6632" s="6">
        <v>45786</v>
      </c>
      <c r="B6632" t="s">
        <v>15</v>
      </c>
      <c r="C6632" t="s">
        <v>16</v>
      </c>
      <c r="D6632" s="1">
        <v>45855</v>
      </c>
      <c r="E6632" t="s">
        <v>17</v>
      </c>
      <c r="F6632">
        <v>6050</v>
      </c>
      <c r="J6632">
        <v>67.099999999999994</v>
      </c>
      <c r="K6632">
        <v>66.599999999999994</v>
      </c>
      <c r="L6632">
        <v>0</v>
      </c>
      <c r="M6632" t="s">
        <v>18</v>
      </c>
      <c r="N6632">
        <v>0</v>
      </c>
      <c r="O6632">
        <v>0</v>
      </c>
    </row>
    <row r="6633" spans="1:15" x14ac:dyDescent="0.2">
      <c r="A6633" s="6">
        <v>45786</v>
      </c>
      <c r="B6633" t="s">
        <v>15</v>
      </c>
      <c r="C6633" t="s">
        <v>16</v>
      </c>
      <c r="D6633" s="1">
        <v>45855</v>
      </c>
      <c r="E6633" t="s">
        <v>19</v>
      </c>
      <c r="F6633">
        <v>3700</v>
      </c>
      <c r="J6633">
        <v>3.2</v>
      </c>
      <c r="K6633">
        <v>4.7</v>
      </c>
      <c r="L6633">
        <v>0</v>
      </c>
      <c r="M6633" t="s">
        <v>18</v>
      </c>
      <c r="N6633">
        <v>0</v>
      </c>
      <c r="O6633">
        <v>0</v>
      </c>
    </row>
    <row r="6634" spans="1:15" x14ac:dyDescent="0.2">
      <c r="A6634" s="6">
        <v>45786</v>
      </c>
      <c r="B6634" t="s">
        <v>15</v>
      </c>
      <c r="C6634" t="s">
        <v>16</v>
      </c>
      <c r="D6634" s="1">
        <v>45855</v>
      </c>
      <c r="E6634" t="s">
        <v>17</v>
      </c>
      <c r="F6634">
        <v>6650</v>
      </c>
      <c r="J6634">
        <v>18.5</v>
      </c>
      <c r="K6634">
        <v>19.2</v>
      </c>
      <c r="L6634">
        <v>0</v>
      </c>
      <c r="M6634" t="s">
        <v>18</v>
      </c>
      <c r="N6634">
        <v>0</v>
      </c>
      <c r="O6634">
        <v>0</v>
      </c>
    </row>
    <row r="6635" spans="1:15" x14ac:dyDescent="0.2">
      <c r="A6635" s="6">
        <v>45786</v>
      </c>
      <c r="B6635" t="s">
        <v>15</v>
      </c>
      <c r="C6635" t="s">
        <v>16</v>
      </c>
      <c r="D6635" s="1">
        <v>45855</v>
      </c>
      <c r="E6635" t="s">
        <v>17</v>
      </c>
      <c r="F6635">
        <v>6550</v>
      </c>
      <c r="J6635">
        <v>23.2</v>
      </c>
      <c r="K6635">
        <v>23.8</v>
      </c>
      <c r="L6635">
        <v>0</v>
      </c>
      <c r="M6635" t="s">
        <v>18</v>
      </c>
      <c r="N6635">
        <v>0</v>
      </c>
      <c r="O6635">
        <v>0</v>
      </c>
    </row>
    <row r="6636" spans="1:15" x14ac:dyDescent="0.2">
      <c r="A6636" s="6">
        <v>45786</v>
      </c>
      <c r="B6636" t="s">
        <v>15</v>
      </c>
      <c r="C6636" t="s">
        <v>16</v>
      </c>
      <c r="D6636" s="1">
        <v>45855</v>
      </c>
      <c r="E6636" t="s">
        <v>19</v>
      </c>
      <c r="F6636">
        <v>3750</v>
      </c>
      <c r="J6636">
        <v>4.2</v>
      </c>
      <c r="K6636">
        <v>6</v>
      </c>
      <c r="L6636">
        <v>0</v>
      </c>
      <c r="M6636" t="s">
        <v>18</v>
      </c>
      <c r="N6636">
        <v>0</v>
      </c>
      <c r="O6636">
        <v>0</v>
      </c>
    </row>
    <row r="6637" spans="1:15" x14ac:dyDescent="0.2">
      <c r="A6637" s="6">
        <v>45786</v>
      </c>
      <c r="B6637" t="s">
        <v>15</v>
      </c>
      <c r="C6637" t="s">
        <v>16</v>
      </c>
      <c r="D6637" s="1">
        <v>45855</v>
      </c>
      <c r="E6637" t="s">
        <v>19</v>
      </c>
      <c r="F6637">
        <v>4550</v>
      </c>
      <c r="J6637">
        <v>81.3</v>
      </c>
      <c r="K6637">
        <v>96.6</v>
      </c>
      <c r="L6637">
        <v>0</v>
      </c>
      <c r="M6637" t="s">
        <v>18</v>
      </c>
      <c r="N6637">
        <v>0</v>
      </c>
      <c r="O6637">
        <v>0</v>
      </c>
    </row>
    <row r="6638" spans="1:15" x14ac:dyDescent="0.2">
      <c r="A6638" s="6">
        <v>45786</v>
      </c>
      <c r="B6638" t="s">
        <v>15</v>
      </c>
      <c r="C6638" t="s">
        <v>16</v>
      </c>
      <c r="D6638" s="1">
        <v>45855</v>
      </c>
      <c r="E6638" t="s">
        <v>19</v>
      </c>
      <c r="F6638">
        <v>4700</v>
      </c>
      <c r="J6638">
        <v>119.1</v>
      </c>
      <c r="K6638">
        <v>138.30000000000001</v>
      </c>
      <c r="L6638">
        <v>0</v>
      </c>
      <c r="M6638" t="s">
        <v>18</v>
      </c>
      <c r="N6638">
        <v>0</v>
      </c>
      <c r="O6638">
        <v>0</v>
      </c>
    </row>
    <row r="6639" spans="1:15" x14ac:dyDescent="0.2">
      <c r="A6639" s="6">
        <v>45786</v>
      </c>
      <c r="B6639" t="s">
        <v>15</v>
      </c>
      <c r="C6639" t="s">
        <v>16</v>
      </c>
      <c r="D6639" s="1">
        <v>45855</v>
      </c>
      <c r="E6639" t="s">
        <v>19</v>
      </c>
      <c r="F6639">
        <v>5700</v>
      </c>
      <c r="J6639">
        <v>649.29999999999995</v>
      </c>
      <c r="K6639">
        <v>688.7</v>
      </c>
      <c r="L6639">
        <v>0</v>
      </c>
      <c r="M6639" t="s">
        <v>18</v>
      </c>
      <c r="N6639">
        <v>0</v>
      </c>
      <c r="O6639">
        <v>0</v>
      </c>
    </row>
    <row r="6640" spans="1:15" x14ac:dyDescent="0.2">
      <c r="A6640" s="6">
        <v>45786</v>
      </c>
      <c r="B6640" t="s">
        <v>15</v>
      </c>
      <c r="C6640" t="s">
        <v>16</v>
      </c>
      <c r="D6640" s="1">
        <v>45855</v>
      </c>
      <c r="E6640" t="s">
        <v>19</v>
      </c>
      <c r="F6640">
        <v>5200</v>
      </c>
      <c r="J6640">
        <v>324.3</v>
      </c>
      <c r="K6640">
        <v>355.8</v>
      </c>
      <c r="L6640">
        <v>0</v>
      </c>
      <c r="M6640" t="s">
        <v>18</v>
      </c>
      <c r="N6640">
        <v>0</v>
      </c>
      <c r="O6640">
        <v>0</v>
      </c>
    </row>
    <row r="6641" spans="1:15" x14ac:dyDescent="0.2">
      <c r="A6641" s="6">
        <v>45786</v>
      </c>
      <c r="B6641" t="s">
        <v>15</v>
      </c>
      <c r="C6641" t="s">
        <v>16</v>
      </c>
      <c r="D6641" s="1">
        <v>45855</v>
      </c>
      <c r="E6641" t="s">
        <v>19</v>
      </c>
      <c r="F6641">
        <v>6250</v>
      </c>
      <c r="J6641">
        <v>1106.5</v>
      </c>
      <c r="K6641">
        <v>1149</v>
      </c>
      <c r="L6641">
        <v>0</v>
      </c>
      <c r="M6641" t="s">
        <v>18</v>
      </c>
      <c r="N6641">
        <v>0</v>
      </c>
      <c r="O6641">
        <v>0</v>
      </c>
    </row>
    <row r="6642" spans="1:15" x14ac:dyDescent="0.2">
      <c r="A6642" s="6">
        <v>45786</v>
      </c>
      <c r="B6642" t="s">
        <v>15</v>
      </c>
      <c r="C6642" t="s">
        <v>16</v>
      </c>
      <c r="D6642" s="1">
        <v>45855</v>
      </c>
      <c r="E6642" t="s">
        <v>17</v>
      </c>
      <c r="F6642">
        <v>6200</v>
      </c>
      <c r="J6642">
        <v>49.4</v>
      </c>
      <c r="K6642">
        <v>49.5</v>
      </c>
      <c r="L6642">
        <v>0</v>
      </c>
      <c r="M6642" t="s">
        <v>18</v>
      </c>
      <c r="N6642">
        <v>0</v>
      </c>
      <c r="O6642">
        <v>0</v>
      </c>
    </row>
    <row r="6643" spans="1:15" x14ac:dyDescent="0.2">
      <c r="A6643" s="6">
        <v>45786</v>
      </c>
      <c r="B6643" t="s">
        <v>15</v>
      </c>
      <c r="C6643" t="s">
        <v>16</v>
      </c>
      <c r="D6643" s="1">
        <v>45855</v>
      </c>
      <c r="E6643" t="s">
        <v>17</v>
      </c>
      <c r="F6643">
        <v>6250</v>
      </c>
      <c r="J6643">
        <v>44.5</v>
      </c>
      <c r="K6643">
        <v>44.8</v>
      </c>
      <c r="L6643">
        <v>0</v>
      </c>
      <c r="M6643" t="s">
        <v>18</v>
      </c>
      <c r="N6643">
        <v>0</v>
      </c>
      <c r="O6643">
        <v>0</v>
      </c>
    </row>
    <row r="6644" spans="1:15" x14ac:dyDescent="0.2">
      <c r="A6644" s="6">
        <v>45786</v>
      </c>
      <c r="B6644" t="s">
        <v>15</v>
      </c>
      <c r="C6644" t="s">
        <v>16</v>
      </c>
      <c r="D6644" s="1">
        <v>45855</v>
      </c>
      <c r="E6644" t="s">
        <v>17</v>
      </c>
      <c r="F6644">
        <v>5050</v>
      </c>
      <c r="J6644">
        <v>372.9</v>
      </c>
      <c r="K6644">
        <v>358.6</v>
      </c>
      <c r="L6644">
        <v>0</v>
      </c>
      <c r="M6644" t="s">
        <v>18</v>
      </c>
      <c r="N6644">
        <v>0</v>
      </c>
      <c r="O6644">
        <v>0</v>
      </c>
    </row>
    <row r="6645" spans="1:15" x14ac:dyDescent="0.2">
      <c r="A6645" s="6">
        <v>45786</v>
      </c>
      <c r="B6645" t="s">
        <v>15</v>
      </c>
      <c r="C6645" t="s">
        <v>16</v>
      </c>
      <c r="D6645" s="1">
        <v>45855</v>
      </c>
      <c r="E6645" t="s">
        <v>19</v>
      </c>
      <c r="F6645">
        <v>3900</v>
      </c>
      <c r="J6645">
        <v>8.4</v>
      </c>
      <c r="K6645">
        <v>11.6</v>
      </c>
      <c r="L6645">
        <v>0</v>
      </c>
      <c r="M6645" t="s">
        <v>18</v>
      </c>
      <c r="N6645">
        <v>0</v>
      </c>
      <c r="O6645">
        <v>0</v>
      </c>
    </row>
    <row r="6646" spans="1:15" x14ac:dyDescent="0.2">
      <c r="A6646" s="6">
        <v>45786</v>
      </c>
      <c r="B6646" t="s">
        <v>15</v>
      </c>
      <c r="C6646" t="s">
        <v>16</v>
      </c>
      <c r="D6646" s="1">
        <v>45855</v>
      </c>
      <c r="E6646" t="s">
        <v>17</v>
      </c>
      <c r="F6646">
        <v>6500</v>
      </c>
      <c r="J6646">
        <v>26</v>
      </c>
      <c r="K6646">
        <v>26.5</v>
      </c>
      <c r="L6646">
        <v>0</v>
      </c>
      <c r="M6646" t="s">
        <v>18</v>
      </c>
      <c r="N6646">
        <v>0</v>
      </c>
      <c r="O6646">
        <v>0</v>
      </c>
    </row>
    <row r="6647" spans="1:15" x14ac:dyDescent="0.2">
      <c r="A6647" s="6">
        <v>45786</v>
      </c>
      <c r="B6647" t="s">
        <v>15</v>
      </c>
      <c r="C6647" t="s">
        <v>16</v>
      </c>
      <c r="D6647" s="1">
        <v>45855</v>
      </c>
      <c r="E6647" t="s">
        <v>17</v>
      </c>
      <c r="F6647">
        <v>5900</v>
      </c>
      <c r="J6647">
        <v>90</v>
      </c>
      <c r="K6647">
        <v>88.7</v>
      </c>
      <c r="L6647">
        <v>0</v>
      </c>
      <c r="M6647" t="s">
        <v>18</v>
      </c>
      <c r="N6647">
        <v>0</v>
      </c>
      <c r="O6647">
        <v>0</v>
      </c>
    </row>
    <row r="6648" spans="1:15" x14ac:dyDescent="0.2">
      <c r="A6648" s="6">
        <v>45786</v>
      </c>
      <c r="B6648" t="s">
        <v>15</v>
      </c>
      <c r="C6648" t="s">
        <v>16</v>
      </c>
      <c r="D6648" s="1">
        <v>45855</v>
      </c>
      <c r="E6648" t="s">
        <v>19</v>
      </c>
      <c r="F6648">
        <v>4650</v>
      </c>
      <c r="J6648">
        <v>105.4</v>
      </c>
      <c r="K6648">
        <v>123.2</v>
      </c>
      <c r="L6648">
        <v>0</v>
      </c>
      <c r="M6648" t="s">
        <v>18</v>
      </c>
      <c r="N6648">
        <v>0</v>
      </c>
      <c r="O6648">
        <v>0</v>
      </c>
    </row>
    <row r="6649" spans="1:15" x14ac:dyDescent="0.2">
      <c r="A6649" s="6">
        <v>45786</v>
      </c>
      <c r="B6649" t="s">
        <v>15</v>
      </c>
      <c r="C6649" t="s">
        <v>16</v>
      </c>
      <c r="D6649" s="1">
        <v>45855</v>
      </c>
      <c r="E6649" t="s">
        <v>17</v>
      </c>
      <c r="F6649">
        <v>4600</v>
      </c>
      <c r="J6649">
        <v>660.8</v>
      </c>
      <c r="K6649">
        <v>634.79999999999995</v>
      </c>
      <c r="L6649">
        <v>0</v>
      </c>
      <c r="M6649" t="s">
        <v>18</v>
      </c>
      <c r="N6649">
        <v>0</v>
      </c>
      <c r="O6649">
        <v>0</v>
      </c>
    </row>
    <row r="6650" spans="1:15" x14ac:dyDescent="0.2">
      <c r="A6650" s="6">
        <v>45786</v>
      </c>
      <c r="B6650" t="s">
        <v>15</v>
      </c>
      <c r="C6650" t="s">
        <v>16</v>
      </c>
      <c r="D6650" s="1">
        <v>45855</v>
      </c>
      <c r="E6650" t="s">
        <v>19</v>
      </c>
      <c r="F6650">
        <v>5150</v>
      </c>
      <c r="J6650">
        <v>298.10000000000002</v>
      </c>
      <c r="K6650">
        <v>328.5</v>
      </c>
      <c r="L6650">
        <v>0</v>
      </c>
      <c r="M6650" t="s">
        <v>18</v>
      </c>
      <c r="N6650">
        <v>0</v>
      </c>
      <c r="O6650">
        <v>0</v>
      </c>
    </row>
    <row r="6651" spans="1:15" x14ac:dyDescent="0.2">
      <c r="A6651" s="6">
        <v>45786</v>
      </c>
      <c r="B6651" t="s">
        <v>15</v>
      </c>
      <c r="C6651" t="s">
        <v>16</v>
      </c>
      <c r="D6651" s="1">
        <v>45855</v>
      </c>
      <c r="E6651" t="s">
        <v>17</v>
      </c>
      <c r="F6651">
        <v>4150</v>
      </c>
      <c r="J6651">
        <v>1035.7</v>
      </c>
      <c r="K6651">
        <v>999.6</v>
      </c>
      <c r="L6651">
        <v>0</v>
      </c>
      <c r="M6651" t="s">
        <v>18</v>
      </c>
      <c r="N6651">
        <v>0</v>
      </c>
      <c r="O6651">
        <v>0</v>
      </c>
    </row>
    <row r="6652" spans="1:15" x14ac:dyDescent="0.2">
      <c r="A6652" s="6">
        <v>45786</v>
      </c>
      <c r="B6652" t="s">
        <v>15</v>
      </c>
      <c r="C6652" t="s">
        <v>16</v>
      </c>
      <c r="D6652" s="1">
        <v>45855</v>
      </c>
      <c r="E6652" t="s">
        <v>17</v>
      </c>
      <c r="F6652">
        <v>6300</v>
      </c>
      <c r="J6652">
        <v>40.1</v>
      </c>
      <c r="K6652">
        <v>40.4</v>
      </c>
      <c r="L6652">
        <v>0</v>
      </c>
      <c r="M6652" t="s">
        <v>18</v>
      </c>
      <c r="N6652">
        <v>0</v>
      </c>
      <c r="O6652">
        <v>0</v>
      </c>
    </row>
    <row r="6653" spans="1:15" x14ac:dyDescent="0.2">
      <c r="A6653" s="6">
        <v>45786</v>
      </c>
      <c r="B6653" t="s">
        <v>15</v>
      </c>
      <c r="C6653" t="s">
        <v>16</v>
      </c>
      <c r="D6653" s="1">
        <v>45855</v>
      </c>
      <c r="E6653" t="s">
        <v>19</v>
      </c>
      <c r="F6653">
        <v>6550</v>
      </c>
      <c r="J6653">
        <v>1381.6</v>
      </c>
      <c r="K6653">
        <v>1424.4</v>
      </c>
      <c r="L6653">
        <v>0</v>
      </c>
      <c r="M6653" t="s">
        <v>18</v>
      </c>
      <c r="N6653">
        <v>0</v>
      </c>
      <c r="O6653">
        <v>0</v>
      </c>
    </row>
    <row r="6654" spans="1:15" x14ac:dyDescent="0.2">
      <c r="A6654" s="6">
        <v>45786</v>
      </c>
      <c r="B6654" t="s">
        <v>15</v>
      </c>
      <c r="C6654" t="s">
        <v>16</v>
      </c>
      <c r="D6654" s="1">
        <v>45855</v>
      </c>
      <c r="E6654" t="s">
        <v>17</v>
      </c>
      <c r="F6654">
        <v>6350</v>
      </c>
      <c r="J6654">
        <v>36</v>
      </c>
      <c r="K6654">
        <v>36.4</v>
      </c>
      <c r="L6654">
        <v>0</v>
      </c>
      <c r="M6654" t="s">
        <v>18</v>
      </c>
      <c r="N6654">
        <v>0</v>
      </c>
      <c r="O6654">
        <v>0</v>
      </c>
    </row>
    <row r="6655" spans="1:15" x14ac:dyDescent="0.2">
      <c r="A6655" s="6">
        <v>45786</v>
      </c>
      <c r="B6655" t="s">
        <v>15</v>
      </c>
      <c r="C6655" t="s">
        <v>16</v>
      </c>
      <c r="D6655" s="1">
        <v>45855</v>
      </c>
      <c r="E6655" t="s">
        <v>19</v>
      </c>
      <c r="F6655">
        <v>4500</v>
      </c>
      <c r="J6655">
        <v>70.900000000000006</v>
      </c>
      <c r="K6655">
        <v>84.9</v>
      </c>
      <c r="L6655">
        <v>0</v>
      </c>
      <c r="M6655" t="s">
        <v>18</v>
      </c>
      <c r="N6655">
        <v>0</v>
      </c>
      <c r="O6655">
        <v>0</v>
      </c>
    </row>
    <row r="6656" spans="1:15" x14ac:dyDescent="0.2">
      <c r="A6656" s="6">
        <v>45786</v>
      </c>
      <c r="B6656" t="s">
        <v>15</v>
      </c>
      <c r="C6656" t="s">
        <v>16</v>
      </c>
      <c r="D6656" s="1">
        <v>45855</v>
      </c>
      <c r="E6656" t="s">
        <v>17</v>
      </c>
      <c r="F6656">
        <v>5450</v>
      </c>
      <c r="J6656">
        <v>201.6</v>
      </c>
      <c r="K6656">
        <v>195.3</v>
      </c>
      <c r="L6656">
        <v>0</v>
      </c>
      <c r="M6656" t="s">
        <v>18</v>
      </c>
      <c r="N6656">
        <v>0</v>
      </c>
      <c r="O6656">
        <v>0</v>
      </c>
    </row>
    <row r="6657" spans="1:15" x14ac:dyDescent="0.2">
      <c r="A6657" s="6">
        <v>45786</v>
      </c>
      <c r="B6657" t="s">
        <v>15</v>
      </c>
      <c r="C6657" t="s">
        <v>16</v>
      </c>
      <c r="D6657" s="1">
        <v>45855</v>
      </c>
      <c r="E6657" t="s">
        <v>19</v>
      </c>
      <c r="F6657">
        <v>5950</v>
      </c>
      <c r="J6657">
        <v>847.3</v>
      </c>
      <c r="K6657">
        <v>888.7</v>
      </c>
      <c r="L6657">
        <v>0</v>
      </c>
      <c r="M6657" t="s">
        <v>18</v>
      </c>
      <c r="N6657">
        <v>0</v>
      </c>
      <c r="O6657">
        <v>0</v>
      </c>
    </row>
    <row r="6658" spans="1:15" x14ac:dyDescent="0.2">
      <c r="A6658" s="6">
        <v>45786</v>
      </c>
      <c r="B6658" t="s">
        <v>15</v>
      </c>
      <c r="C6658" t="s">
        <v>16</v>
      </c>
      <c r="D6658" s="1">
        <v>45855</v>
      </c>
      <c r="E6658" t="s">
        <v>19</v>
      </c>
      <c r="F6658">
        <v>4050</v>
      </c>
      <c r="J6658">
        <v>15.8</v>
      </c>
      <c r="K6658">
        <v>20.8</v>
      </c>
      <c r="L6658">
        <v>0</v>
      </c>
      <c r="M6658" t="s">
        <v>18</v>
      </c>
      <c r="N6658">
        <v>0</v>
      </c>
      <c r="O6658">
        <v>0</v>
      </c>
    </row>
    <row r="6659" spans="1:15" x14ac:dyDescent="0.2">
      <c r="A6659" s="6">
        <v>45786</v>
      </c>
      <c r="B6659" t="s">
        <v>15</v>
      </c>
      <c r="C6659" t="s">
        <v>16</v>
      </c>
      <c r="D6659" s="1">
        <v>45855</v>
      </c>
      <c r="E6659" t="s">
        <v>17</v>
      </c>
      <c r="F6659">
        <v>6000</v>
      </c>
      <c r="J6659">
        <v>74.099999999999994</v>
      </c>
      <c r="K6659">
        <v>73.400000000000006</v>
      </c>
      <c r="L6659">
        <v>0</v>
      </c>
      <c r="M6659" t="s">
        <v>18</v>
      </c>
      <c r="N6659">
        <v>0</v>
      </c>
      <c r="O6659">
        <v>0</v>
      </c>
    </row>
    <row r="6660" spans="1:15" x14ac:dyDescent="0.2">
      <c r="A6660" s="6">
        <v>45786</v>
      </c>
      <c r="B6660" t="s">
        <v>15</v>
      </c>
      <c r="C6660" t="s">
        <v>16</v>
      </c>
      <c r="D6660" s="1">
        <v>45855</v>
      </c>
      <c r="E6660" t="s">
        <v>17</v>
      </c>
      <c r="F6660">
        <v>5500</v>
      </c>
      <c r="J6660">
        <v>185.4</v>
      </c>
      <c r="K6660">
        <v>179.9</v>
      </c>
      <c r="L6660">
        <v>0</v>
      </c>
      <c r="M6660" t="s">
        <v>18</v>
      </c>
      <c r="N6660">
        <v>0</v>
      </c>
      <c r="O6660">
        <v>0</v>
      </c>
    </row>
    <row r="6661" spans="1:15" x14ac:dyDescent="0.2">
      <c r="A6661" s="6">
        <v>45786</v>
      </c>
      <c r="B6661" t="s">
        <v>15</v>
      </c>
      <c r="C6661" t="s">
        <v>16</v>
      </c>
      <c r="D6661" s="1">
        <v>45855</v>
      </c>
      <c r="E6661" t="s">
        <v>19</v>
      </c>
      <c r="F6661">
        <v>4100</v>
      </c>
      <c r="J6661">
        <v>19.2</v>
      </c>
      <c r="K6661">
        <v>24.9</v>
      </c>
      <c r="L6661">
        <v>0</v>
      </c>
      <c r="M6661" t="s">
        <v>18</v>
      </c>
      <c r="N6661">
        <v>0</v>
      </c>
      <c r="O6661">
        <v>0</v>
      </c>
    </row>
    <row r="6662" spans="1:15" x14ac:dyDescent="0.2">
      <c r="A6662" s="6">
        <v>45786</v>
      </c>
      <c r="B6662" t="s">
        <v>15</v>
      </c>
      <c r="C6662" t="s">
        <v>16</v>
      </c>
      <c r="D6662" s="1">
        <v>45855</v>
      </c>
      <c r="E6662" t="s">
        <v>17</v>
      </c>
      <c r="F6662">
        <v>4850</v>
      </c>
      <c r="J6662">
        <v>488.5</v>
      </c>
      <c r="K6662">
        <v>469.1</v>
      </c>
      <c r="L6662">
        <v>0</v>
      </c>
      <c r="M6662" t="s">
        <v>18</v>
      </c>
      <c r="N6662">
        <v>0</v>
      </c>
      <c r="O6662">
        <v>0</v>
      </c>
    </row>
    <row r="6663" spans="1:15" x14ac:dyDescent="0.2">
      <c r="A6663" s="6">
        <v>45786</v>
      </c>
      <c r="B6663" t="s">
        <v>15</v>
      </c>
      <c r="C6663" t="s">
        <v>16</v>
      </c>
      <c r="D6663" s="1">
        <v>45855</v>
      </c>
      <c r="E6663" t="s">
        <v>17</v>
      </c>
      <c r="F6663">
        <v>4550</v>
      </c>
      <c r="J6663">
        <v>698.7</v>
      </c>
      <c r="K6663">
        <v>671.4</v>
      </c>
      <c r="L6663">
        <v>0</v>
      </c>
      <c r="M6663" t="s">
        <v>18</v>
      </c>
      <c r="N6663">
        <v>0</v>
      </c>
      <c r="O6663">
        <v>0</v>
      </c>
    </row>
    <row r="6664" spans="1:15" x14ac:dyDescent="0.2">
      <c r="A6664" s="6">
        <v>45786</v>
      </c>
      <c r="B6664" t="s">
        <v>15</v>
      </c>
      <c r="C6664" t="s">
        <v>16</v>
      </c>
      <c r="D6664" s="1">
        <v>45855</v>
      </c>
      <c r="E6664" t="s">
        <v>19</v>
      </c>
      <c r="F6664">
        <v>4400</v>
      </c>
      <c r="J6664">
        <v>53</v>
      </c>
      <c r="K6664">
        <v>64.7</v>
      </c>
      <c r="L6664">
        <v>0</v>
      </c>
      <c r="M6664" t="s">
        <v>18</v>
      </c>
      <c r="N6664">
        <v>0</v>
      </c>
      <c r="O6664">
        <v>0</v>
      </c>
    </row>
    <row r="6665" spans="1:15" x14ac:dyDescent="0.2">
      <c r="A6665" s="6">
        <v>45786</v>
      </c>
      <c r="B6665" t="s">
        <v>15</v>
      </c>
      <c r="C6665" t="s">
        <v>16</v>
      </c>
      <c r="D6665" s="1">
        <v>45855</v>
      </c>
      <c r="E6665" t="s">
        <v>19</v>
      </c>
      <c r="F6665">
        <v>5000</v>
      </c>
      <c r="J6665">
        <v>227</v>
      </c>
      <c r="K6665">
        <v>254</v>
      </c>
      <c r="L6665">
        <v>0</v>
      </c>
      <c r="M6665" t="s">
        <v>18</v>
      </c>
      <c r="N6665">
        <v>0</v>
      </c>
      <c r="O6665">
        <v>0</v>
      </c>
    </row>
    <row r="6666" spans="1:15" x14ac:dyDescent="0.2">
      <c r="A6666" s="6">
        <v>45786</v>
      </c>
      <c r="B6666" t="s">
        <v>15</v>
      </c>
      <c r="C6666" t="s">
        <v>16</v>
      </c>
      <c r="D6666" s="1">
        <v>45855</v>
      </c>
      <c r="E6666" t="s">
        <v>19</v>
      </c>
      <c r="F6666">
        <v>5350</v>
      </c>
      <c r="J6666">
        <v>410.2</v>
      </c>
      <c r="K6666">
        <v>444.6</v>
      </c>
      <c r="L6666">
        <v>0</v>
      </c>
      <c r="M6666" t="s">
        <v>18</v>
      </c>
      <c r="N6666">
        <v>0</v>
      </c>
      <c r="O6666">
        <v>0</v>
      </c>
    </row>
    <row r="6667" spans="1:15" x14ac:dyDescent="0.2">
      <c r="A6667" s="6">
        <v>45786</v>
      </c>
      <c r="B6667" t="s">
        <v>15</v>
      </c>
      <c r="C6667" t="s">
        <v>16</v>
      </c>
      <c r="D6667" s="1">
        <v>45855</v>
      </c>
      <c r="E6667" t="s">
        <v>17</v>
      </c>
      <c r="F6667">
        <v>5800</v>
      </c>
      <c r="J6667">
        <v>108.7</v>
      </c>
      <c r="K6667">
        <v>106.7</v>
      </c>
      <c r="L6667">
        <v>0</v>
      </c>
      <c r="M6667" t="s">
        <v>18</v>
      </c>
      <c r="N6667">
        <v>0</v>
      </c>
      <c r="O6667">
        <v>0</v>
      </c>
    </row>
    <row r="6668" spans="1:15" x14ac:dyDescent="0.2">
      <c r="A6668" s="6">
        <v>45786</v>
      </c>
      <c r="B6668" t="s">
        <v>15</v>
      </c>
      <c r="C6668" t="s">
        <v>16</v>
      </c>
      <c r="D6668" s="1">
        <v>45855</v>
      </c>
      <c r="E6668" t="s">
        <v>17</v>
      </c>
      <c r="F6668">
        <v>6450</v>
      </c>
      <c r="J6668">
        <v>29</v>
      </c>
      <c r="K6668">
        <v>29.5</v>
      </c>
      <c r="L6668">
        <v>0</v>
      </c>
      <c r="M6668" t="s">
        <v>18</v>
      </c>
      <c r="N6668">
        <v>0</v>
      </c>
      <c r="O6668">
        <v>0</v>
      </c>
    </row>
    <row r="6669" spans="1:15" x14ac:dyDescent="0.2">
      <c r="A6669" s="6">
        <v>45786</v>
      </c>
      <c r="B6669" t="s">
        <v>15</v>
      </c>
      <c r="C6669" t="s">
        <v>16</v>
      </c>
      <c r="D6669" s="1">
        <v>45855</v>
      </c>
      <c r="E6669" t="s">
        <v>17</v>
      </c>
      <c r="F6669">
        <v>4250</v>
      </c>
      <c r="J6669">
        <v>946.6</v>
      </c>
      <c r="K6669">
        <v>912.4</v>
      </c>
      <c r="L6669">
        <v>0</v>
      </c>
      <c r="M6669" t="s">
        <v>18</v>
      </c>
      <c r="N6669">
        <v>0</v>
      </c>
      <c r="O6669">
        <v>0</v>
      </c>
    </row>
    <row r="6670" spans="1:15" x14ac:dyDescent="0.2">
      <c r="A6670" s="6">
        <v>45786</v>
      </c>
      <c r="B6670" t="s">
        <v>15</v>
      </c>
      <c r="C6670" t="s">
        <v>16</v>
      </c>
      <c r="D6670" s="1">
        <v>45855</v>
      </c>
      <c r="E6670" t="s">
        <v>17</v>
      </c>
      <c r="F6670">
        <v>4000</v>
      </c>
      <c r="J6670">
        <v>1173.7</v>
      </c>
      <c r="K6670">
        <v>1135.3</v>
      </c>
      <c r="L6670">
        <v>0</v>
      </c>
      <c r="M6670" t="s">
        <v>18</v>
      </c>
      <c r="N6670">
        <v>0</v>
      </c>
      <c r="O6670">
        <v>0</v>
      </c>
    </row>
    <row r="6671" spans="1:15" x14ac:dyDescent="0.2">
      <c r="A6671" s="6">
        <v>45786</v>
      </c>
      <c r="B6671" t="s">
        <v>15</v>
      </c>
      <c r="C6671" t="s">
        <v>16</v>
      </c>
      <c r="D6671" s="1">
        <v>45855</v>
      </c>
      <c r="E6671" t="s">
        <v>17</v>
      </c>
      <c r="F6671">
        <v>5650</v>
      </c>
      <c r="J6671">
        <v>142.9</v>
      </c>
      <c r="K6671">
        <v>139.4</v>
      </c>
      <c r="L6671">
        <v>0</v>
      </c>
      <c r="M6671" t="s">
        <v>18</v>
      </c>
      <c r="N6671">
        <v>0</v>
      </c>
      <c r="O6671">
        <v>0</v>
      </c>
    </row>
    <row r="6672" spans="1:15" x14ac:dyDescent="0.2">
      <c r="A6672" s="6">
        <v>45786</v>
      </c>
      <c r="B6672" t="s">
        <v>15</v>
      </c>
      <c r="C6672" t="s">
        <v>16</v>
      </c>
      <c r="D6672" s="1">
        <v>45855</v>
      </c>
      <c r="E6672" t="s">
        <v>19</v>
      </c>
      <c r="F6672">
        <v>3650</v>
      </c>
      <c r="J6672">
        <v>2.5</v>
      </c>
      <c r="K6672">
        <v>3.7</v>
      </c>
      <c r="L6672">
        <v>0</v>
      </c>
      <c r="M6672" t="s">
        <v>18</v>
      </c>
      <c r="N6672">
        <v>0</v>
      </c>
      <c r="O6672">
        <v>0</v>
      </c>
    </row>
    <row r="6673" spans="1:15" x14ac:dyDescent="0.2">
      <c r="A6673" s="6">
        <v>45786</v>
      </c>
      <c r="B6673" t="s">
        <v>15</v>
      </c>
      <c r="C6673" t="s">
        <v>16</v>
      </c>
      <c r="D6673" s="1">
        <v>45855</v>
      </c>
      <c r="E6673" t="s">
        <v>17</v>
      </c>
      <c r="F6673">
        <v>3650</v>
      </c>
      <c r="J6673">
        <v>1509</v>
      </c>
      <c r="K6673">
        <v>1467.5</v>
      </c>
      <c r="L6673">
        <v>0</v>
      </c>
      <c r="M6673" t="s">
        <v>18</v>
      </c>
      <c r="N6673">
        <v>0</v>
      </c>
      <c r="O6673">
        <v>0</v>
      </c>
    </row>
    <row r="6674" spans="1:15" x14ac:dyDescent="0.2">
      <c r="A6674" s="6">
        <v>45786</v>
      </c>
      <c r="B6674" t="s">
        <v>15</v>
      </c>
      <c r="C6674" t="s">
        <v>16</v>
      </c>
      <c r="D6674" s="1">
        <v>45855</v>
      </c>
      <c r="E6674" t="s">
        <v>19</v>
      </c>
      <c r="F6674">
        <v>5800</v>
      </c>
      <c r="J6674">
        <v>726.2</v>
      </c>
      <c r="K6674">
        <v>766.5</v>
      </c>
      <c r="L6674">
        <v>0</v>
      </c>
      <c r="M6674" t="s">
        <v>18</v>
      </c>
      <c r="N6674">
        <v>0</v>
      </c>
      <c r="O6674">
        <v>0</v>
      </c>
    </row>
    <row r="6675" spans="1:15" x14ac:dyDescent="0.2">
      <c r="A6675" s="6">
        <v>45786</v>
      </c>
      <c r="B6675" t="s">
        <v>15</v>
      </c>
      <c r="C6675" t="s">
        <v>16</v>
      </c>
      <c r="D6675" s="1">
        <v>45855</v>
      </c>
      <c r="E6675" t="s">
        <v>17</v>
      </c>
      <c r="F6675">
        <v>3600</v>
      </c>
      <c r="J6675">
        <v>1557.8</v>
      </c>
      <c r="K6675">
        <v>1516</v>
      </c>
      <c r="L6675">
        <v>0</v>
      </c>
      <c r="M6675" t="s">
        <v>18</v>
      </c>
      <c r="N6675">
        <v>0</v>
      </c>
      <c r="O6675">
        <v>0</v>
      </c>
    </row>
    <row r="6676" spans="1:15" x14ac:dyDescent="0.2">
      <c r="A6676" s="6">
        <v>45786</v>
      </c>
      <c r="B6676" t="s">
        <v>15</v>
      </c>
      <c r="C6676" t="s">
        <v>16</v>
      </c>
      <c r="D6676" s="1">
        <v>45855</v>
      </c>
      <c r="E6676" t="s">
        <v>17</v>
      </c>
      <c r="F6676">
        <v>5350</v>
      </c>
      <c r="J6676">
        <v>237.3</v>
      </c>
      <c r="K6676">
        <v>229.3</v>
      </c>
      <c r="L6676">
        <v>0</v>
      </c>
      <c r="M6676" t="s">
        <v>18</v>
      </c>
      <c r="N6676">
        <v>0</v>
      </c>
      <c r="O6676">
        <v>0</v>
      </c>
    </row>
    <row r="6677" spans="1:15" x14ac:dyDescent="0.2">
      <c r="A6677" s="6">
        <v>45786</v>
      </c>
      <c r="B6677" t="s">
        <v>15</v>
      </c>
      <c r="C6677" t="s">
        <v>16</v>
      </c>
      <c r="D6677" s="1">
        <v>45855</v>
      </c>
      <c r="E6677" t="s">
        <v>17</v>
      </c>
      <c r="F6677">
        <v>6100</v>
      </c>
      <c r="J6677">
        <v>60.7</v>
      </c>
      <c r="K6677">
        <v>60.4</v>
      </c>
      <c r="L6677">
        <v>0</v>
      </c>
      <c r="M6677" t="s">
        <v>18</v>
      </c>
      <c r="N6677">
        <v>0</v>
      </c>
      <c r="O6677">
        <v>0</v>
      </c>
    </row>
    <row r="6678" spans="1:15" x14ac:dyDescent="0.2">
      <c r="A6678" s="6">
        <v>45786</v>
      </c>
      <c r="B6678" t="s">
        <v>15</v>
      </c>
      <c r="C6678" t="s">
        <v>16</v>
      </c>
      <c r="D6678" s="1">
        <v>45855</v>
      </c>
      <c r="E6678" t="s">
        <v>19</v>
      </c>
      <c r="F6678">
        <v>4000</v>
      </c>
      <c r="J6678">
        <v>12.9</v>
      </c>
      <c r="K6678">
        <v>17.2</v>
      </c>
      <c r="L6678">
        <v>0</v>
      </c>
      <c r="M6678" t="s">
        <v>18</v>
      </c>
      <c r="N6678">
        <v>0</v>
      </c>
      <c r="O6678">
        <v>0</v>
      </c>
    </row>
    <row r="6679" spans="1:15" x14ac:dyDescent="0.2">
      <c r="A6679" s="6">
        <v>45786</v>
      </c>
      <c r="B6679" t="s">
        <v>15</v>
      </c>
      <c r="C6679" t="s">
        <v>16</v>
      </c>
      <c r="D6679" s="1">
        <v>45855</v>
      </c>
      <c r="E6679" t="s">
        <v>19</v>
      </c>
      <c r="F6679">
        <v>4850</v>
      </c>
      <c r="J6679">
        <v>167.4</v>
      </c>
      <c r="K6679">
        <v>190.6</v>
      </c>
      <c r="L6679">
        <v>0</v>
      </c>
      <c r="M6679" t="s">
        <v>18</v>
      </c>
      <c r="N6679">
        <v>0</v>
      </c>
      <c r="O6679">
        <v>0</v>
      </c>
    </row>
    <row r="6680" spans="1:15" x14ac:dyDescent="0.2">
      <c r="A6680" s="6">
        <v>45786</v>
      </c>
      <c r="B6680" t="s">
        <v>15</v>
      </c>
      <c r="C6680" t="s">
        <v>16</v>
      </c>
      <c r="D6680" s="1">
        <v>45855</v>
      </c>
      <c r="E6680" t="s">
        <v>19</v>
      </c>
      <c r="F6680">
        <v>5600</v>
      </c>
      <c r="J6680">
        <v>575.9</v>
      </c>
      <c r="K6680">
        <v>614.20000000000005</v>
      </c>
      <c r="L6680">
        <v>0</v>
      </c>
      <c r="M6680" t="s">
        <v>18</v>
      </c>
      <c r="N6680">
        <v>0</v>
      </c>
      <c r="O6680">
        <v>0</v>
      </c>
    </row>
    <row r="6681" spans="1:15" x14ac:dyDescent="0.2">
      <c r="A6681" s="6">
        <v>45786</v>
      </c>
      <c r="B6681" t="s">
        <v>15</v>
      </c>
      <c r="C6681" t="s">
        <v>16</v>
      </c>
      <c r="D6681" s="1">
        <v>45855</v>
      </c>
      <c r="E6681" t="s">
        <v>19</v>
      </c>
      <c r="F6681">
        <v>5650</v>
      </c>
      <c r="J6681">
        <v>612.20000000000005</v>
      </c>
      <c r="K6681">
        <v>651</v>
      </c>
      <c r="L6681">
        <v>0</v>
      </c>
      <c r="M6681" t="s">
        <v>18</v>
      </c>
      <c r="N6681">
        <v>0</v>
      </c>
      <c r="O6681">
        <v>0</v>
      </c>
    </row>
    <row r="6682" spans="1:15" x14ac:dyDescent="0.2">
      <c r="A6682" s="6">
        <v>45786</v>
      </c>
      <c r="B6682" t="s">
        <v>15</v>
      </c>
      <c r="C6682" t="s">
        <v>16</v>
      </c>
      <c r="D6682" s="1">
        <v>45855</v>
      </c>
      <c r="E6682" t="s">
        <v>19</v>
      </c>
      <c r="F6682">
        <v>6350</v>
      </c>
      <c r="J6682">
        <v>1196.8</v>
      </c>
      <c r="K6682">
        <v>1239.5</v>
      </c>
      <c r="L6682">
        <v>0</v>
      </c>
      <c r="M6682" t="s">
        <v>18</v>
      </c>
      <c r="N6682">
        <v>0</v>
      </c>
      <c r="O6682">
        <v>0</v>
      </c>
    </row>
    <row r="6683" spans="1:15" x14ac:dyDescent="0.2">
      <c r="A6683" s="6">
        <v>45786</v>
      </c>
      <c r="B6683" t="s">
        <v>15</v>
      </c>
      <c r="C6683" t="s">
        <v>16</v>
      </c>
      <c r="D6683" s="1">
        <v>45855</v>
      </c>
      <c r="E6683" t="s">
        <v>17</v>
      </c>
      <c r="F6683">
        <v>3950</v>
      </c>
      <c r="J6683">
        <v>1220.5999999999999</v>
      </c>
      <c r="K6683">
        <v>1181.7</v>
      </c>
      <c r="L6683">
        <v>0</v>
      </c>
      <c r="M6683" t="s">
        <v>18</v>
      </c>
      <c r="N6683">
        <v>0</v>
      </c>
      <c r="O6683">
        <v>0</v>
      </c>
    </row>
    <row r="6684" spans="1:15" x14ac:dyDescent="0.2">
      <c r="A6684" s="6">
        <v>45786</v>
      </c>
      <c r="B6684" t="s">
        <v>15</v>
      </c>
      <c r="C6684" t="s">
        <v>16</v>
      </c>
      <c r="D6684" s="1">
        <v>45855</v>
      </c>
      <c r="E6684" t="s">
        <v>17</v>
      </c>
      <c r="F6684">
        <v>4700</v>
      </c>
      <c r="J6684">
        <v>588.29999999999995</v>
      </c>
      <c r="K6684">
        <v>565</v>
      </c>
      <c r="L6684">
        <v>0</v>
      </c>
      <c r="M6684" t="s">
        <v>18</v>
      </c>
      <c r="N6684">
        <v>0</v>
      </c>
      <c r="O6684">
        <v>0</v>
      </c>
    </row>
    <row r="6685" spans="1:15" x14ac:dyDescent="0.2">
      <c r="A6685" s="6">
        <v>45786</v>
      </c>
      <c r="B6685" t="s">
        <v>15</v>
      </c>
      <c r="C6685" t="s">
        <v>16</v>
      </c>
      <c r="D6685" s="1">
        <v>45855</v>
      </c>
      <c r="E6685" t="s">
        <v>17</v>
      </c>
      <c r="F6685">
        <v>4300</v>
      </c>
      <c r="J6685">
        <v>903.1</v>
      </c>
      <c r="K6685">
        <v>870</v>
      </c>
      <c r="L6685">
        <v>0</v>
      </c>
      <c r="M6685" t="s">
        <v>18</v>
      </c>
      <c r="N6685">
        <v>0</v>
      </c>
      <c r="O6685">
        <v>0</v>
      </c>
    </row>
    <row r="6686" spans="1:15" x14ac:dyDescent="0.2">
      <c r="A6686" s="6">
        <v>45786</v>
      </c>
      <c r="B6686" t="s">
        <v>15</v>
      </c>
      <c r="C6686" t="s">
        <v>16</v>
      </c>
      <c r="D6686" s="1">
        <v>45855</v>
      </c>
      <c r="E6686" t="s">
        <v>19</v>
      </c>
      <c r="F6686">
        <v>6450</v>
      </c>
      <c r="J6686">
        <v>1288.5</v>
      </c>
      <c r="K6686">
        <v>1331.3</v>
      </c>
      <c r="L6686">
        <v>0</v>
      </c>
      <c r="M6686" t="s">
        <v>18</v>
      </c>
      <c r="N6686">
        <v>0</v>
      </c>
      <c r="O6686">
        <v>0</v>
      </c>
    </row>
    <row r="6687" spans="1:15" x14ac:dyDescent="0.2">
      <c r="A6687" s="6">
        <v>45786</v>
      </c>
      <c r="B6687" t="s">
        <v>15</v>
      </c>
      <c r="C6687" t="s">
        <v>16</v>
      </c>
      <c r="D6687" s="1">
        <v>45855</v>
      </c>
      <c r="E6687" t="s">
        <v>19</v>
      </c>
      <c r="F6687">
        <v>5750</v>
      </c>
      <c r="J6687">
        <v>687.3</v>
      </c>
      <c r="K6687">
        <v>727.2</v>
      </c>
      <c r="L6687">
        <v>0</v>
      </c>
      <c r="M6687" t="s">
        <v>18</v>
      </c>
      <c r="N6687">
        <v>0</v>
      </c>
      <c r="O6687">
        <v>0</v>
      </c>
    </row>
    <row r="6688" spans="1:15" x14ac:dyDescent="0.2">
      <c r="A6688" s="6">
        <v>45786</v>
      </c>
      <c r="B6688" t="s">
        <v>15</v>
      </c>
      <c r="C6688" t="s">
        <v>16</v>
      </c>
      <c r="D6688" s="1">
        <v>45855</v>
      </c>
      <c r="E6688" t="s">
        <v>19</v>
      </c>
      <c r="F6688">
        <v>6100</v>
      </c>
      <c r="J6688">
        <v>974.5</v>
      </c>
      <c r="K6688">
        <v>1016.5</v>
      </c>
      <c r="L6688">
        <v>0</v>
      </c>
      <c r="M6688" t="s">
        <v>18</v>
      </c>
      <c r="N6688">
        <v>0</v>
      </c>
      <c r="O6688">
        <v>0</v>
      </c>
    </row>
    <row r="6689" spans="1:15" x14ac:dyDescent="0.2">
      <c r="A6689" s="6">
        <v>45786</v>
      </c>
      <c r="B6689" t="s">
        <v>15</v>
      </c>
      <c r="C6689" t="s">
        <v>16</v>
      </c>
      <c r="D6689" s="1">
        <v>45855</v>
      </c>
      <c r="E6689" t="s">
        <v>19</v>
      </c>
      <c r="F6689">
        <v>6500</v>
      </c>
      <c r="J6689">
        <v>1334.9</v>
      </c>
      <c r="K6689">
        <v>1377.7</v>
      </c>
      <c r="L6689">
        <v>0</v>
      </c>
      <c r="M6689" t="s">
        <v>18</v>
      </c>
      <c r="N6689">
        <v>0</v>
      </c>
      <c r="O6689">
        <v>0</v>
      </c>
    </row>
    <row r="6690" spans="1:15" x14ac:dyDescent="0.2">
      <c r="A6690" s="6">
        <v>45786</v>
      </c>
      <c r="B6690" t="s">
        <v>15</v>
      </c>
      <c r="C6690" t="s">
        <v>16</v>
      </c>
      <c r="D6690" s="1">
        <v>45855</v>
      </c>
      <c r="E6690" t="s">
        <v>19</v>
      </c>
      <c r="F6690">
        <v>5850</v>
      </c>
      <c r="J6690">
        <v>765.8</v>
      </c>
      <c r="K6690">
        <v>806.5</v>
      </c>
      <c r="L6690">
        <v>0</v>
      </c>
      <c r="M6690" t="s">
        <v>18</v>
      </c>
      <c r="N6690">
        <v>0</v>
      </c>
      <c r="O6690">
        <v>0</v>
      </c>
    </row>
    <row r="6691" spans="1:15" x14ac:dyDescent="0.2">
      <c r="A6691" s="6">
        <v>45786</v>
      </c>
      <c r="B6691" t="s">
        <v>15</v>
      </c>
      <c r="C6691" t="s">
        <v>16</v>
      </c>
      <c r="D6691" s="1">
        <v>45855</v>
      </c>
      <c r="E6691" t="s">
        <v>19</v>
      </c>
      <c r="F6691">
        <v>5500</v>
      </c>
      <c r="J6691">
        <v>506.5</v>
      </c>
      <c r="K6691">
        <v>543.29999999999995</v>
      </c>
      <c r="L6691">
        <v>0</v>
      </c>
      <c r="M6691" t="s">
        <v>18</v>
      </c>
      <c r="N6691">
        <v>0</v>
      </c>
      <c r="O6691">
        <v>0</v>
      </c>
    </row>
    <row r="6692" spans="1:15" x14ac:dyDescent="0.2">
      <c r="A6692" s="6">
        <v>45786</v>
      </c>
      <c r="B6692" t="s">
        <v>15</v>
      </c>
      <c r="C6692" t="s">
        <v>16</v>
      </c>
      <c r="D6692" s="1">
        <v>45855</v>
      </c>
      <c r="E6692" t="s">
        <v>19</v>
      </c>
      <c r="F6692">
        <v>3800</v>
      </c>
      <c r="J6692">
        <v>5.3</v>
      </c>
      <c r="K6692">
        <v>7.5</v>
      </c>
      <c r="L6692">
        <v>0</v>
      </c>
      <c r="M6692" t="s">
        <v>18</v>
      </c>
      <c r="N6692">
        <v>0</v>
      </c>
      <c r="O6692">
        <v>0</v>
      </c>
    </row>
    <row r="6693" spans="1:15" x14ac:dyDescent="0.2">
      <c r="A6693" s="6">
        <v>45786</v>
      </c>
      <c r="B6693" t="s">
        <v>15</v>
      </c>
      <c r="C6693" t="s">
        <v>16</v>
      </c>
      <c r="D6693" s="1">
        <v>45855</v>
      </c>
      <c r="E6693" t="s">
        <v>19</v>
      </c>
      <c r="F6693">
        <v>4150</v>
      </c>
      <c r="J6693">
        <v>23.1</v>
      </c>
      <c r="K6693">
        <v>29.7</v>
      </c>
      <c r="L6693">
        <v>0</v>
      </c>
      <c r="M6693" t="s">
        <v>18</v>
      </c>
      <c r="N6693">
        <v>0</v>
      </c>
      <c r="O6693">
        <v>0</v>
      </c>
    </row>
    <row r="6694" spans="1:15" x14ac:dyDescent="0.2">
      <c r="A6694" s="6">
        <v>45786</v>
      </c>
      <c r="B6694" t="s">
        <v>15</v>
      </c>
      <c r="C6694" t="s">
        <v>16</v>
      </c>
      <c r="D6694" s="1">
        <v>45855</v>
      </c>
      <c r="E6694" t="s">
        <v>19</v>
      </c>
      <c r="F6694">
        <v>5550</v>
      </c>
      <c r="J6694">
        <v>540.70000000000005</v>
      </c>
      <c r="K6694">
        <v>578.29999999999995</v>
      </c>
      <c r="L6694">
        <v>0</v>
      </c>
      <c r="M6694" t="s">
        <v>18</v>
      </c>
      <c r="N6694">
        <v>0</v>
      </c>
      <c r="O6694">
        <v>0</v>
      </c>
    </row>
    <row r="6695" spans="1:15" x14ac:dyDescent="0.2">
      <c r="A6695" s="6">
        <v>45786</v>
      </c>
      <c r="B6695" t="s">
        <v>15</v>
      </c>
      <c r="C6695" t="s">
        <v>16</v>
      </c>
      <c r="D6695" s="1">
        <v>45855</v>
      </c>
      <c r="E6695" t="s">
        <v>17</v>
      </c>
      <c r="F6695">
        <v>4050</v>
      </c>
      <c r="J6695">
        <v>1127.2</v>
      </c>
      <c r="K6695">
        <v>1089.5</v>
      </c>
      <c r="L6695">
        <v>0</v>
      </c>
      <c r="M6695" t="s">
        <v>18</v>
      </c>
      <c r="N6695">
        <v>0</v>
      </c>
      <c r="O6695">
        <v>0</v>
      </c>
    </row>
    <row r="6696" spans="1:15" x14ac:dyDescent="0.2">
      <c r="A6696" s="6">
        <v>45786</v>
      </c>
      <c r="B6696" t="s">
        <v>15</v>
      </c>
      <c r="C6696" t="s">
        <v>16</v>
      </c>
      <c r="D6696" s="1">
        <v>45855</v>
      </c>
      <c r="E6696" t="s">
        <v>19</v>
      </c>
      <c r="F6696">
        <v>4800</v>
      </c>
      <c r="J6696">
        <v>150.1</v>
      </c>
      <c r="K6696">
        <v>171.9</v>
      </c>
      <c r="L6696">
        <v>0</v>
      </c>
      <c r="M6696" t="s">
        <v>18</v>
      </c>
      <c r="N6696">
        <v>0</v>
      </c>
      <c r="O6696">
        <v>0</v>
      </c>
    </row>
    <row r="6697" spans="1:15" x14ac:dyDescent="0.2">
      <c r="A6697" s="6">
        <v>45786</v>
      </c>
      <c r="B6697" t="s">
        <v>15</v>
      </c>
      <c r="C6697" t="s">
        <v>16</v>
      </c>
      <c r="D6697" s="1">
        <v>45855</v>
      </c>
      <c r="E6697" t="s">
        <v>17</v>
      </c>
      <c r="F6697">
        <v>6150</v>
      </c>
      <c r="J6697">
        <v>54.8</v>
      </c>
      <c r="K6697">
        <v>54.7</v>
      </c>
      <c r="L6697">
        <v>0</v>
      </c>
      <c r="M6697" t="s">
        <v>18</v>
      </c>
      <c r="N6697">
        <v>0</v>
      </c>
      <c r="O6697">
        <v>0</v>
      </c>
    </row>
    <row r="6698" spans="1:15" x14ac:dyDescent="0.2">
      <c r="A6698" s="6">
        <v>45786</v>
      </c>
      <c r="B6698" t="s">
        <v>15</v>
      </c>
      <c r="C6698" t="s">
        <v>16</v>
      </c>
      <c r="D6698" s="1">
        <v>45855</v>
      </c>
      <c r="E6698" t="s">
        <v>19</v>
      </c>
      <c r="F6698">
        <v>6300</v>
      </c>
      <c r="J6698">
        <v>1151.4000000000001</v>
      </c>
      <c r="K6698">
        <v>1194</v>
      </c>
      <c r="L6698">
        <v>0</v>
      </c>
      <c r="M6698" t="s">
        <v>18</v>
      </c>
      <c r="N6698">
        <v>0</v>
      </c>
      <c r="O6698">
        <v>0</v>
      </c>
    </row>
    <row r="6699" spans="1:15" x14ac:dyDescent="0.2">
      <c r="A6699" s="6">
        <v>45786</v>
      </c>
      <c r="B6699" t="s">
        <v>15</v>
      </c>
      <c r="C6699" t="s">
        <v>16</v>
      </c>
      <c r="D6699" s="1">
        <v>45855</v>
      </c>
      <c r="E6699" t="s">
        <v>19</v>
      </c>
      <c r="F6699">
        <v>4350</v>
      </c>
      <c r="J6699">
        <v>45.5</v>
      </c>
      <c r="K6699">
        <v>56</v>
      </c>
      <c r="L6699">
        <v>0</v>
      </c>
      <c r="M6699" t="s">
        <v>18</v>
      </c>
      <c r="N6699">
        <v>0</v>
      </c>
      <c r="O6699">
        <v>0</v>
      </c>
    </row>
    <row r="6700" spans="1:15" x14ac:dyDescent="0.2">
      <c r="A6700" s="6">
        <v>45786</v>
      </c>
      <c r="B6700" t="s">
        <v>15</v>
      </c>
      <c r="C6700" t="s">
        <v>16</v>
      </c>
      <c r="D6700" s="1">
        <v>45855</v>
      </c>
      <c r="E6700" t="s">
        <v>19</v>
      </c>
      <c r="F6700">
        <v>6600</v>
      </c>
      <c r="J6700">
        <v>1428.5</v>
      </c>
      <c r="K6700">
        <v>1471.3</v>
      </c>
      <c r="L6700">
        <v>0</v>
      </c>
      <c r="M6700" t="s">
        <v>18</v>
      </c>
      <c r="N6700">
        <v>0</v>
      </c>
      <c r="O6700">
        <v>0</v>
      </c>
    </row>
    <row r="6701" spans="1:15" x14ac:dyDescent="0.2">
      <c r="A6701" s="6">
        <v>45786</v>
      </c>
      <c r="B6701" t="s">
        <v>15</v>
      </c>
      <c r="C6701" t="s">
        <v>16</v>
      </c>
      <c r="D6701" s="1">
        <v>45855</v>
      </c>
      <c r="E6701" t="s">
        <v>19</v>
      </c>
      <c r="F6701">
        <v>3950</v>
      </c>
      <c r="J6701">
        <v>10.5</v>
      </c>
      <c r="K6701">
        <v>14.2</v>
      </c>
      <c r="L6701">
        <v>0</v>
      </c>
      <c r="M6701" t="s">
        <v>18</v>
      </c>
      <c r="N6701">
        <v>0</v>
      </c>
      <c r="O6701">
        <v>0</v>
      </c>
    </row>
    <row r="6702" spans="1:15" x14ac:dyDescent="0.2">
      <c r="A6702" s="6">
        <v>45786</v>
      </c>
      <c r="B6702" t="s">
        <v>15</v>
      </c>
      <c r="C6702" t="s">
        <v>16</v>
      </c>
      <c r="D6702" s="1">
        <v>45855</v>
      </c>
      <c r="E6702" t="s">
        <v>17</v>
      </c>
      <c r="F6702">
        <v>3900</v>
      </c>
      <c r="J6702">
        <v>1268</v>
      </c>
      <c r="K6702">
        <v>1228.4000000000001</v>
      </c>
      <c r="L6702">
        <v>0</v>
      </c>
      <c r="M6702" t="s">
        <v>18</v>
      </c>
      <c r="N6702">
        <v>0</v>
      </c>
      <c r="O6702">
        <v>0</v>
      </c>
    </row>
    <row r="6703" spans="1:15" x14ac:dyDescent="0.2">
      <c r="A6703" s="6">
        <v>45786</v>
      </c>
      <c r="B6703" t="s">
        <v>15</v>
      </c>
      <c r="C6703" t="s">
        <v>16</v>
      </c>
      <c r="D6703" s="1">
        <v>45855</v>
      </c>
      <c r="E6703" t="s">
        <v>17</v>
      </c>
      <c r="F6703">
        <v>5550</v>
      </c>
      <c r="J6703">
        <v>170.2</v>
      </c>
      <c r="K6703">
        <v>165.4</v>
      </c>
      <c r="L6703">
        <v>0</v>
      </c>
      <c r="M6703" t="s">
        <v>18</v>
      </c>
      <c r="N6703">
        <v>0</v>
      </c>
      <c r="O6703">
        <v>0</v>
      </c>
    </row>
    <row r="6704" spans="1:15" x14ac:dyDescent="0.2">
      <c r="A6704" s="6">
        <v>45786</v>
      </c>
      <c r="B6704" t="s">
        <v>15</v>
      </c>
      <c r="C6704" t="s">
        <v>16</v>
      </c>
      <c r="D6704" s="1">
        <v>45855</v>
      </c>
      <c r="E6704" t="s">
        <v>17</v>
      </c>
      <c r="F6704">
        <v>5400</v>
      </c>
      <c r="J6704">
        <v>218.9</v>
      </c>
      <c r="K6704">
        <v>211.8</v>
      </c>
      <c r="L6704">
        <v>0</v>
      </c>
      <c r="M6704" t="s">
        <v>18</v>
      </c>
      <c r="N6704">
        <v>0</v>
      </c>
      <c r="O6704">
        <v>0</v>
      </c>
    </row>
    <row r="6705" spans="1:15" x14ac:dyDescent="0.2">
      <c r="A6705" s="6">
        <v>45786</v>
      </c>
      <c r="B6705" t="s">
        <v>15</v>
      </c>
      <c r="C6705" t="s">
        <v>16</v>
      </c>
      <c r="D6705" s="1">
        <v>45855</v>
      </c>
      <c r="E6705" t="s">
        <v>17</v>
      </c>
      <c r="F6705">
        <v>5850</v>
      </c>
      <c r="J6705">
        <v>99</v>
      </c>
      <c r="K6705">
        <v>97.3</v>
      </c>
      <c r="L6705">
        <v>0</v>
      </c>
      <c r="M6705" t="s">
        <v>18</v>
      </c>
      <c r="N6705">
        <v>0</v>
      </c>
      <c r="O6705">
        <v>0</v>
      </c>
    </row>
    <row r="6706" spans="1:15" x14ac:dyDescent="0.2">
      <c r="A6706" s="6">
        <v>45786</v>
      </c>
      <c r="B6706" t="s">
        <v>15</v>
      </c>
      <c r="C6706" t="s">
        <v>16</v>
      </c>
      <c r="D6706" s="1">
        <v>45855</v>
      </c>
      <c r="E6706" t="s">
        <v>19</v>
      </c>
      <c r="F6706">
        <v>4300</v>
      </c>
      <c r="J6706">
        <v>38.700000000000003</v>
      </c>
      <c r="K6706">
        <v>48.2</v>
      </c>
      <c r="L6706">
        <v>0</v>
      </c>
      <c r="M6706" t="s">
        <v>18</v>
      </c>
      <c r="N6706">
        <v>0</v>
      </c>
      <c r="O6706">
        <v>0</v>
      </c>
    </row>
    <row r="6707" spans="1:15" x14ac:dyDescent="0.2">
      <c r="A6707" s="6">
        <v>45786</v>
      </c>
      <c r="B6707" t="s">
        <v>15</v>
      </c>
      <c r="C6707" t="s">
        <v>16</v>
      </c>
      <c r="D6707" s="1">
        <v>45855</v>
      </c>
      <c r="E6707" t="s">
        <v>19</v>
      </c>
      <c r="F6707">
        <v>6200</v>
      </c>
      <c r="J6707">
        <v>1062</v>
      </c>
      <c r="K6707">
        <v>1104.4000000000001</v>
      </c>
      <c r="L6707">
        <v>0</v>
      </c>
      <c r="M6707" t="s">
        <v>18</v>
      </c>
      <c r="N6707">
        <v>0</v>
      </c>
      <c r="O6707">
        <v>0</v>
      </c>
    </row>
    <row r="6708" spans="1:15" x14ac:dyDescent="0.2">
      <c r="A6708" s="6">
        <v>45786</v>
      </c>
      <c r="B6708" t="s">
        <v>15</v>
      </c>
      <c r="C6708" t="s">
        <v>16</v>
      </c>
      <c r="D6708" s="1">
        <v>45855</v>
      </c>
      <c r="E6708" t="s">
        <v>19</v>
      </c>
      <c r="F6708">
        <v>4750</v>
      </c>
      <c r="J6708">
        <v>134</v>
      </c>
      <c r="K6708">
        <v>154.5</v>
      </c>
      <c r="L6708">
        <v>0</v>
      </c>
      <c r="M6708" t="s">
        <v>18</v>
      </c>
      <c r="N6708">
        <v>0</v>
      </c>
      <c r="O6708">
        <v>0</v>
      </c>
    </row>
    <row r="6709" spans="1:15" x14ac:dyDescent="0.2">
      <c r="A6709" s="6">
        <v>45786</v>
      </c>
      <c r="B6709" t="s">
        <v>15</v>
      </c>
      <c r="C6709" t="s">
        <v>16</v>
      </c>
      <c r="D6709" s="1">
        <v>45855</v>
      </c>
      <c r="E6709" t="s">
        <v>19</v>
      </c>
      <c r="F6709">
        <v>4250</v>
      </c>
      <c r="J6709">
        <v>32.799999999999997</v>
      </c>
      <c r="K6709">
        <v>41.3</v>
      </c>
      <c r="L6709">
        <v>0</v>
      </c>
      <c r="M6709" t="s">
        <v>18</v>
      </c>
      <c r="N6709">
        <v>0</v>
      </c>
      <c r="O6709">
        <v>0</v>
      </c>
    </row>
    <row r="6710" spans="1:15" x14ac:dyDescent="0.2">
      <c r="A6710" s="6">
        <v>45786</v>
      </c>
      <c r="B6710" t="s">
        <v>15</v>
      </c>
      <c r="C6710" t="s">
        <v>16</v>
      </c>
      <c r="D6710" s="1">
        <v>45855</v>
      </c>
      <c r="E6710" t="s">
        <v>19</v>
      </c>
      <c r="F6710">
        <v>6000</v>
      </c>
      <c r="J6710">
        <v>889.1</v>
      </c>
      <c r="K6710">
        <v>930.7</v>
      </c>
      <c r="L6710">
        <v>0</v>
      </c>
      <c r="M6710" t="s">
        <v>18</v>
      </c>
      <c r="N6710">
        <v>0</v>
      </c>
      <c r="O6710">
        <v>0</v>
      </c>
    </row>
    <row r="6711" spans="1:15" x14ac:dyDescent="0.2">
      <c r="A6711" s="6">
        <v>45786</v>
      </c>
      <c r="B6711" t="s">
        <v>15</v>
      </c>
      <c r="C6711" t="s">
        <v>16</v>
      </c>
      <c r="D6711" s="1">
        <v>45855</v>
      </c>
      <c r="E6711" t="s">
        <v>17</v>
      </c>
      <c r="F6711">
        <v>3800</v>
      </c>
      <c r="J6711">
        <v>1363.7</v>
      </c>
      <c r="K6711">
        <v>1323.2</v>
      </c>
      <c r="L6711">
        <v>0</v>
      </c>
      <c r="M6711" t="s">
        <v>18</v>
      </c>
      <c r="N6711">
        <v>0</v>
      </c>
      <c r="O6711">
        <v>0</v>
      </c>
    </row>
    <row r="6712" spans="1:15" x14ac:dyDescent="0.2">
      <c r="A6712" s="6">
        <v>45785</v>
      </c>
      <c r="B6712" t="s">
        <v>15</v>
      </c>
      <c r="C6712" t="s">
        <v>16</v>
      </c>
      <c r="D6712" s="1">
        <v>45855</v>
      </c>
      <c r="E6712" t="s">
        <v>19</v>
      </c>
      <c r="F6712">
        <v>6150</v>
      </c>
      <c r="J6712">
        <v>1060.2</v>
      </c>
      <c r="K6712">
        <v>1214.4000000000001</v>
      </c>
      <c r="L6712">
        <v>0</v>
      </c>
      <c r="M6712" t="s">
        <v>18</v>
      </c>
      <c r="N6712">
        <v>0</v>
      </c>
      <c r="O6712">
        <v>0</v>
      </c>
    </row>
    <row r="6713" spans="1:15" x14ac:dyDescent="0.2">
      <c r="A6713" s="6">
        <v>45785</v>
      </c>
      <c r="B6713" t="s">
        <v>15</v>
      </c>
      <c r="C6713" t="s">
        <v>16</v>
      </c>
      <c r="D6713" s="1">
        <v>45855</v>
      </c>
      <c r="E6713" t="s">
        <v>19</v>
      </c>
      <c r="F6713">
        <v>6250</v>
      </c>
      <c r="J6713">
        <v>1149</v>
      </c>
      <c r="K6713">
        <v>1307.4000000000001</v>
      </c>
      <c r="L6713">
        <v>0</v>
      </c>
      <c r="M6713" t="s">
        <v>18</v>
      </c>
      <c r="N6713">
        <v>0</v>
      </c>
      <c r="O6713">
        <v>0</v>
      </c>
    </row>
    <row r="6714" spans="1:15" x14ac:dyDescent="0.2">
      <c r="A6714" s="6">
        <v>45785</v>
      </c>
      <c r="B6714" t="s">
        <v>15</v>
      </c>
      <c r="C6714" t="s">
        <v>16</v>
      </c>
      <c r="D6714" s="1">
        <v>45855</v>
      </c>
      <c r="E6714" t="s">
        <v>17</v>
      </c>
      <c r="F6714">
        <v>5950</v>
      </c>
      <c r="J6714">
        <v>80.7</v>
      </c>
      <c r="K6714">
        <v>43.2</v>
      </c>
      <c r="L6714">
        <v>0</v>
      </c>
      <c r="M6714" t="s">
        <v>18</v>
      </c>
      <c r="N6714">
        <v>0</v>
      </c>
      <c r="O6714">
        <v>0</v>
      </c>
    </row>
    <row r="6715" spans="1:15" x14ac:dyDescent="0.2">
      <c r="A6715" s="6">
        <v>45785</v>
      </c>
      <c r="B6715" t="s">
        <v>15</v>
      </c>
      <c r="C6715" t="s">
        <v>16</v>
      </c>
      <c r="D6715" s="1">
        <v>45855</v>
      </c>
      <c r="E6715" t="s">
        <v>17</v>
      </c>
      <c r="F6715">
        <v>6500</v>
      </c>
      <c r="J6715">
        <v>26.5</v>
      </c>
      <c r="K6715">
        <v>11.8</v>
      </c>
      <c r="L6715">
        <v>0</v>
      </c>
      <c r="M6715" t="s">
        <v>18</v>
      </c>
      <c r="N6715">
        <v>0</v>
      </c>
      <c r="O6715">
        <v>0</v>
      </c>
    </row>
    <row r="6716" spans="1:15" x14ac:dyDescent="0.2">
      <c r="A6716" s="6">
        <v>45785</v>
      </c>
      <c r="B6716" t="s">
        <v>15</v>
      </c>
      <c r="C6716" t="s">
        <v>16</v>
      </c>
      <c r="D6716" s="1">
        <v>45855</v>
      </c>
      <c r="E6716" t="s">
        <v>17</v>
      </c>
      <c r="F6716">
        <v>4500</v>
      </c>
      <c r="J6716">
        <v>709.2</v>
      </c>
      <c r="K6716">
        <v>555.29999999999995</v>
      </c>
      <c r="L6716">
        <v>0</v>
      </c>
      <c r="M6716" t="s">
        <v>18</v>
      </c>
      <c r="N6716">
        <v>0</v>
      </c>
      <c r="O6716">
        <v>0</v>
      </c>
    </row>
    <row r="6717" spans="1:15" x14ac:dyDescent="0.2">
      <c r="A6717" s="6">
        <v>45785</v>
      </c>
      <c r="B6717" t="s">
        <v>15</v>
      </c>
      <c r="C6717" t="s">
        <v>16</v>
      </c>
      <c r="D6717" s="1">
        <v>45855</v>
      </c>
      <c r="E6717" t="s">
        <v>17</v>
      </c>
      <c r="F6717">
        <v>4350</v>
      </c>
      <c r="J6717">
        <v>828.4</v>
      </c>
      <c r="K6717">
        <v>665.9</v>
      </c>
      <c r="L6717">
        <v>0</v>
      </c>
      <c r="M6717" t="s">
        <v>18</v>
      </c>
      <c r="N6717">
        <v>0</v>
      </c>
      <c r="O6717">
        <v>0</v>
      </c>
    </row>
    <row r="6718" spans="1:15" x14ac:dyDescent="0.2">
      <c r="A6718" s="6">
        <v>45785</v>
      </c>
      <c r="B6718" t="s">
        <v>15</v>
      </c>
      <c r="C6718" t="s">
        <v>16</v>
      </c>
      <c r="D6718" s="1">
        <v>45855</v>
      </c>
      <c r="E6718" t="s">
        <v>17</v>
      </c>
      <c r="F6718">
        <v>5150</v>
      </c>
      <c r="J6718">
        <v>310.7</v>
      </c>
      <c r="K6718">
        <v>210.5</v>
      </c>
      <c r="L6718">
        <v>0</v>
      </c>
      <c r="M6718" t="s">
        <v>18</v>
      </c>
      <c r="N6718">
        <v>0</v>
      </c>
      <c r="O6718">
        <v>0</v>
      </c>
    </row>
    <row r="6719" spans="1:15" x14ac:dyDescent="0.2">
      <c r="A6719" s="6">
        <v>45785</v>
      </c>
      <c r="B6719" t="s">
        <v>15</v>
      </c>
      <c r="C6719" t="s">
        <v>16</v>
      </c>
      <c r="D6719" s="1">
        <v>45855</v>
      </c>
      <c r="E6719" t="s">
        <v>17</v>
      </c>
      <c r="F6719">
        <v>5000</v>
      </c>
      <c r="J6719">
        <v>384.3</v>
      </c>
      <c r="K6719">
        <v>270.39999999999998</v>
      </c>
      <c r="L6719">
        <v>0</v>
      </c>
      <c r="M6719" t="s">
        <v>18</v>
      </c>
      <c r="N6719">
        <v>0</v>
      </c>
      <c r="O6719">
        <v>0</v>
      </c>
    </row>
    <row r="6720" spans="1:15" x14ac:dyDescent="0.2">
      <c r="A6720" s="6">
        <v>45785</v>
      </c>
      <c r="B6720" t="s">
        <v>15</v>
      </c>
      <c r="C6720" t="s">
        <v>16</v>
      </c>
      <c r="D6720" s="1">
        <v>45855</v>
      </c>
      <c r="E6720" t="s">
        <v>17</v>
      </c>
      <c r="F6720">
        <v>4100</v>
      </c>
      <c r="J6720">
        <v>1044.3</v>
      </c>
      <c r="K6720">
        <v>871.6</v>
      </c>
      <c r="L6720">
        <v>0</v>
      </c>
      <c r="M6720" t="s">
        <v>18</v>
      </c>
      <c r="N6720">
        <v>0</v>
      </c>
      <c r="O6720">
        <v>0</v>
      </c>
    </row>
    <row r="6721" spans="1:15" x14ac:dyDescent="0.2">
      <c r="A6721" s="6">
        <v>45785</v>
      </c>
      <c r="B6721" t="s">
        <v>15</v>
      </c>
      <c r="C6721" t="s">
        <v>16</v>
      </c>
      <c r="D6721" s="1">
        <v>45855</v>
      </c>
      <c r="E6721" t="s">
        <v>17</v>
      </c>
      <c r="F6721">
        <v>4400</v>
      </c>
      <c r="J6721">
        <v>787.7</v>
      </c>
      <c r="K6721">
        <v>627.9</v>
      </c>
      <c r="L6721">
        <v>0</v>
      </c>
      <c r="M6721" t="s">
        <v>18</v>
      </c>
      <c r="N6721">
        <v>0</v>
      </c>
      <c r="O6721">
        <v>0</v>
      </c>
    </row>
    <row r="6722" spans="1:15" x14ac:dyDescent="0.2">
      <c r="A6722" s="6">
        <v>45785</v>
      </c>
      <c r="B6722" t="s">
        <v>15</v>
      </c>
      <c r="C6722" t="s">
        <v>16</v>
      </c>
      <c r="D6722" s="1">
        <v>45855</v>
      </c>
      <c r="E6722" t="s">
        <v>19</v>
      </c>
      <c r="F6722">
        <v>3600</v>
      </c>
      <c r="J6722">
        <v>2.9</v>
      </c>
      <c r="K6722">
        <v>4</v>
      </c>
      <c r="L6722">
        <v>0</v>
      </c>
      <c r="M6722" t="s">
        <v>18</v>
      </c>
      <c r="N6722">
        <v>0</v>
      </c>
      <c r="O6722">
        <v>0</v>
      </c>
    </row>
    <row r="6723" spans="1:15" x14ac:dyDescent="0.2">
      <c r="A6723" s="6">
        <v>45785</v>
      </c>
      <c r="B6723" t="s">
        <v>15</v>
      </c>
      <c r="C6723" t="s">
        <v>16</v>
      </c>
      <c r="D6723" s="1">
        <v>45855</v>
      </c>
      <c r="E6723" t="s">
        <v>17</v>
      </c>
      <c r="F6723">
        <v>3700</v>
      </c>
      <c r="J6723">
        <v>1419.1</v>
      </c>
      <c r="K6723">
        <v>1239</v>
      </c>
      <c r="L6723">
        <v>0</v>
      </c>
      <c r="M6723" t="s">
        <v>18</v>
      </c>
      <c r="N6723">
        <v>0</v>
      </c>
      <c r="O6723">
        <v>0</v>
      </c>
    </row>
    <row r="6724" spans="1:15" x14ac:dyDescent="0.2">
      <c r="A6724" s="6">
        <v>45785</v>
      </c>
      <c r="B6724" t="s">
        <v>15</v>
      </c>
      <c r="C6724" t="s">
        <v>16</v>
      </c>
      <c r="D6724" s="1">
        <v>45855</v>
      </c>
      <c r="E6724" t="s">
        <v>19</v>
      </c>
      <c r="F6724">
        <v>4900</v>
      </c>
      <c r="J6724">
        <v>210.4</v>
      </c>
      <c r="K6724">
        <v>269.3</v>
      </c>
      <c r="L6724">
        <v>0</v>
      </c>
      <c r="M6724" t="s">
        <v>18</v>
      </c>
      <c r="N6724">
        <v>0</v>
      </c>
      <c r="O6724">
        <v>0</v>
      </c>
    </row>
    <row r="6725" spans="1:15" x14ac:dyDescent="0.2">
      <c r="A6725" s="6">
        <v>45785</v>
      </c>
      <c r="B6725" t="s">
        <v>15</v>
      </c>
      <c r="C6725" t="s">
        <v>16</v>
      </c>
      <c r="D6725" s="1">
        <v>45855</v>
      </c>
      <c r="E6725" t="s">
        <v>17</v>
      </c>
      <c r="F6725">
        <v>5200</v>
      </c>
      <c r="J6725">
        <v>288.60000000000002</v>
      </c>
      <c r="K6725">
        <v>193</v>
      </c>
      <c r="L6725">
        <v>0</v>
      </c>
      <c r="M6725" t="s">
        <v>18</v>
      </c>
      <c r="N6725">
        <v>0</v>
      </c>
      <c r="O6725">
        <v>0</v>
      </c>
    </row>
    <row r="6726" spans="1:15" x14ac:dyDescent="0.2">
      <c r="A6726" s="6">
        <v>45785</v>
      </c>
      <c r="B6726" t="s">
        <v>15</v>
      </c>
      <c r="C6726" t="s">
        <v>16</v>
      </c>
      <c r="D6726" s="1">
        <v>45855</v>
      </c>
      <c r="E6726" t="s">
        <v>19</v>
      </c>
      <c r="F6726">
        <v>6550</v>
      </c>
      <c r="J6726">
        <v>1424.4</v>
      </c>
      <c r="K6726">
        <v>1592.4</v>
      </c>
      <c r="L6726">
        <v>0</v>
      </c>
      <c r="M6726" t="s">
        <v>18</v>
      </c>
      <c r="N6726">
        <v>0</v>
      </c>
      <c r="O6726">
        <v>0</v>
      </c>
    </row>
    <row r="6727" spans="1:15" x14ac:dyDescent="0.2">
      <c r="A6727" s="6">
        <v>45785</v>
      </c>
      <c r="B6727" t="s">
        <v>15</v>
      </c>
      <c r="C6727" t="s">
        <v>16</v>
      </c>
      <c r="D6727" s="1">
        <v>45855</v>
      </c>
      <c r="E6727" t="s">
        <v>17</v>
      </c>
      <c r="F6727">
        <v>4750</v>
      </c>
      <c r="J6727">
        <v>531.79999999999995</v>
      </c>
      <c r="K6727">
        <v>396.1</v>
      </c>
      <c r="L6727">
        <v>0</v>
      </c>
      <c r="M6727" t="s">
        <v>18</v>
      </c>
      <c r="N6727">
        <v>0</v>
      </c>
      <c r="O6727">
        <v>0</v>
      </c>
    </row>
    <row r="6728" spans="1:15" x14ac:dyDescent="0.2">
      <c r="A6728" s="6">
        <v>45785</v>
      </c>
      <c r="B6728" t="s">
        <v>15</v>
      </c>
      <c r="C6728" t="s">
        <v>16</v>
      </c>
      <c r="D6728" s="1">
        <v>45855</v>
      </c>
      <c r="E6728" t="s">
        <v>19</v>
      </c>
      <c r="F6728">
        <v>5250</v>
      </c>
      <c r="J6728">
        <v>384.2</v>
      </c>
      <c r="K6728">
        <v>474.9</v>
      </c>
      <c r="L6728">
        <v>0</v>
      </c>
      <c r="M6728" t="s">
        <v>18</v>
      </c>
      <c r="N6728">
        <v>0</v>
      </c>
      <c r="O6728">
        <v>0</v>
      </c>
    </row>
    <row r="6729" spans="1:15" x14ac:dyDescent="0.2">
      <c r="A6729" s="6">
        <v>45785</v>
      </c>
      <c r="B6729" t="s">
        <v>15</v>
      </c>
      <c r="C6729" t="s">
        <v>16</v>
      </c>
      <c r="D6729" s="1">
        <v>45855</v>
      </c>
      <c r="E6729" t="s">
        <v>17</v>
      </c>
      <c r="F6729">
        <v>4450</v>
      </c>
      <c r="J6729">
        <v>747.9</v>
      </c>
      <c r="K6729">
        <v>591</v>
      </c>
      <c r="L6729">
        <v>0</v>
      </c>
      <c r="M6729" t="s">
        <v>18</v>
      </c>
      <c r="N6729">
        <v>0</v>
      </c>
      <c r="O6729">
        <v>0</v>
      </c>
    </row>
    <row r="6730" spans="1:15" x14ac:dyDescent="0.2">
      <c r="A6730" s="6">
        <v>45785</v>
      </c>
      <c r="B6730" t="s">
        <v>15</v>
      </c>
      <c r="C6730" t="s">
        <v>16</v>
      </c>
      <c r="D6730" s="1">
        <v>45855</v>
      </c>
      <c r="E6730" t="s">
        <v>17</v>
      </c>
      <c r="F6730">
        <v>5300</v>
      </c>
      <c r="J6730">
        <v>247.9</v>
      </c>
      <c r="K6730">
        <v>161.4</v>
      </c>
      <c r="L6730">
        <v>0</v>
      </c>
      <c r="M6730" t="s">
        <v>18</v>
      </c>
      <c r="N6730">
        <v>0</v>
      </c>
      <c r="O6730">
        <v>0</v>
      </c>
    </row>
    <row r="6731" spans="1:15" x14ac:dyDescent="0.2">
      <c r="A6731" s="6">
        <v>45785</v>
      </c>
      <c r="B6731" t="s">
        <v>15</v>
      </c>
      <c r="C6731" t="s">
        <v>16</v>
      </c>
      <c r="D6731" s="1">
        <v>45855</v>
      </c>
      <c r="E6731" t="s">
        <v>17</v>
      </c>
      <c r="F6731">
        <v>4900</v>
      </c>
      <c r="J6731">
        <v>439.6</v>
      </c>
      <c r="K6731">
        <v>316.7</v>
      </c>
      <c r="L6731">
        <v>0</v>
      </c>
      <c r="M6731" t="s">
        <v>18</v>
      </c>
      <c r="N6731">
        <v>0</v>
      </c>
      <c r="O6731">
        <v>0</v>
      </c>
    </row>
    <row r="6732" spans="1:15" x14ac:dyDescent="0.2">
      <c r="A6732" s="6">
        <v>45785</v>
      </c>
      <c r="B6732" t="s">
        <v>15</v>
      </c>
      <c r="C6732" t="s">
        <v>16</v>
      </c>
      <c r="D6732" s="1">
        <v>45855</v>
      </c>
      <c r="E6732" t="s">
        <v>17</v>
      </c>
      <c r="F6732">
        <v>4800</v>
      </c>
      <c r="J6732">
        <v>499.8</v>
      </c>
      <c r="K6732">
        <v>368.3</v>
      </c>
      <c r="L6732">
        <v>0</v>
      </c>
      <c r="M6732" t="s">
        <v>18</v>
      </c>
      <c r="N6732">
        <v>0</v>
      </c>
      <c r="O6732">
        <v>0</v>
      </c>
    </row>
    <row r="6733" spans="1:15" x14ac:dyDescent="0.2">
      <c r="A6733" s="6">
        <v>45785</v>
      </c>
      <c r="B6733" t="s">
        <v>15</v>
      </c>
      <c r="C6733" t="s">
        <v>16</v>
      </c>
      <c r="D6733" s="1">
        <v>45855</v>
      </c>
      <c r="E6733" t="s">
        <v>19</v>
      </c>
      <c r="F6733">
        <v>4200</v>
      </c>
      <c r="J6733">
        <v>35.1</v>
      </c>
      <c r="K6733">
        <v>47.8</v>
      </c>
      <c r="L6733">
        <v>0</v>
      </c>
      <c r="M6733" t="s">
        <v>18</v>
      </c>
      <c r="N6733">
        <v>0</v>
      </c>
      <c r="O6733">
        <v>0</v>
      </c>
    </row>
    <row r="6734" spans="1:15" x14ac:dyDescent="0.2">
      <c r="A6734" s="6">
        <v>45785</v>
      </c>
      <c r="B6734" t="s">
        <v>15</v>
      </c>
      <c r="C6734" t="s">
        <v>16</v>
      </c>
      <c r="D6734" s="1">
        <v>45855</v>
      </c>
      <c r="E6734" t="s">
        <v>17</v>
      </c>
      <c r="F6734">
        <v>5700</v>
      </c>
      <c r="J6734">
        <v>127.7</v>
      </c>
      <c r="K6734">
        <v>74</v>
      </c>
      <c r="L6734">
        <v>0</v>
      </c>
      <c r="M6734" t="s">
        <v>18</v>
      </c>
      <c r="N6734">
        <v>0</v>
      </c>
      <c r="O6734">
        <v>0</v>
      </c>
    </row>
    <row r="6735" spans="1:15" x14ac:dyDescent="0.2">
      <c r="A6735" s="6">
        <v>45785</v>
      </c>
      <c r="B6735" t="s">
        <v>15</v>
      </c>
      <c r="C6735" t="s">
        <v>16</v>
      </c>
      <c r="D6735" s="1">
        <v>45855</v>
      </c>
      <c r="E6735" t="s">
        <v>17</v>
      </c>
      <c r="F6735">
        <v>4950</v>
      </c>
      <c r="J6735">
        <v>411.3</v>
      </c>
      <c r="K6735">
        <v>292.89999999999998</v>
      </c>
      <c r="L6735">
        <v>0</v>
      </c>
      <c r="M6735" t="s">
        <v>18</v>
      </c>
      <c r="N6735">
        <v>0</v>
      </c>
      <c r="O6735">
        <v>0</v>
      </c>
    </row>
    <row r="6736" spans="1:15" x14ac:dyDescent="0.2">
      <c r="A6736" s="6">
        <v>45785</v>
      </c>
      <c r="B6736" t="s">
        <v>15</v>
      </c>
      <c r="C6736" t="s">
        <v>16</v>
      </c>
      <c r="D6736" s="1">
        <v>45855</v>
      </c>
      <c r="E6736" t="s">
        <v>17</v>
      </c>
      <c r="F6736">
        <v>4200</v>
      </c>
      <c r="J6736">
        <v>955.6</v>
      </c>
      <c r="K6736">
        <v>786.5</v>
      </c>
      <c r="L6736">
        <v>0</v>
      </c>
      <c r="M6736" t="s">
        <v>18</v>
      </c>
      <c r="N6736">
        <v>0</v>
      </c>
      <c r="O6736">
        <v>0</v>
      </c>
    </row>
    <row r="6737" spans="1:15" x14ac:dyDescent="0.2">
      <c r="A6737" s="6">
        <v>45785</v>
      </c>
      <c r="B6737" t="s">
        <v>15</v>
      </c>
      <c r="C6737" t="s">
        <v>16</v>
      </c>
      <c r="D6737" s="1">
        <v>45855</v>
      </c>
      <c r="E6737" t="s">
        <v>19</v>
      </c>
      <c r="F6737">
        <v>6650</v>
      </c>
      <c r="J6737">
        <v>1518.5</v>
      </c>
      <c r="K6737">
        <v>1688.8</v>
      </c>
      <c r="L6737">
        <v>0</v>
      </c>
      <c r="M6737" t="s">
        <v>18</v>
      </c>
      <c r="N6737">
        <v>0</v>
      </c>
      <c r="O6737">
        <v>0</v>
      </c>
    </row>
    <row r="6738" spans="1:15" x14ac:dyDescent="0.2">
      <c r="A6738" s="6">
        <v>45785</v>
      </c>
      <c r="B6738" t="s">
        <v>15</v>
      </c>
      <c r="C6738" t="s">
        <v>16</v>
      </c>
      <c r="D6738" s="1">
        <v>45855</v>
      </c>
      <c r="E6738" t="s">
        <v>19</v>
      </c>
      <c r="F6738">
        <v>5100</v>
      </c>
      <c r="J6738">
        <v>302.39999999999998</v>
      </c>
      <c r="K6738">
        <v>379.3</v>
      </c>
      <c r="L6738">
        <v>0</v>
      </c>
      <c r="M6738" t="s">
        <v>18</v>
      </c>
      <c r="N6738">
        <v>0</v>
      </c>
      <c r="O6738">
        <v>0</v>
      </c>
    </row>
    <row r="6739" spans="1:15" x14ac:dyDescent="0.2">
      <c r="A6739" s="6">
        <v>45785</v>
      </c>
      <c r="B6739" t="s">
        <v>15</v>
      </c>
      <c r="C6739" t="s">
        <v>16</v>
      </c>
      <c r="D6739" s="1">
        <v>45855</v>
      </c>
      <c r="E6739" t="s">
        <v>17</v>
      </c>
      <c r="F6739">
        <v>4650</v>
      </c>
      <c r="J6739">
        <v>599.29999999999995</v>
      </c>
      <c r="K6739">
        <v>455.9</v>
      </c>
      <c r="L6739">
        <v>0</v>
      </c>
      <c r="M6739" t="s">
        <v>18</v>
      </c>
      <c r="N6739">
        <v>0</v>
      </c>
      <c r="O6739">
        <v>0</v>
      </c>
    </row>
    <row r="6740" spans="1:15" x14ac:dyDescent="0.2">
      <c r="A6740" s="6">
        <v>45785</v>
      </c>
      <c r="B6740" t="s">
        <v>15</v>
      </c>
      <c r="C6740" t="s">
        <v>16</v>
      </c>
      <c r="D6740" s="1">
        <v>45855</v>
      </c>
      <c r="E6740" t="s">
        <v>17</v>
      </c>
      <c r="F6740">
        <v>5250</v>
      </c>
      <c r="J6740">
        <v>267.7</v>
      </c>
      <c r="K6740">
        <v>176.6</v>
      </c>
      <c r="L6740">
        <v>0</v>
      </c>
      <c r="M6740" t="s">
        <v>18</v>
      </c>
      <c r="N6740">
        <v>0</v>
      </c>
      <c r="O6740">
        <v>0</v>
      </c>
    </row>
    <row r="6741" spans="1:15" x14ac:dyDescent="0.2">
      <c r="A6741" s="6">
        <v>45785</v>
      </c>
      <c r="B6741" t="s">
        <v>15</v>
      </c>
      <c r="C6741" t="s">
        <v>16</v>
      </c>
      <c r="D6741" s="1">
        <v>45855</v>
      </c>
      <c r="E6741" t="s">
        <v>19</v>
      </c>
      <c r="F6741">
        <v>6050</v>
      </c>
      <c r="J6741">
        <v>973.4</v>
      </c>
      <c r="K6741">
        <v>1122.8</v>
      </c>
      <c r="L6741">
        <v>0</v>
      </c>
      <c r="M6741" t="s">
        <v>18</v>
      </c>
      <c r="N6741">
        <v>0</v>
      </c>
      <c r="O6741">
        <v>0</v>
      </c>
    </row>
    <row r="6742" spans="1:15" x14ac:dyDescent="0.2">
      <c r="A6742" s="6">
        <v>45785</v>
      </c>
      <c r="B6742" t="s">
        <v>15</v>
      </c>
      <c r="C6742" t="s">
        <v>16</v>
      </c>
      <c r="D6742" s="1">
        <v>45855</v>
      </c>
      <c r="E6742" t="s">
        <v>17</v>
      </c>
      <c r="F6742">
        <v>5100</v>
      </c>
      <c r="J6742">
        <v>334</v>
      </c>
      <c r="K6742">
        <v>229.2</v>
      </c>
      <c r="L6742">
        <v>0</v>
      </c>
      <c r="M6742" t="s">
        <v>18</v>
      </c>
      <c r="N6742">
        <v>0</v>
      </c>
      <c r="O6742">
        <v>0</v>
      </c>
    </row>
    <row r="6743" spans="1:15" x14ac:dyDescent="0.2">
      <c r="A6743" s="6">
        <v>45785</v>
      </c>
      <c r="B6743" t="s">
        <v>15</v>
      </c>
      <c r="C6743" t="s">
        <v>16</v>
      </c>
      <c r="D6743" s="1">
        <v>45855</v>
      </c>
      <c r="E6743" t="s">
        <v>19</v>
      </c>
      <c r="F6743">
        <v>4700</v>
      </c>
      <c r="J6743">
        <v>138.30000000000001</v>
      </c>
      <c r="K6743">
        <v>180.4</v>
      </c>
      <c r="L6743">
        <v>0</v>
      </c>
      <c r="M6743" t="s">
        <v>18</v>
      </c>
      <c r="N6743">
        <v>0</v>
      </c>
      <c r="O6743">
        <v>0</v>
      </c>
    </row>
    <row r="6744" spans="1:15" x14ac:dyDescent="0.2">
      <c r="A6744" s="6">
        <v>45785</v>
      </c>
      <c r="B6744" t="s">
        <v>15</v>
      </c>
      <c r="C6744" t="s">
        <v>16</v>
      </c>
      <c r="D6744" s="1">
        <v>45855</v>
      </c>
      <c r="E6744" t="s">
        <v>19</v>
      </c>
      <c r="F6744">
        <v>4550</v>
      </c>
      <c r="J6744">
        <v>96.6</v>
      </c>
      <c r="K6744">
        <v>127.8</v>
      </c>
      <c r="L6744">
        <v>0</v>
      </c>
      <c r="M6744" t="s">
        <v>18</v>
      </c>
      <c r="N6744">
        <v>0</v>
      </c>
      <c r="O6744">
        <v>0</v>
      </c>
    </row>
    <row r="6745" spans="1:15" x14ac:dyDescent="0.2">
      <c r="A6745" s="6">
        <v>45785</v>
      </c>
      <c r="B6745" t="s">
        <v>15</v>
      </c>
      <c r="C6745" t="s">
        <v>16</v>
      </c>
      <c r="D6745" s="1">
        <v>45855</v>
      </c>
      <c r="E6745" t="s">
        <v>19</v>
      </c>
      <c r="F6745">
        <v>5700</v>
      </c>
      <c r="J6745">
        <v>688.7</v>
      </c>
      <c r="K6745">
        <v>816.6</v>
      </c>
      <c r="L6745">
        <v>0</v>
      </c>
      <c r="M6745" t="s">
        <v>18</v>
      </c>
      <c r="N6745">
        <v>0</v>
      </c>
      <c r="O6745">
        <v>0</v>
      </c>
    </row>
    <row r="6746" spans="1:15" x14ac:dyDescent="0.2">
      <c r="A6746" s="6">
        <v>45785</v>
      </c>
      <c r="B6746" t="s">
        <v>15</v>
      </c>
      <c r="C6746" t="s">
        <v>16</v>
      </c>
      <c r="D6746" s="1">
        <v>45855</v>
      </c>
      <c r="E6746" t="s">
        <v>19</v>
      </c>
      <c r="F6746">
        <v>3750</v>
      </c>
      <c r="J6746">
        <v>6</v>
      </c>
      <c r="K6746">
        <v>8.3000000000000007</v>
      </c>
      <c r="L6746">
        <v>0</v>
      </c>
      <c r="M6746" t="s">
        <v>18</v>
      </c>
      <c r="N6746">
        <v>0</v>
      </c>
      <c r="O6746">
        <v>0</v>
      </c>
    </row>
    <row r="6747" spans="1:15" x14ac:dyDescent="0.2">
      <c r="A6747" s="6">
        <v>45785</v>
      </c>
      <c r="B6747" t="s">
        <v>15</v>
      </c>
      <c r="C6747" t="s">
        <v>16</v>
      </c>
      <c r="D6747" s="1">
        <v>45855</v>
      </c>
      <c r="E6747" t="s">
        <v>17</v>
      </c>
      <c r="F6747">
        <v>6550</v>
      </c>
      <c r="J6747">
        <v>23.8</v>
      </c>
      <c r="K6747">
        <v>10.4</v>
      </c>
      <c r="L6747">
        <v>0</v>
      </c>
      <c r="M6747" t="s">
        <v>18</v>
      </c>
      <c r="N6747">
        <v>0</v>
      </c>
      <c r="O6747">
        <v>0</v>
      </c>
    </row>
    <row r="6748" spans="1:15" x14ac:dyDescent="0.2">
      <c r="A6748" s="6">
        <v>45785</v>
      </c>
      <c r="B6748" t="s">
        <v>15</v>
      </c>
      <c r="C6748" t="s">
        <v>16</v>
      </c>
      <c r="D6748" s="1">
        <v>45855</v>
      </c>
      <c r="E6748" t="s">
        <v>17</v>
      </c>
      <c r="F6748">
        <v>6650</v>
      </c>
      <c r="J6748">
        <v>19.2</v>
      </c>
      <c r="K6748">
        <v>8.1</v>
      </c>
      <c r="L6748">
        <v>0</v>
      </c>
      <c r="M6748" t="s">
        <v>18</v>
      </c>
      <c r="N6748">
        <v>0</v>
      </c>
      <c r="O6748">
        <v>0</v>
      </c>
    </row>
    <row r="6749" spans="1:15" x14ac:dyDescent="0.2">
      <c r="A6749" s="6">
        <v>45785</v>
      </c>
      <c r="B6749" t="s">
        <v>15</v>
      </c>
      <c r="C6749" t="s">
        <v>16</v>
      </c>
      <c r="D6749" s="1">
        <v>45855</v>
      </c>
      <c r="E6749" t="s">
        <v>19</v>
      </c>
      <c r="F6749">
        <v>3700</v>
      </c>
      <c r="J6749">
        <v>4.7</v>
      </c>
      <c r="K6749">
        <v>6.6</v>
      </c>
      <c r="L6749">
        <v>0</v>
      </c>
      <c r="M6749" t="s">
        <v>18</v>
      </c>
      <c r="N6749">
        <v>0</v>
      </c>
      <c r="O6749">
        <v>0</v>
      </c>
    </row>
    <row r="6750" spans="1:15" x14ac:dyDescent="0.2">
      <c r="A6750" s="6">
        <v>45785</v>
      </c>
      <c r="B6750" t="s">
        <v>15</v>
      </c>
      <c r="C6750" t="s">
        <v>16</v>
      </c>
      <c r="D6750" s="1">
        <v>45855</v>
      </c>
      <c r="E6750" t="s">
        <v>17</v>
      </c>
      <c r="F6750">
        <v>5600</v>
      </c>
      <c r="J6750">
        <v>151.9</v>
      </c>
      <c r="K6750">
        <v>90.8</v>
      </c>
      <c r="L6750">
        <v>0</v>
      </c>
      <c r="M6750" t="s">
        <v>18</v>
      </c>
      <c r="N6750">
        <v>0</v>
      </c>
      <c r="O6750">
        <v>0</v>
      </c>
    </row>
    <row r="6751" spans="1:15" x14ac:dyDescent="0.2">
      <c r="A6751" s="6">
        <v>45785</v>
      </c>
      <c r="B6751" t="s">
        <v>15</v>
      </c>
      <c r="C6751" t="s">
        <v>16</v>
      </c>
      <c r="D6751" s="1">
        <v>45855</v>
      </c>
      <c r="E6751" t="s">
        <v>17</v>
      </c>
      <c r="F6751">
        <v>6050</v>
      </c>
      <c r="J6751">
        <v>66.599999999999994</v>
      </c>
      <c r="K6751">
        <v>34.5</v>
      </c>
      <c r="L6751">
        <v>0</v>
      </c>
      <c r="M6751" t="s">
        <v>18</v>
      </c>
      <c r="N6751">
        <v>0</v>
      </c>
      <c r="O6751">
        <v>0</v>
      </c>
    </row>
    <row r="6752" spans="1:15" x14ac:dyDescent="0.2">
      <c r="A6752" s="6">
        <v>45785</v>
      </c>
      <c r="B6752" t="s">
        <v>15</v>
      </c>
      <c r="C6752" t="s">
        <v>16</v>
      </c>
      <c r="D6752" s="1">
        <v>45855</v>
      </c>
      <c r="E6752" t="s">
        <v>19</v>
      </c>
      <c r="F6752">
        <v>4450</v>
      </c>
      <c r="J6752">
        <v>74.3</v>
      </c>
      <c r="K6752">
        <v>99.2</v>
      </c>
      <c r="L6752">
        <v>0</v>
      </c>
      <c r="M6752" t="s">
        <v>18</v>
      </c>
      <c r="N6752">
        <v>0</v>
      </c>
      <c r="O6752">
        <v>0</v>
      </c>
    </row>
    <row r="6753" spans="1:15" x14ac:dyDescent="0.2">
      <c r="A6753" s="6">
        <v>45785</v>
      </c>
      <c r="B6753" t="s">
        <v>15</v>
      </c>
      <c r="C6753" t="s">
        <v>16</v>
      </c>
      <c r="D6753" s="1">
        <v>45855</v>
      </c>
      <c r="E6753" t="s">
        <v>17</v>
      </c>
      <c r="F6753">
        <v>3750</v>
      </c>
      <c r="J6753">
        <v>1371</v>
      </c>
      <c r="K6753">
        <v>1191.4000000000001</v>
      </c>
      <c r="L6753">
        <v>0</v>
      </c>
      <c r="M6753" t="s">
        <v>18</v>
      </c>
      <c r="N6753">
        <v>0</v>
      </c>
      <c r="O6753">
        <v>0</v>
      </c>
    </row>
    <row r="6754" spans="1:15" x14ac:dyDescent="0.2">
      <c r="A6754" s="6">
        <v>45785</v>
      </c>
      <c r="B6754" t="s">
        <v>15</v>
      </c>
      <c r="C6754" t="s">
        <v>16</v>
      </c>
      <c r="D6754" s="1">
        <v>45855</v>
      </c>
      <c r="E6754" t="s">
        <v>19</v>
      </c>
      <c r="F6754">
        <v>5400</v>
      </c>
      <c r="J6754">
        <v>476.5</v>
      </c>
      <c r="K6754">
        <v>580.4</v>
      </c>
      <c r="L6754">
        <v>0</v>
      </c>
      <c r="M6754" t="s">
        <v>18</v>
      </c>
      <c r="N6754">
        <v>0</v>
      </c>
      <c r="O6754">
        <v>0</v>
      </c>
    </row>
    <row r="6755" spans="1:15" x14ac:dyDescent="0.2">
      <c r="A6755" s="6">
        <v>45785</v>
      </c>
      <c r="B6755" t="s">
        <v>15</v>
      </c>
      <c r="C6755" t="s">
        <v>16</v>
      </c>
      <c r="D6755" s="1">
        <v>45855</v>
      </c>
      <c r="E6755" t="s">
        <v>19</v>
      </c>
      <c r="F6755">
        <v>5450</v>
      </c>
      <c r="J6755">
        <v>509.4</v>
      </c>
      <c r="K6755">
        <v>617.6</v>
      </c>
      <c r="L6755">
        <v>0</v>
      </c>
      <c r="M6755" t="s">
        <v>18</v>
      </c>
      <c r="N6755">
        <v>0</v>
      </c>
      <c r="O6755">
        <v>0</v>
      </c>
    </row>
    <row r="6756" spans="1:15" x14ac:dyDescent="0.2">
      <c r="A6756" s="6">
        <v>45785</v>
      </c>
      <c r="B6756" t="s">
        <v>15</v>
      </c>
      <c r="C6756" t="s">
        <v>16</v>
      </c>
      <c r="D6756" s="1">
        <v>45855</v>
      </c>
      <c r="E6756" t="s">
        <v>19</v>
      </c>
      <c r="F6756">
        <v>5300</v>
      </c>
      <c r="J6756">
        <v>413.9</v>
      </c>
      <c r="K6756">
        <v>509</v>
      </c>
      <c r="L6756">
        <v>0</v>
      </c>
      <c r="M6756" t="s">
        <v>18</v>
      </c>
      <c r="N6756">
        <v>0</v>
      </c>
      <c r="O6756">
        <v>0</v>
      </c>
    </row>
    <row r="6757" spans="1:15" x14ac:dyDescent="0.2">
      <c r="A6757" s="6">
        <v>45785</v>
      </c>
      <c r="B6757" t="s">
        <v>15</v>
      </c>
      <c r="C6757" t="s">
        <v>16</v>
      </c>
      <c r="D6757" s="1">
        <v>45855</v>
      </c>
      <c r="E6757" t="s">
        <v>19</v>
      </c>
      <c r="F6757">
        <v>4600</v>
      </c>
      <c r="J6757">
        <v>109.3</v>
      </c>
      <c r="K6757">
        <v>144</v>
      </c>
      <c r="L6757">
        <v>0</v>
      </c>
      <c r="M6757" t="s">
        <v>18</v>
      </c>
      <c r="N6757">
        <v>0</v>
      </c>
      <c r="O6757">
        <v>0</v>
      </c>
    </row>
    <row r="6758" spans="1:15" x14ac:dyDescent="0.2">
      <c r="A6758" s="6">
        <v>45785</v>
      </c>
      <c r="B6758" t="s">
        <v>15</v>
      </c>
      <c r="C6758" t="s">
        <v>16</v>
      </c>
      <c r="D6758" s="1">
        <v>45855</v>
      </c>
      <c r="E6758" t="s">
        <v>19</v>
      </c>
      <c r="F6758">
        <v>5900</v>
      </c>
      <c r="J6758">
        <v>847.3</v>
      </c>
      <c r="K6758">
        <v>988.4</v>
      </c>
      <c r="L6758">
        <v>0</v>
      </c>
      <c r="M6758" t="s">
        <v>18</v>
      </c>
      <c r="N6758">
        <v>0</v>
      </c>
      <c r="O6758">
        <v>0</v>
      </c>
    </row>
    <row r="6759" spans="1:15" x14ac:dyDescent="0.2">
      <c r="A6759" s="6">
        <v>45785</v>
      </c>
      <c r="B6759" t="s">
        <v>15</v>
      </c>
      <c r="C6759" t="s">
        <v>16</v>
      </c>
      <c r="D6759" s="1">
        <v>45855</v>
      </c>
      <c r="E6759" t="s">
        <v>19</v>
      </c>
      <c r="F6759">
        <v>6400</v>
      </c>
      <c r="J6759">
        <v>1285.2</v>
      </c>
      <c r="K6759">
        <v>1449</v>
      </c>
      <c r="L6759">
        <v>0</v>
      </c>
      <c r="M6759" t="s">
        <v>18</v>
      </c>
      <c r="N6759">
        <v>0</v>
      </c>
      <c r="O6759">
        <v>0</v>
      </c>
    </row>
    <row r="6760" spans="1:15" x14ac:dyDescent="0.2">
      <c r="A6760" s="6">
        <v>45785</v>
      </c>
      <c r="B6760" t="s">
        <v>15</v>
      </c>
      <c r="C6760" t="s">
        <v>16</v>
      </c>
      <c r="D6760" s="1">
        <v>45855</v>
      </c>
      <c r="E6760" t="s">
        <v>19</v>
      </c>
      <c r="F6760">
        <v>5050</v>
      </c>
      <c r="J6760">
        <v>277.60000000000002</v>
      </c>
      <c r="K6760">
        <v>349.9</v>
      </c>
      <c r="L6760">
        <v>0</v>
      </c>
      <c r="M6760" t="s">
        <v>18</v>
      </c>
      <c r="N6760">
        <v>0</v>
      </c>
      <c r="O6760">
        <v>0</v>
      </c>
    </row>
    <row r="6761" spans="1:15" x14ac:dyDescent="0.2">
      <c r="A6761" s="6">
        <v>45785</v>
      </c>
      <c r="B6761" t="s">
        <v>15</v>
      </c>
      <c r="C6761" t="s">
        <v>16</v>
      </c>
      <c r="D6761" s="1">
        <v>45855</v>
      </c>
      <c r="E6761" t="s">
        <v>17</v>
      </c>
      <c r="F6761">
        <v>5750</v>
      </c>
      <c r="J6761">
        <v>116.8</v>
      </c>
      <c r="K6761">
        <v>66.599999999999994</v>
      </c>
      <c r="L6761">
        <v>0</v>
      </c>
      <c r="M6761" t="s">
        <v>18</v>
      </c>
      <c r="N6761">
        <v>0</v>
      </c>
      <c r="O6761">
        <v>0</v>
      </c>
    </row>
    <row r="6762" spans="1:15" x14ac:dyDescent="0.2">
      <c r="A6762" s="6">
        <v>45785</v>
      </c>
      <c r="B6762" t="s">
        <v>15</v>
      </c>
      <c r="C6762" t="s">
        <v>16</v>
      </c>
      <c r="D6762" s="1">
        <v>45855</v>
      </c>
      <c r="E6762" t="s">
        <v>19</v>
      </c>
      <c r="F6762">
        <v>4950</v>
      </c>
      <c r="J6762">
        <v>231.6</v>
      </c>
      <c r="K6762">
        <v>294.8</v>
      </c>
      <c r="L6762">
        <v>0</v>
      </c>
      <c r="M6762" t="s">
        <v>18</v>
      </c>
      <c r="N6762">
        <v>0</v>
      </c>
      <c r="O6762">
        <v>0</v>
      </c>
    </row>
    <row r="6763" spans="1:15" x14ac:dyDescent="0.2">
      <c r="A6763" s="6">
        <v>45785</v>
      </c>
      <c r="B6763" t="s">
        <v>15</v>
      </c>
      <c r="C6763" t="s">
        <v>16</v>
      </c>
      <c r="D6763" s="1">
        <v>45855</v>
      </c>
      <c r="E6763" t="s">
        <v>17</v>
      </c>
      <c r="F6763">
        <v>6400</v>
      </c>
      <c r="J6763">
        <v>32.799999999999997</v>
      </c>
      <c r="K6763">
        <v>15.1</v>
      </c>
      <c r="L6763">
        <v>0</v>
      </c>
      <c r="M6763" t="s">
        <v>18</v>
      </c>
      <c r="N6763">
        <v>0</v>
      </c>
      <c r="O6763">
        <v>0</v>
      </c>
    </row>
    <row r="6764" spans="1:15" x14ac:dyDescent="0.2">
      <c r="A6764" s="6">
        <v>45785</v>
      </c>
      <c r="B6764" t="s">
        <v>15</v>
      </c>
      <c r="C6764" t="s">
        <v>16</v>
      </c>
      <c r="D6764" s="1">
        <v>45855</v>
      </c>
      <c r="E6764" t="s">
        <v>19</v>
      </c>
      <c r="F6764">
        <v>3850</v>
      </c>
      <c r="J6764">
        <v>9.4</v>
      </c>
      <c r="K6764">
        <v>13</v>
      </c>
      <c r="L6764">
        <v>0</v>
      </c>
      <c r="M6764" t="s">
        <v>18</v>
      </c>
      <c r="N6764">
        <v>0</v>
      </c>
      <c r="O6764">
        <v>0</v>
      </c>
    </row>
    <row r="6765" spans="1:15" x14ac:dyDescent="0.2">
      <c r="A6765" s="6">
        <v>45785</v>
      </c>
      <c r="B6765" t="s">
        <v>15</v>
      </c>
      <c r="C6765" t="s">
        <v>16</v>
      </c>
      <c r="D6765" s="1">
        <v>45855</v>
      </c>
      <c r="E6765" t="s">
        <v>17</v>
      </c>
      <c r="F6765">
        <v>6600</v>
      </c>
      <c r="J6765">
        <v>21.4</v>
      </c>
      <c r="K6765">
        <v>9.1999999999999993</v>
      </c>
      <c r="L6765">
        <v>0</v>
      </c>
      <c r="M6765" t="s">
        <v>18</v>
      </c>
      <c r="N6765">
        <v>0</v>
      </c>
      <c r="O6765">
        <v>0</v>
      </c>
    </row>
    <row r="6766" spans="1:15" x14ac:dyDescent="0.2">
      <c r="A6766" s="6">
        <v>45785</v>
      </c>
      <c r="B6766" t="s">
        <v>15</v>
      </c>
      <c r="C6766" t="s">
        <v>16</v>
      </c>
      <c r="D6766" s="1">
        <v>45855</v>
      </c>
      <c r="E6766" t="s">
        <v>17</v>
      </c>
      <c r="F6766">
        <v>3850</v>
      </c>
      <c r="J6766">
        <v>1275.5999999999999</v>
      </c>
      <c r="K6766">
        <v>1097.3</v>
      </c>
      <c r="L6766">
        <v>0</v>
      </c>
      <c r="M6766" t="s">
        <v>18</v>
      </c>
      <c r="N6766">
        <v>0</v>
      </c>
      <c r="O6766">
        <v>0</v>
      </c>
    </row>
    <row r="6767" spans="1:15" x14ac:dyDescent="0.2">
      <c r="A6767" s="6">
        <v>45785</v>
      </c>
      <c r="B6767" t="s">
        <v>15</v>
      </c>
      <c r="C6767" t="s">
        <v>16</v>
      </c>
      <c r="D6767" s="1">
        <v>45855</v>
      </c>
      <c r="E6767" t="s">
        <v>19</v>
      </c>
      <c r="F6767">
        <v>4100</v>
      </c>
      <c r="J6767">
        <v>24.9</v>
      </c>
      <c r="K6767">
        <v>34.1</v>
      </c>
      <c r="L6767">
        <v>0</v>
      </c>
      <c r="M6767" t="s">
        <v>18</v>
      </c>
      <c r="N6767">
        <v>0</v>
      </c>
      <c r="O6767">
        <v>0</v>
      </c>
    </row>
    <row r="6768" spans="1:15" x14ac:dyDescent="0.2">
      <c r="A6768" s="6">
        <v>45785</v>
      </c>
      <c r="B6768" t="s">
        <v>15</v>
      </c>
      <c r="C6768" t="s">
        <v>16</v>
      </c>
      <c r="D6768" s="1">
        <v>45855</v>
      </c>
      <c r="E6768" t="s">
        <v>17</v>
      </c>
      <c r="F6768">
        <v>4000</v>
      </c>
      <c r="J6768">
        <v>1135.3</v>
      </c>
      <c r="K6768">
        <v>959.9</v>
      </c>
      <c r="L6768">
        <v>0</v>
      </c>
      <c r="M6768" t="s">
        <v>18</v>
      </c>
      <c r="N6768">
        <v>0</v>
      </c>
      <c r="O6768">
        <v>0</v>
      </c>
    </row>
    <row r="6769" spans="1:15" x14ac:dyDescent="0.2">
      <c r="A6769" s="6">
        <v>45785</v>
      </c>
      <c r="B6769" t="s">
        <v>15</v>
      </c>
      <c r="C6769" t="s">
        <v>16</v>
      </c>
      <c r="D6769" s="1">
        <v>45855</v>
      </c>
      <c r="E6769" t="s">
        <v>17</v>
      </c>
      <c r="F6769">
        <v>4250</v>
      </c>
      <c r="J6769">
        <v>912.4</v>
      </c>
      <c r="K6769">
        <v>745.3</v>
      </c>
      <c r="L6769">
        <v>0</v>
      </c>
      <c r="M6769" t="s">
        <v>18</v>
      </c>
      <c r="N6769">
        <v>0</v>
      </c>
      <c r="O6769">
        <v>0</v>
      </c>
    </row>
    <row r="6770" spans="1:15" x14ac:dyDescent="0.2">
      <c r="A6770" s="6">
        <v>45785</v>
      </c>
      <c r="B6770" t="s">
        <v>15</v>
      </c>
      <c r="C6770" t="s">
        <v>16</v>
      </c>
      <c r="D6770" s="1">
        <v>45855</v>
      </c>
      <c r="E6770" t="s">
        <v>17</v>
      </c>
      <c r="F6770">
        <v>6450</v>
      </c>
      <c r="J6770">
        <v>29.5</v>
      </c>
      <c r="K6770">
        <v>13.3</v>
      </c>
      <c r="L6770">
        <v>0</v>
      </c>
      <c r="M6770" t="s">
        <v>18</v>
      </c>
      <c r="N6770">
        <v>0</v>
      </c>
      <c r="O6770">
        <v>0</v>
      </c>
    </row>
    <row r="6771" spans="1:15" x14ac:dyDescent="0.2">
      <c r="A6771" s="6">
        <v>45785</v>
      </c>
      <c r="B6771" t="s">
        <v>15</v>
      </c>
      <c r="C6771" t="s">
        <v>16</v>
      </c>
      <c r="D6771" s="1">
        <v>45855</v>
      </c>
      <c r="E6771" t="s">
        <v>17</v>
      </c>
      <c r="F6771">
        <v>5800</v>
      </c>
      <c r="J6771">
        <v>106.7</v>
      </c>
      <c r="K6771">
        <v>59.9</v>
      </c>
      <c r="L6771">
        <v>0</v>
      </c>
      <c r="M6771" t="s">
        <v>18</v>
      </c>
      <c r="N6771">
        <v>0</v>
      </c>
      <c r="O6771">
        <v>0</v>
      </c>
    </row>
    <row r="6772" spans="1:15" x14ac:dyDescent="0.2">
      <c r="A6772" s="6">
        <v>45785</v>
      </c>
      <c r="B6772" t="s">
        <v>15</v>
      </c>
      <c r="C6772" t="s">
        <v>16</v>
      </c>
      <c r="D6772" s="1">
        <v>45855</v>
      </c>
      <c r="E6772" t="s">
        <v>19</v>
      </c>
      <c r="F6772">
        <v>5000</v>
      </c>
      <c r="J6772">
        <v>254</v>
      </c>
      <c r="K6772">
        <v>321.7</v>
      </c>
      <c r="L6772">
        <v>0</v>
      </c>
      <c r="M6772" t="s">
        <v>18</v>
      </c>
      <c r="N6772">
        <v>0</v>
      </c>
      <c r="O6772">
        <v>0</v>
      </c>
    </row>
    <row r="6773" spans="1:15" x14ac:dyDescent="0.2">
      <c r="A6773" s="6">
        <v>45785</v>
      </c>
      <c r="B6773" t="s">
        <v>15</v>
      </c>
      <c r="C6773" t="s">
        <v>16</v>
      </c>
      <c r="D6773" s="1">
        <v>45855</v>
      </c>
      <c r="E6773" t="s">
        <v>19</v>
      </c>
      <c r="F6773">
        <v>5950</v>
      </c>
      <c r="J6773">
        <v>888.7</v>
      </c>
      <c r="K6773">
        <v>1032.7</v>
      </c>
      <c r="L6773">
        <v>0</v>
      </c>
      <c r="M6773" t="s">
        <v>18</v>
      </c>
      <c r="N6773">
        <v>0</v>
      </c>
      <c r="O6773">
        <v>0</v>
      </c>
    </row>
    <row r="6774" spans="1:15" x14ac:dyDescent="0.2">
      <c r="A6774" s="6">
        <v>45785</v>
      </c>
      <c r="B6774" t="s">
        <v>15</v>
      </c>
      <c r="C6774" t="s">
        <v>16</v>
      </c>
      <c r="D6774" s="1">
        <v>45855</v>
      </c>
      <c r="E6774" t="s">
        <v>19</v>
      </c>
      <c r="F6774">
        <v>4400</v>
      </c>
      <c r="J6774">
        <v>64.7</v>
      </c>
      <c r="K6774">
        <v>86.7</v>
      </c>
      <c r="L6774">
        <v>0</v>
      </c>
      <c r="M6774" t="s">
        <v>18</v>
      </c>
      <c r="N6774">
        <v>0</v>
      </c>
      <c r="O6774">
        <v>0</v>
      </c>
    </row>
    <row r="6775" spans="1:15" x14ac:dyDescent="0.2">
      <c r="A6775" s="6">
        <v>45785</v>
      </c>
      <c r="B6775" t="s">
        <v>15</v>
      </c>
      <c r="C6775" t="s">
        <v>16</v>
      </c>
      <c r="D6775" s="1">
        <v>45855</v>
      </c>
      <c r="E6775" t="s">
        <v>17</v>
      </c>
      <c r="F6775">
        <v>4550</v>
      </c>
      <c r="J6775">
        <v>671.4</v>
      </c>
      <c r="K6775">
        <v>520.9</v>
      </c>
      <c r="L6775">
        <v>0</v>
      </c>
      <c r="M6775" t="s">
        <v>18</v>
      </c>
      <c r="N6775">
        <v>0</v>
      </c>
      <c r="O6775">
        <v>0</v>
      </c>
    </row>
    <row r="6776" spans="1:15" x14ac:dyDescent="0.2">
      <c r="A6776" s="6">
        <v>45785</v>
      </c>
      <c r="B6776" t="s">
        <v>15</v>
      </c>
      <c r="C6776" t="s">
        <v>16</v>
      </c>
      <c r="D6776" s="1">
        <v>45855</v>
      </c>
      <c r="E6776" t="s">
        <v>17</v>
      </c>
      <c r="F6776">
        <v>4300</v>
      </c>
      <c r="J6776">
        <v>870</v>
      </c>
      <c r="K6776">
        <v>705.1</v>
      </c>
      <c r="L6776">
        <v>0</v>
      </c>
      <c r="M6776" t="s">
        <v>18</v>
      </c>
      <c r="N6776">
        <v>0</v>
      </c>
      <c r="O6776">
        <v>0</v>
      </c>
    </row>
    <row r="6777" spans="1:15" x14ac:dyDescent="0.2">
      <c r="A6777" s="6">
        <v>45785</v>
      </c>
      <c r="B6777" t="s">
        <v>15</v>
      </c>
      <c r="C6777" t="s">
        <v>16</v>
      </c>
      <c r="D6777" s="1">
        <v>45855</v>
      </c>
      <c r="E6777" t="s">
        <v>17</v>
      </c>
      <c r="F6777">
        <v>4700</v>
      </c>
      <c r="J6777">
        <v>565</v>
      </c>
      <c r="K6777">
        <v>425.3</v>
      </c>
      <c r="L6777">
        <v>0</v>
      </c>
      <c r="M6777" t="s">
        <v>18</v>
      </c>
      <c r="N6777">
        <v>0</v>
      </c>
      <c r="O6777">
        <v>0</v>
      </c>
    </row>
    <row r="6778" spans="1:15" x14ac:dyDescent="0.2">
      <c r="A6778" s="6">
        <v>45785</v>
      </c>
      <c r="B6778" t="s">
        <v>15</v>
      </c>
      <c r="C6778" t="s">
        <v>16</v>
      </c>
      <c r="D6778" s="1">
        <v>45855</v>
      </c>
      <c r="E6778" t="s">
        <v>17</v>
      </c>
      <c r="F6778">
        <v>4850</v>
      </c>
      <c r="J6778">
        <v>469.1</v>
      </c>
      <c r="K6778">
        <v>341.8</v>
      </c>
      <c r="L6778">
        <v>0</v>
      </c>
      <c r="M6778" t="s">
        <v>18</v>
      </c>
      <c r="N6778">
        <v>0</v>
      </c>
      <c r="O6778">
        <v>0</v>
      </c>
    </row>
    <row r="6779" spans="1:15" x14ac:dyDescent="0.2">
      <c r="A6779" s="6">
        <v>45785</v>
      </c>
      <c r="B6779" t="s">
        <v>15</v>
      </c>
      <c r="C6779" t="s">
        <v>16</v>
      </c>
      <c r="D6779" s="1">
        <v>45855</v>
      </c>
      <c r="E6779" t="s">
        <v>17</v>
      </c>
      <c r="F6779">
        <v>5650</v>
      </c>
      <c r="J6779">
        <v>139.4</v>
      </c>
      <c r="K6779">
        <v>82</v>
      </c>
      <c r="L6779">
        <v>0</v>
      </c>
      <c r="M6779" t="s">
        <v>18</v>
      </c>
      <c r="N6779">
        <v>0</v>
      </c>
      <c r="O6779">
        <v>0</v>
      </c>
    </row>
    <row r="6780" spans="1:15" x14ac:dyDescent="0.2">
      <c r="A6780" s="6">
        <v>45785</v>
      </c>
      <c r="B6780" t="s">
        <v>15</v>
      </c>
      <c r="C6780" t="s">
        <v>16</v>
      </c>
      <c r="D6780" s="1">
        <v>45855</v>
      </c>
      <c r="E6780" t="s">
        <v>17</v>
      </c>
      <c r="F6780">
        <v>5500</v>
      </c>
      <c r="J6780">
        <v>179.9</v>
      </c>
      <c r="K6780">
        <v>110.7</v>
      </c>
      <c r="L6780">
        <v>0</v>
      </c>
      <c r="M6780" t="s">
        <v>18</v>
      </c>
      <c r="N6780">
        <v>0</v>
      </c>
      <c r="O6780">
        <v>0</v>
      </c>
    </row>
    <row r="6781" spans="1:15" x14ac:dyDescent="0.2">
      <c r="A6781" s="6">
        <v>45785</v>
      </c>
      <c r="B6781" t="s">
        <v>15</v>
      </c>
      <c r="C6781" t="s">
        <v>16</v>
      </c>
      <c r="D6781" s="1">
        <v>45855</v>
      </c>
      <c r="E6781" t="s">
        <v>17</v>
      </c>
      <c r="F6781">
        <v>5450</v>
      </c>
      <c r="J6781">
        <v>195.3</v>
      </c>
      <c r="K6781">
        <v>121.9</v>
      </c>
      <c r="L6781">
        <v>0</v>
      </c>
      <c r="M6781" t="s">
        <v>18</v>
      </c>
      <c r="N6781">
        <v>0</v>
      </c>
      <c r="O6781">
        <v>0</v>
      </c>
    </row>
    <row r="6782" spans="1:15" x14ac:dyDescent="0.2">
      <c r="A6782" s="6">
        <v>45785</v>
      </c>
      <c r="B6782" t="s">
        <v>15</v>
      </c>
      <c r="C6782" t="s">
        <v>16</v>
      </c>
      <c r="D6782" s="1">
        <v>45855</v>
      </c>
      <c r="E6782" t="s">
        <v>17</v>
      </c>
      <c r="F6782">
        <v>6000</v>
      </c>
      <c r="J6782">
        <v>73.400000000000006</v>
      </c>
      <c r="K6782">
        <v>38.700000000000003</v>
      </c>
      <c r="L6782">
        <v>0</v>
      </c>
      <c r="M6782" t="s">
        <v>18</v>
      </c>
      <c r="N6782">
        <v>0</v>
      </c>
      <c r="O6782">
        <v>0</v>
      </c>
    </row>
    <row r="6783" spans="1:15" x14ac:dyDescent="0.2">
      <c r="A6783" s="6">
        <v>45785</v>
      </c>
      <c r="B6783" t="s">
        <v>15</v>
      </c>
      <c r="C6783" t="s">
        <v>16</v>
      </c>
      <c r="D6783" s="1">
        <v>45855</v>
      </c>
      <c r="E6783" t="s">
        <v>19</v>
      </c>
      <c r="F6783">
        <v>4500</v>
      </c>
      <c r="J6783">
        <v>84.9</v>
      </c>
      <c r="K6783">
        <v>112.9</v>
      </c>
      <c r="L6783">
        <v>0</v>
      </c>
      <c r="M6783" t="s">
        <v>18</v>
      </c>
      <c r="N6783">
        <v>0</v>
      </c>
      <c r="O6783">
        <v>0</v>
      </c>
    </row>
    <row r="6784" spans="1:15" x14ac:dyDescent="0.2">
      <c r="A6784" s="6">
        <v>45785</v>
      </c>
      <c r="B6784" t="s">
        <v>15</v>
      </c>
      <c r="C6784" t="s">
        <v>16</v>
      </c>
      <c r="D6784" s="1">
        <v>45855</v>
      </c>
      <c r="E6784" t="s">
        <v>17</v>
      </c>
      <c r="F6784">
        <v>6350</v>
      </c>
      <c r="J6784">
        <v>36.4</v>
      </c>
      <c r="K6784">
        <v>17</v>
      </c>
      <c r="L6784">
        <v>0</v>
      </c>
      <c r="M6784" t="s">
        <v>18</v>
      </c>
      <c r="N6784">
        <v>0</v>
      </c>
      <c r="O6784">
        <v>0</v>
      </c>
    </row>
    <row r="6785" spans="1:15" x14ac:dyDescent="0.2">
      <c r="A6785" s="6">
        <v>45785</v>
      </c>
      <c r="B6785" t="s">
        <v>15</v>
      </c>
      <c r="C6785" t="s">
        <v>16</v>
      </c>
      <c r="D6785" s="1">
        <v>45855</v>
      </c>
      <c r="E6785" t="s">
        <v>17</v>
      </c>
      <c r="F6785">
        <v>6300</v>
      </c>
      <c r="J6785">
        <v>40.4</v>
      </c>
      <c r="K6785">
        <v>19.2</v>
      </c>
      <c r="L6785">
        <v>0</v>
      </c>
      <c r="M6785" t="s">
        <v>18</v>
      </c>
      <c r="N6785">
        <v>0</v>
      </c>
      <c r="O6785">
        <v>0</v>
      </c>
    </row>
    <row r="6786" spans="1:15" x14ac:dyDescent="0.2">
      <c r="A6786" s="6">
        <v>45785</v>
      </c>
      <c r="B6786" t="s">
        <v>15</v>
      </c>
      <c r="C6786" t="s">
        <v>16</v>
      </c>
      <c r="D6786" s="1">
        <v>45855</v>
      </c>
      <c r="E6786" t="s">
        <v>17</v>
      </c>
      <c r="F6786">
        <v>4150</v>
      </c>
      <c r="J6786">
        <v>999.6</v>
      </c>
      <c r="K6786">
        <v>828.6</v>
      </c>
      <c r="L6786">
        <v>0</v>
      </c>
      <c r="M6786" t="s">
        <v>18</v>
      </c>
      <c r="N6786">
        <v>0</v>
      </c>
      <c r="O6786">
        <v>0</v>
      </c>
    </row>
    <row r="6787" spans="1:15" x14ac:dyDescent="0.2">
      <c r="A6787" s="6">
        <v>45785</v>
      </c>
      <c r="B6787" t="s">
        <v>15</v>
      </c>
      <c r="C6787" t="s">
        <v>16</v>
      </c>
      <c r="D6787" s="1">
        <v>45855</v>
      </c>
      <c r="E6787" t="s">
        <v>19</v>
      </c>
      <c r="F6787">
        <v>5150</v>
      </c>
      <c r="J6787">
        <v>328.5</v>
      </c>
      <c r="K6787">
        <v>410</v>
      </c>
      <c r="L6787">
        <v>0</v>
      </c>
      <c r="M6787" t="s">
        <v>18</v>
      </c>
      <c r="N6787">
        <v>0</v>
      </c>
      <c r="O6787">
        <v>0</v>
      </c>
    </row>
    <row r="6788" spans="1:15" x14ac:dyDescent="0.2">
      <c r="A6788" s="6">
        <v>45785</v>
      </c>
      <c r="B6788" t="s">
        <v>15</v>
      </c>
      <c r="C6788" t="s">
        <v>16</v>
      </c>
      <c r="D6788" s="1">
        <v>45855</v>
      </c>
      <c r="E6788" t="s">
        <v>17</v>
      </c>
      <c r="F6788">
        <v>4600</v>
      </c>
      <c r="J6788">
        <v>634.79999999999995</v>
      </c>
      <c r="K6788">
        <v>487.7</v>
      </c>
      <c r="L6788">
        <v>0</v>
      </c>
      <c r="M6788" t="s">
        <v>18</v>
      </c>
      <c r="N6788">
        <v>0</v>
      </c>
      <c r="O6788">
        <v>0</v>
      </c>
    </row>
    <row r="6789" spans="1:15" x14ac:dyDescent="0.2">
      <c r="A6789" s="6">
        <v>45785</v>
      </c>
      <c r="B6789" t="s">
        <v>15</v>
      </c>
      <c r="C6789" t="s">
        <v>16</v>
      </c>
      <c r="D6789" s="1">
        <v>45855</v>
      </c>
      <c r="E6789" t="s">
        <v>17</v>
      </c>
      <c r="F6789">
        <v>6250</v>
      </c>
      <c r="J6789">
        <v>44.8</v>
      </c>
      <c r="K6789">
        <v>21.7</v>
      </c>
      <c r="L6789">
        <v>0</v>
      </c>
      <c r="M6789" t="s">
        <v>18</v>
      </c>
      <c r="N6789">
        <v>0</v>
      </c>
      <c r="O6789">
        <v>0</v>
      </c>
    </row>
    <row r="6790" spans="1:15" x14ac:dyDescent="0.2">
      <c r="A6790" s="6">
        <v>45785</v>
      </c>
      <c r="B6790" t="s">
        <v>15</v>
      </c>
      <c r="C6790" t="s">
        <v>16</v>
      </c>
      <c r="D6790" s="1">
        <v>45855</v>
      </c>
      <c r="E6790" t="s">
        <v>17</v>
      </c>
      <c r="F6790">
        <v>5900</v>
      </c>
      <c r="J6790">
        <v>88.7</v>
      </c>
      <c r="K6790">
        <v>48.3</v>
      </c>
      <c r="L6790">
        <v>0</v>
      </c>
      <c r="M6790" t="s">
        <v>18</v>
      </c>
      <c r="N6790">
        <v>0</v>
      </c>
      <c r="O6790">
        <v>0</v>
      </c>
    </row>
    <row r="6791" spans="1:15" x14ac:dyDescent="0.2">
      <c r="A6791" s="6">
        <v>45785</v>
      </c>
      <c r="B6791" t="s">
        <v>15</v>
      </c>
      <c r="C6791" t="s">
        <v>16</v>
      </c>
      <c r="D6791" s="1">
        <v>45855</v>
      </c>
      <c r="E6791" t="s">
        <v>19</v>
      </c>
      <c r="F6791">
        <v>3900</v>
      </c>
      <c r="J6791">
        <v>11.6</v>
      </c>
      <c r="K6791">
        <v>16</v>
      </c>
      <c r="L6791">
        <v>0</v>
      </c>
      <c r="M6791" t="s">
        <v>18</v>
      </c>
      <c r="N6791">
        <v>0</v>
      </c>
      <c r="O6791">
        <v>0</v>
      </c>
    </row>
    <row r="6792" spans="1:15" x14ac:dyDescent="0.2">
      <c r="A6792" s="6">
        <v>45785</v>
      </c>
      <c r="B6792" t="s">
        <v>15</v>
      </c>
      <c r="C6792" t="s">
        <v>16</v>
      </c>
      <c r="D6792" s="1">
        <v>45855</v>
      </c>
      <c r="E6792" t="s">
        <v>17</v>
      </c>
      <c r="F6792">
        <v>5050</v>
      </c>
      <c r="J6792">
        <v>358.6</v>
      </c>
      <c r="K6792">
        <v>249.2</v>
      </c>
      <c r="L6792">
        <v>0</v>
      </c>
      <c r="M6792" t="s">
        <v>18</v>
      </c>
      <c r="N6792">
        <v>0</v>
      </c>
      <c r="O6792">
        <v>0</v>
      </c>
    </row>
    <row r="6793" spans="1:15" x14ac:dyDescent="0.2">
      <c r="A6793" s="6">
        <v>45785</v>
      </c>
      <c r="B6793" t="s">
        <v>15</v>
      </c>
      <c r="C6793" t="s">
        <v>16</v>
      </c>
      <c r="D6793" s="1">
        <v>45855</v>
      </c>
      <c r="E6793" t="s">
        <v>19</v>
      </c>
      <c r="F6793">
        <v>5350</v>
      </c>
      <c r="J6793">
        <v>444.6</v>
      </c>
      <c r="K6793">
        <v>544.20000000000005</v>
      </c>
      <c r="L6793">
        <v>0</v>
      </c>
      <c r="M6793" t="s">
        <v>18</v>
      </c>
      <c r="N6793">
        <v>0</v>
      </c>
      <c r="O6793">
        <v>0</v>
      </c>
    </row>
    <row r="6794" spans="1:15" x14ac:dyDescent="0.2">
      <c r="A6794" s="6">
        <v>45785</v>
      </c>
      <c r="B6794" t="s">
        <v>15</v>
      </c>
      <c r="C6794" t="s">
        <v>16</v>
      </c>
      <c r="D6794" s="1">
        <v>45855</v>
      </c>
      <c r="E6794" t="s">
        <v>17</v>
      </c>
      <c r="F6794">
        <v>6200</v>
      </c>
      <c r="J6794">
        <v>49.5</v>
      </c>
      <c r="K6794">
        <v>24.4</v>
      </c>
      <c r="L6794">
        <v>0</v>
      </c>
      <c r="M6794" t="s">
        <v>18</v>
      </c>
      <c r="N6794">
        <v>0</v>
      </c>
      <c r="O6794">
        <v>0</v>
      </c>
    </row>
    <row r="6795" spans="1:15" x14ac:dyDescent="0.2">
      <c r="A6795" s="6">
        <v>45785</v>
      </c>
      <c r="B6795" t="s">
        <v>15</v>
      </c>
      <c r="C6795" t="s">
        <v>16</v>
      </c>
      <c r="D6795" s="1">
        <v>45855</v>
      </c>
      <c r="E6795" t="s">
        <v>19</v>
      </c>
      <c r="F6795">
        <v>4650</v>
      </c>
      <c r="J6795">
        <v>123.2</v>
      </c>
      <c r="K6795">
        <v>161.6</v>
      </c>
      <c r="L6795">
        <v>0</v>
      </c>
      <c r="M6795" t="s">
        <v>18</v>
      </c>
      <c r="N6795">
        <v>0</v>
      </c>
      <c r="O6795">
        <v>0</v>
      </c>
    </row>
    <row r="6796" spans="1:15" x14ac:dyDescent="0.2">
      <c r="A6796" s="6">
        <v>45785</v>
      </c>
      <c r="B6796" t="s">
        <v>15</v>
      </c>
      <c r="C6796" t="s">
        <v>16</v>
      </c>
      <c r="D6796" s="1">
        <v>45855</v>
      </c>
      <c r="E6796" t="s">
        <v>19</v>
      </c>
      <c r="F6796">
        <v>5200</v>
      </c>
      <c r="J6796">
        <v>355.8</v>
      </c>
      <c r="K6796">
        <v>441.9</v>
      </c>
      <c r="L6796">
        <v>0</v>
      </c>
      <c r="M6796" t="s">
        <v>18</v>
      </c>
      <c r="N6796">
        <v>0</v>
      </c>
      <c r="O6796">
        <v>0</v>
      </c>
    </row>
    <row r="6797" spans="1:15" x14ac:dyDescent="0.2">
      <c r="A6797" s="6">
        <v>45785</v>
      </c>
      <c r="B6797" t="s">
        <v>15</v>
      </c>
      <c r="C6797" t="s">
        <v>16</v>
      </c>
      <c r="D6797" s="1">
        <v>45855</v>
      </c>
      <c r="E6797" t="s">
        <v>19</v>
      </c>
      <c r="F6797">
        <v>4050</v>
      </c>
      <c r="J6797">
        <v>20.8</v>
      </c>
      <c r="K6797">
        <v>28.6</v>
      </c>
      <c r="L6797">
        <v>0</v>
      </c>
      <c r="M6797" t="s">
        <v>18</v>
      </c>
      <c r="N6797">
        <v>0</v>
      </c>
      <c r="O6797">
        <v>0</v>
      </c>
    </row>
    <row r="6798" spans="1:15" x14ac:dyDescent="0.2">
      <c r="A6798" s="6">
        <v>45785</v>
      </c>
      <c r="B6798" t="s">
        <v>15</v>
      </c>
      <c r="C6798" t="s">
        <v>16</v>
      </c>
      <c r="D6798" s="1">
        <v>45855</v>
      </c>
      <c r="E6798" t="s">
        <v>17</v>
      </c>
      <c r="F6798">
        <v>3950</v>
      </c>
      <c r="J6798">
        <v>1181.7</v>
      </c>
      <c r="K6798">
        <v>1005.1</v>
      </c>
      <c r="L6798">
        <v>0</v>
      </c>
      <c r="M6798" t="s">
        <v>18</v>
      </c>
      <c r="N6798">
        <v>0</v>
      </c>
      <c r="O6798">
        <v>0</v>
      </c>
    </row>
    <row r="6799" spans="1:15" x14ac:dyDescent="0.2">
      <c r="A6799" s="6">
        <v>45785</v>
      </c>
      <c r="B6799" t="s">
        <v>15</v>
      </c>
      <c r="C6799" t="s">
        <v>16</v>
      </c>
      <c r="D6799" s="1">
        <v>45855</v>
      </c>
      <c r="E6799" t="s">
        <v>19</v>
      </c>
      <c r="F6799">
        <v>6350</v>
      </c>
      <c r="J6799">
        <v>1239.5</v>
      </c>
      <c r="K6799">
        <v>1401.6</v>
      </c>
      <c r="L6799">
        <v>0</v>
      </c>
      <c r="M6799" t="s">
        <v>18</v>
      </c>
      <c r="N6799">
        <v>0</v>
      </c>
      <c r="O6799">
        <v>0</v>
      </c>
    </row>
    <row r="6800" spans="1:15" x14ac:dyDescent="0.2">
      <c r="A6800" s="6">
        <v>45785</v>
      </c>
      <c r="B6800" t="s">
        <v>15</v>
      </c>
      <c r="C6800" t="s">
        <v>16</v>
      </c>
      <c r="D6800" s="1">
        <v>45855</v>
      </c>
      <c r="E6800" t="s">
        <v>19</v>
      </c>
      <c r="F6800">
        <v>5650</v>
      </c>
      <c r="J6800">
        <v>651</v>
      </c>
      <c r="K6800">
        <v>775.2</v>
      </c>
      <c r="L6800">
        <v>0</v>
      </c>
      <c r="M6800" t="s">
        <v>18</v>
      </c>
      <c r="N6800">
        <v>0</v>
      </c>
      <c r="O6800">
        <v>0</v>
      </c>
    </row>
    <row r="6801" spans="1:15" x14ac:dyDescent="0.2">
      <c r="A6801" s="6">
        <v>45785</v>
      </c>
      <c r="B6801" t="s">
        <v>15</v>
      </c>
      <c r="C6801" t="s">
        <v>16</v>
      </c>
      <c r="D6801" s="1">
        <v>45855</v>
      </c>
      <c r="E6801" t="s">
        <v>19</v>
      </c>
      <c r="F6801">
        <v>5600</v>
      </c>
      <c r="J6801">
        <v>614.20000000000005</v>
      </c>
      <c r="K6801">
        <v>734.6</v>
      </c>
      <c r="L6801">
        <v>0</v>
      </c>
      <c r="M6801" t="s">
        <v>18</v>
      </c>
      <c r="N6801">
        <v>0</v>
      </c>
      <c r="O6801">
        <v>0</v>
      </c>
    </row>
    <row r="6802" spans="1:15" x14ac:dyDescent="0.2">
      <c r="A6802" s="6">
        <v>45785</v>
      </c>
      <c r="B6802" t="s">
        <v>15</v>
      </c>
      <c r="C6802" t="s">
        <v>16</v>
      </c>
      <c r="D6802" s="1">
        <v>45855</v>
      </c>
      <c r="E6802" t="s">
        <v>19</v>
      </c>
      <c r="F6802">
        <v>4850</v>
      </c>
      <c r="J6802">
        <v>190.6</v>
      </c>
      <c r="K6802">
        <v>245</v>
      </c>
      <c r="L6802">
        <v>0</v>
      </c>
      <c r="M6802" t="s">
        <v>18</v>
      </c>
      <c r="N6802">
        <v>0</v>
      </c>
      <c r="O6802">
        <v>0</v>
      </c>
    </row>
    <row r="6803" spans="1:15" x14ac:dyDescent="0.2">
      <c r="A6803" s="6">
        <v>45785</v>
      </c>
      <c r="B6803" t="s">
        <v>15</v>
      </c>
      <c r="C6803" t="s">
        <v>16</v>
      </c>
      <c r="D6803" s="1">
        <v>45855</v>
      </c>
      <c r="E6803" t="s">
        <v>19</v>
      </c>
      <c r="F6803">
        <v>4000</v>
      </c>
      <c r="J6803">
        <v>17.2</v>
      </c>
      <c r="K6803">
        <v>23.7</v>
      </c>
      <c r="L6803">
        <v>0</v>
      </c>
      <c r="M6803" t="s">
        <v>18</v>
      </c>
      <c r="N6803">
        <v>0</v>
      </c>
      <c r="O6803">
        <v>0</v>
      </c>
    </row>
    <row r="6804" spans="1:15" x14ac:dyDescent="0.2">
      <c r="A6804" s="6">
        <v>45785</v>
      </c>
      <c r="B6804" t="s">
        <v>15</v>
      </c>
      <c r="C6804" t="s">
        <v>16</v>
      </c>
      <c r="D6804" s="1">
        <v>45855</v>
      </c>
      <c r="E6804" t="s">
        <v>17</v>
      </c>
      <c r="F6804">
        <v>5350</v>
      </c>
      <c r="J6804">
        <v>229.3</v>
      </c>
      <c r="K6804">
        <v>147.19999999999999</v>
      </c>
      <c r="L6804">
        <v>0</v>
      </c>
      <c r="M6804" t="s">
        <v>18</v>
      </c>
      <c r="N6804">
        <v>0</v>
      </c>
      <c r="O6804">
        <v>0</v>
      </c>
    </row>
    <row r="6805" spans="1:15" x14ac:dyDescent="0.2">
      <c r="A6805" s="6">
        <v>45785</v>
      </c>
      <c r="B6805" t="s">
        <v>15</v>
      </c>
      <c r="C6805" t="s">
        <v>16</v>
      </c>
      <c r="D6805" s="1">
        <v>45855</v>
      </c>
      <c r="E6805" t="s">
        <v>17</v>
      </c>
      <c r="F6805">
        <v>6100</v>
      </c>
      <c r="J6805">
        <v>60.4</v>
      </c>
      <c r="K6805">
        <v>30.8</v>
      </c>
      <c r="L6805">
        <v>0</v>
      </c>
      <c r="M6805" t="s">
        <v>18</v>
      </c>
      <c r="N6805">
        <v>0</v>
      </c>
      <c r="O6805">
        <v>0</v>
      </c>
    </row>
    <row r="6806" spans="1:15" x14ac:dyDescent="0.2">
      <c r="A6806" s="6">
        <v>45785</v>
      </c>
      <c r="B6806" t="s">
        <v>15</v>
      </c>
      <c r="C6806" t="s">
        <v>16</v>
      </c>
      <c r="D6806" s="1">
        <v>45855</v>
      </c>
      <c r="E6806" t="s">
        <v>19</v>
      </c>
      <c r="F6806">
        <v>5800</v>
      </c>
      <c r="J6806">
        <v>766.5</v>
      </c>
      <c r="K6806">
        <v>901.3</v>
      </c>
      <c r="L6806">
        <v>0</v>
      </c>
      <c r="M6806" t="s">
        <v>18</v>
      </c>
      <c r="N6806">
        <v>0</v>
      </c>
      <c r="O6806">
        <v>0</v>
      </c>
    </row>
    <row r="6807" spans="1:15" x14ac:dyDescent="0.2">
      <c r="A6807" s="6">
        <v>45785</v>
      </c>
      <c r="B6807" t="s">
        <v>15</v>
      </c>
      <c r="C6807" t="s">
        <v>16</v>
      </c>
      <c r="D6807" s="1">
        <v>45855</v>
      </c>
      <c r="E6807" t="s">
        <v>17</v>
      </c>
      <c r="F6807">
        <v>3600</v>
      </c>
      <c r="J6807">
        <v>1516</v>
      </c>
      <c r="K6807">
        <v>1335.2</v>
      </c>
      <c r="L6807">
        <v>0</v>
      </c>
      <c r="M6807" t="s">
        <v>18</v>
      </c>
      <c r="N6807">
        <v>0</v>
      </c>
      <c r="O6807">
        <v>0</v>
      </c>
    </row>
    <row r="6808" spans="1:15" x14ac:dyDescent="0.2">
      <c r="A6808" s="6">
        <v>45785</v>
      </c>
      <c r="B6808" t="s">
        <v>15</v>
      </c>
      <c r="C6808" t="s">
        <v>16</v>
      </c>
      <c r="D6808" s="1">
        <v>45855</v>
      </c>
      <c r="E6808" t="s">
        <v>19</v>
      </c>
      <c r="F6808">
        <v>3650</v>
      </c>
      <c r="J6808">
        <v>3.7</v>
      </c>
      <c r="K6808">
        <v>5.0999999999999996</v>
      </c>
      <c r="L6808">
        <v>0</v>
      </c>
      <c r="M6808" t="s">
        <v>18</v>
      </c>
      <c r="N6808">
        <v>0</v>
      </c>
      <c r="O6808">
        <v>0</v>
      </c>
    </row>
    <row r="6809" spans="1:15" x14ac:dyDescent="0.2">
      <c r="A6809" s="6">
        <v>45785</v>
      </c>
      <c r="B6809" t="s">
        <v>15</v>
      </c>
      <c r="C6809" t="s">
        <v>16</v>
      </c>
      <c r="D6809" s="1">
        <v>45855</v>
      </c>
      <c r="E6809" t="s">
        <v>17</v>
      </c>
      <c r="F6809">
        <v>3650</v>
      </c>
      <c r="J6809">
        <v>1467.5</v>
      </c>
      <c r="K6809">
        <v>1286.9000000000001</v>
      </c>
      <c r="L6809">
        <v>0</v>
      </c>
      <c r="M6809" t="s">
        <v>18</v>
      </c>
      <c r="N6809">
        <v>0</v>
      </c>
      <c r="O6809">
        <v>0</v>
      </c>
    </row>
    <row r="6810" spans="1:15" x14ac:dyDescent="0.2">
      <c r="A6810" s="6">
        <v>45785</v>
      </c>
      <c r="B6810" t="s">
        <v>15</v>
      </c>
      <c r="C6810" t="s">
        <v>16</v>
      </c>
      <c r="D6810" s="1">
        <v>45855</v>
      </c>
      <c r="E6810" t="s">
        <v>17</v>
      </c>
      <c r="F6810">
        <v>3800</v>
      </c>
      <c r="J6810">
        <v>1323.2</v>
      </c>
      <c r="K6810">
        <v>1144.0999999999999</v>
      </c>
      <c r="L6810">
        <v>0</v>
      </c>
      <c r="M6810" t="s">
        <v>18</v>
      </c>
      <c r="N6810">
        <v>0</v>
      </c>
      <c r="O6810">
        <v>0</v>
      </c>
    </row>
    <row r="6811" spans="1:15" x14ac:dyDescent="0.2">
      <c r="A6811" s="6">
        <v>45785</v>
      </c>
      <c r="B6811" t="s">
        <v>15</v>
      </c>
      <c r="C6811" t="s">
        <v>16</v>
      </c>
      <c r="D6811" s="1">
        <v>45855</v>
      </c>
      <c r="E6811" t="s">
        <v>19</v>
      </c>
      <c r="F6811">
        <v>6000</v>
      </c>
      <c r="J6811">
        <v>930.7</v>
      </c>
      <c r="K6811">
        <v>1077.5</v>
      </c>
      <c r="L6811">
        <v>0</v>
      </c>
      <c r="M6811" t="s">
        <v>18</v>
      </c>
      <c r="N6811">
        <v>0</v>
      </c>
      <c r="O6811">
        <v>0</v>
      </c>
    </row>
    <row r="6812" spans="1:15" x14ac:dyDescent="0.2">
      <c r="A6812" s="6">
        <v>45785</v>
      </c>
      <c r="B6812" t="s">
        <v>15</v>
      </c>
      <c r="C6812" t="s">
        <v>16</v>
      </c>
      <c r="D6812" s="1">
        <v>45855</v>
      </c>
      <c r="E6812" t="s">
        <v>19</v>
      </c>
      <c r="F6812">
        <v>4250</v>
      </c>
      <c r="J6812">
        <v>41.3</v>
      </c>
      <c r="K6812">
        <v>56</v>
      </c>
      <c r="L6812">
        <v>0</v>
      </c>
      <c r="M6812" t="s">
        <v>18</v>
      </c>
      <c r="N6812">
        <v>0</v>
      </c>
      <c r="O6812">
        <v>0</v>
      </c>
    </row>
    <row r="6813" spans="1:15" x14ac:dyDescent="0.2">
      <c r="A6813" s="6">
        <v>45785</v>
      </c>
      <c r="B6813" t="s">
        <v>15</v>
      </c>
      <c r="C6813" t="s">
        <v>16</v>
      </c>
      <c r="D6813" s="1">
        <v>45855</v>
      </c>
      <c r="E6813" t="s">
        <v>19</v>
      </c>
      <c r="F6813">
        <v>4750</v>
      </c>
      <c r="J6813">
        <v>154.5</v>
      </c>
      <c r="K6813">
        <v>200.6</v>
      </c>
      <c r="L6813">
        <v>0</v>
      </c>
      <c r="M6813" t="s">
        <v>18</v>
      </c>
      <c r="N6813">
        <v>0</v>
      </c>
      <c r="O6813">
        <v>0</v>
      </c>
    </row>
    <row r="6814" spans="1:15" x14ac:dyDescent="0.2">
      <c r="A6814" s="6">
        <v>45785</v>
      </c>
      <c r="B6814" t="s">
        <v>15</v>
      </c>
      <c r="C6814" t="s">
        <v>16</v>
      </c>
      <c r="D6814" s="1">
        <v>45855</v>
      </c>
      <c r="E6814" t="s">
        <v>19</v>
      </c>
      <c r="F6814">
        <v>6200</v>
      </c>
      <c r="J6814">
        <v>1104.4000000000001</v>
      </c>
      <c r="K6814">
        <v>1260.8</v>
      </c>
      <c r="L6814">
        <v>0</v>
      </c>
      <c r="M6814" t="s">
        <v>18</v>
      </c>
      <c r="N6814">
        <v>0</v>
      </c>
      <c r="O6814">
        <v>0</v>
      </c>
    </row>
    <row r="6815" spans="1:15" x14ac:dyDescent="0.2">
      <c r="A6815" s="6">
        <v>45785</v>
      </c>
      <c r="B6815" t="s">
        <v>15</v>
      </c>
      <c r="C6815" t="s">
        <v>16</v>
      </c>
      <c r="D6815" s="1">
        <v>45855</v>
      </c>
      <c r="E6815" t="s">
        <v>19</v>
      </c>
      <c r="F6815">
        <v>4300</v>
      </c>
      <c r="J6815">
        <v>48.2</v>
      </c>
      <c r="K6815">
        <v>65.099999999999994</v>
      </c>
      <c r="L6815">
        <v>0</v>
      </c>
      <c r="M6815" t="s">
        <v>18</v>
      </c>
      <c r="N6815">
        <v>0</v>
      </c>
      <c r="O6815">
        <v>0</v>
      </c>
    </row>
    <row r="6816" spans="1:15" x14ac:dyDescent="0.2">
      <c r="A6816" s="6">
        <v>45785</v>
      </c>
      <c r="B6816" t="s">
        <v>15</v>
      </c>
      <c r="C6816" t="s">
        <v>16</v>
      </c>
      <c r="D6816" s="1">
        <v>45855</v>
      </c>
      <c r="E6816" t="s">
        <v>17</v>
      </c>
      <c r="F6816">
        <v>5550</v>
      </c>
      <c r="J6816">
        <v>165.4</v>
      </c>
      <c r="K6816">
        <v>100.3</v>
      </c>
      <c r="L6816">
        <v>0</v>
      </c>
      <c r="M6816" t="s">
        <v>18</v>
      </c>
      <c r="N6816">
        <v>0</v>
      </c>
      <c r="O6816">
        <v>0</v>
      </c>
    </row>
    <row r="6817" spans="1:15" x14ac:dyDescent="0.2">
      <c r="A6817" s="6">
        <v>45785</v>
      </c>
      <c r="B6817" t="s">
        <v>15</v>
      </c>
      <c r="C6817" t="s">
        <v>16</v>
      </c>
      <c r="D6817" s="1">
        <v>45855</v>
      </c>
      <c r="E6817" t="s">
        <v>17</v>
      </c>
      <c r="F6817">
        <v>5400</v>
      </c>
      <c r="J6817">
        <v>211.8</v>
      </c>
      <c r="K6817">
        <v>134.1</v>
      </c>
      <c r="L6817">
        <v>0</v>
      </c>
      <c r="M6817" t="s">
        <v>18</v>
      </c>
      <c r="N6817">
        <v>0</v>
      </c>
      <c r="O6817">
        <v>0</v>
      </c>
    </row>
    <row r="6818" spans="1:15" x14ac:dyDescent="0.2">
      <c r="A6818" s="6">
        <v>45785</v>
      </c>
      <c r="B6818" t="s">
        <v>15</v>
      </c>
      <c r="C6818" t="s">
        <v>16</v>
      </c>
      <c r="D6818" s="1">
        <v>45855</v>
      </c>
      <c r="E6818" t="s">
        <v>17</v>
      </c>
      <c r="F6818">
        <v>3900</v>
      </c>
      <c r="J6818">
        <v>1228.4000000000001</v>
      </c>
      <c r="K6818">
        <v>1050.9000000000001</v>
      </c>
      <c r="L6818">
        <v>0</v>
      </c>
      <c r="M6818" t="s">
        <v>18</v>
      </c>
      <c r="N6818">
        <v>0</v>
      </c>
      <c r="O6818">
        <v>0</v>
      </c>
    </row>
    <row r="6819" spans="1:15" x14ac:dyDescent="0.2">
      <c r="A6819" s="6">
        <v>45785</v>
      </c>
      <c r="B6819" t="s">
        <v>15</v>
      </c>
      <c r="C6819" t="s">
        <v>16</v>
      </c>
      <c r="D6819" s="1">
        <v>45855</v>
      </c>
      <c r="E6819" t="s">
        <v>19</v>
      </c>
      <c r="F6819">
        <v>3950</v>
      </c>
      <c r="J6819">
        <v>14.2</v>
      </c>
      <c r="K6819">
        <v>19.600000000000001</v>
      </c>
      <c r="L6819">
        <v>0</v>
      </c>
      <c r="M6819" t="s">
        <v>18</v>
      </c>
      <c r="N6819">
        <v>0</v>
      </c>
      <c r="O6819">
        <v>0</v>
      </c>
    </row>
    <row r="6820" spans="1:15" x14ac:dyDescent="0.2">
      <c r="A6820" s="6">
        <v>45785</v>
      </c>
      <c r="B6820" t="s">
        <v>15</v>
      </c>
      <c r="C6820" t="s">
        <v>16</v>
      </c>
      <c r="D6820" s="1">
        <v>45855</v>
      </c>
      <c r="E6820" t="s">
        <v>19</v>
      </c>
      <c r="F6820">
        <v>6600</v>
      </c>
      <c r="J6820">
        <v>1471.3</v>
      </c>
      <c r="K6820">
        <v>1640.6</v>
      </c>
      <c r="L6820">
        <v>0</v>
      </c>
      <c r="M6820" t="s">
        <v>18</v>
      </c>
      <c r="N6820">
        <v>0</v>
      </c>
      <c r="O6820">
        <v>0</v>
      </c>
    </row>
    <row r="6821" spans="1:15" x14ac:dyDescent="0.2">
      <c r="A6821" s="6">
        <v>45785</v>
      </c>
      <c r="B6821" t="s">
        <v>15</v>
      </c>
      <c r="C6821" t="s">
        <v>16</v>
      </c>
      <c r="D6821" s="1">
        <v>45855</v>
      </c>
      <c r="E6821" t="s">
        <v>19</v>
      </c>
      <c r="F6821">
        <v>6300</v>
      </c>
      <c r="J6821">
        <v>1194</v>
      </c>
      <c r="K6821">
        <v>1354.4</v>
      </c>
      <c r="L6821">
        <v>0</v>
      </c>
      <c r="M6821" t="s">
        <v>18</v>
      </c>
      <c r="N6821">
        <v>0</v>
      </c>
      <c r="O6821">
        <v>0</v>
      </c>
    </row>
    <row r="6822" spans="1:15" x14ac:dyDescent="0.2">
      <c r="A6822" s="6">
        <v>45785</v>
      </c>
      <c r="B6822" t="s">
        <v>15</v>
      </c>
      <c r="C6822" t="s">
        <v>16</v>
      </c>
      <c r="D6822" s="1">
        <v>45855</v>
      </c>
      <c r="E6822" t="s">
        <v>19</v>
      </c>
      <c r="F6822">
        <v>4350</v>
      </c>
      <c r="J6822">
        <v>56</v>
      </c>
      <c r="K6822">
        <v>75.400000000000006</v>
      </c>
      <c r="L6822">
        <v>0</v>
      </c>
      <c r="M6822" t="s">
        <v>18</v>
      </c>
      <c r="N6822">
        <v>0</v>
      </c>
      <c r="O6822">
        <v>0</v>
      </c>
    </row>
    <row r="6823" spans="1:15" x14ac:dyDescent="0.2">
      <c r="A6823" s="6">
        <v>45785</v>
      </c>
      <c r="B6823" t="s">
        <v>15</v>
      </c>
      <c r="C6823" t="s">
        <v>16</v>
      </c>
      <c r="D6823" s="1">
        <v>45855</v>
      </c>
      <c r="E6823" t="s">
        <v>17</v>
      </c>
      <c r="F6823">
        <v>6150</v>
      </c>
      <c r="J6823">
        <v>54.7</v>
      </c>
      <c r="K6823">
        <v>27.4</v>
      </c>
      <c r="L6823">
        <v>0</v>
      </c>
      <c r="M6823" t="s">
        <v>18</v>
      </c>
      <c r="N6823">
        <v>0</v>
      </c>
      <c r="O6823">
        <v>0</v>
      </c>
    </row>
    <row r="6824" spans="1:15" x14ac:dyDescent="0.2">
      <c r="A6824" s="6">
        <v>45785</v>
      </c>
      <c r="B6824" t="s">
        <v>15</v>
      </c>
      <c r="C6824" t="s">
        <v>16</v>
      </c>
      <c r="D6824" s="1">
        <v>45855</v>
      </c>
      <c r="E6824" t="s">
        <v>19</v>
      </c>
      <c r="F6824">
        <v>4800</v>
      </c>
      <c r="J6824">
        <v>171.9</v>
      </c>
      <c r="K6824">
        <v>222.2</v>
      </c>
      <c r="L6824">
        <v>0</v>
      </c>
      <c r="M6824" t="s">
        <v>18</v>
      </c>
      <c r="N6824">
        <v>0</v>
      </c>
      <c r="O6824">
        <v>0</v>
      </c>
    </row>
    <row r="6825" spans="1:15" x14ac:dyDescent="0.2">
      <c r="A6825" s="6">
        <v>45785</v>
      </c>
      <c r="B6825" t="s">
        <v>15</v>
      </c>
      <c r="C6825" t="s">
        <v>16</v>
      </c>
      <c r="D6825" s="1">
        <v>45855</v>
      </c>
      <c r="E6825" t="s">
        <v>17</v>
      </c>
      <c r="F6825">
        <v>5850</v>
      </c>
      <c r="J6825">
        <v>97.3</v>
      </c>
      <c r="K6825">
        <v>53.8</v>
      </c>
      <c r="L6825">
        <v>0</v>
      </c>
      <c r="M6825" t="s">
        <v>18</v>
      </c>
      <c r="N6825">
        <v>0</v>
      </c>
      <c r="O6825">
        <v>0</v>
      </c>
    </row>
    <row r="6826" spans="1:15" x14ac:dyDescent="0.2">
      <c r="A6826" s="6">
        <v>45785</v>
      </c>
      <c r="B6826" t="s">
        <v>15</v>
      </c>
      <c r="C6826" t="s">
        <v>16</v>
      </c>
      <c r="D6826" s="1">
        <v>45855</v>
      </c>
      <c r="E6826" t="s">
        <v>19</v>
      </c>
      <c r="F6826">
        <v>5550</v>
      </c>
      <c r="J6826">
        <v>578.29999999999995</v>
      </c>
      <c r="K6826">
        <v>694.8</v>
      </c>
      <c r="L6826">
        <v>0</v>
      </c>
      <c r="M6826" t="s">
        <v>18</v>
      </c>
      <c r="N6826">
        <v>0</v>
      </c>
      <c r="O6826">
        <v>0</v>
      </c>
    </row>
    <row r="6827" spans="1:15" x14ac:dyDescent="0.2">
      <c r="A6827" s="6">
        <v>45785</v>
      </c>
      <c r="B6827" t="s">
        <v>15</v>
      </c>
      <c r="C6827" t="s">
        <v>16</v>
      </c>
      <c r="D6827" s="1">
        <v>45855</v>
      </c>
      <c r="E6827" t="s">
        <v>19</v>
      </c>
      <c r="F6827">
        <v>4150</v>
      </c>
      <c r="J6827">
        <v>29.7</v>
      </c>
      <c r="K6827">
        <v>40.5</v>
      </c>
      <c r="L6827">
        <v>0</v>
      </c>
      <c r="M6827" t="s">
        <v>18</v>
      </c>
      <c r="N6827">
        <v>0</v>
      </c>
      <c r="O6827">
        <v>0</v>
      </c>
    </row>
    <row r="6828" spans="1:15" x14ac:dyDescent="0.2">
      <c r="A6828" s="6">
        <v>45785</v>
      </c>
      <c r="B6828" t="s">
        <v>15</v>
      </c>
      <c r="C6828" t="s">
        <v>16</v>
      </c>
      <c r="D6828" s="1">
        <v>45855</v>
      </c>
      <c r="E6828" t="s">
        <v>17</v>
      </c>
      <c r="F6828">
        <v>4050</v>
      </c>
      <c r="J6828">
        <v>1089.5</v>
      </c>
      <c r="K6828">
        <v>915.4</v>
      </c>
      <c r="L6828">
        <v>0</v>
      </c>
      <c r="M6828" t="s">
        <v>18</v>
      </c>
      <c r="N6828">
        <v>0</v>
      </c>
      <c r="O6828">
        <v>0</v>
      </c>
    </row>
    <row r="6829" spans="1:15" x14ac:dyDescent="0.2">
      <c r="A6829" s="6">
        <v>45785</v>
      </c>
      <c r="B6829" t="s">
        <v>15</v>
      </c>
      <c r="C6829" t="s">
        <v>16</v>
      </c>
      <c r="D6829" s="1">
        <v>45855</v>
      </c>
      <c r="E6829" t="s">
        <v>19</v>
      </c>
      <c r="F6829">
        <v>3800</v>
      </c>
      <c r="J6829">
        <v>7.5</v>
      </c>
      <c r="K6829">
        <v>10.4</v>
      </c>
      <c r="L6829">
        <v>0</v>
      </c>
      <c r="M6829" t="s">
        <v>18</v>
      </c>
      <c r="N6829">
        <v>0</v>
      </c>
      <c r="O6829">
        <v>0</v>
      </c>
    </row>
    <row r="6830" spans="1:15" x14ac:dyDescent="0.2">
      <c r="A6830" s="6">
        <v>45785</v>
      </c>
      <c r="B6830" t="s">
        <v>15</v>
      </c>
      <c r="C6830" t="s">
        <v>16</v>
      </c>
      <c r="D6830" s="1">
        <v>45855</v>
      </c>
      <c r="E6830" t="s">
        <v>19</v>
      </c>
      <c r="F6830">
        <v>5500</v>
      </c>
      <c r="J6830">
        <v>543.29999999999995</v>
      </c>
      <c r="K6830">
        <v>655.8</v>
      </c>
      <c r="L6830">
        <v>0</v>
      </c>
      <c r="M6830" t="s">
        <v>18</v>
      </c>
      <c r="N6830">
        <v>0</v>
      </c>
      <c r="O6830">
        <v>0</v>
      </c>
    </row>
    <row r="6831" spans="1:15" x14ac:dyDescent="0.2">
      <c r="A6831" s="6">
        <v>45785</v>
      </c>
      <c r="B6831" t="s">
        <v>15</v>
      </c>
      <c r="C6831" t="s">
        <v>16</v>
      </c>
      <c r="D6831" s="1">
        <v>45855</v>
      </c>
      <c r="E6831" t="s">
        <v>19</v>
      </c>
      <c r="F6831">
        <v>5850</v>
      </c>
      <c r="J6831">
        <v>806.5</v>
      </c>
      <c r="K6831">
        <v>944.6</v>
      </c>
      <c r="L6831">
        <v>0</v>
      </c>
      <c r="M6831" t="s">
        <v>18</v>
      </c>
      <c r="N6831">
        <v>0</v>
      </c>
      <c r="O6831">
        <v>0</v>
      </c>
    </row>
    <row r="6832" spans="1:15" x14ac:dyDescent="0.2">
      <c r="A6832" s="6">
        <v>45785</v>
      </c>
      <c r="B6832" t="s">
        <v>15</v>
      </c>
      <c r="C6832" t="s">
        <v>16</v>
      </c>
      <c r="D6832" s="1">
        <v>45855</v>
      </c>
      <c r="E6832" t="s">
        <v>19</v>
      </c>
      <c r="F6832">
        <v>6500</v>
      </c>
      <c r="J6832">
        <v>1377.7</v>
      </c>
      <c r="K6832">
        <v>1544.4</v>
      </c>
      <c r="L6832">
        <v>0</v>
      </c>
      <c r="M6832" t="s">
        <v>18</v>
      </c>
      <c r="N6832">
        <v>0</v>
      </c>
      <c r="O6832">
        <v>0</v>
      </c>
    </row>
    <row r="6833" spans="1:15" x14ac:dyDescent="0.2">
      <c r="A6833" s="6">
        <v>45785</v>
      </c>
      <c r="B6833" t="s">
        <v>15</v>
      </c>
      <c r="C6833" t="s">
        <v>16</v>
      </c>
      <c r="D6833" s="1">
        <v>45855</v>
      </c>
      <c r="E6833" t="s">
        <v>19</v>
      </c>
      <c r="F6833">
        <v>6100</v>
      </c>
      <c r="J6833">
        <v>1016.5</v>
      </c>
      <c r="K6833">
        <v>1168.4000000000001</v>
      </c>
      <c r="L6833">
        <v>0</v>
      </c>
      <c r="M6833" t="s">
        <v>18</v>
      </c>
      <c r="N6833">
        <v>0</v>
      </c>
      <c r="O6833">
        <v>0</v>
      </c>
    </row>
    <row r="6834" spans="1:15" x14ac:dyDescent="0.2">
      <c r="A6834" s="6">
        <v>45785</v>
      </c>
      <c r="B6834" t="s">
        <v>15</v>
      </c>
      <c r="C6834" t="s">
        <v>16</v>
      </c>
      <c r="D6834" s="1">
        <v>45855</v>
      </c>
      <c r="E6834" t="s">
        <v>19</v>
      </c>
      <c r="F6834">
        <v>5750</v>
      </c>
      <c r="J6834">
        <v>727.2</v>
      </c>
      <c r="K6834">
        <v>858.6</v>
      </c>
      <c r="L6834">
        <v>0</v>
      </c>
      <c r="M6834" t="s">
        <v>18</v>
      </c>
      <c r="N6834">
        <v>0</v>
      </c>
      <c r="O6834">
        <v>0</v>
      </c>
    </row>
    <row r="6835" spans="1:15" x14ac:dyDescent="0.2">
      <c r="A6835" s="6">
        <v>45785</v>
      </c>
      <c r="B6835" t="s">
        <v>15</v>
      </c>
      <c r="C6835" t="s">
        <v>16</v>
      </c>
      <c r="D6835" s="1">
        <v>45855</v>
      </c>
      <c r="E6835" t="s">
        <v>19</v>
      </c>
      <c r="F6835">
        <v>6450</v>
      </c>
      <c r="J6835">
        <v>1331.3</v>
      </c>
      <c r="K6835">
        <v>1496.6</v>
      </c>
      <c r="L6835">
        <v>0</v>
      </c>
      <c r="M6835" t="s">
        <v>18</v>
      </c>
      <c r="N6835">
        <v>0</v>
      </c>
      <c r="O6835">
        <v>0</v>
      </c>
    </row>
    <row r="6836" spans="1:15" x14ac:dyDescent="0.2">
      <c r="A6836" s="6">
        <v>45784</v>
      </c>
      <c r="B6836" t="s">
        <v>15</v>
      </c>
      <c r="C6836" t="s">
        <v>16</v>
      </c>
      <c r="D6836" s="1">
        <v>45855</v>
      </c>
      <c r="E6836" t="s">
        <v>19</v>
      </c>
      <c r="F6836">
        <v>5100</v>
      </c>
      <c r="J6836">
        <v>379.3</v>
      </c>
      <c r="K6836">
        <v>367.7</v>
      </c>
      <c r="L6836">
        <v>0</v>
      </c>
      <c r="M6836" t="s">
        <v>18</v>
      </c>
      <c r="N6836">
        <v>0</v>
      </c>
      <c r="O6836">
        <v>0</v>
      </c>
    </row>
    <row r="6837" spans="1:15" x14ac:dyDescent="0.2">
      <c r="A6837" s="6">
        <v>45784</v>
      </c>
      <c r="B6837" t="s">
        <v>15</v>
      </c>
      <c r="C6837" t="s">
        <v>16</v>
      </c>
      <c r="D6837" s="1">
        <v>45855</v>
      </c>
      <c r="E6837" t="s">
        <v>17</v>
      </c>
      <c r="F6837">
        <v>4650</v>
      </c>
      <c r="J6837">
        <v>455.9</v>
      </c>
      <c r="K6837">
        <v>492.9</v>
      </c>
      <c r="L6837">
        <v>0</v>
      </c>
      <c r="M6837" t="s">
        <v>18</v>
      </c>
      <c r="N6837">
        <v>0</v>
      </c>
      <c r="O6837">
        <v>0</v>
      </c>
    </row>
    <row r="6838" spans="1:15" x14ac:dyDescent="0.2">
      <c r="A6838" s="6">
        <v>45784</v>
      </c>
      <c r="B6838" t="s">
        <v>15</v>
      </c>
      <c r="C6838" t="s">
        <v>16</v>
      </c>
      <c r="D6838" s="1">
        <v>45855</v>
      </c>
      <c r="E6838" t="s">
        <v>17</v>
      </c>
      <c r="F6838">
        <v>4200</v>
      </c>
      <c r="J6838">
        <v>786.5</v>
      </c>
      <c r="K6838">
        <v>827.1</v>
      </c>
      <c r="L6838">
        <v>0</v>
      </c>
      <c r="M6838" t="s">
        <v>18</v>
      </c>
      <c r="N6838">
        <v>0</v>
      </c>
      <c r="O6838">
        <v>0</v>
      </c>
    </row>
    <row r="6839" spans="1:15" x14ac:dyDescent="0.2">
      <c r="A6839" s="6">
        <v>45784</v>
      </c>
      <c r="B6839" t="s">
        <v>15</v>
      </c>
      <c r="C6839" t="s">
        <v>16</v>
      </c>
      <c r="D6839" s="1">
        <v>45855</v>
      </c>
      <c r="E6839" t="s">
        <v>19</v>
      </c>
      <c r="F6839">
        <v>6050</v>
      </c>
      <c r="J6839">
        <v>1122.8</v>
      </c>
      <c r="K6839">
        <v>1091.5999999999999</v>
      </c>
      <c r="L6839">
        <v>0</v>
      </c>
      <c r="M6839" t="s">
        <v>18</v>
      </c>
      <c r="N6839">
        <v>0</v>
      </c>
      <c r="O6839">
        <v>0</v>
      </c>
    </row>
    <row r="6840" spans="1:15" x14ac:dyDescent="0.2">
      <c r="A6840" s="6">
        <v>45784</v>
      </c>
      <c r="B6840" t="s">
        <v>15</v>
      </c>
      <c r="C6840" t="s">
        <v>16</v>
      </c>
      <c r="D6840" s="1">
        <v>45855</v>
      </c>
      <c r="E6840" t="s">
        <v>17</v>
      </c>
      <c r="F6840">
        <v>5700</v>
      </c>
      <c r="J6840">
        <v>74</v>
      </c>
      <c r="K6840">
        <v>89.6</v>
      </c>
      <c r="L6840">
        <v>0</v>
      </c>
      <c r="M6840" t="s">
        <v>18</v>
      </c>
      <c r="N6840">
        <v>0</v>
      </c>
      <c r="O6840">
        <v>0</v>
      </c>
    </row>
    <row r="6841" spans="1:15" x14ac:dyDescent="0.2">
      <c r="A6841" s="6">
        <v>45784</v>
      </c>
      <c r="B6841" t="s">
        <v>15</v>
      </c>
      <c r="C6841" t="s">
        <v>16</v>
      </c>
      <c r="D6841" s="1">
        <v>45855</v>
      </c>
      <c r="E6841" t="s">
        <v>19</v>
      </c>
      <c r="F6841">
        <v>6650</v>
      </c>
      <c r="J6841">
        <v>1688.8</v>
      </c>
      <c r="K6841">
        <v>1651.4</v>
      </c>
      <c r="L6841">
        <v>0</v>
      </c>
      <c r="M6841" t="s">
        <v>18</v>
      </c>
      <c r="N6841">
        <v>0</v>
      </c>
      <c r="O6841">
        <v>0</v>
      </c>
    </row>
    <row r="6842" spans="1:15" x14ac:dyDescent="0.2">
      <c r="A6842" s="6">
        <v>45784</v>
      </c>
      <c r="B6842" t="s">
        <v>15</v>
      </c>
      <c r="C6842" t="s">
        <v>16</v>
      </c>
      <c r="D6842" s="1">
        <v>45855</v>
      </c>
      <c r="E6842" t="s">
        <v>19</v>
      </c>
      <c r="F6842">
        <v>4200</v>
      </c>
      <c r="J6842">
        <v>47.8</v>
      </c>
      <c r="K6842">
        <v>48</v>
      </c>
      <c r="L6842">
        <v>0</v>
      </c>
      <c r="M6842" t="s">
        <v>18</v>
      </c>
      <c r="N6842">
        <v>0</v>
      </c>
      <c r="O6842">
        <v>0</v>
      </c>
    </row>
    <row r="6843" spans="1:15" x14ac:dyDescent="0.2">
      <c r="A6843" s="6">
        <v>45784</v>
      </c>
      <c r="B6843" t="s">
        <v>15</v>
      </c>
      <c r="C6843" t="s">
        <v>16</v>
      </c>
      <c r="D6843" s="1">
        <v>45855</v>
      </c>
      <c r="E6843" t="s">
        <v>17</v>
      </c>
      <c r="F6843">
        <v>5250</v>
      </c>
      <c r="J6843">
        <v>176.6</v>
      </c>
      <c r="K6843">
        <v>202.2</v>
      </c>
      <c r="L6843">
        <v>0</v>
      </c>
      <c r="M6843" t="s">
        <v>18</v>
      </c>
      <c r="N6843">
        <v>0</v>
      </c>
      <c r="O6843">
        <v>0</v>
      </c>
    </row>
    <row r="6844" spans="1:15" x14ac:dyDescent="0.2">
      <c r="A6844" s="6">
        <v>45784</v>
      </c>
      <c r="B6844" t="s">
        <v>15</v>
      </c>
      <c r="C6844" t="s">
        <v>16</v>
      </c>
      <c r="D6844" s="1">
        <v>45855</v>
      </c>
      <c r="E6844" t="s">
        <v>17</v>
      </c>
      <c r="F6844">
        <v>5100</v>
      </c>
      <c r="J6844">
        <v>229.2</v>
      </c>
      <c r="K6844">
        <v>258.10000000000002</v>
      </c>
      <c r="L6844">
        <v>0</v>
      </c>
      <c r="M6844" t="s">
        <v>18</v>
      </c>
      <c r="N6844">
        <v>0</v>
      </c>
      <c r="O6844">
        <v>0</v>
      </c>
    </row>
    <row r="6845" spans="1:15" x14ac:dyDescent="0.2">
      <c r="A6845" s="6">
        <v>45784</v>
      </c>
      <c r="B6845" t="s">
        <v>15</v>
      </c>
      <c r="C6845" t="s">
        <v>16</v>
      </c>
      <c r="D6845" s="1">
        <v>45855</v>
      </c>
      <c r="E6845" t="s">
        <v>17</v>
      </c>
      <c r="F6845">
        <v>5300</v>
      </c>
      <c r="J6845">
        <v>161.4</v>
      </c>
      <c r="K6845">
        <v>185.8</v>
      </c>
      <c r="L6845">
        <v>0</v>
      </c>
      <c r="M6845" t="s">
        <v>18</v>
      </c>
      <c r="N6845">
        <v>0</v>
      </c>
      <c r="O6845">
        <v>0</v>
      </c>
    </row>
    <row r="6846" spans="1:15" x14ac:dyDescent="0.2">
      <c r="A6846" s="6">
        <v>45784</v>
      </c>
      <c r="B6846" t="s">
        <v>15</v>
      </c>
      <c r="C6846" t="s">
        <v>16</v>
      </c>
      <c r="D6846" s="1">
        <v>45855</v>
      </c>
      <c r="E6846" t="s">
        <v>19</v>
      </c>
      <c r="F6846">
        <v>4900</v>
      </c>
      <c r="J6846">
        <v>269.3</v>
      </c>
      <c r="K6846">
        <v>261.8</v>
      </c>
      <c r="L6846">
        <v>0</v>
      </c>
      <c r="M6846" t="s">
        <v>18</v>
      </c>
      <c r="N6846">
        <v>0</v>
      </c>
      <c r="O6846">
        <v>0</v>
      </c>
    </row>
    <row r="6847" spans="1:15" x14ac:dyDescent="0.2">
      <c r="A6847" s="6">
        <v>45784</v>
      </c>
      <c r="B6847" t="s">
        <v>15</v>
      </c>
      <c r="C6847" t="s">
        <v>16</v>
      </c>
      <c r="D6847" s="1">
        <v>45855</v>
      </c>
      <c r="E6847" t="s">
        <v>17</v>
      </c>
      <c r="F6847">
        <v>4450</v>
      </c>
      <c r="J6847">
        <v>591</v>
      </c>
      <c r="K6847">
        <v>630.20000000000005</v>
      </c>
      <c r="L6847">
        <v>0</v>
      </c>
      <c r="M6847" t="s">
        <v>18</v>
      </c>
      <c r="N6847">
        <v>0</v>
      </c>
      <c r="O6847">
        <v>0</v>
      </c>
    </row>
    <row r="6848" spans="1:15" x14ac:dyDescent="0.2">
      <c r="A6848" s="6">
        <v>45784</v>
      </c>
      <c r="B6848" t="s">
        <v>15</v>
      </c>
      <c r="C6848" t="s">
        <v>16</v>
      </c>
      <c r="D6848" s="1">
        <v>45855</v>
      </c>
      <c r="E6848" t="s">
        <v>19</v>
      </c>
      <c r="F6848">
        <v>5250</v>
      </c>
      <c r="J6848">
        <v>474.9</v>
      </c>
      <c r="K6848">
        <v>459.9</v>
      </c>
      <c r="L6848">
        <v>0</v>
      </c>
      <c r="M6848" t="s">
        <v>18</v>
      </c>
      <c r="N6848">
        <v>0</v>
      </c>
      <c r="O6848">
        <v>0</v>
      </c>
    </row>
    <row r="6849" spans="1:15" x14ac:dyDescent="0.2">
      <c r="A6849" s="6">
        <v>45784</v>
      </c>
      <c r="B6849" t="s">
        <v>15</v>
      </c>
      <c r="C6849" t="s">
        <v>16</v>
      </c>
      <c r="D6849" s="1">
        <v>45855</v>
      </c>
      <c r="E6849" t="s">
        <v>19</v>
      </c>
      <c r="F6849">
        <v>3600</v>
      </c>
      <c r="J6849">
        <v>4</v>
      </c>
      <c r="K6849">
        <v>4.3</v>
      </c>
      <c r="L6849">
        <v>0</v>
      </c>
      <c r="M6849" t="s">
        <v>18</v>
      </c>
      <c r="N6849">
        <v>0</v>
      </c>
      <c r="O6849">
        <v>0</v>
      </c>
    </row>
    <row r="6850" spans="1:15" x14ac:dyDescent="0.2">
      <c r="A6850" s="6">
        <v>45784</v>
      </c>
      <c r="B6850" t="s">
        <v>15</v>
      </c>
      <c r="C6850" t="s">
        <v>16</v>
      </c>
      <c r="D6850" s="1">
        <v>45855</v>
      </c>
      <c r="E6850" t="s">
        <v>17</v>
      </c>
      <c r="F6850">
        <v>4800</v>
      </c>
      <c r="J6850">
        <v>368.3</v>
      </c>
      <c r="K6850">
        <v>403.1</v>
      </c>
      <c r="L6850">
        <v>0</v>
      </c>
      <c r="M6850" t="s">
        <v>18</v>
      </c>
      <c r="N6850">
        <v>0</v>
      </c>
      <c r="O6850">
        <v>0</v>
      </c>
    </row>
    <row r="6851" spans="1:15" x14ac:dyDescent="0.2">
      <c r="A6851" s="6">
        <v>45784</v>
      </c>
      <c r="B6851" t="s">
        <v>15</v>
      </c>
      <c r="C6851" t="s">
        <v>16</v>
      </c>
      <c r="D6851" s="1">
        <v>45855</v>
      </c>
      <c r="E6851" t="s">
        <v>17</v>
      </c>
      <c r="F6851">
        <v>4900</v>
      </c>
      <c r="J6851">
        <v>316.7</v>
      </c>
      <c r="K6851">
        <v>349.6</v>
      </c>
      <c r="L6851">
        <v>0</v>
      </c>
      <c r="M6851" t="s">
        <v>18</v>
      </c>
      <c r="N6851">
        <v>0</v>
      </c>
      <c r="O6851">
        <v>0</v>
      </c>
    </row>
    <row r="6852" spans="1:15" x14ac:dyDescent="0.2">
      <c r="A6852" s="6">
        <v>45784</v>
      </c>
      <c r="B6852" t="s">
        <v>15</v>
      </c>
      <c r="C6852" t="s">
        <v>16</v>
      </c>
      <c r="D6852" s="1">
        <v>45855</v>
      </c>
      <c r="E6852" t="s">
        <v>19</v>
      </c>
      <c r="F6852">
        <v>3900</v>
      </c>
      <c r="J6852">
        <v>16</v>
      </c>
      <c r="K6852">
        <v>16.600000000000001</v>
      </c>
      <c r="L6852">
        <v>0</v>
      </c>
      <c r="M6852" t="s">
        <v>18</v>
      </c>
      <c r="N6852">
        <v>0</v>
      </c>
      <c r="O6852">
        <v>0</v>
      </c>
    </row>
    <row r="6853" spans="1:15" x14ac:dyDescent="0.2">
      <c r="A6853" s="6">
        <v>45784</v>
      </c>
      <c r="B6853" t="s">
        <v>15</v>
      </c>
      <c r="C6853" t="s">
        <v>16</v>
      </c>
      <c r="D6853" s="1">
        <v>45855</v>
      </c>
      <c r="E6853" t="s">
        <v>17</v>
      </c>
      <c r="F6853">
        <v>5950</v>
      </c>
      <c r="J6853">
        <v>43.2</v>
      </c>
      <c r="K6853">
        <v>54.3</v>
      </c>
      <c r="L6853">
        <v>0</v>
      </c>
      <c r="M6853" t="s">
        <v>18</v>
      </c>
      <c r="N6853">
        <v>0</v>
      </c>
      <c r="O6853">
        <v>0</v>
      </c>
    </row>
    <row r="6854" spans="1:15" x14ac:dyDescent="0.2">
      <c r="A6854" s="6">
        <v>45784</v>
      </c>
      <c r="B6854" t="s">
        <v>15</v>
      </c>
      <c r="C6854" t="s">
        <v>16</v>
      </c>
      <c r="D6854" s="1">
        <v>45855</v>
      </c>
      <c r="E6854" t="s">
        <v>19</v>
      </c>
      <c r="F6854">
        <v>6550</v>
      </c>
      <c r="J6854">
        <v>1592.4</v>
      </c>
      <c r="K6854">
        <v>1555.7</v>
      </c>
      <c r="L6854">
        <v>0</v>
      </c>
      <c r="M6854" t="s">
        <v>18</v>
      </c>
      <c r="N6854">
        <v>0</v>
      </c>
      <c r="O6854">
        <v>0</v>
      </c>
    </row>
    <row r="6855" spans="1:15" x14ac:dyDescent="0.2">
      <c r="A6855" s="6">
        <v>45784</v>
      </c>
      <c r="B6855" t="s">
        <v>15</v>
      </c>
      <c r="C6855" t="s">
        <v>16</v>
      </c>
      <c r="D6855" s="1">
        <v>45855</v>
      </c>
      <c r="E6855" t="s">
        <v>17</v>
      </c>
      <c r="F6855">
        <v>4950</v>
      </c>
      <c r="J6855">
        <v>292.89999999999998</v>
      </c>
      <c r="K6855">
        <v>324.89999999999998</v>
      </c>
      <c r="L6855">
        <v>0</v>
      </c>
      <c r="M6855" t="s">
        <v>18</v>
      </c>
      <c r="N6855">
        <v>0</v>
      </c>
      <c r="O6855">
        <v>0</v>
      </c>
    </row>
    <row r="6856" spans="1:15" x14ac:dyDescent="0.2">
      <c r="A6856" s="6">
        <v>45784</v>
      </c>
      <c r="B6856" t="s">
        <v>15</v>
      </c>
      <c r="C6856" t="s">
        <v>16</v>
      </c>
      <c r="D6856" s="1">
        <v>45855</v>
      </c>
      <c r="E6856" t="s">
        <v>17</v>
      </c>
      <c r="F6856">
        <v>5200</v>
      </c>
      <c r="J6856">
        <v>193</v>
      </c>
      <c r="K6856">
        <v>219.7</v>
      </c>
      <c r="L6856">
        <v>0</v>
      </c>
      <c r="M6856" t="s">
        <v>18</v>
      </c>
      <c r="N6856">
        <v>0</v>
      </c>
      <c r="O6856">
        <v>0</v>
      </c>
    </row>
    <row r="6857" spans="1:15" x14ac:dyDescent="0.2">
      <c r="A6857" s="6">
        <v>45784</v>
      </c>
      <c r="B6857" t="s">
        <v>15</v>
      </c>
      <c r="C6857" t="s">
        <v>16</v>
      </c>
      <c r="D6857" s="1">
        <v>45855</v>
      </c>
      <c r="E6857" t="s">
        <v>19</v>
      </c>
      <c r="F6857">
        <v>6150</v>
      </c>
      <c r="J6857">
        <v>1214.4000000000001</v>
      </c>
      <c r="K6857">
        <v>1181.9000000000001</v>
      </c>
      <c r="L6857">
        <v>0</v>
      </c>
      <c r="M6857" t="s">
        <v>18</v>
      </c>
      <c r="N6857">
        <v>0</v>
      </c>
      <c r="O6857">
        <v>0</v>
      </c>
    </row>
    <row r="6858" spans="1:15" x14ac:dyDescent="0.2">
      <c r="A6858" s="6">
        <v>45784</v>
      </c>
      <c r="B6858" t="s">
        <v>15</v>
      </c>
      <c r="C6858" t="s">
        <v>16</v>
      </c>
      <c r="D6858" s="1">
        <v>45855</v>
      </c>
      <c r="E6858" t="s">
        <v>17</v>
      </c>
      <c r="F6858">
        <v>6200</v>
      </c>
      <c r="J6858">
        <v>24.4</v>
      </c>
      <c r="K6858">
        <v>31.9</v>
      </c>
      <c r="L6858">
        <v>0</v>
      </c>
      <c r="M6858" t="s">
        <v>18</v>
      </c>
      <c r="N6858">
        <v>0</v>
      </c>
      <c r="O6858">
        <v>0</v>
      </c>
    </row>
    <row r="6859" spans="1:15" x14ac:dyDescent="0.2">
      <c r="A6859" s="6">
        <v>45784</v>
      </c>
      <c r="B6859" t="s">
        <v>15</v>
      </c>
      <c r="C6859" t="s">
        <v>16</v>
      </c>
      <c r="D6859" s="1">
        <v>45855</v>
      </c>
      <c r="E6859" t="s">
        <v>17</v>
      </c>
      <c r="F6859">
        <v>4400</v>
      </c>
      <c r="J6859">
        <v>627.9</v>
      </c>
      <c r="K6859">
        <v>667.4</v>
      </c>
      <c r="L6859">
        <v>0</v>
      </c>
      <c r="M6859" t="s">
        <v>18</v>
      </c>
      <c r="N6859">
        <v>0</v>
      </c>
      <c r="O6859">
        <v>0</v>
      </c>
    </row>
    <row r="6860" spans="1:15" x14ac:dyDescent="0.2">
      <c r="A6860" s="6">
        <v>45784</v>
      </c>
      <c r="B6860" t="s">
        <v>15</v>
      </c>
      <c r="C6860" t="s">
        <v>16</v>
      </c>
      <c r="D6860" s="1">
        <v>45855</v>
      </c>
      <c r="E6860" t="s">
        <v>17</v>
      </c>
      <c r="F6860">
        <v>4100</v>
      </c>
      <c r="J6860">
        <v>871.6</v>
      </c>
      <c r="K6860">
        <v>912.4</v>
      </c>
      <c r="L6860">
        <v>0</v>
      </c>
      <c r="M6860" t="s">
        <v>18</v>
      </c>
      <c r="N6860">
        <v>0</v>
      </c>
      <c r="O6860">
        <v>0</v>
      </c>
    </row>
    <row r="6861" spans="1:15" x14ac:dyDescent="0.2">
      <c r="A6861" s="6">
        <v>45784</v>
      </c>
      <c r="B6861" t="s">
        <v>15</v>
      </c>
      <c r="C6861" t="s">
        <v>16</v>
      </c>
      <c r="D6861" s="1">
        <v>45855</v>
      </c>
      <c r="E6861" t="s">
        <v>17</v>
      </c>
      <c r="F6861">
        <v>4750</v>
      </c>
      <c r="J6861">
        <v>396.1</v>
      </c>
      <c r="K6861">
        <v>431.7</v>
      </c>
      <c r="L6861">
        <v>0</v>
      </c>
      <c r="M6861" t="s">
        <v>18</v>
      </c>
      <c r="N6861">
        <v>0</v>
      </c>
      <c r="O6861">
        <v>0</v>
      </c>
    </row>
    <row r="6862" spans="1:15" x14ac:dyDescent="0.2">
      <c r="A6862" s="6">
        <v>45784</v>
      </c>
      <c r="B6862" t="s">
        <v>15</v>
      </c>
      <c r="C6862" t="s">
        <v>16</v>
      </c>
      <c r="D6862" s="1">
        <v>45855</v>
      </c>
      <c r="E6862" t="s">
        <v>17</v>
      </c>
      <c r="F6862">
        <v>4350</v>
      </c>
      <c r="J6862">
        <v>665.9</v>
      </c>
      <c r="K6862">
        <v>705.8</v>
      </c>
      <c r="L6862">
        <v>0</v>
      </c>
      <c r="M6862" t="s">
        <v>18</v>
      </c>
      <c r="N6862">
        <v>0</v>
      </c>
      <c r="O6862">
        <v>0</v>
      </c>
    </row>
    <row r="6863" spans="1:15" x14ac:dyDescent="0.2">
      <c r="A6863" s="6">
        <v>45784</v>
      </c>
      <c r="B6863" t="s">
        <v>15</v>
      </c>
      <c r="C6863" t="s">
        <v>16</v>
      </c>
      <c r="D6863" s="1">
        <v>45855</v>
      </c>
      <c r="E6863" t="s">
        <v>17</v>
      </c>
      <c r="F6863">
        <v>5000</v>
      </c>
      <c r="J6863">
        <v>270.39999999999998</v>
      </c>
      <c r="K6863">
        <v>301.39999999999998</v>
      </c>
      <c r="L6863">
        <v>0</v>
      </c>
      <c r="M6863" t="s">
        <v>18</v>
      </c>
      <c r="N6863">
        <v>0</v>
      </c>
      <c r="O6863">
        <v>0</v>
      </c>
    </row>
    <row r="6864" spans="1:15" x14ac:dyDescent="0.2">
      <c r="A6864" s="6">
        <v>45784</v>
      </c>
      <c r="B6864" t="s">
        <v>15</v>
      </c>
      <c r="C6864" t="s">
        <v>16</v>
      </c>
      <c r="D6864" s="1">
        <v>45855</v>
      </c>
      <c r="E6864" t="s">
        <v>17</v>
      </c>
      <c r="F6864">
        <v>4500</v>
      </c>
      <c r="J6864">
        <v>555.29999999999995</v>
      </c>
      <c r="K6864">
        <v>594</v>
      </c>
      <c r="L6864">
        <v>0</v>
      </c>
      <c r="M6864" t="s">
        <v>18</v>
      </c>
      <c r="N6864">
        <v>0</v>
      </c>
      <c r="O6864">
        <v>0</v>
      </c>
    </row>
    <row r="6865" spans="1:15" x14ac:dyDescent="0.2">
      <c r="A6865" s="6">
        <v>45784</v>
      </c>
      <c r="B6865" t="s">
        <v>15</v>
      </c>
      <c r="C6865" t="s">
        <v>16</v>
      </c>
      <c r="D6865" s="1">
        <v>45855</v>
      </c>
      <c r="E6865" t="s">
        <v>17</v>
      </c>
      <c r="F6865">
        <v>3700</v>
      </c>
      <c r="J6865">
        <v>1239</v>
      </c>
      <c r="K6865">
        <v>1279.7</v>
      </c>
      <c r="L6865">
        <v>0</v>
      </c>
      <c r="M6865" t="s">
        <v>18</v>
      </c>
      <c r="N6865">
        <v>0</v>
      </c>
      <c r="O6865">
        <v>0</v>
      </c>
    </row>
    <row r="6866" spans="1:15" x14ac:dyDescent="0.2">
      <c r="A6866" s="6">
        <v>45784</v>
      </c>
      <c r="B6866" t="s">
        <v>15</v>
      </c>
      <c r="C6866" t="s">
        <v>16</v>
      </c>
      <c r="D6866" s="1">
        <v>45855</v>
      </c>
      <c r="E6866" t="s">
        <v>17</v>
      </c>
      <c r="F6866">
        <v>4850</v>
      </c>
      <c r="J6866">
        <v>341.8</v>
      </c>
      <c r="K6866">
        <v>375.7</v>
      </c>
      <c r="L6866">
        <v>0</v>
      </c>
      <c r="M6866" t="s">
        <v>18</v>
      </c>
      <c r="N6866">
        <v>0</v>
      </c>
      <c r="O6866">
        <v>0</v>
      </c>
    </row>
    <row r="6867" spans="1:15" x14ac:dyDescent="0.2">
      <c r="A6867" s="6">
        <v>45784</v>
      </c>
      <c r="B6867" t="s">
        <v>15</v>
      </c>
      <c r="C6867" t="s">
        <v>16</v>
      </c>
      <c r="D6867" s="1">
        <v>45855</v>
      </c>
      <c r="E6867" t="s">
        <v>17</v>
      </c>
      <c r="F6867">
        <v>6600</v>
      </c>
      <c r="J6867">
        <v>9.1999999999999993</v>
      </c>
      <c r="K6867">
        <v>12.8</v>
      </c>
      <c r="L6867">
        <v>0</v>
      </c>
      <c r="M6867" t="s">
        <v>18</v>
      </c>
      <c r="N6867">
        <v>0</v>
      </c>
      <c r="O6867">
        <v>0</v>
      </c>
    </row>
    <row r="6868" spans="1:15" x14ac:dyDescent="0.2">
      <c r="A6868" s="6">
        <v>45784</v>
      </c>
      <c r="B6868" t="s">
        <v>15</v>
      </c>
      <c r="C6868" t="s">
        <v>16</v>
      </c>
      <c r="D6868" s="1">
        <v>45855</v>
      </c>
      <c r="E6868" t="s">
        <v>19</v>
      </c>
      <c r="F6868">
        <v>6200</v>
      </c>
      <c r="J6868">
        <v>1260.8</v>
      </c>
      <c r="K6868">
        <v>1227.5999999999999</v>
      </c>
      <c r="L6868">
        <v>0</v>
      </c>
      <c r="M6868" t="s">
        <v>18</v>
      </c>
      <c r="N6868">
        <v>0</v>
      </c>
      <c r="O6868">
        <v>0</v>
      </c>
    </row>
    <row r="6869" spans="1:15" x14ac:dyDescent="0.2">
      <c r="A6869" s="6">
        <v>45784</v>
      </c>
      <c r="B6869" t="s">
        <v>15</v>
      </c>
      <c r="C6869" t="s">
        <v>16</v>
      </c>
      <c r="D6869" s="1">
        <v>45855</v>
      </c>
      <c r="E6869" t="s">
        <v>17</v>
      </c>
      <c r="F6869">
        <v>3800</v>
      </c>
      <c r="J6869">
        <v>1144.0999999999999</v>
      </c>
      <c r="K6869">
        <v>1185</v>
      </c>
      <c r="L6869">
        <v>0</v>
      </c>
      <c r="M6869" t="s">
        <v>18</v>
      </c>
      <c r="N6869">
        <v>0</v>
      </c>
      <c r="O6869">
        <v>0</v>
      </c>
    </row>
    <row r="6870" spans="1:15" x14ac:dyDescent="0.2">
      <c r="A6870" s="6">
        <v>45784</v>
      </c>
      <c r="B6870" t="s">
        <v>15</v>
      </c>
      <c r="C6870" t="s">
        <v>16</v>
      </c>
      <c r="D6870" s="1">
        <v>45855</v>
      </c>
      <c r="E6870" t="s">
        <v>17</v>
      </c>
      <c r="F6870">
        <v>5750</v>
      </c>
      <c r="J6870">
        <v>66.599999999999994</v>
      </c>
      <c r="K6870">
        <v>81.3</v>
      </c>
      <c r="L6870">
        <v>0</v>
      </c>
      <c r="M6870" t="s">
        <v>18</v>
      </c>
      <c r="N6870">
        <v>0</v>
      </c>
      <c r="O6870">
        <v>0</v>
      </c>
    </row>
    <row r="6871" spans="1:15" x14ac:dyDescent="0.2">
      <c r="A6871" s="6">
        <v>45784</v>
      </c>
      <c r="B6871" t="s">
        <v>15</v>
      </c>
      <c r="C6871" t="s">
        <v>16</v>
      </c>
      <c r="D6871" s="1">
        <v>45855</v>
      </c>
      <c r="E6871" t="s">
        <v>19</v>
      </c>
      <c r="F6871">
        <v>4600</v>
      </c>
      <c r="J6871">
        <v>144</v>
      </c>
      <c r="K6871">
        <v>141.30000000000001</v>
      </c>
      <c r="L6871">
        <v>0</v>
      </c>
      <c r="M6871" t="s">
        <v>18</v>
      </c>
      <c r="N6871">
        <v>0</v>
      </c>
      <c r="O6871">
        <v>0</v>
      </c>
    </row>
    <row r="6872" spans="1:15" x14ac:dyDescent="0.2">
      <c r="A6872" s="6">
        <v>45784</v>
      </c>
      <c r="B6872" t="s">
        <v>15</v>
      </c>
      <c r="C6872" t="s">
        <v>16</v>
      </c>
      <c r="D6872" s="1">
        <v>45855</v>
      </c>
      <c r="E6872" t="s">
        <v>19</v>
      </c>
      <c r="F6872">
        <v>4950</v>
      </c>
      <c r="J6872">
        <v>294.8</v>
      </c>
      <c r="K6872">
        <v>286.3</v>
      </c>
      <c r="L6872">
        <v>0</v>
      </c>
      <c r="M6872" t="s">
        <v>18</v>
      </c>
      <c r="N6872">
        <v>0</v>
      </c>
      <c r="O6872">
        <v>0</v>
      </c>
    </row>
    <row r="6873" spans="1:15" x14ac:dyDescent="0.2">
      <c r="A6873" s="6">
        <v>45784</v>
      </c>
      <c r="B6873" t="s">
        <v>15</v>
      </c>
      <c r="C6873" t="s">
        <v>16</v>
      </c>
      <c r="D6873" s="1">
        <v>45855</v>
      </c>
      <c r="E6873" t="s">
        <v>19</v>
      </c>
      <c r="F6873">
        <v>5900</v>
      </c>
      <c r="J6873">
        <v>988.4</v>
      </c>
      <c r="K6873">
        <v>959.7</v>
      </c>
      <c r="L6873">
        <v>0</v>
      </c>
      <c r="M6873" t="s">
        <v>18</v>
      </c>
      <c r="N6873">
        <v>0</v>
      </c>
      <c r="O6873">
        <v>0</v>
      </c>
    </row>
    <row r="6874" spans="1:15" x14ac:dyDescent="0.2">
      <c r="A6874" s="6">
        <v>45784</v>
      </c>
      <c r="B6874" t="s">
        <v>15</v>
      </c>
      <c r="C6874" t="s">
        <v>16</v>
      </c>
      <c r="D6874" s="1">
        <v>45855</v>
      </c>
      <c r="E6874" t="s">
        <v>17</v>
      </c>
      <c r="F6874">
        <v>3850</v>
      </c>
      <c r="J6874">
        <v>1097.3</v>
      </c>
      <c r="K6874">
        <v>1138.2</v>
      </c>
      <c r="L6874">
        <v>0</v>
      </c>
      <c r="M6874" t="s">
        <v>18</v>
      </c>
      <c r="N6874">
        <v>0</v>
      </c>
      <c r="O6874">
        <v>0</v>
      </c>
    </row>
    <row r="6875" spans="1:15" x14ac:dyDescent="0.2">
      <c r="A6875" s="6">
        <v>45784</v>
      </c>
      <c r="B6875" t="s">
        <v>15</v>
      </c>
      <c r="C6875" t="s">
        <v>16</v>
      </c>
      <c r="D6875" s="1">
        <v>45855</v>
      </c>
      <c r="E6875" t="s">
        <v>19</v>
      </c>
      <c r="F6875">
        <v>5300</v>
      </c>
      <c r="J6875">
        <v>509</v>
      </c>
      <c r="K6875">
        <v>492.9</v>
      </c>
      <c r="L6875">
        <v>0</v>
      </c>
      <c r="M6875" t="s">
        <v>18</v>
      </c>
      <c r="N6875">
        <v>0</v>
      </c>
      <c r="O6875">
        <v>0</v>
      </c>
    </row>
    <row r="6876" spans="1:15" x14ac:dyDescent="0.2">
      <c r="A6876" s="6">
        <v>45784</v>
      </c>
      <c r="B6876" t="s">
        <v>15</v>
      </c>
      <c r="C6876" t="s">
        <v>16</v>
      </c>
      <c r="D6876" s="1">
        <v>45855</v>
      </c>
      <c r="E6876" t="s">
        <v>19</v>
      </c>
      <c r="F6876">
        <v>5050</v>
      </c>
      <c r="J6876">
        <v>349.9</v>
      </c>
      <c r="K6876">
        <v>339.3</v>
      </c>
      <c r="L6876">
        <v>0</v>
      </c>
      <c r="M6876" t="s">
        <v>18</v>
      </c>
      <c r="N6876">
        <v>0</v>
      </c>
      <c r="O6876">
        <v>0</v>
      </c>
    </row>
    <row r="6877" spans="1:15" x14ac:dyDescent="0.2">
      <c r="A6877" s="6">
        <v>45784</v>
      </c>
      <c r="B6877" t="s">
        <v>15</v>
      </c>
      <c r="C6877" t="s">
        <v>16</v>
      </c>
      <c r="D6877" s="1">
        <v>45855</v>
      </c>
      <c r="E6877" t="s">
        <v>19</v>
      </c>
      <c r="F6877">
        <v>5400</v>
      </c>
      <c r="J6877">
        <v>580.4</v>
      </c>
      <c r="K6877">
        <v>562</v>
      </c>
      <c r="L6877">
        <v>0</v>
      </c>
      <c r="M6877" t="s">
        <v>18</v>
      </c>
      <c r="N6877">
        <v>0</v>
      </c>
      <c r="O6877">
        <v>0</v>
      </c>
    </row>
    <row r="6878" spans="1:15" x14ac:dyDescent="0.2">
      <c r="A6878" s="6">
        <v>45784</v>
      </c>
      <c r="B6878" t="s">
        <v>15</v>
      </c>
      <c r="C6878" t="s">
        <v>16</v>
      </c>
      <c r="D6878" s="1">
        <v>45855</v>
      </c>
      <c r="E6878" t="s">
        <v>19</v>
      </c>
      <c r="F6878">
        <v>5450</v>
      </c>
      <c r="J6878">
        <v>617.6</v>
      </c>
      <c r="K6878">
        <v>598.1</v>
      </c>
      <c r="L6878">
        <v>0</v>
      </c>
      <c r="M6878" t="s">
        <v>18</v>
      </c>
      <c r="N6878">
        <v>0</v>
      </c>
      <c r="O6878">
        <v>0</v>
      </c>
    </row>
    <row r="6879" spans="1:15" x14ac:dyDescent="0.2">
      <c r="A6879" s="6">
        <v>45784</v>
      </c>
      <c r="B6879" t="s">
        <v>15</v>
      </c>
      <c r="C6879" t="s">
        <v>16</v>
      </c>
      <c r="D6879" s="1">
        <v>45855</v>
      </c>
      <c r="E6879" t="s">
        <v>19</v>
      </c>
      <c r="F6879">
        <v>4450</v>
      </c>
      <c r="J6879">
        <v>99.2</v>
      </c>
      <c r="K6879">
        <v>98</v>
      </c>
      <c r="L6879">
        <v>0</v>
      </c>
      <c r="M6879" t="s">
        <v>18</v>
      </c>
      <c r="N6879">
        <v>0</v>
      </c>
      <c r="O6879">
        <v>0</v>
      </c>
    </row>
    <row r="6880" spans="1:15" x14ac:dyDescent="0.2">
      <c r="A6880" s="6">
        <v>45784</v>
      </c>
      <c r="B6880" t="s">
        <v>15</v>
      </c>
      <c r="C6880" t="s">
        <v>16</v>
      </c>
      <c r="D6880" s="1">
        <v>45855</v>
      </c>
      <c r="E6880" t="s">
        <v>17</v>
      </c>
      <c r="F6880">
        <v>6550</v>
      </c>
      <c r="J6880">
        <v>10.4</v>
      </c>
      <c r="K6880">
        <v>14.4</v>
      </c>
      <c r="L6880">
        <v>0</v>
      </c>
      <c r="M6880" t="s">
        <v>18</v>
      </c>
      <c r="N6880">
        <v>0</v>
      </c>
      <c r="O6880">
        <v>0</v>
      </c>
    </row>
    <row r="6881" spans="1:15" x14ac:dyDescent="0.2">
      <c r="A6881" s="6">
        <v>45784</v>
      </c>
      <c r="B6881" t="s">
        <v>15</v>
      </c>
      <c r="C6881" t="s">
        <v>16</v>
      </c>
      <c r="D6881" s="1">
        <v>45855</v>
      </c>
      <c r="E6881" t="s">
        <v>17</v>
      </c>
      <c r="F6881">
        <v>5600</v>
      </c>
      <c r="J6881">
        <v>90.8</v>
      </c>
      <c r="K6881">
        <v>108.5</v>
      </c>
      <c r="L6881">
        <v>0</v>
      </c>
      <c r="M6881" t="s">
        <v>18</v>
      </c>
      <c r="N6881">
        <v>0</v>
      </c>
      <c r="O6881">
        <v>0</v>
      </c>
    </row>
    <row r="6882" spans="1:15" x14ac:dyDescent="0.2">
      <c r="A6882" s="6">
        <v>45784</v>
      </c>
      <c r="B6882" t="s">
        <v>15</v>
      </c>
      <c r="C6882" t="s">
        <v>16</v>
      </c>
      <c r="D6882" s="1">
        <v>45855</v>
      </c>
      <c r="E6882" t="s">
        <v>19</v>
      </c>
      <c r="F6882">
        <v>6400</v>
      </c>
      <c r="J6882">
        <v>1449</v>
      </c>
      <c r="K6882">
        <v>1413.6</v>
      </c>
      <c r="L6882">
        <v>0</v>
      </c>
      <c r="M6882" t="s">
        <v>18</v>
      </c>
      <c r="N6882">
        <v>0</v>
      </c>
      <c r="O6882">
        <v>0</v>
      </c>
    </row>
    <row r="6883" spans="1:15" x14ac:dyDescent="0.2">
      <c r="A6883" s="6">
        <v>45784</v>
      </c>
      <c r="B6883" t="s">
        <v>15</v>
      </c>
      <c r="C6883" t="s">
        <v>16</v>
      </c>
      <c r="D6883" s="1">
        <v>45855</v>
      </c>
      <c r="E6883" t="s">
        <v>19</v>
      </c>
      <c r="F6883">
        <v>3700</v>
      </c>
      <c r="J6883">
        <v>6.6</v>
      </c>
      <c r="K6883">
        <v>7</v>
      </c>
      <c r="L6883">
        <v>0</v>
      </c>
      <c r="M6883" t="s">
        <v>18</v>
      </c>
      <c r="N6883">
        <v>0</v>
      </c>
      <c r="O6883">
        <v>0</v>
      </c>
    </row>
    <row r="6884" spans="1:15" x14ac:dyDescent="0.2">
      <c r="A6884" s="6">
        <v>45784</v>
      </c>
      <c r="B6884" t="s">
        <v>15</v>
      </c>
      <c r="C6884" t="s">
        <v>16</v>
      </c>
      <c r="D6884" s="1">
        <v>45855</v>
      </c>
      <c r="E6884" t="s">
        <v>17</v>
      </c>
      <c r="F6884">
        <v>6650</v>
      </c>
      <c r="J6884">
        <v>8.1</v>
      </c>
      <c r="K6884">
        <v>11.4</v>
      </c>
      <c r="L6884">
        <v>0</v>
      </c>
      <c r="M6884" t="s">
        <v>18</v>
      </c>
      <c r="N6884">
        <v>0</v>
      </c>
      <c r="O6884">
        <v>0</v>
      </c>
    </row>
    <row r="6885" spans="1:15" x14ac:dyDescent="0.2">
      <c r="A6885" s="6">
        <v>45784</v>
      </c>
      <c r="B6885" t="s">
        <v>15</v>
      </c>
      <c r="C6885" t="s">
        <v>16</v>
      </c>
      <c r="D6885" s="1">
        <v>45855</v>
      </c>
      <c r="E6885" t="s">
        <v>17</v>
      </c>
      <c r="F6885">
        <v>6050</v>
      </c>
      <c r="J6885">
        <v>34.5</v>
      </c>
      <c r="K6885">
        <v>44.1</v>
      </c>
      <c r="L6885">
        <v>0</v>
      </c>
      <c r="M6885" t="s">
        <v>18</v>
      </c>
      <c r="N6885">
        <v>0</v>
      </c>
      <c r="O6885">
        <v>0</v>
      </c>
    </row>
    <row r="6886" spans="1:15" x14ac:dyDescent="0.2">
      <c r="A6886" s="6">
        <v>45784</v>
      </c>
      <c r="B6886" t="s">
        <v>15</v>
      </c>
      <c r="C6886" t="s">
        <v>16</v>
      </c>
      <c r="D6886" s="1">
        <v>45855</v>
      </c>
      <c r="E6886" t="s">
        <v>17</v>
      </c>
      <c r="F6886">
        <v>3750</v>
      </c>
      <c r="J6886">
        <v>1191.4000000000001</v>
      </c>
      <c r="K6886">
        <v>1232.2</v>
      </c>
      <c r="L6886">
        <v>0</v>
      </c>
      <c r="M6886" t="s">
        <v>18</v>
      </c>
      <c r="N6886">
        <v>0</v>
      </c>
      <c r="O6886">
        <v>0</v>
      </c>
    </row>
    <row r="6887" spans="1:15" x14ac:dyDescent="0.2">
      <c r="A6887" s="6">
        <v>45784</v>
      </c>
      <c r="B6887" t="s">
        <v>15</v>
      </c>
      <c r="C6887" t="s">
        <v>16</v>
      </c>
      <c r="D6887" s="1">
        <v>45855</v>
      </c>
      <c r="E6887" t="s">
        <v>19</v>
      </c>
      <c r="F6887">
        <v>3750</v>
      </c>
      <c r="J6887">
        <v>8.3000000000000007</v>
      </c>
      <c r="K6887">
        <v>8.8000000000000007</v>
      </c>
      <c r="L6887">
        <v>0</v>
      </c>
      <c r="M6887" t="s">
        <v>18</v>
      </c>
      <c r="N6887">
        <v>0</v>
      </c>
      <c r="O6887">
        <v>0</v>
      </c>
    </row>
    <row r="6888" spans="1:15" x14ac:dyDescent="0.2">
      <c r="A6888" s="6">
        <v>45784</v>
      </c>
      <c r="B6888" t="s">
        <v>15</v>
      </c>
      <c r="C6888" t="s">
        <v>16</v>
      </c>
      <c r="D6888" s="1">
        <v>45855</v>
      </c>
      <c r="E6888" t="s">
        <v>19</v>
      </c>
      <c r="F6888">
        <v>4700</v>
      </c>
      <c r="J6888">
        <v>180.4</v>
      </c>
      <c r="K6888">
        <v>176.3</v>
      </c>
      <c r="L6888">
        <v>0</v>
      </c>
      <c r="M6888" t="s">
        <v>18</v>
      </c>
      <c r="N6888">
        <v>0</v>
      </c>
      <c r="O6888">
        <v>0</v>
      </c>
    </row>
    <row r="6889" spans="1:15" x14ac:dyDescent="0.2">
      <c r="A6889" s="6">
        <v>45784</v>
      </c>
      <c r="B6889" t="s">
        <v>15</v>
      </c>
      <c r="C6889" t="s">
        <v>16</v>
      </c>
      <c r="D6889" s="1">
        <v>45855</v>
      </c>
      <c r="E6889" t="s">
        <v>19</v>
      </c>
      <c r="F6889">
        <v>5700</v>
      </c>
      <c r="J6889">
        <v>816.6</v>
      </c>
      <c r="K6889">
        <v>791.6</v>
      </c>
      <c r="L6889">
        <v>0</v>
      </c>
      <c r="M6889" t="s">
        <v>18</v>
      </c>
      <c r="N6889">
        <v>0</v>
      </c>
      <c r="O6889">
        <v>0</v>
      </c>
    </row>
    <row r="6890" spans="1:15" x14ac:dyDescent="0.2">
      <c r="A6890" s="6">
        <v>45784</v>
      </c>
      <c r="B6890" t="s">
        <v>15</v>
      </c>
      <c r="C6890" t="s">
        <v>16</v>
      </c>
      <c r="D6890" s="1">
        <v>45855</v>
      </c>
      <c r="E6890" t="s">
        <v>19</v>
      </c>
      <c r="F6890">
        <v>4550</v>
      </c>
      <c r="J6890">
        <v>127.8</v>
      </c>
      <c r="K6890">
        <v>125.6</v>
      </c>
      <c r="L6890">
        <v>0</v>
      </c>
      <c r="M6890" t="s">
        <v>18</v>
      </c>
      <c r="N6890">
        <v>0</v>
      </c>
      <c r="O6890">
        <v>0</v>
      </c>
    </row>
    <row r="6891" spans="1:15" x14ac:dyDescent="0.2">
      <c r="A6891" s="6">
        <v>45784</v>
      </c>
      <c r="B6891" t="s">
        <v>15</v>
      </c>
      <c r="C6891" t="s">
        <v>16</v>
      </c>
      <c r="D6891" s="1">
        <v>45855</v>
      </c>
      <c r="E6891" t="s">
        <v>19</v>
      </c>
      <c r="F6891">
        <v>5200</v>
      </c>
      <c r="J6891">
        <v>441.9</v>
      </c>
      <c r="K6891">
        <v>428</v>
      </c>
      <c r="L6891">
        <v>0</v>
      </c>
      <c r="M6891" t="s">
        <v>18</v>
      </c>
      <c r="N6891">
        <v>0</v>
      </c>
      <c r="O6891">
        <v>0</v>
      </c>
    </row>
    <row r="6892" spans="1:15" x14ac:dyDescent="0.2">
      <c r="A6892" s="6">
        <v>45784</v>
      </c>
      <c r="B6892" t="s">
        <v>15</v>
      </c>
      <c r="C6892" t="s">
        <v>16</v>
      </c>
      <c r="D6892" s="1">
        <v>45855</v>
      </c>
      <c r="E6892" t="s">
        <v>19</v>
      </c>
      <c r="F6892">
        <v>6250</v>
      </c>
      <c r="J6892">
        <v>1307.4000000000001</v>
      </c>
      <c r="K6892">
        <v>1273.5999999999999</v>
      </c>
      <c r="L6892">
        <v>0</v>
      </c>
      <c r="M6892" t="s">
        <v>18</v>
      </c>
      <c r="N6892">
        <v>0</v>
      </c>
      <c r="O6892">
        <v>0</v>
      </c>
    </row>
    <row r="6893" spans="1:15" x14ac:dyDescent="0.2">
      <c r="A6893" s="6">
        <v>45784</v>
      </c>
      <c r="B6893" t="s">
        <v>15</v>
      </c>
      <c r="C6893" t="s">
        <v>16</v>
      </c>
      <c r="D6893" s="1">
        <v>45855</v>
      </c>
      <c r="E6893" t="s">
        <v>17</v>
      </c>
      <c r="F6893">
        <v>5500</v>
      </c>
      <c r="J6893">
        <v>110.7</v>
      </c>
      <c r="K6893">
        <v>130.5</v>
      </c>
      <c r="L6893">
        <v>0</v>
      </c>
      <c r="M6893" t="s">
        <v>18</v>
      </c>
      <c r="N6893">
        <v>0</v>
      </c>
      <c r="O6893">
        <v>0</v>
      </c>
    </row>
    <row r="6894" spans="1:15" x14ac:dyDescent="0.2">
      <c r="A6894" s="6">
        <v>45784</v>
      </c>
      <c r="B6894" t="s">
        <v>15</v>
      </c>
      <c r="C6894" t="s">
        <v>16</v>
      </c>
      <c r="D6894" s="1">
        <v>45855</v>
      </c>
      <c r="E6894" t="s">
        <v>19</v>
      </c>
      <c r="F6894">
        <v>5150</v>
      </c>
      <c r="J6894">
        <v>410</v>
      </c>
      <c r="K6894">
        <v>397.3</v>
      </c>
      <c r="L6894">
        <v>0</v>
      </c>
      <c r="M6894" t="s">
        <v>18</v>
      </c>
      <c r="N6894">
        <v>0</v>
      </c>
      <c r="O6894">
        <v>0</v>
      </c>
    </row>
    <row r="6895" spans="1:15" x14ac:dyDescent="0.2">
      <c r="A6895" s="6">
        <v>45784</v>
      </c>
      <c r="B6895" t="s">
        <v>15</v>
      </c>
      <c r="C6895" t="s">
        <v>16</v>
      </c>
      <c r="D6895" s="1">
        <v>45855</v>
      </c>
      <c r="E6895" t="s">
        <v>19</v>
      </c>
      <c r="F6895">
        <v>5350</v>
      </c>
      <c r="J6895">
        <v>544.20000000000005</v>
      </c>
      <c r="K6895">
        <v>526.9</v>
      </c>
      <c r="L6895">
        <v>0</v>
      </c>
      <c r="M6895" t="s">
        <v>18</v>
      </c>
      <c r="N6895">
        <v>0</v>
      </c>
      <c r="O6895">
        <v>0</v>
      </c>
    </row>
    <row r="6896" spans="1:15" x14ac:dyDescent="0.2">
      <c r="A6896" s="6">
        <v>45784</v>
      </c>
      <c r="B6896" t="s">
        <v>15</v>
      </c>
      <c r="C6896" t="s">
        <v>16</v>
      </c>
      <c r="D6896" s="1">
        <v>45855</v>
      </c>
      <c r="E6896" t="s">
        <v>17</v>
      </c>
      <c r="F6896">
        <v>6250</v>
      </c>
      <c r="J6896">
        <v>21.7</v>
      </c>
      <c r="K6896">
        <v>28.6</v>
      </c>
      <c r="L6896">
        <v>0</v>
      </c>
      <c r="M6896" t="s">
        <v>18</v>
      </c>
      <c r="N6896">
        <v>0</v>
      </c>
      <c r="O6896">
        <v>0</v>
      </c>
    </row>
    <row r="6897" spans="1:15" x14ac:dyDescent="0.2">
      <c r="A6897" s="6">
        <v>45784</v>
      </c>
      <c r="B6897" t="s">
        <v>15</v>
      </c>
      <c r="C6897" t="s">
        <v>16</v>
      </c>
      <c r="D6897" s="1">
        <v>45855</v>
      </c>
      <c r="E6897" t="s">
        <v>17</v>
      </c>
      <c r="F6897">
        <v>6500</v>
      </c>
      <c r="J6897">
        <v>11.8</v>
      </c>
      <c r="K6897">
        <v>16.2</v>
      </c>
      <c r="L6897">
        <v>0</v>
      </c>
      <c r="M6897" t="s">
        <v>18</v>
      </c>
      <c r="N6897">
        <v>0</v>
      </c>
      <c r="O6897">
        <v>0</v>
      </c>
    </row>
    <row r="6898" spans="1:15" x14ac:dyDescent="0.2">
      <c r="A6898" s="6">
        <v>45784</v>
      </c>
      <c r="B6898" t="s">
        <v>15</v>
      </c>
      <c r="C6898" t="s">
        <v>16</v>
      </c>
      <c r="D6898" s="1">
        <v>45855</v>
      </c>
      <c r="E6898" t="s">
        <v>17</v>
      </c>
      <c r="F6898">
        <v>5900</v>
      </c>
      <c r="J6898">
        <v>48.3</v>
      </c>
      <c r="K6898">
        <v>60.2</v>
      </c>
      <c r="L6898">
        <v>0</v>
      </c>
      <c r="M6898" t="s">
        <v>18</v>
      </c>
      <c r="N6898">
        <v>0</v>
      </c>
      <c r="O6898">
        <v>0</v>
      </c>
    </row>
    <row r="6899" spans="1:15" x14ac:dyDescent="0.2">
      <c r="A6899" s="6">
        <v>45784</v>
      </c>
      <c r="B6899" t="s">
        <v>15</v>
      </c>
      <c r="C6899" t="s">
        <v>16</v>
      </c>
      <c r="D6899" s="1">
        <v>45855</v>
      </c>
      <c r="E6899" t="s">
        <v>17</v>
      </c>
      <c r="F6899">
        <v>5050</v>
      </c>
      <c r="J6899">
        <v>249.2</v>
      </c>
      <c r="K6899">
        <v>279.10000000000002</v>
      </c>
      <c r="L6899">
        <v>0</v>
      </c>
      <c r="M6899" t="s">
        <v>18</v>
      </c>
      <c r="N6899">
        <v>0</v>
      </c>
      <c r="O6899">
        <v>0</v>
      </c>
    </row>
    <row r="6900" spans="1:15" x14ac:dyDescent="0.2">
      <c r="A6900" s="6">
        <v>45784</v>
      </c>
      <c r="B6900" t="s">
        <v>15</v>
      </c>
      <c r="C6900" t="s">
        <v>16</v>
      </c>
      <c r="D6900" s="1">
        <v>45855</v>
      </c>
      <c r="E6900" t="s">
        <v>17</v>
      </c>
      <c r="F6900">
        <v>4600</v>
      </c>
      <c r="J6900">
        <v>487.7</v>
      </c>
      <c r="K6900">
        <v>525.4</v>
      </c>
      <c r="L6900">
        <v>0</v>
      </c>
      <c r="M6900" t="s">
        <v>18</v>
      </c>
      <c r="N6900">
        <v>0</v>
      </c>
      <c r="O6900">
        <v>0</v>
      </c>
    </row>
    <row r="6901" spans="1:15" x14ac:dyDescent="0.2">
      <c r="A6901" s="6">
        <v>45784</v>
      </c>
      <c r="B6901" t="s">
        <v>15</v>
      </c>
      <c r="C6901" t="s">
        <v>16</v>
      </c>
      <c r="D6901" s="1">
        <v>45855</v>
      </c>
      <c r="E6901" t="s">
        <v>17</v>
      </c>
      <c r="F6901">
        <v>5150</v>
      </c>
      <c r="J6901">
        <v>210.5</v>
      </c>
      <c r="K6901">
        <v>238.3</v>
      </c>
      <c r="L6901">
        <v>0</v>
      </c>
      <c r="M6901" t="s">
        <v>18</v>
      </c>
      <c r="N6901">
        <v>0</v>
      </c>
      <c r="O6901">
        <v>0</v>
      </c>
    </row>
    <row r="6902" spans="1:15" x14ac:dyDescent="0.2">
      <c r="A6902" s="6">
        <v>45784</v>
      </c>
      <c r="B6902" t="s">
        <v>15</v>
      </c>
      <c r="C6902" t="s">
        <v>16</v>
      </c>
      <c r="D6902" s="1">
        <v>45855</v>
      </c>
      <c r="E6902" t="s">
        <v>17</v>
      </c>
      <c r="F6902">
        <v>5450</v>
      </c>
      <c r="J6902">
        <v>121.9</v>
      </c>
      <c r="K6902">
        <v>142.9</v>
      </c>
      <c r="L6902">
        <v>0</v>
      </c>
      <c r="M6902" t="s">
        <v>18</v>
      </c>
      <c r="N6902">
        <v>0</v>
      </c>
      <c r="O6902">
        <v>0</v>
      </c>
    </row>
    <row r="6903" spans="1:15" x14ac:dyDescent="0.2">
      <c r="A6903" s="6">
        <v>45784</v>
      </c>
      <c r="B6903" t="s">
        <v>15</v>
      </c>
      <c r="C6903" t="s">
        <v>16</v>
      </c>
      <c r="D6903" s="1">
        <v>45855</v>
      </c>
      <c r="E6903" t="s">
        <v>19</v>
      </c>
      <c r="F6903">
        <v>4650</v>
      </c>
      <c r="J6903">
        <v>161.6</v>
      </c>
      <c r="K6903">
        <v>158.19999999999999</v>
      </c>
      <c r="L6903">
        <v>0</v>
      </c>
      <c r="M6903" t="s">
        <v>18</v>
      </c>
      <c r="N6903">
        <v>0</v>
      </c>
      <c r="O6903">
        <v>0</v>
      </c>
    </row>
    <row r="6904" spans="1:15" x14ac:dyDescent="0.2">
      <c r="A6904" s="6">
        <v>45784</v>
      </c>
      <c r="B6904" t="s">
        <v>15</v>
      </c>
      <c r="C6904" t="s">
        <v>16</v>
      </c>
      <c r="D6904" s="1">
        <v>45855</v>
      </c>
      <c r="E6904" t="s">
        <v>17</v>
      </c>
      <c r="F6904">
        <v>4150</v>
      </c>
      <c r="J6904">
        <v>828.6</v>
      </c>
      <c r="K6904">
        <v>869.3</v>
      </c>
      <c r="L6904">
        <v>0</v>
      </c>
      <c r="M6904" t="s">
        <v>18</v>
      </c>
      <c r="N6904">
        <v>0</v>
      </c>
      <c r="O6904">
        <v>0</v>
      </c>
    </row>
    <row r="6905" spans="1:15" x14ac:dyDescent="0.2">
      <c r="A6905" s="6">
        <v>45784</v>
      </c>
      <c r="B6905" t="s">
        <v>15</v>
      </c>
      <c r="C6905" t="s">
        <v>16</v>
      </c>
      <c r="D6905" s="1">
        <v>45855</v>
      </c>
      <c r="E6905" t="s">
        <v>17</v>
      </c>
      <c r="F6905">
        <v>6350</v>
      </c>
      <c r="J6905">
        <v>17</v>
      </c>
      <c r="K6905">
        <v>22.8</v>
      </c>
      <c r="L6905">
        <v>0</v>
      </c>
      <c r="M6905" t="s">
        <v>18</v>
      </c>
      <c r="N6905">
        <v>0</v>
      </c>
      <c r="O6905">
        <v>0</v>
      </c>
    </row>
    <row r="6906" spans="1:15" x14ac:dyDescent="0.2">
      <c r="A6906" s="6">
        <v>45784</v>
      </c>
      <c r="B6906" t="s">
        <v>15</v>
      </c>
      <c r="C6906" t="s">
        <v>16</v>
      </c>
      <c r="D6906" s="1">
        <v>45855</v>
      </c>
      <c r="E6906" t="s">
        <v>17</v>
      </c>
      <c r="F6906">
        <v>5650</v>
      </c>
      <c r="J6906">
        <v>82</v>
      </c>
      <c r="K6906">
        <v>98.7</v>
      </c>
      <c r="L6906">
        <v>0</v>
      </c>
      <c r="M6906" t="s">
        <v>18</v>
      </c>
      <c r="N6906">
        <v>0</v>
      </c>
      <c r="O6906">
        <v>0</v>
      </c>
    </row>
    <row r="6907" spans="1:15" x14ac:dyDescent="0.2">
      <c r="A6907" s="6">
        <v>45784</v>
      </c>
      <c r="B6907" t="s">
        <v>15</v>
      </c>
      <c r="C6907" t="s">
        <v>16</v>
      </c>
      <c r="D6907" s="1">
        <v>45855</v>
      </c>
      <c r="E6907" t="s">
        <v>17</v>
      </c>
      <c r="F6907">
        <v>4550</v>
      </c>
      <c r="J6907">
        <v>520.9</v>
      </c>
      <c r="K6907">
        <v>559.1</v>
      </c>
      <c r="L6907">
        <v>0</v>
      </c>
      <c r="M6907" t="s">
        <v>18</v>
      </c>
      <c r="N6907">
        <v>0</v>
      </c>
      <c r="O6907">
        <v>0</v>
      </c>
    </row>
    <row r="6908" spans="1:15" x14ac:dyDescent="0.2">
      <c r="A6908" s="6">
        <v>45784</v>
      </c>
      <c r="B6908" t="s">
        <v>15</v>
      </c>
      <c r="C6908" t="s">
        <v>16</v>
      </c>
      <c r="D6908" s="1">
        <v>45855</v>
      </c>
      <c r="E6908" t="s">
        <v>17</v>
      </c>
      <c r="F6908">
        <v>4300</v>
      </c>
      <c r="J6908">
        <v>705.1</v>
      </c>
      <c r="K6908">
        <v>745.2</v>
      </c>
      <c r="L6908">
        <v>0</v>
      </c>
      <c r="M6908" t="s">
        <v>18</v>
      </c>
      <c r="N6908">
        <v>0</v>
      </c>
      <c r="O6908">
        <v>0</v>
      </c>
    </row>
    <row r="6909" spans="1:15" x14ac:dyDescent="0.2">
      <c r="A6909" s="6">
        <v>45784</v>
      </c>
      <c r="B6909" t="s">
        <v>15</v>
      </c>
      <c r="C6909" t="s">
        <v>16</v>
      </c>
      <c r="D6909" s="1">
        <v>45855</v>
      </c>
      <c r="E6909" t="s">
        <v>19</v>
      </c>
      <c r="F6909">
        <v>4050</v>
      </c>
      <c r="J6909">
        <v>28.6</v>
      </c>
      <c r="K6909">
        <v>29.1</v>
      </c>
      <c r="L6909">
        <v>0</v>
      </c>
      <c r="M6909" t="s">
        <v>18</v>
      </c>
      <c r="N6909">
        <v>0</v>
      </c>
      <c r="O6909">
        <v>0</v>
      </c>
    </row>
    <row r="6910" spans="1:15" x14ac:dyDescent="0.2">
      <c r="A6910" s="6">
        <v>45784</v>
      </c>
      <c r="B6910" t="s">
        <v>15</v>
      </c>
      <c r="C6910" t="s">
        <v>16</v>
      </c>
      <c r="D6910" s="1">
        <v>45855</v>
      </c>
      <c r="E6910" t="s">
        <v>17</v>
      </c>
      <c r="F6910">
        <v>6000</v>
      </c>
      <c r="J6910">
        <v>38.700000000000003</v>
      </c>
      <c r="K6910">
        <v>49</v>
      </c>
      <c r="L6910">
        <v>0</v>
      </c>
      <c r="M6910" t="s">
        <v>18</v>
      </c>
      <c r="N6910">
        <v>0</v>
      </c>
      <c r="O6910">
        <v>0</v>
      </c>
    </row>
    <row r="6911" spans="1:15" x14ac:dyDescent="0.2">
      <c r="A6911" s="6">
        <v>45784</v>
      </c>
      <c r="B6911" t="s">
        <v>15</v>
      </c>
      <c r="C6911" t="s">
        <v>16</v>
      </c>
      <c r="D6911" s="1">
        <v>45855</v>
      </c>
      <c r="E6911" t="s">
        <v>19</v>
      </c>
      <c r="F6911">
        <v>5950</v>
      </c>
      <c r="J6911">
        <v>1032.7</v>
      </c>
      <c r="K6911">
        <v>1003.2</v>
      </c>
      <c r="L6911">
        <v>0</v>
      </c>
      <c r="M6911" t="s">
        <v>18</v>
      </c>
      <c r="N6911">
        <v>0</v>
      </c>
      <c r="O6911">
        <v>0</v>
      </c>
    </row>
    <row r="6912" spans="1:15" x14ac:dyDescent="0.2">
      <c r="A6912" s="6">
        <v>45784</v>
      </c>
      <c r="B6912" t="s">
        <v>15</v>
      </c>
      <c r="C6912" t="s">
        <v>16</v>
      </c>
      <c r="D6912" s="1">
        <v>45855</v>
      </c>
      <c r="E6912" t="s">
        <v>19</v>
      </c>
      <c r="F6912">
        <v>4400</v>
      </c>
      <c r="J6912">
        <v>86.7</v>
      </c>
      <c r="K6912">
        <v>85.9</v>
      </c>
      <c r="L6912">
        <v>0</v>
      </c>
      <c r="M6912" t="s">
        <v>18</v>
      </c>
      <c r="N6912">
        <v>0</v>
      </c>
      <c r="O6912">
        <v>0</v>
      </c>
    </row>
    <row r="6913" spans="1:15" x14ac:dyDescent="0.2">
      <c r="A6913" s="6">
        <v>45784</v>
      </c>
      <c r="B6913" t="s">
        <v>15</v>
      </c>
      <c r="C6913" t="s">
        <v>16</v>
      </c>
      <c r="D6913" s="1">
        <v>45855</v>
      </c>
      <c r="E6913" t="s">
        <v>19</v>
      </c>
      <c r="F6913">
        <v>4500</v>
      </c>
      <c r="J6913">
        <v>112.9</v>
      </c>
      <c r="K6913">
        <v>111.2</v>
      </c>
      <c r="L6913">
        <v>0</v>
      </c>
      <c r="M6913" t="s">
        <v>18</v>
      </c>
      <c r="N6913">
        <v>0</v>
      </c>
      <c r="O6913">
        <v>0</v>
      </c>
    </row>
    <row r="6914" spans="1:15" x14ac:dyDescent="0.2">
      <c r="A6914" s="6">
        <v>45784</v>
      </c>
      <c r="B6914" t="s">
        <v>15</v>
      </c>
      <c r="C6914" t="s">
        <v>16</v>
      </c>
      <c r="D6914" s="1">
        <v>45855</v>
      </c>
      <c r="E6914" t="s">
        <v>19</v>
      </c>
      <c r="F6914">
        <v>5000</v>
      </c>
      <c r="J6914">
        <v>321.7</v>
      </c>
      <c r="K6914">
        <v>312.2</v>
      </c>
      <c r="L6914">
        <v>0</v>
      </c>
      <c r="M6914" t="s">
        <v>18</v>
      </c>
      <c r="N6914">
        <v>0</v>
      </c>
      <c r="O6914">
        <v>0</v>
      </c>
    </row>
    <row r="6915" spans="1:15" x14ac:dyDescent="0.2">
      <c r="A6915" s="6">
        <v>45784</v>
      </c>
      <c r="B6915" t="s">
        <v>15</v>
      </c>
      <c r="C6915" t="s">
        <v>16</v>
      </c>
      <c r="D6915" s="1">
        <v>45855</v>
      </c>
      <c r="E6915" t="s">
        <v>17</v>
      </c>
      <c r="F6915">
        <v>5800</v>
      </c>
      <c r="J6915">
        <v>59.9</v>
      </c>
      <c r="K6915">
        <v>73.7</v>
      </c>
      <c r="L6915">
        <v>0</v>
      </c>
      <c r="M6915" t="s">
        <v>18</v>
      </c>
      <c r="N6915">
        <v>0</v>
      </c>
      <c r="O6915">
        <v>0</v>
      </c>
    </row>
    <row r="6916" spans="1:15" x14ac:dyDescent="0.2">
      <c r="A6916" s="6">
        <v>45784</v>
      </c>
      <c r="B6916" t="s">
        <v>15</v>
      </c>
      <c r="C6916" t="s">
        <v>16</v>
      </c>
      <c r="D6916" s="1">
        <v>45855</v>
      </c>
      <c r="E6916" t="s">
        <v>17</v>
      </c>
      <c r="F6916">
        <v>4250</v>
      </c>
      <c r="J6916">
        <v>745.3</v>
      </c>
      <c r="K6916">
        <v>785.7</v>
      </c>
      <c r="L6916">
        <v>0</v>
      </c>
      <c r="M6916" t="s">
        <v>18</v>
      </c>
      <c r="N6916">
        <v>0</v>
      </c>
      <c r="O6916">
        <v>0</v>
      </c>
    </row>
    <row r="6917" spans="1:15" x14ac:dyDescent="0.2">
      <c r="A6917" s="6">
        <v>45784</v>
      </c>
      <c r="B6917" t="s">
        <v>15</v>
      </c>
      <c r="C6917" t="s">
        <v>16</v>
      </c>
      <c r="D6917" s="1">
        <v>45855</v>
      </c>
      <c r="E6917" t="s">
        <v>17</v>
      </c>
      <c r="F6917">
        <v>4000</v>
      </c>
      <c r="J6917">
        <v>959.9</v>
      </c>
      <c r="K6917">
        <v>1000.8</v>
      </c>
      <c r="L6917">
        <v>0</v>
      </c>
      <c r="M6917" t="s">
        <v>18</v>
      </c>
      <c r="N6917">
        <v>0</v>
      </c>
      <c r="O6917">
        <v>0</v>
      </c>
    </row>
    <row r="6918" spans="1:15" x14ac:dyDescent="0.2">
      <c r="A6918" s="6">
        <v>45784</v>
      </c>
      <c r="B6918" t="s">
        <v>15</v>
      </c>
      <c r="C6918" t="s">
        <v>16</v>
      </c>
      <c r="D6918" s="1">
        <v>45855</v>
      </c>
      <c r="E6918" t="s">
        <v>17</v>
      </c>
      <c r="F6918">
        <v>6450</v>
      </c>
      <c r="J6918">
        <v>13.3</v>
      </c>
      <c r="K6918">
        <v>18.2</v>
      </c>
      <c r="L6918">
        <v>0</v>
      </c>
      <c r="M6918" t="s">
        <v>18</v>
      </c>
      <c r="N6918">
        <v>0</v>
      </c>
      <c r="O6918">
        <v>0</v>
      </c>
    </row>
    <row r="6919" spans="1:15" x14ac:dyDescent="0.2">
      <c r="A6919" s="6">
        <v>45784</v>
      </c>
      <c r="B6919" t="s">
        <v>15</v>
      </c>
      <c r="C6919" t="s">
        <v>16</v>
      </c>
      <c r="D6919" s="1">
        <v>45855</v>
      </c>
      <c r="E6919" t="s">
        <v>19</v>
      </c>
      <c r="F6919">
        <v>4100</v>
      </c>
      <c r="J6919">
        <v>34.1</v>
      </c>
      <c r="K6919">
        <v>34.6</v>
      </c>
      <c r="L6919">
        <v>0</v>
      </c>
      <c r="M6919" t="s">
        <v>18</v>
      </c>
      <c r="N6919">
        <v>0</v>
      </c>
      <c r="O6919">
        <v>0</v>
      </c>
    </row>
    <row r="6920" spans="1:15" x14ac:dyDescent="0.2">
      <c r="A6920" s="6">
        <v>45784</v>
      </c>
      <c r="B6920" t="s">
        <v>15</v>
      </c>
      <c r="C6920" t="s">
        <v>16</v>
      </c>
      <c r="D6920" s="1">
        <v>45855</v>
      </c>
      <c r="E6920" t="s">
        <v>17</v>
      </c>
      <c r="F6920">
        <v>6300</v>
      </c>
      <c r="J6920">
        <v>19.2</v>
      </c>
      <c r="K6920">
        <v>25.6</v>
      </c>
      <c r="L6920">
        <v>0</v>
      </c>
      <c r="M6920" t="s">
        <v>18</v>
      </c>
      <c r="N6920">
        <v>0</v>
      </c>
      <c r="O6920">
        <v>0</v>
      </c>
    </row>
    <row r="6921" spans="1:15" x14ac:dyDescent="0.2">
      <c r="A6921" s="6">
        <v>45784</v>
      </c>
      <c r="B6921" t="s">
        <v>15</v>
      </c>
      <c r="C6921" t="s">
        <v>16</v>
      </c>
      <c r="D6921" s="1">
        <v>45855</v>
      </c>
      <c r="E6921" t="s">
        <v>19</v>
      </c>
      <c r="F6921">
        <v>3650</v>
      </c>
      <c r="J6921">
        <v>5.0999999999999996</v>
      </c>
      <c r="K6921">
        <v>5.5</v>
      </c>
      <c r="L6921">
        <v>0</v>
      </c>
      <c r="M6921" t="s">
        <v>18</v>
      </c>
      <c r="N6921">
        <v>0</v>
      </c>
      <c r="O6921">
        <v>0</v>
      </c>
    </row>
    <row r="6922" spans="1:15" x14ac:dyDescent="0.2">
      <c r="A6922" s="6">
        <v>45784</v>
      </c>
      <c r="B6922" t="s">
        <v>15</v>
      </c>
      <c r="C6922" t="s">
        <v>16</v>
      </c>
      <c r="D6922" s="1">
        <v>45855</v>
      </c>
      <c r="E6922" t="s">
        <v>19</v>
      </c>
      <c r="F6922">
        <v>5800</v>
      </c>
      <c r="J6922">
        <v>901.3</v>
      </c>
      <c r="K6922">
        <v>874.4</v>
      </c>
      <c r="L6922">
        <v>0</v>
      </c>
      <c r="M6922" t="s">
        <v>18</v>
      </c>
      <c r="N6922">
        <v>0</v>
      </c>
      <c r="O6922">
        <v>0</v>
      </c>
    </row>
    <row r="6923" spans="1:15" x14ac:dyDescent="0.2">
      <c r="A6923" s="6">
        <v>45784</v>
      </c>
      <c r="B6923" t="s">
        <v>15</v>
      </c>
      <c r="C6923" t="s">
        <v>16</v>
      </c>
      <c r="D6923" s="1">
        <v>45855</v>
      </c>
      <c r="E6923" t="s">
        <v>17</v>
      </c>
      <c r="F6923">
        <v>3600</v>
      </c>
      <c r="J6923">
        <v>1335.2</v>
      </c>
      <c r="K6923">
        <v>1375.8</v>
      </c>
      <c r="L6923">
        <v>0</v>
      </c>
      <c r="M6923" t="s">
        <v>18</v>
      </c>
      <c r="N6923">
        <v>0</v>
      </c>
      <c r="O6923">
        <v>0</v>
      </c>
    </row>
    <row r="6924" spans="1:15" x14ac:dyDescent="0.2">
      <c r="A6924" s="6">
        <v>45784</v>
      </c>
      <c r="B6924" t="s">
        <v>15</v>
      </c>
      <c r="C6924" t="s">
        <v>16</v>
      </c>
      <c r="D6924" s="1">
        <v>45855</v>
      </c>
      <c r="E6924" t="s">
        <v>17</v>
      </c>
      <c r="F6924">
        <v>3650</v>
      </c>
      <c r="J6924">
        <v>1286.9000000000001</v>
      </c>
      <c r="K6924">
        <v>1327.6</v>
      </c>
      <c r="L6924">
        <v>0</v>
      </c>
      <c r="M6924" t="s">
        <v>18</v>
      </c>
      <c r="N6924">
        <v>0</v>
      </c>
      <c r="O6924">
        <v>0</v>
      </c>
    </row>
    <row r="6925" spans="1:15" x14ac:dyDescent="0.2">
      <c r="A6925" s="6">
        <v>45784</v>
      </c>
      <c r="B6925" t="s">
        <v>15</v>
      </c>
      <c r="C6925" t="s">
        <v>16</v>
      </c>
      <c r="D6925" s="1">
        <v>45855</v>
      </c>
      <c r="E6925" t="s">
        <v>17</v>
      </c>
      <c r="F6925">
        <v>5350</v>
      </c>
      <c r="J6925">
        <v>147.19999999999999</v>
      </c>
      <c r="K6925">
        <v>170.5</v>
      </c>
      <c r="L6925">
        <v>0</v>
      </c>
      <c r="M6925" t="s">
        <v>18</v>
      </c>
      <c r="N6925">
        <v>0</v>
      </c>
      <c r="O6925">
        <v>0</v>
      </c>
    </row>
    <row r="6926" spans="1:15" x14ac:dyDescent="0.2">
      <c r="A6926" s="6">
        <v>45784</v>
      </c>
      <c r="B6926" t="s">
        <v>15</v>
      </c>
      <c r="C6926" t="s">
        <v>16</v>
      </c>
      <c r="D6926" s="1">
        <v>45855</v>
      </c>
      <c r="E6926" t="s">
        <v>17</v>
      </c>
      <c r="F6926">
        <v>6100</v>
      </c>
      <c r="J6926">
        <v>30.8</v>
      </c>
      <c r="K6926">
        <v>39.6</v>
      </c>
      <c r="L6926">
        <v>0</v>
      </c>
      <c r="M6926" t="s">
        <v>18</v>
      </c>
      <c r="N6926">
        <v>0</v>
      </c>
      <c r="O6926">
        <v>0</v>
      </c>
    </row>
    <row r="6927" spans="1:15" x14ac:dyDescent="0.2">
      <c r="A6927" s="6">
        <v>45784</v>
      </c>
      <c r="B6927" t="s">
        <v>15</v>
      </c>
      <c r="C6927" t="s">
        <v>16</v>
      </c>
      <c r="D6927" s="1">
        <v>45855</v>
      </c>
      <c r="E6927" t="s">
        <v>19</v>
      </c>
      <c r="F6927">
        <v>4850</v>
      </c>
      <c r="J6927">
        <v>245</v>
      </c>
      <c r="K6927">
        <v>238.5</v>
      </c>
      <c r="L6927">
        <v>0</v>
      </c>
      <c r="M6927" t="s">
        <v>18</v>
      </c>
      <c r="N6927">
        <v>0</v>
      </c>
      <c r="O6927">
        <v>0</v>
      </c>
    </row>
    <row r="6928" spans="1:15" x14ac:dyDescent="0.2">
      <c r="A6928" s="6">
        <v>45784</v>
      </c>
      <c r="B6928" t="s">
        <v>15</v>
      </c>
      <c r="C6928" t="s">
        <v>16</v>
      </c>
      <c r="D6928" s="1">
        <v>45855</v>
      </c>
      <c r="E6928" t="s">
        <v>19</v>
      </c>
      <c r="F6928">
        <v>4000</v>
      </c>
      <c r="J6928">
        <v>23.7</v>
      </c>
      <c r="K6928">
        <v>24.3</v>
      </c>
      <c r="L6928">
        <v>0</v>
      </c>
      <c r="M6928" t="s">
        <v>18</v>
      </c>
      <c r="N6928">
        <v>0</v>
      </c>
      <c r="O6928">
        <v>0</v>
      </c>
    </row>
    <row r="6929" spans="1:15" x14ac:dyDescent="0.2">
      <c r="A6929" s="6">
        <v>45784</v>
      </c>
      <c r="B6929" t="s">
        <v>15</v>
      </c>
      <c r="C6929" t="s">
        <v>16</v>
      </c>
      <c r="D6929" s="1">
        <v>45855</v>
      </c>
      <c r="E6929" t="s">
        <v>19</v>
      </c>
      <c r="F6929">
        <v>5650</v>
      </c>
      <c r="J6929">
        <v>775.2</v>
      </c>
      <c r="K6929">
        <v>751.3</v>
      </c>
      <c r="L6929">
        <v>0</v>
      </c>
      <c r="M6929" t="s">
        <v>18</v>
      </c>
      <c r="N6929">
        <v>0</v>
      </c>
      <c r="O6929">
        <v>0</v>
      </c>
    </row>
    <row r="6930" spans="1:15" x14ac:dyDescent="0.2">
      <c r="A6930" s="6">
        <v>45784</v>
      </c>
      <c r="B6930" t="s">
        <v>15</v>
      </c>
      <c r="C6930" t="s">
        <v>16</v>
      </c>
      <c r="D6930" s="1">
        <v>45855</v>
      </c>
      <c r="E6930" t="s">
        <v>19</v>
      </c>
      <c r="F6930">
        <v>5600</v>
      </c>
      <c r="J6930">
        <v>734.6</v>
      </c>
      <c r="K6930">
        <v>711.8</v>
      </c>
      <c r="L6930">
        <v>0</v>
      </c>
      <c r="M6930" t="s">
        <v>18</v>
      </c>
      <c r="N6930">
        <v>0</v>
      </c>
      <c r="O6930">
        <v>0</v>
      </c>
    </row>
    <row r="6931" spans="1:15" x14ac:dyDescent="0.2">
      <c r="A6931" s="6">
        <v>45784</v>
      </c>
      <c r="B6931" t="s">
        <v>15</v>
      </c>
      <c r="C6931" t="s">
        <v>16</v>
      </c>
      <c r="D6931" s="1">
        <v>45855</v>
      </c>
      <c r="E6931" t="s">
        <v>19</v>
      </c>
      <c r="F6931">
        <v>6350</v>
      </c>
      <c r="J6931">
        <v>1401.6</v>
      </c>
      <c r="K6931">
        <v>1366.6</v>
      </c>
      <c r="L6931">
        <v>0</v>
      </c>
      <c r="M6931" t="s">
        <v>18</v>
      </c>
      <c r="N6931">
        <v>0</v>
      </c>
      <c r="O6931">
        <v>0</v>
      </c>
    </row>
    <row r="6932" spans="1:15" x14ac:dyDescent="0.2">
      <c r="A6932" s="6">
        <v>45784</v>
      </c>
      <c r="B6932" t="s">
        <v>15</v>
      </c>
      <c r="C6932" t="s">
        <v>16</v>
      </c>
      <c r="D6932" s="1">
        <v>45855</v>
      </c>
      <c r="E6932" t="s">
        <v>17</v>
      </c>
      <c r="F6932">
        <v>3950</v>
      </c>
      <c r="J6932">
        <v>1005.1</v>
      </c>
      <c r="K6932">
        <v>1046</v>
      </c>
      <c r="L6932">
        <v>0</v>
      </c>
      <c r="M6932" t="s">
        <v>18</v>
      </c>
      <c r="N6932">
        <v>0</v>
      </c>
      <c r="O6932">
        <v>0</v>
      </c>
    </row>
    <row r="6933" spans="1:15" x14ac:dyDescent="0.2">
      <c r="A6933" s="6">
        <v>45784</v>
      </c>
      <c r="B6933" t="s">
        <v>15</v>
      </c>
      <c r="C6933" t="s">
        <v>16</v>
      </c>
      <c r="D6933" s="1">
        <v>45855</v>
      </c>
      <c r="E6933" t="s">
        <v>19</v>
      </c>
      <c r="F6933">
        <v>5750</v>
      </c>
      <c r="J6933">
        <v>858.6</v>
      </c>
      <c r="K6933">
        <v>832.7</v>
      </c>
      <c r="L6933">
        <v>0</v>
      </c>
      <c r="M6933" t="s">
        <v>18</v>
      </c>
      <c r="N6933">
        <v>0</v>
      </c>
      <c r="O6933">
        <v>0</v>
      </c>
    </row>
    <row r="6934" spans="1:15" x14ac:dyDescent="0.2">
      <c r="A6934" s="6">
        <v>45784</v>
      </c>
      <c r="B6934" t="s">
        <v>15</v>
      </c>
      <c r="C6934" t="s">
        <v>16</v>
      </c>
      <c r="D6934" s="1">
        <v>45855</v>
      </c>
      <c r="E6934" t="s">
        <v>19</v>
      </c>
      <c r="F6934">
        <v>3800</v>
      </c>
      <c r="J6934">
        <v>10.4</v>
      </c>
      <c r="K6934">
        <v>11</v>
      </c>
      <c r="L6934">
        <v>0</v>
      </c>
      <c r="M6934" t="s">
        <v>18</v>
      </c>
      <c r="N6934">
        <v>0</v>
      </c>
      <c r="O6934">
        <v>0</v>
      </c>
    </row>
    <row r="6935" spans="1:15" x14ac:dyDescent="0.2">
      <c r="A6935" s="6">
        <v>45784</v>
      </c>
      <c r="B6935" t="s">
        <v>15</v>
      </c>
      <c r="C6935" t="s">
        <v>16</v>
      </c>
      <c r="D6935" s="1">
        <v>45855</v>
      </c>
      <c r="E6935" t="s">
        <v>19</v>
      </c>
      <c r="F6935">
        <v>6100</v>
      </c>
      <c r="J6935">
        <v>1168.4000000000001</v>
      </c>
      <c r="K6935">
        <v>1136.5999999999999</v>
      </c>
      <c r="L6935">
        <v>0</v>
      </c>
      <c r="M6935" t="s">
        <v>18</v>
      </c>
      <c r="N6935">
        <v>0</v>
      </c>
      <c r="O6935">
        <v>0</v>
      </c>
    </row>
    <row r="6936" spans="1:15" x14ac:dyDescent="0.2">
      <c r="A6936" s="6">
        <v>45784</v>
      </c>
      <c r="B6936" t="s">
        <v>15</v>
      </c>
      <c r="C6936" t="s">
        <v>16</v>
      </c>
      <c r="D6936" s="1">
        <v>45855</v>
      </c>
      <c r="E6936" t="s">
        <v>17</v>
      </c>
      <c r="F6936">
        <v>4700</v>
      </c>
      <c r="J6936">
        <v>425.3</v>
      </c>
      <c r="K6936">
        <v>461.6</v>
      </c>
      <c r="L6936">
        <v>0</v>
      </c>
      <c r="M6936" t="s">
        <v>18</v>
      </c>
      <c r="N6936">
        <v>0</v>
      </c>
      <c r="O6936">
        <v>0</v>
      </c>
    </row>
    <row r="6937" spans="1:15" x14ac:dyDescent="0.2">
      <c r="A6937" s="6">
        <v>45784</v>
      </c>
      <c r="B6937" t="s">
        <v>15</v>
      </c>
      <c r="C6937" t="s">
        <v>16</v>
      </c>
      <c r="D6937" s="1">
        <v>45855</v>
      </c>
      <c r="E6937" t="s">
        <v>19</v>
      </c>
      <c r="F6937">
        <v>4150</v>
      </c>
      <c r="J6937">
        <v>40.5</v>
      </c>
      <c r="K6937">
        <v>40.9</v>
      </c>
      <c r="L6937">
        <v>0</v>
      </c>
      <c r="M6937" t="s">
        <v>18</v>
      </c>
      <c r="N6937">
        <v>0</v>
      </c>
      <c r="O6937">
        <v>0</v>
      </c>
    </row>
    <row r="6938" spans="1:15" x14ac:dyDescent="0.2">
      <c r="A6938" s="6">
        <v>45784</v>
      </c>
      <c r="B6938" t="s">
        <v>15</v>
      </c>
      <c r="C6938" t="s">
        <v>16</v>
      </c>
      <c r="D6938" s="1">
        <v>45855</v>
      </c>
      <c r="E6938" t="s">
        <v>19</v>
      </c>
      <c r="F6938">
        <v>5850</v>
      </c>
      <c r="J6938">
        <v>944.6</v>
      </c>
      <c r="K6938">
        <v>916.7</v>
      </c>
      <c r="L6938">
        <v>0</v>
      </c>
      <c r="M6938" t="s">
        <v>18</v>
      </c>
      <c r="N6938">
        <v>0</v>
      </c>
      <c r="O6938">
        <v>0</v>
      </c>
    </row>
    <row r="6939" spans="1:15" x14ac:dyDescent="0.2">
      <c r="A6939" s="6">
        <v>45784</v>
      </c>
      <c r="B6939" t="s">
        <v>15</v>
      </c>
      <c r="C6939" t="s">
        <v>16</v>
      </c>
      <c r="D6939" s="1">
        <v>45855</v>
      </c>
      <c r="E6939" t="s">
        <v>19</v>
      </c>
      <c r="F6939">
        <v>5500</v>
      </c>
      <c r="J6939">
        <v>655.8</v>
      </c>
      <c r="K6939">
        <v>635.1</v>
      </c>
      <c r="L6939">
        <v>0</v>
      </c>
      <c r="M6939" t="s">
        <v>18</v>
      </c>
      <c r="N6939">
        <v>0</v>
      </c>
      <c r="O6939">
        <v>0</v>
      </c>
    </row>
    <row r="6940" spans="1:15" x14ac:dyDescent="0.2">
      <c r="A6940" s="6">
        <v>45784</v>
      </c>
      <c r="B6940" t="s">
        <v>15</v>
      </c>
      <c r="C6940" t="s">
        <v>16</v>
      </c>
      <c r="D6940" s="1">
        <v>45855</v>
      </c>
      <c r="E6940" t="s">
        <v>19</v>
      </c>
      <c r="F6940">
        <v>6450</v>
      </c>
      <c r="J6940">
        <v>1496.6</v>
      </c>
      <c r="K6940">
        <v>1460.7</v>
      </c>
      <c r="L6940">
        <v>0</v>
      </c>
      <c r="M6940" t="s">
        <v>18</v>
      </c>
      <c r="N6940">
        <v>0</v>
      </c>
      <c r="O6940">
        <v>0</v>
      </c>
    </row>
    <row r="6941" spans="1:15" x14ac:dyDescent="0.2">
      <c r="A6941" s="6">
        <v>45784</v>
      </c>
      <c r="B6941" t="s">
        <v>15</v>
      </c>
      <c r="C6941" t="s">
        <v>16</v>
      </c>
      <c r="D6941" s="1">
        <v>45855</v>
      </c>
      <c r="E6941" t="s">
        <v>19</v>
      </c>
      <c r="F6941">
        <v>6600</v>
      </c>
      <c r="J6941">
        <v>1640.6</v>
      </c>
      <c r="K6941">
        <v>1603.5</v>
      </c>
      <c r="L6941">
        <v>0</v>
      </c>
      <c r="M6941" t="s">
        <v>18</v>
      </c>
      <c r="N6941">
        <v>0</v>
      </c>
      <c r="O6941">
        <v>0</v>
      </c>
    </row>
    <row r="6942" spans="1:15" x14ac:dyDescent="0.2">
      <c r="A6942" s="6">
        <v>45784</v>
      </c>
      <c r="B6942" t="s">
        <v>15</v>
      </c>
      <c r="C6942" t="s">
        <v>16</v>
      </c>
      <c r="D6942" s="1">
        <v>45855</v>
      </c>
      <c r="E6942" t="s">
        <v>17</v>
      </c>
      <c r="F6942">
        <v>5400</v>
      </c>
      <c r="J6942">
        <v>134.1</v>
      </c>
      <c r="K6942">
        <v>156.19999999999999</v>
      </c>
      <c r="L6942">
        <v>0</v>
      </c>
      <c r="M6942" t="s">
        <v>18</v>
      </c>
      <c r="N6942">
        <v>0</v>
      </c>
      <c r="O6942">
        <v>0</v>
      </c>
    </row>
    <row r="6943" spans="1:15" x14ac:dyDescent="0.2">
      <c r="A6943" s="6">
        <v>45784</v>
      </c>
      <c r="B6943" t="s">
        <v>15</v>
      </c>
      <c r="C6943" t="s">
        <v>16</v>
      </c>
      <c r="D6943" s="1">
        <v>45855</v>
      </c>
      <c r="E6943" t="s">
        <v>17</v>
      </c>
      <c r="F6943">
        <v>4050</v>
      </c>
      <c r="J6943">
        <v>915.4</v>
      </c>
      <c r="K6943">
        <v>956.3</v>
      </c>
      <c r="L6943">
        <v>0</v>
      </c>
      <c r="M6943" t="s">
        <v>18</v>
      </c>
      <c r="N6943">
        <v>0</v>
      </c>
      <c r="O6943">
        <v>0</v>
      </c>
    </row>
    <row r="6944" spans="1:15" x14ac:dyDescent="0.2">
      <c r="A6944" s="6">
        <v>45784</v>
      </c>
      <c r="B6944" t="s">
        <v>15</v>
      </c>
      <c r="C6944" t="s">
        <v>16</v>
      </c>
      <c r="D6944" s="1">
        <v>45855</v>
      </c>
      <c r="E6944" t="s">
        <v>17</v>
      </c>
      <c r="F6944">
        <v>5850</v>
      </c>
      <c r="J6944">
        <v>53.8</v>
      </c>
      <c r="K6944">
        <v>66.599999999999994</v>
      </c>
      <c r="L6944">
        <v>0</v>
      </c>
      <c r="M6944" t="s">
        <v>18</v>
      </c>
      <c r="N6944">
        <v>0</v>
      </c>
      <c r="O6944">
        <v>0</v>
      </c>
    </row>
    <row r="6945" spans="1:15" x14ac:dyDescent="0.2">
      <c r="A6945" s="6">
        <v>45784</v>
      </c>
      <c r="B6945" t="s">
        <v>15</v>
      </c>
      <c r="C6945" t="s">
        <v>16</v>
      </c>
      <c r="D6945" s="1">
        <v>45855</v>
      </c>
      <c r="E6945" t="s">
        <v>19</v>
      </c>
      <c r="F6945">
        <v>5550</v>
      </c>
      <c r="J6945">
        <v>694.8</v>
      </c>
      <c r="K6945">
        <v>673</v>
      </c>
      <c r="L6945">
        <v>0</v>
      </c>
      <c r="M6945" t="s">
        <v>18</v>
      </c>
      <c r="N6945">
        <v>0</v>
      </c>
      <c r="O6945">
        <v>0</v>
      </c>
    </row>
    <row r="6946" spans="1:15" x14ac:dyDescent="0.2">
      <c r="A6946" s="6">
        <v>45784</v>
      </c>
      <c r="B6946" t="s">
        <v>15</v>
      </c>
      <c r="C6946" t="s">
        <v>16</v>
      </c>
      <c r="D6946" s="1">
        <v>45855</v>
      </c>
      <c r="E6946" t="s">
        <v>17</v>
      </c>
      <c r="F6946">
        <v>6150</v>
      </c>
      <c r="J6946">
        <v>27.4</v>
      </c>
      <c r="K6946">
        <v>35.6</v>
      </c>
      <c r="L6946">
        <v>0</v>
      </c>
      <c r="M6946" t="s">
        <v>18</v>
      </c>
      <c r="N6946">
        <v>0</v>
      </c>
      <c r="O6946">
        <v>0</v>
      </c>
    </row>
    <row r="6947" spans="1:15" x14ac:dyDescent="0.2">
      <c r="A6947" s="6">
        <v>45784</v>
      </c>
      <c r="B6947" t="s">
        <v>15</v>
      </c>
      <c r="C6947" t="s">
        <v>16</v>
      </c>
      <c r="D6947" s="1">
        <v>45855</v>
      </c>
      <c r="E6947" t="s">
        <v>19</v>
      </c>
      <c r="F6947">
        <v>4750</v>
      </c>
      <c r="J6947">
        <v>200.6</v>
      </c>
      <c r="K6947">
        <v>195.7</v>
      </c>
      <c r="L6947">
        <v>0</v>
      </c>
      <c r="M6947" t="s">
        <v>18</v>
      </c>
      <c r="N6947">
        <v>0</v>
      </c>
      <c r="O6947">
        <v>0</v>
      </c>
    </row>
    <row r="6948" spans="1:15" x14ac:dyDescent="0.2">
      <c r="A6948" s="6">
        <v>45784</v>
      </c>
      <c r="B6948" t="s">
        <v>15</v>
      </c>
      <c r="C6948" t="s">
        <v>16</v>
      </c>
      <c r="D6948" s="1">
        <v>45855</v>
      </c>
      <c r="E6948" t="s">
        <v>19</v>
      </c>
      <c r="F6948">
        <v>4350</v>
      </c>
      <c r="J6948">
        <v>75.400000000000006</v>
      </c>
      <c r="K6948">
        <v>74.900000000000006</v>
      </c>
      <c r="L6948">
        <v>0</v>
      </c>
      <c r="M6948" t="s">
        <v>18</v>
      </c>
      <c r="N6948">
        <v>0</v>
      </c>
      <c r="O6948">
        <v>0</v>
      </c>
    </row>
    <row r="6949" spans="1:15" x14ac:dyDescent="0.2">
      <c r="A6949" s="6">
        <v>45784</v>
      </c>
      <c r="B6949" t="s">
        <v>15</v>
      </c>
      <c r="C6949" t="s">
        <v>16</v>
      </c>
      <c r="D6949" s="1">
        <v>45855</v>
      </c>
      <c r="E6949" t="s">
        <v>19</v>
      </c>
      <c r="F6949">
        <v>6300</v>
      </c>
      <c r="J6949">
        <v>1354.4</v>
      </c>
      <c r="K6949">
        <v>1320</v>
      </c>
      <c r="L6949">
        <v>0</v>
      </c>
      <c r="M6949" t="s">
        <v>18</v>
      </c>
      <c r="N6949">
        <v>0</v>
      </c>
      <c r="O6949">
        <v>0</v>
      </c>
    </row>
    <row r="6950" spans="1:15" x14ac:dyDescent="0.2">
      <c r="A6950" s="6">
        <v>45784</v>
      </c>
      <c r="B6950" t="s">
        <v>15</v>
      </c>
      <c r="C6950" t="s">
        <v>16</v>
      </c>
      <c r="D6950" s="1">
        <v>45855</v>
      </c>
      <c r="E6950" t="s">
        <v>17</v>
      </c>
      <c r="F6950">
        <v>3900</v>
      </c>
      <c r="J6950">
        <v>1050.9000000000001</v>
      </c>
      <c r="K6950">
        <v>1091.8</v>
      </c>
      <c r="L6950">
        <v>0</v>
      </c>
      <c r="M6950" t="s">
        <v>18</v>
      </c>
      <c r="N6950">
        <v>0</v>
      </c>
      <c r="O6950">
        <v>0</v>
      </c>
    </row>
    <row r="6951" spans="1:15" x14ac:dyDescent="0.2">
      <c r="A6951" s="6">
        <v>45784</v>
      </c>
      <c r="B6951" t="s">
        <v>15</v>
      </c>
      <c r="C6951" t="s">
        <v>16</v>
      </c>
      <c r="D6951" s="1">
        <v>45855</v>
      </c>
      <c r="E6951" t="s">
        <v>19</v>
      </c>
      <c r="F6951">
        <v>6500</v>
      </c>
      <c r="J6951">
        <v>1544.4</v>
      </c>
      <c r="K6951">
        <v>1508.1</v>
      </c>
      <c r="L6951">
        <v>0</v>
      </c>
      <c r="M6951" t="s">
        <v>18</v>
      </c>
      <c r="N6951">
        <v>0</v>
      </c>
      <c r="O6951">
        <v>0</v>
      </c>
    </row>
    <row r="6952" spans="1:15" x14ac:dyDescent="0.2">
      <c r="A6952" s="6">
        <v>45784</v>
      </c>
      <c r="B6952" t="s">
        <v>15</v>
      </c>
      <c r="C6952" t="s">
        <v>16</v>
      </c>
      <c r="D6952" s="1">
        <v>45855</v>
      </c>
      <c r="E6952" t="s">
        <v>19</v>
      </c>
      <c r="F6952">
        <v>4300</v>
      </c>
      <c r="J6952">
        <v>65.099999999999994</v>
      </c>
      <c r="K6952">
        <v>65</v>
      </c>
      <c r="L6952">
        <v>0</v>
      </c>
      <c r="M6952" t="s">
        <v>18</v>
      </c>
      <c r="N6952">
        <v>0</v>
      </c>
      <c r="O6952">
        <v>0</v>
      </c>
    </row>
    <row r="6953" spans="1:15" x14ac:dyDescent="0.2">
      <c r="A6953" s="6">
        <v>45784</v>
      </c>
      <c r="B6953" t="s">
        <v>15</v>
      </c>
      <c r="C6953" t="s">
        <v>16</v>
      </c>
      <c r="D6953" s="1">
        <v>45855</v>
      </c>
      <c r="E6953" t="s">
        <v>19</v>
      </c>
      <c r="F6953">
        <v>4800</v>
      </c>
      <c r="J6953">
        <v>222.2</v>
      </c>
      <c r="K6953">
        <v>216.4</v>
      </c>
      <c r="L6953">
        <v>0</v>
      </c>
      <c r="M6953" t="s">
        <v>18</v>
      </c>
      <c r="N6953">
        <v>0</v>
      </c>
      <c r="O6953">
        <v>0</v>
      </c>
    </row>
    <row r="6954" spans="1:15" x14ac:dyDescent="0.2">
      <c r="A6954" s="6">
        <v>45784</v>
      </c>
      <c r="B6954" t="s">
        <v>15</v>
      </c>
      <c r="C6954" t="s">
        <v>16</v>
      </c>
      <c r="D6954" s="1">
        <v>45855</v>
      </c>
      <c r="E6954" t="s">
        <v>19</v>
      </c>
      <c r="F6954">
        <v>4250</v>
      </c>
      <c r="J6954">
        <v>56</v>
      </c>
      <c r="K6954">
        <v>56</v>
      </c>
      <c r="L6954">
        <v>0</v>
      </c>
      <c r="M6954" t="s">
        <v>18</v>
      </c>
      <c r="N6954">
        <v>0</v>
      </c>
      <c r="O6954">
        <v>0</v>
      </c>
    </row>
    <row r="6955" spans="1:15" x14ac:dyDescent="0.2">
      <c r="A6955" s="6">
        <v>45784</v>
      </c>
      <c r="B6955" t="s">
        <v>15</v>
      </c>
      <c r="C6955" t="s">
        <v>16</v>
      </c>
      <c r="D6955" s="1">
        <v>45855</v>
      </c>
      <c r="E6955" t="s">
        <v>19</v>
      </c>
      <c r="F6955">
        <v>3850</v>
      </c>
      <c r="J6955">
        <v>13</v>
      </c>
      <c r="K6955">
        <v>13.6</v>
      </c>
      <c r="L6955">
        <v>0</v>
      </c>
      <c r="M6955" t="s">
        <v>18</v>
      </c>
      <c r="N6955">
        <v>0</v>
      </c>
      <c r="O6955">
        <v>0</v>
      </c>
    </row>
    <row r="6956" spans="1:15" x14ac:dyDescent="0.2">
      <c r="A6956" s="6">
        <v>45784</v>
      </c>
      <c r="B6956" t="s">
        <v>15</v>
      </c>
      <c r="C6956" t="s">
        <v>16</v>
      </c>
      <c r="D6956" s="1">
        <v>45855</v>
      </c>
      <c r="E6956" t="s">
        <v>19</v>
      </c>
      <c r="F6956">
        <v>6000</v>
      </c>
      <c r="J6956">
        <v>1077.5</v>
      </c>
      <c r="K6956">
        <v>1047.2</v>
      </c>
      <c r="L6956">
        <v>0</v>
      </c>
      <c r="M6956" t="s">
        <v>18</v>
      </c>
      <c r="N6956">
        <v>0</v>
      </c>
      <c r="O6956">
        <v>0</v>
      </c>
    </row>
    <row r="6957" spans="1:15" x14ac:dyDescent="0.2">
      <c r="A6957" s="6">
        <v>45784</v>
      </c>
      <c r="B6957" t="s">
        <v>15</v>
      </c>
      <c r="C6957" t="s">
        <v>16</v>
      </c>
      <c r="D6957" s="1">
        <v>45855</v>
      </c>
      <c r="E6957" t="s">
        <v>17</v>
      </c>
      <c r="F6957">
        <v>5550</v>
      </c>
      <c r="J6957">
        <v>100.3</v>
      </c>
      <c r="K6957">
        <v>119.1</v>
      </c>
      <c r="L6957">
        <v>0</v>
      </c>
      <c r="M6957" t="s">
        <v>18</v>
      </c>
      <c r="N6957">
        <v>0</v>
      </c>
      <c r="O6957">
        <v>0</v>
      </c>
    </row>
    <row r="6958" spans="1:15" x14ac:dyDescent="0.2">
      <c r="A6958" s="6">
        <v>45784</v>
      </c>
      <c r="B6958" t="s">
        <v>15</v>
      </c>
      <c r="C6958" t="s">
        <v>16</v>
      </c>
      <c r="D6958" s="1">
        <v>45855</v>
      </c>
      <c r="E6958" t="s">
        <v>17</v>
      </c>
      <c r="F6958">
        <v>6400</v>
      </c>
      <c r="J6958">
        <v>15.1</v>
      </c>
      <c r="K6958">
        <v>20.399999999999999</v>
      </c>
      <c r="L6958">
        <v>0</v>
      </c>
      <c r="M6958" t="s">
        <v>18</v>
      </c>
      <c r="N6958">
        <v>0</v>
      </c>
      <c r="O6958">
        <v>0</v>
      </c>
    </row>
    <row r="6959" spans="1:15" x14ac:dyDescent="0.2">
      <c r="A6959" s="6">
        <v>45784</v>
      </c>
      <c r="B6959" t="s">
        <v>15</v>
      </c>
      <c r="C6959" t="s">
        <v>16</v>
      </c>
      <c r="D6959" s="1">
        <v>45855</v>
      </c>
      <c r="E6959" t="s">
        <v>19</v>
      </c>
      <c r="F6959">
        <v>3950</v>
      </c>
      <c r="J6959">
        <v>19.600000000000001</v>
      </c>
      <c r="K6959">
        <v>20.2</v>
      </c>
      <c r="L6959">
        <v>0</v>
      </c>
      <c r="M6959" t="s">
        <v>18</v>
      </c>
      <c r="N6959">
        <v>0</v>
      </c>
      <c r="O6959">
        <v>0</v>
      </c>
    </row>
    <row r="6960" spans="1:15" x14ac:dyDescent="0.2">
      <c r="A6960" s="6">
        <v>45783</v>
      </c>
      <c r="B6960" t="s">
        <v>15</v>
      </c>
      <c r="C6960" t="s">
        <v>16</v>
      </c>
      <c r="D6960" s="1">
        <v>45855</v>
      </c>
      <c r="E6960" t="s">
        <v>17</v>
      </c>
      <c r="F6960">
        <v>4850</v>
      </c>
      <c r="J6960">
        <v>375.7</v>
      </c>
      <c r="K6960">
        <v>280.39999999999998</v>
      </c>
      <c r="L6960">
        <v>0</v>
      </c>
      <c r="M6960" t="s">
        <v>18</v>
      </c>
      <c r="N6960">
        <v>0</v>
      </c>
      <c r="O6960">
        <v>0</v>
      </c>
    </row>
    <row r="6961" spans="1:15" x14ac:dyDescent="0.2">
      <c r="A6961" s="6">
        <v>45783</v>
      </c>
      <c r="B6961" t="s">
        <v>15</v>
      </c>
      <c r="C6961" t="s">
        <v>16</v>
      </c>
      <c r="D6961" s="1">
        <v>45855</v>
      </c>
      <c r="E6961" t="s">
        <v>19</v>
      </c>
      <c r="F6961">
        <v>5250</v>
      </c>
      <c r="J6961">
        <v>459.9</v>
      </c>
      <c r="K6961">
        <v>551.20000000000005</v>
      </c>
      <c r="L6961">
        <v>0</v>
      </c>
      <c r="M6961" t="s">
        <v>18</v>
      </c>
      <c r="N6961">
        <v>0</v>
      </c>
      <c r="O6961">
        <v>0</v>
      </c>
    </row>
    <row r="6962" spans="1:15" x14ac:dyDescent="0.2">
      <c r="A6962" s="6">
        <v>45783</v>
      </c>
      <c r="B6962" t="s">
        <v>15</v>
      </c>
      <c r="C6962" t="s">
        <v>16</v>
      </c>
      <c r="D6962" s="1">
        <v>45855</v>
      </c>
      <c r="E6962" t="s">
        <v>17</v>
      </c>
      <c r="F6962">
        <v>3700</v>
      </c>
      <c r="J6962">
        <v>1279.7</v>
      </c>
      <c r="K6962">
        <v>1127.5</v>
      </c>
      <c r="L6962">
        <v>0</v>
      </c>
      <c r="M6962" t="s">
        <v>18</v>
      </c>
      <c r="N6962">
        <v>0</v>
      </c>
      <c r="O6962">
        <v>0</v>
      </c>
    </row>
    <row r="6963" spans="1:15" x14ac:dyDescent="0.2">
      <c r="A6963" s="6">
        <v>45783</v>
      </c>
      <c r="B6963" t="s">
        <v>15</v>
      </c>
      <c r="C6963" t="s">
        <v>16</v>
      </c>
      <c r="D6963" s="1">
        <v>45855</v>
      </c>
      <c r="E6963" t="s">
        <v>19</v>
      </c>
      <c r="F6963">
        <v>5200</v>
      </c>
      <c r="J6963">
        <v>428</v>
      </c>
      <c r="K6963">
        <v>515.5</v>
      </c>
      <c r="L6963">
        <v>0</v>
      </c>
      <c r="M6963" t="s">
        <v>18</v>
      </c>
      <c r="N6963">
        <v>0</v>
      </c>
      <c r="O6963">
        <v>0</v>
      </c>
    </row>
    <row r="6964" spans="1:15" x14ac:dyDescent="0.2">
      <c r="A6964" s="6">
        <v>45783</v>
      </c>
      <c r="B6964" t="s">
        <v>15</v>
      </c>
      <c r="C6964" t="s">
        <v>16</v>
      </c>
      <c r="D6964" s="1">
        <v>45855</v>
      </c>
      <c r="E6964" t="s">
        <v>17</v>
      </c>
      <c r="F6964">
        <v>4350</v>
      </c>
      <c r="J6964">
        <v>705.8</v>
      </c>
      <c r="K6964">
        <v>575.1</v>
      </c>
      <c r="L6964">
        <v>0</v>
      </c>
      <c r="M6964" t="s">
        <v>18</v>
      </c>
      <c r="N6964">
        <v>0</v>
      </c>
      <c r="O6964">
        <v>0</v>
      </c>
    </row>
    <row r="6965" spans="1:15" x14ac:dyDescent="0.2">
      <c r="A6965" s="6">
        <v>45783</v>
      </c>
      <c r="B6965" t="s">
        <v>15</v>
      </c>
      <c r="C6965" t="s">
        <v>16</v>
      </c>
      <c r="D6965" s="1">
        <v>45855</v>
      </c>
      <c r="E6965" t="s">
        <v>17</v>
      </c>
      <c r="F6965">
        <v>5000</v>
      </c>
      <c r="J6965">
        <v>301.39999999999998</v>
      </c>
      <c r="K6965">
        <v>218.1</v>
      </c>
      <c r="L6965">
        <v>0</v>
      </c>
      <c r="M6965" t="s">
        <v>18</v>
      </c>
      <c r="N6965">
        <v>0</v>
      </c>
      <c r="O6965">
        <v>0</v>
      </c>
    </row>
    <row r="6966" spans="1:15" x14ac:dyDescent="0.2">
      <c r="A6966" s="6">
        <v>45783</v>
      </c>
      <c r="B6966" t="s">
        <v>15</v>
      </c>
      <c r="C6966" t="s">
        <v>16</v>
      </c>
      <c r="D6966" s="1">
        <v>45855</v>
      </c>
      <c r="E6966" t="s">
        <v>17</v>
      </c>
      <c r="F6966">
        <v>4750</v>
      </c>
      <c r="J6966">
        <v>431.7</v>
      </c>
      <c r="K6966">
        <v>328.5</v>
      </c>
      <c r="L6966">
        <v>0</v>
      </c>
      <c r="M6966" t="s">
        <v>18</v>
      </c>
      <c r="N6966">
        <v>0</v>
      </c>
      <c r="O6966">
        <v>0</v>
      </c>
    </row>
    <row r="6967" spans="1:15" x14ac:dyDescent="0.2">
      <c r="A6967" s="6">
        <v>45783</v>
      </c>
      <c r="B6967" t="s">
        <v>15</v>
      </c>
      <c r="C6967" t="s">
        <v>16</v>
      </c>
      <c r="D6967" s="1">
        <v>45855</v>
      </c>
      <c r="E6967" t="s">
        <v>17</v>
      </c>
      <c r="F6967">
        <v>4400</v>
      </c>
      <c r="J6967">
        <v>667.4</v>
      </c>
      <c r="K6967">
        <v>539.70000000000005</v>
      </c>
      <c r="L6967">
        <v>0</v>
      </c>
      <c r="M6967" t="s">
        <v>18</v>
      </c>
      <c r="N6967">
        <v>0</v>
      </c>
      <c r="O6967">
        <v>0</v>
      </c>
    </row>
    <row r="6968" spans="1:15" x14ac:dyDescent="0.2">
      <c r="A6968" s="6">
        <v>45783</v>
      </c>
      <c r="B6968" t="s">
        <v>15</v>
      </c>
      <c r="C6968" t="s">
        <v>16</v>
      </c>
      <c r="D6968" s="1">
        <v>45855</v>
      </c>
      <c r="E6968" t="s">
        <v>17</v>
      </c>
      <c r="F6968">
        <v>4100</v>
      </c>
      <c r="J6968">
        <v>912.4</v>
      </c>
      <c r="K6968">
        <v>769.9</v>
      </c>
      <c r="L6968">
        <v>0</v>
      </c>
      <c r="M6968" t="s">
        <v>18</v>
      </c>
      <c r="N6968">
        <v>0</v>
      </c>
      <c r="O6968">
        <v>0</v>
      </c>
    </row>
    <row r="6969" spans="1:15" x14ac:dyDescent="0.2">
      <c r="A6969" s="6">
        <v>45783</v>
      </c>
      <c r="B6969" t="s">
        <v>15</v>
      </c>
      <c r="C6969" t="s">
        <v>16</v>
      </c>
      <c r="D6969" s="1">
        <v>45855</v>
      </c>
      <c r="E6969" t="s">
        <v>17</v>
      </c>
      <c r="F6969">
        <v>4450</v>
      </c>
      <c r="J6969">
        <v>630.20000000000005</v>
      </c>
      <c r="K6969">
        <v>505.5</v>
      </c>
      <c r="L6969">
        <v>0</v>
      </c>
      <c r="M6969" t="s">
        <v>18</v>
      </c>
      <c r="N6969">
        <v>0</v>
      </c>
      <c r="O6969">
        <v>0</v>
      </c>
    </row>
    <row r="6970" spans="1:15" x14ac:dyDescent="0.2">
      <c r="A6970" s="6">
        <v>45783</v>
      </c>
      <c r="B6970" t="s">
        <v>15</v>
      </c>
      <c r="C6970" t="s">
        <v>16</v>
      </c>
      <c r="D6970" s="1">
        <v>45855</v>
      </c>
      <c r="E6970" t="s">
        <v>17</v>
      </c>
      <c r="F6970">
        <v>5300</v>
      </c>
      <c r="J6970">
        <v>185.8</v>
      </c>
      <c r="K6970">
        <v>125.9</v>
      </c>
      <c r="L6970">
        <v>0</v>
      </c>
      <c r="M6970" t="s">
        <v>18</v>
      </c>
      <c r="N6970">
        <v>0</v>
      </c>
      <c r="O6970">
        <v>0</v>
      </c>
    </row>
    <row r="6971" spans="1:15" x14ac:dyDescent="0.2">
      <c r="A6971" s="6">
        <v>45783</v>
      </c>
      <c r="B6971" t="s">
        <v>15</v>
      </c>
      <c r="C6971" t="s">
        <v>16</v>
      </c>
      <c r="D6971" s="1">
        <v>45855</v>
      </c>
      <c r="E6971" t="s">
        <v>17</v>
      </c>
      <c r="F6971">
        <v>4950</v>
      </c>
      <c r="J6971">
        <v>324.89999999999998</v>
      </c>
      <c r="K6971">
        <v>237.6</v>
      </c>
      <c r="L6971">
        <v>0</v>
      </c>
      <c r="M6971" t="s">
        <v>18</v>
      </c>
      <c r="N6971">
        <v>0</v>
      </c>
      <c r="O6971">
        <v>0</v>
      </c>
    </row>
    <row r="6972" spans="1:15" x14ac:dyDescent="0.2">
      <c r="A6972" s="6">
        <v>45783</v>
      </c>
      <c r="B6972" t="s">
        <v>15</v>
      </c>
      <c r="C6972" t="s">
        <v>16</v>
      </c>
      <c r="D6972" s="1">
        <v>45855</v>
      </c>
      <c r="E6972" t="s">
        <v>17</v>
      </c>
      <c r="F6972">
        <v>6200</v>
      </c>
      <c r="J6972">
        <v>31.9</v>
      </c>
      <c r="K6972">
        <v>17.2</v>
      </c>
      <c r="L6972">
        <v>0</v>
      </c>
      <c r="M6972" t="s">
        <v>18</v>
      </c>
      <c r="N6972">
        <v>0</v>
      </c>
      <c r="O6972">
        <v>0</v>
      </c>
    </row>
    <row r="6973" spans="1:15" x14ac:dyDescent="0.2">
      <c r="A6973" s="6">
        <v>45783</v>
      </c>
      <c r="B6973" t="s">
        <v>15</v>
      </c>
      <c r="C6973" t="s">
        <v>16</v>
      </c>
      <c r="D6973" s="1">
        <v>45855</v>
      </c>
      <c r="E6973" t="s">
        <v>17</v>
      </c>
      <c r="F6973">
        <v>5700</v>
      </c>
      <c r="J6973">
        <v>89.6</v>
      </c>
      <c r="K6973">
        <v>55.1</v>
      </c>
      <c r="L6973">
        <v>0</v>
      </c>
      <c r="M6973" t="s">
        <v>18</v>
      </c>
      <c r="N6973">
        <v>0</v>
      </c>
      <c r="O6973">
        <v>0</v>
      </c>
    </row>
    <row r="6974" spans="1:15" x14ac:dyDescent="0.2">
      <c r="A6974" s="6">
        <v>45783</v>
      </c>
      <c r="B6974" t="s">
        <v>15</v>
      </c>
      <c r="C6974" t="s">
        <v>16</v>
      </c>
      <c r="D6974" s="1">
        <v>45855</v>
      </c>
      <c r="E6974" t="s">
        <v>17</v>
      </c>
      <c r="F6974">
        <v>4900</v>
      </c>
      <c r="J6974">
        <v>349.6</v>
      </c>
      <c r="K6974">
        <v>258.3</v>
      </c>
      <c r="L6974">
        <v>0</v>
      </c>
      <c r="M6974" t="s">
        <v>18</v>
      </c>
      <c r="N6974">
        <v>0</v>
      </c>
      <c r="O6974">
        <v>0</v>
      </c>
    </row>
    <row r="6975" spans="1:15" x14ac:dyDescent="0.2">
      <c r="A6975" s="6">
        <v>45783</v>
      </c>
      <c r="B6975" t="s">
        <v>15</v>
      </c>
      <c r="C6975" t="s">
        <v>16</v>
      </c>
      <c r="D6975" s="1">
        <v>45855</v>
      </c>
      <c r="E6975" t="s">
        <v>19</v>
      </c>
      <c r="F6975">
        <v>6550</v>
      </c>
      <c r="J6975">
        <v>1555.7</v>
      </c>
      <c r="K6975">
        <v>1703</v>
      </c>
      <c r="L6975">
        <v>0</v>
      </c>
      <c r="M6975" t="s">
        <v>18</v>
      </c>
      <c r="N6975">
        <v>0</v>
      </c>
      <c r="O6975">
        <v>0</v>
      </c>
    </row>
    <row r="6976" spans="1:15" x14ac:dyDescent="0.2">
      <c r="A6976" s="6">
        <v>45783</v>
      </c>
      <c r="B6976" t="s">
        <v>15</v>
      </c>
      <c r="C6976" t="s">
        <v>16</v>
      </c>
      <c r="D6976" s="1">
        <v>45855</v>
      </c>
      <c r="E6976" t="s">
        <v>17</v>
      </c>
      <c r="F6976">
        <v>5950</v>
      </c>
      <c r="J6976">
        <v>54.3</v>
      </c>
      <c r="K6976">
        <v>31.3</v>
      </c>
      <c r="L6976">
        <v>0</v>
      </c>
      <c r="M6976" t="s">
        <v>18</v>
      </c>
      <c r="N6976">
        <v>0</v>
      </c>
      <c r="O6976">
        <v>0</v>
      </c>
    </row>
    <row r="6977" spans="1:15" x14ac:dyDescent="0.2">
      <c r="A6977" s="6">
        <v>45783</v>
      </c>
      <c r="B6977" t="s">
        <v>15</v>
      </c>
      <c r="C6977" t="s">
        <v>16</v>
      </c>
      <c r="D6977" s="1">
        <v>45855</v>
      </c>
      <c r="E6977" t="s">
        <v>17</v>
      </c>
      <c r="F6977">
        <v>4800</v>
      </c>
      <c r="J6977">
        <v>403.1</v>
      </c>
      <c r="K6977">
        <v>303.7</v>
      </c>
      <c r="L6977">
        <v>0</v>
      </c>
      <c r="M6977" t="s">
        <v>18</v>
      </c>
      <c r="N6977">
        <v>0</v>
      </c>
      <c r="O6977">
        <v>0</v>
      </c>
    </row>
    <row r="6978" spans="1:15" x14ac:dyDescent="0.2">
      <c r="A6978" s="6">
        <v>45783</v>
      </c>
      <c r="B6978" t="s">
        <v>15</v>
      </c>
      <c r="C6978" t="s">
        <v>16</v>
      </c>
      <c r="D6978" s="1">
        <v>45855</v>
      </c>
      <c r="E6978" t="s">
        <v>19</v>
      </c>
      <c r="F6978">
        <v>3600</v>
      </c>
      <c r="J6978">
        <v>4.3</v>
      </c>
      <c r="K6978">
        <v>6.2</v>
      </c>
      <c r="L6978">
        <v>0</v>
      </c>
      <c r="M6978" t="s">
        <v>18</v>
      </c>
      <c r="N6978">
        <v>0</v>
      </c>
      <c r="O6978">
        <v>0</v>
      </c>
    </row>
    <row r="6979" spans="1:15" x14ac:dyDescent="0.2">
      <c r="A6979" s="6">
        <v>45783</v>
      </c>
      <c r="B6979" t="s">
        <v>15</v>
      </c>
      <c r="C6979" t="s">
        <v>16</v>
      </c>
      <c r="D6979" s="1">
        <v>45855</v>
      </c>
      <c r="E6979" t="s">
        <v>19</v>
      </c>
      <c r="F6979">
        <v>6150</v>
      </c>
      <c r="J6979">
        <v>1181.9000000000001</v>
      </c>
      <c r="K6979">
        <v>1320.5</v>
      </c>
      <c r="L6979">
        <v>0</v>
      </c>
      <c r="M6979" t="s">
        <v>18</v>
      </c>
      <c r="N6979">
        <v>0</v>
      </c>
      <c r="O6979">
        <v>0</v>
      </c>
    </row>
    <row r="6980" spans="1:15" x14ac:dyDescent="0.2">
      <c r="A6980" s="6">
        <v>45783</v>
      </c>
      <c r="B6980" t="s">
        <v>15</v>
      </c>
      <c r="C6980" t="s">
        <v>16</v>
      </c>
      <c r="D6980" s="1">
        <v>45855</v>
      </c>
      <c r="E6980" t="s">
        <v>19</v>
      </c>
      <c r="F6980">
        <v>4200</v>
      </c>
      <c r="J6980">
        <v>48</v>
      </c>
      <c r="K6980">
        <v>64.8</v>
      </c>
      <c r="L6980">
        <v>0</v>
      </c>
      <c r="M6980" t="s">
        <v>18</v>
      </c>
      <c r="N6980">
        <v>0</v>
      </c>
      <c r="O6980">
        <v>0</v>
      </c>
    </row>
    <row r="6981" spans="1:15" x14ac:dyDescent="0.2">
      <c r="A6981" s="6">
        <v>45783</v>
      </c>
      <c r="B6981" t="s">
        <v>15</v>
      </c>
      <c r="C6981" t="s">
        <v>16</v>
      </c>
      <c r="D6981" s="1">
        <v>45855</v>
      </c>
      <c r="E6981" t="s">
        <v>19</v>
      </c>
      <c r="F6981">
        <v>4900</v>
      </c>
      <c r="J6981">
        <v>261.8</v>
      </c>
      <c r="K6981">
        <v>325.5</v>
      </c>
      <c r="L6981">
        <v>0</v>
      </c>
      <c r="M6981" t="s">
        <v>18</v>
      </c>
      <c r="N6981">
        <v>0</v>
      </c>
      <c r="O6981">
        <v>0</v>
      </c>
    </row>
    <row r="6982" spans="1:15" x14ac:dyDescent="0.2">
      <c r="A6982" s="6">
        <v>45783</v>
      </c>
      <c r="B6982" t="s">
        <v>15</v>
      </c>
      <c r="C6982" t="s">
        <v>16</v>
      </c>
      <c r="D6982" s="1">
        <v>45855</v>
      </c>
      <c r="E6982" t="s">
        <v>17</v>
      </c>
      <c r="F6982">
        <v>5100</v>
      </c>
      <c r="J6982">
        <v>258.10000000000002</v>
      </c>
      <c r="K6982">
        <v>182.9</v>
      </c>
      <c r="L6982">
        <v>0</v>
      </c>
      <c r="M6982" t="s">
        <v>18</v>
      </c>
      <c r="N6982">
        <v>0</v>
      </c>
      <c r="O6982">
        <v>0</v>
      </c>
    </row>
    <row r="6983" spans="1:15" x14ac:dyDescent="0.2">
      <c r="A6983" s="6">
        <v>45783</v>
      </c>
      <c r="B6983" t="s">
        <v>15</v>
      </c>
      <c r="C6983" t="s">
        <v>16</v>
      </c>
      <c r="D6983" s="1">
        <v>45855</v>
      </c>
      <c r="E6983" t="s">
        <v>19</v>
      </c>
      <c r="F6983">
        <v>5100</v>
      </c>
      <c r="J6983">
        <v>367.7</v>
      </c>
      <c r="K6983">
        <v>447.4</v>
      </c>
      <c r="L6983">
        <v>0</v>
      </c>
      <c r="M6983" t="s">
        <v>18</v>
      </c>
      <c r="N6983">
        <v>0</v>
      </c>
      <c r="O6983">
        <v>0</v>
      </c>
    </row>
    <row r="6984" spans="1:15" x14ac:dyDescent="0.2">
      <c r="A6984" s="6">
        <v>45783</v>
      </c>
      <c r="B6984" t="s">
        <v>15</v>
      </c>
      <c r="C6984" t="s">
        <v>16</v>
      </c>
      <c r="D6984" s="1">
        <v>45855</v>
      </c>
      <c r="E6984" t="s">
        <v>17</v>
      </c>
      <c r="F6984">
        <v>5250</v>
      </c>
      <c r="J6984">
        <v>202.2</v>
      </c>
      <c r="K6984">
        <v>138.6</v>
      </c>
      <c r="L6984">
        <v>0</v>
      </c>
      <c r="M6984" t="s">
        <v>18</v>
      </c>
      <c r="N6984">
        <v>0</v>
      </c>
      <c r="O6984">
        <v>0</v>
      </c>
    </row>
    <row r="6985" spans="1:15" x14ac:dyDescent="0.2">
      <c r="A6985" s="6">
        <v>45783</v>
      </c>
      <c r="B6985" t="s">
        <v>15</v>
      </c>
      <c r="C6985" t="s">
        <v>16</v>
      </c>
      <c r="D6985" s="1">
        <v>45855</v>
      </c>
      <c r="E6985" t="s">
        <v>19</v>
      </c>
      <c r="F6985">
        <v>6650</v>
      </c>
      <c r="J6985">
        <v>1651.4</v>
      </c>
      <c r="K6985">
        <v>1800.1</v>
      </c>
      <c r="L6985">
        <v>0</v>
      </c>
      <c r="M6985" t="s">
        <v>18</v>
      </c>
      <c r="N6985">
        <v>0</v>
      </c>
      <c r="O6985">
        <v>0</v>
      </c>
    </row>
    <row r="6986" spans="1:15" x14ac:dyDescent="0.2">
      <c r="A6986" s="6">
        <v>45783</v>
      </c>
      <c r="B6986" t="s">
        <v>15</v>
      </c>
      <c r="C6986" t="s">
        <v>16</v>
      </c>
      <c r="D6986" s="1">
        <v>45855</v>
      </c>
      <c r="E6986" t="s">
        <v>17</v>
      </c>
      <c r="F6986">
        <v>4200</v>
      </c>
      <c r="J6986">
        <v>827.1</v>
      </c>
      <c r="K6986">
        <v>688.7</v>
      </c>
      <c r="L6986">
        <v>0</v>
      </c>
      <c r="M6986" t="s">
        <v>18</v>
      </c>
      <c r="N6986">
        <v>0</v>
      </c>
      <c r="O6986">
        <v>0</v>
      </c>
    </row>
    <row r="6987" spans="1:15" x14ac:dyDescent="0.2">
      <c r="A6987" s="6">
        <v>45783</v>
      </c>
      <c r="B6987" t="s">
        <v>15</v>
      </c>
      <c r="C6987" t="s">
        <v>16</v>
      </c>
      <c r="D6987" s="1">
        <v>45855</v>
      </c>
      <c r="E6987" t="s">
        <v>19</v>
      </c>
      <c r="F6987">
        <v>3900</v>
      </c>
      <c r="J6987">
        <v>16.600000000000001</v>
      </c>
      <c r="K6987">
        <v>23.2</v>
      </c>
      <c r="L6987">
        <v>0</v>
      </c>
      <c r="M6987" t="s">
        <v>18</v>
      </c>
      <c r="N6987">
        <v>0</v>
      </c>
      <c r="O6987">
        <v>0</v>
      </c>
    </row>
    <row r="6988" spans="1:15" x14ac:dyDescent="0.2">
      <c r="A6988" s="6">
        <v>45783</v>
      </c>
      <c r="B6988" t="s">
        <v>15</v>
      </c>
      <c r="C6988" t="s">
        <v>16</v>
      </c>
      <c r="D6988" s="1">
        <v>45855</v>
      </c>
      <c r="E6988" t="s">
        <v>19</v>
      </c>
      <c r="F6988">
        <v>6050</v>
      </c>
      <c r="J6988">
        <v>1091.5999999999999</v>
      </c>
      <c r="K6988">
        <v>1227.0999999999999</v>
      </c>
      <c r="L6988">
        <v>0</v>
      </c>
      <c r="M6988" t="s">
        <v>18</v>
      </c>
      <c r="N6988">
        <v>0</v>
      </c>
      <c r="O6988">
        <v>0</v>
      </c>
    </row>
    <row r="6989" spans="1:15" x14ac:dyDescent="0.2">
      <c r="A6989" s="6">
        <v>45783</v>
      </c>
      <c r="B6989" t="s">
        <v>15</v>
      </c>
      <c r="C6989" t="s">
        <v>16</v>
      </c>
      <c r="D6989" s="1">
        <v>45855</v>
      </c>
      <c r="E6989" t="s">
        <v>17</v>
      </c>
      <c r="F6989">
        <v>4650</v>
      </c>
      <c r="J6989">
        <v>492.9</v>
      </c>
      <c r="K6989">
        <v>382</v>
      </c>
      <c r="L6989">
        <v>0</v>
      </c>
      <c r="M6989" t="s">
        <v>18</v>
      </c>
      <c r="N6989">
        <v>0</v>
      </c>
      <c r="O6989">
        <v>0</v>
      </c>
    </row>
    <row r="6990" spans="1:15" x14ac:dyDescent="0.2">
      <c r="A6990" s="6">
        <v>45783</v>
      </c>
      <c r="B6990" t="s">
        <v>15</v>
      </c>
      <c r="C6990" t="s">
        <v>16</v>
      </c>
      <c r="D6990" s="1">
        <v>45855</v>
      </c>
      <c r="E6990" t="s">
        <v>17</v>
      </c>
      <c r="F6990">
        <v>3650</v>
      </c>
      <c r="J6990">
        <v>1327.6</v>
      </c>
      <c r="K6990">
        <v>1174.8</v>
      </c>
      <c r="L6990">
        <v>0</v>
      </c>
      <c r="M6990" t="s">
        <v>18</v>
      </c>
      <c r="N6990">
        <v>0</v>
      </c>
      <c r="O6990">
        <v>0</v>
      </c>
    </row>
    <row r="6991" spans="1:15" x14ac:dyDescent="0.2">
      <c r="A6991" s="6">
        <v>45783</v>
      </c>
      <c r="B6991" t="s">
        <v>15</v>
      </c>
      <c r="C6991" t="s">
        <v>16</v>
      </c>
      <c r="D6991" s="1">
        <v>45855</v>
      </c>
      <c r="E6991" t="s">
        <v>19</v>
      </c>
      <c r="F6991">
        <v>6400</v>
      </c>
      <c r="J6991">
        <v>1413.6</v>
      </c>
      <c r="K6991">
        <v>1558.3</v>
      </c>
      <c r="L6991">
        <v>0</v>
      </c>
      <c r="M6991" t="s">
        <v>18</v>
      </c>
      <c r="N6991">
        <v>0</v>
      </c>
      <c r="O6991">
        <v>0</v>
      </c>
    </row>
    <row r="6992" spans="1:15" x14ac:dyDescent="0.2">
      <c r="A6992" s="6">
        <v>45783</v>
      </c>
      <c r="B6992" t="s">
        <v>15</v>
      </c>
      <c r="C6992" t="s">
        <v>16</v>
      </c>
      <c r="D6992" s="1">
        <v>45855</v>
      </c>
      <c r="E6992" t="s">
        <v>17</v>
      </c>
      <c r="F6992">
        <v>6650</v>
      </c>
      <c r="J6992">
        <v>11.4</v>
      </c>
      <c r="K6992">
        <v>5.4</v>
      </c>
      <c r="L6992">
        <v>0</v>
      </c>
      <c r="M6992" t="s">
        <v>18</v>
      </c>
      <c r="N6992">
        <v>0</v>
      </c>
      <c r="O6992">
        <v>0</v>
      </c>
    </row>
    <row r="6993" spans="1:15" x14ac:dyDescent="0.2">
      <c r="A6993" s="6">
        <v>45783</v>
      </c>
      <c r="B6993" t="s">
        <v>15</v>
      </c>
      <c r="C6993" t="s">
        <v>16</v>
      </c>
      <c r="D6993" s="1">
        <v>45855</v>
      </c>
      <c r="E6993" t="s">
        <v>19</v>
      </c>
      <c r="F6993">
        <v>3750</v>
      </c>
      <c r="J6993">
        <v>8.8000000000000007</v>
      </c>
      <c r="K6993">
        <v>12.5</v>
      </c>
      <c r="L6993">
        <v>0</v>
      </c>
      <c r="M6993" t="s">
        <v>18</v>
      </c>
      <c r="N6993">
        <v>0</v>
      </c>
      <c r="O6993">
        <v>0</v>
      </c>
    </row>
    <row r="6994" spans="1:15" x14ac:dyDescent="0.2">
      <c r="A6994" s="6">
        <v>45783</v>
      </c>
      <c r="B6994" t="s">
        <v>15</v>
      </c>
      <c r="C6994" t="s">
        <v>16</v>
      </c>
      <c r="D6994" s="1">
        <v>45855</v>
      </c>
      <c r="E6994" t="s">
        <v>17</v>
      </c>
      <c r="F6994">
        <v>6050</v>
      </c>
      <c r="J6994">
        <v>44.1</v>
      </c>
      <c r="K6994">
        <v>24.8</v>
      </c>
      <c r="L6994">
        <v>0</v>
      </c>
      <c r="M6994" t="s">
        <v>18</v>
      </c>
      <c r="N6994">
        <v>0</v>
      </c>
      <c r="O6994">
        <v>0</v>
      </c>
    </row>
    <row r="6995" spans="1:15" x14ac:dyDescent="0.2">
      <c r="A6995" s="6">
        <v>45783</v>
      </c>
      <c r="B6995" t="s">
        <v>15</v>
      </c>
      <c r="C6995" t="s">
        <v>16</v>
      </c>
      <c r="D6995" s="1">
        <v>45855</v>
      </c>
      <c r="E6995" t="s">
        <v>17</v>
      </c>
      <c r="F6995">
        <v>3750</v>
      </c>
      <c r="J6995">
        <v>1232.2</v>
      </c>
      <c r="K6995">
        <v>1080.5999999999999</v>
      </c>
      <c r="L6995">
        <v>0</v>
      </c>
      <c r="M6995" t="s">
        <v>18</v>
      </c>
      <c r="N6995">
        <v>0</v>
      </c>
      <c r="O6995">
        <v>0</v>
      </c>
    </row>
    <row r="6996" spans="1:15" x14ac:dyDescent="0.2">
      <c r="A6996" s="6">
        <v>45783</v>
      </c>
      <c r="B6996" t="s">
        <v>15</v>
      </c>
      <c r="C6996" t="s">
        <v>16</v>
      </c>
      <c r="D6996" s="1">
        <v>45855</v>
      </c>
      <c r="E6996" t="s">
        <v>19</v>
      </c>
      <c r="F6996">
        <v>4700</v>
      </c>
      <c r="J6996">
        <v>176.3</v>
      </c>
      <c r="K6996">
        <v>224.3</v>
      </c>
      <c r="L6996">
        <v>0</v>
      </c>
      <c r="M6996" t="s">
        <v>18</v>
      </c>
      <c r="N6996">
        <v>0</v>
      </c>
      <c r="O6996">
        <v>0</v>
      </c>
    </row>
    <row r="6997" spans="1:15" x14ac:dyDescent="0.2">
      <c r="A6997" s="6">
        <v>45783</v>
      </c>
      <c r="B6997" t="s">
        <v>15</v>
      </c>
      <c r="C6997" t="s">
        <v>16</v>
      </c>
      <c r="D6997" s="1">
        <v>45855</v>
      </c>
      <c r="E6997" t="s">
        <v>19</v>
      </c>
      <c r="F6997">
        <v>5800</v>
      </c>
      <c r="J6997">
        <v>874.4</v>
      </c>
      <c r="K6997">
        <v>999.8</v>
      </c>
      <c r="L6997">
        <v>0</v>
      </c>
      <c r="M6997" t="s">
        <v>18</v>
      </c>
      <c r="N6997">
        <v>0</v>
      </c>
      <c r="O6997">
        <v>0</v>
      </c>
    </row>
    <row r="6998" spans="1:15" x14ac:dyDescent="0.2">
      <c r="A6998" s="6">
        <v>45783</v>
      </c>
      <c r="B6998" t="s">
        <v>15</v>
      </c>
      <c r="C6998" t="s">
        <v>16</v>
      </c>
      <c r="D6998" s="1">
        <v>45855</v>
      </c>
      <c r="E6998" t="s">
        <v>19</v>
      </c>
      <c r="F6998">
        <v>4550</v>
      </c>
      <c r="J6998">
        <v>125.6</v>
      </c>
      <c r="K6998">
        <v>162.69999999999999</v>
      </c>
      <c r="L6998">
        <v>0</v>
      </c>
      <c r="M6998" t="s">
        <v>18</v>
      </c>
      <c r="N6998">
        <v>0</v>
      </c>
      <c r="O6998">
        <v>0</v>
      </c>
    </row>
    <row r="6999" spans="1:15" x14ac:dyDescent="0.2">
      <c r="A6999" s="6">
        <v>45783</v>
      </c>
      <c r="B6999" t="s">
        <v>15</v>
      </c>
      <c r="C6999" t="s">
        <v>16</v>
      </c>
      <c r="D6999" s="1">
        <v>45855</v>
      </c>
      <c r="E6999" t="s">
        <v>17</v>
      </c>
      <c r="F6999">
        <v>3600</v>
      </c>
      <c r="J6999">
        <v>1375.8</v>
      </c>
      <c r="K6999">
        <v>1222.4000000000001</v>
      </c>
      <c r="L6999">
        <v>0</v>
      </c>
      <c r="M6999" t="s">
        <v>18</v>
      </c>
      <c r="N6999">
        <v>0</v>
      </c>
      <c r="O6999">
        <v>0</v>
      </c>
    </row>
    <row r="7000" spans="1:15" x14ac:dyDescent="0.2">
      <c r="A7000" s="6">
        <v>45783</v>
      </c>
      <c r="B7000" t="s">
        <v>15</v>
      </c>
      <c r="C7000" t="s">
        <v>16</v>
      </c>
      <c r="D7000" s="1">
        <v>45855</v>
      </c>
      <c r="E7000" t="s">
        <v>19</v>
      </c>
      <c r="F7000">
        <v>5450</v>
      </c>
      <c r="J7000">
        <v>598.1</v>
      </c>
      <c r="K7000">
        <v>703.6</v>
      </c>
      <c r="L7000">
        <v>0</v>
      </c>
      <c r="M7000" t="s">
        <v>18</v>
      </c>
      <c r="N7000">
        <v>0</v>
      </c>
      <c r="O7000">
        <v>0</v>
      </c>
    </row>
    <row r="7001" spans="1:15" x14ac:dyDescent="0.2">
      <c r="A7001" s="6">
        <v>45783</v>
      </c>
      <c r="B7001" t="s">
        <v>15</v>
      </c>
      <c r="C7001" t="s">
        <v>16</v>
      </c>
      <c r="D7001" s="1">
        <v>45855</v>
      </c>
      <c r="E7001" t="s">
        <v>19</v>
      </c>
      <c r="F7001">
        <v>5400</v>
      </c>
      <c r="J7001">
        <v>562</v>
      </c>
      <c r="K7001">
        <v>664.1</v>
      </c>
      <c r="L7001">
        <v>0</v>
      </c>
      <c r="M7001" t="s">
        <v>18</v>
      </c>
      <c r="N7001">
        <v>0</v>
      </c>
      <c r="O7001">
        <v>0</v>
      </c>
    </row>
    <row r="7002" spans="1:15" x14ac:dyDescent="0.2">
      <c r="A7002" s="6">
        <v>45783</v>
      </c>
      <c r="B7002" t="s">
        <v>15</v>
      </c>
      <c r="C7002" t="s">
        <v>16</v>
      </c>
      <c r="D7002" s="1">
        <v>45855</v>
      </c>
      <c r="E7002" t="s">
        <v>19</v>
      </c>
      <c r="F7002">
        <v>5300</v>
      </c>
      <c r="J7002">
        <v>492.9</v>
      </c>
      <c r="K7002">
        <v>587.9</v>
      </c>
      <c r="L7002">
        <v>0</v>
      </c>
      <c r="M7002" t="s">
        <v>18</v>
      </c>
      <c r="N7002">
        <v>0</v>
      </c>
      <c r="O7002">
        <v>0</v>
      </c>
    </row>
    <row r="7003" spans="1:15" x14ac:dyDescent="0.2">
      <c r="A7003" s="6">
        <v>45783</v>
      </c>
      <c r="B7003" t="s">
        <v>15</v>
      </c>
      <c r="C7003" t="s">
        <v>16</v>
      </c>
      <c r="D7003" s="1">
        <v>45855</v>
      </c>
      <c r="E7003" t="s">
        <v>19</v>
      </c>
      <c r="F7003">
        <v>5700</v>
      </c>
      <c r="J7003">
        <v>791.6</v>
      </c>
      <c r="K7003">
        <v>912</v>
      </c>
      <c r="L7003">
        <v>0</v>
      </c>
      <c r="M7003" t="s">
        <v>18</v>
      </c>
      <c r="N7003">
        <v>0</v>
      </c>
      <c r="O7003">
        <v>0</v>
      </c>
    </row>
    <row r="7004" spans="1:15" x14ac:dyDescent="0.2">
      <c r="A7004" s="6">
        <v>45783</v>
      </c>
      <c r="B7004" t="s">
        <v>15</v>
      </c>
      <c r="C7004" t="s">
        <v>16</v>
      </c>
      <c r="D7004" s="1">
        <v>45855</v>
      </c>
      <c r="E7004" t="s">
        <v>19</v>
      </c>
      <c r="F7004">
        <v>4950</v>
      </c>
      <c r="J7004">
        <v>286.3</v>
      </c>
      <c r="K7004">
        <v>354.1</v>
      </c>
      <c r="L7004">
        <v>0</v>
      </c>
      <c r="M7004" t="s">
        <v>18</v>
      </c>
      <c r="N7004">
        <v>0</v>
      </c>
      <c r="O7004">
        <v>0</v>
      </c>
    </row>
    <row r="7005" spans="1:15" x14ac:dyDescent="0.2">
      <c r="A7005" s="6">
        <v>45783</v>
      </c>
      <c r="B7005" t="s">
        <v>15</v>
      </c>
      <c r="C7005" t="s">
        <v>16</v>
      </c>
      <c r="D7005" s="1">
        <v>45855</v>
      </c>
      <c r="E7005" t="s">
        <v>19</v>
      </c>
      <c r="F7005">
        <v>4450</v>
      </c>
      <c r="J7005">
        <v>98</v>
      </c>
      <c r="K7005">
        <v>128.4</v>
      </c>
      <c r="L7005">
        <v>0</v>
      </c>
      <c r="M7005" t="s">
        <v>18</v>
      </c>
      <c r="N7005">
        <v>0</v>
      </c>
      <c r="O7005">
        <v>0</v>
      </c>
    </row>
    <row r="7006" spans="1:15" x14ac:dyDescent="0.2">
      <c r="A7006" s="6">
        <v>45783</v>
      </c>
      <c r="B7006" t="s">
        <v>15</v>
      </c>
      <c r="C7006" t="s">
        <v>16</v>
      </c>
      <c r="D7006" s="1">
        <v>45855</v>
      </c>
      <c r="E7006" t="s">
        <v>19</v>
      </c>
      <c r="F7006">
        <v>5050</v>
      </c>
      <c r="J7006">
        <v>339.3</v>
      </c>
      <c r="K7006">
        <v>415.1</v>
      </c>
      <c r="L7006">
        <v>0</v>
      </c>
      <c r="M7006" t="s">
        <v>18</v>
      </c>
      <c r="N7006">
        <v>0</v>
      </c>
      <c r="O7006">
        <v>0</v>
      </c>
    </row>
    <row r="7007" spans="1:15" x14ac:dyDescent="0.2">
      <c r="A7007" s="6">
        <v>45783</v>
      </c>
      <c r="B7007" t="s">
        <v>15</v>
      </c>
      <c r="C7007" t="s">
        <v>16</v>
      </c>
      <c r="D7007" s="1">
        <v>45855</v>
      </c>
      <c r="E7007" t="s">
        <v>17</v>
      </c>
      <c r="F7007">
        <v>3850</v>
      </c>
      <c r="J7007">
        <v>1138.2</v>
      </c>
      <c r="K7007">
        <v>988.5</v>
      </c>
      <c r="L7007">
        <v>0</v>
      </c>
      <c r="M7007" t="s">
        <v>18</v>
      </c>
      <c r="N7007">
        <v>0</v>
      </c>
      <c r="O7007">
        <v>0</v>
      </c>
    </row>
    <row r="7008" spans="1:15" x14ac:dyDescent="0.2">
      <c r="A7008" s="6">
        <v>45783</v>
      </c>
      <c r="B7008" t="s">
        <v>15</v>
      </c>
      <c r="C7008" t="s">
        <v>16</v>
      </c>
      <c r="D7008" s="1">
        <v>45855</v>
      </c>
      <c r="E7008" t="s">
        <v>19</v>
      </c>
      <c r="F7008">
        <v>4250</v>
      </c>
      <c r="J7008">
        <v>56</v>
      </c>
      <c r="K7008">
        <v>75.2</v>
      </c>
      <c r="L7008">
        <v>0</v>
      </c>
      <c r="M7008" t="s">
        <v>18</v>
      </c>
      <c r="N7008">
        <v>0</v>
      </c>
      <c r="O7008">
        <v>0</v>
      </c>
    </row>
    <row r="7009" spans="1:15" x14ac:dyDescent="0.2">
      <c r="A7009" s="6">
        <v>45783</v>
      </c>
      <c r="B7009" t="s">
        <v>15</v>
      </c>
      <c r="C7009" t="s">
        <v>16</v>
      </c>
      <c r="D7009" s="1">
        <v>45855</v>
      </c>
      <c r="E7009" t="s">
        <v>17</v>
      </c>
      <c r="F7009">
        <v>6550</v>
      </c>
      <c r="J7009">
        <v>14.4</v>
      </c>
      <c r="K7009">
        <v>7.1</v>
      </c>
      <c r="L7009">
        <v>0</v>
      </c>
      <c r="M7009" t="s">
        <v>18</v>
      </c>
      <c r="N7009">
        <v>0</v>
      </c>
      <c r="O7009">
        <v>0</v>
      </c>
    </row>
    <row r="7010" spans="1:15" x14ac:dyDescent="0.2">
      <c r="A7010" s="6">
        <v>45783</v>
      </c>
      <c r="B7010" t="s">
        <v>15</v>
      </c>
      <c r="C7010" t="s">
        <v>16</v>
      </c>
      <c r="D7010" s="1">
        <v>45855</v>
      </c>
      <c r="E7010" t="s">
        <v>17</v>
      </c>
      <c r="F7010">
        <v>3800</v>
      </c>
      <c r="J7010">
        <v>1185</v>
      </c>
      <c r="K7010">
        <v>1034.3</v>
      </c>
      <c r="L7010">
        <v>0</v>
      </c>
      <c r="M7010" t="s">
        <v>18</v>
      </c>
      <c r="N7010">
        <v>0</v>
      </c>
      <c r="O7010">
        <v>0</v>
      </c>
    </row>
    <row r="7011" spans="1:15" x14ac:dyDescent="0.2">
      <c r="A7011" s="6">
        <v>45783</v>
      </c>
      <c r="B7011" t="s">
        <v>15</v>
      </c>
      <c r="C7011" t="s">
        <v>16</v>
      </c>
      <c r="D7011" s="1">
        <v>45855</v>
      </c>
      <c r="E7011" t="s">
        <v>17</v>
      </c>
      <c r="F7011">
        <v>5600</v>
      </c>
      <c r="J7011">
        <v>108.5</v>
      </c>
      <c r="K7011">
        <v>68.400000000000006</v>
      </c>
      <c r="L7011">
        <v>0</v>
      </c>
      <c r="M7011" t="s">
        <v>18</v>
      </c>
      <c r="N7011">
        <v>0</v>
      </c>
      <c r="O7011">
        <v>0</v>
      </c>
    </row>
    <row r="7012" spans="1:15" x14ac:dyDescent="0.2">
      <c r="A7012" s="6">
        <v>45783</v>
      </c>
      <c r="B7012" t="s">
        <v>15</v>
      </c>
      <c r="C7012" t="s">
        <v>16</v>
      </c>
      <c r="D7012" s="1">
        <v>45855</v>
      </c>
      <c r="E7012" t="s">
        <v>17</v>
      </c>
      <c r="F7012">
        <v>5550</v>
      </c>
      <c r="J7012">
        <v>119.1</v>
      </c>
      <c r="K7012">
        <v>76</v>
      </c>
      <c r="L7012">
        <v>0</v>
      </c>
      <c r="M7012" t="s">
        <v>18</v>
      </c>
      <c r="N7012">
        <v>0</v>
      </c>
      <c r="O7012">
        <v>0</v>
      </c>
    </row>
    <row r="7013" spans="1:15" x14ac:dyDescent="0.2">
      <c r="A7013" s="6">
        <v>45783</v>
      </c>
      <c r="B7013" t="s">
        <v>15</v>
      </c>
      <c r="C7013" t="s">
        <v>16</v>
      </c>
      <c r="D7013" s="1">
        <v>45855</v>
      </c>
      <c r="E7013" t="s">
        <v>19</v>
      </c>
      <c r="F7013">
        <v>4600</v>
      </c>
      <c r="J7013">
        <v>141.30000000000001</v>
      </c>
      <c r="K7013">
        <v>181.8</v>
      </c>
      <c r="L7013">
        <v>0</v>
      </c>
      <c r="M7013" t="s">
        <v>18</v>
      </c>
      <c r="N7013">
        <v>0</v>
      </c>
      <c r="O7013">
        <v>0</v>
      </c>
    </row>
    <row r="7014" spans="1:15" x14ac:dyDescent="0.2">
      <c r="A7014" s="6">
        <v>45783</v>
      </c>
      <c r="B7014" t="s">
        <v>15</v>
      </c>
      <c r="C7014" t="s">
        <v>16</v>
      </c>
      <c r="D7014" s="1">
        <v>45855</v>
      </c>
      <c r="E7014" t="s">
        <v>19</v>
      </c>
      <c r="F7014">
        <v>6200</v>
      </c>
      <c r="J7014">
        <v>1227.5999999999999</v>
      </c>
      <c r="K7014">
        <v>1367.7</v>
      </c>
      <c r="L7014">
        <v>0</v>
      </c>
      <c r="M7014" t="s">
        <v>18</v>
      </c>
      <c r="N7014">
        <v>0</v>
      </c>
      <c r="O7014">
        <v>0</v>
      </c>
    </row>
    <row r="7015" spans="1:15" x14ac:dyDescent="0.2">
      <c r="A7015" s="6">
        <v>45783</v>
      </c>
      <c r="B7015" t="s">
        <v>15</v>
      </c>
      <c r="C7015" t="s">
        <v>16</v>
      </c>
      <c r="D7015" s="1">
        <v>45855</v>
      </c>
      <c r="E7015" t="s">
        <v>19</v>
      </c>
      <c r="F7015">
        <v>3700</v>
      </c>
      <c r="J7015">
        <v>7</v>
      </c>
      <c r="K7015">
        <v>10</v>
      </c>
      <c r="L7015">
        <v>0</v>
      </c>
      <c r="M7015" t="s">
        <v>18</v>
      </c>
      <c r="N7015">
        <v>0</v>
      </c>
      <c r="O7015">
        <v>0</v>
      </c>
    </row>
    <row r="7016" spans="1:15" x14ac:dyDescent="0.2">
      <c r="A7016" s="6">
        <v>45783</v>
      </c>
      <c r="B7016" t="s">
        <v>15</v>
      </c>
      <c r="C7016" t="s">
        <v>16</v>
      </c>
      <c r="D7016" s="1">
        <v>45855</v>
      </c>
      <c r="E7016" t="s">
        <v>19</v>
      </c>
      <c r="F7016">
        <v>4800</v>
      </c>
      <c r="J7016">
        <v>216.4</v>
      </c>
      <c r="K7016">
        <v>272.2</v>
      </c>
      <c r="L7016">
        <v>0</v>
      </c>
      <c r="M7016" t="s">
        <v>18</v>
      </c>
      <c r="N7016">
        <v>0</v>
      </c>
      <c r="O7016">
        <v>0</v>
      </c>
    </row>
    <row r="7017" spans="1:15" x14ac:dyDescent="0.2">
      <c r="A7017" s="6">
        <v>45783</v>
      </c>
      <c r="B7017" t="s">
        <v>15</v>
      </c>
      <c r="C7017" t="s">
        <v>16</v>
      </c>
      <c r="D7017" s="1">
        <v>45855</v>
      </c>
      <c r="E7017" t="s">
        <v>19</v>
      </c>
      <c r="F7017">
        <v>5900</v>
      </c>
      <c r="J7017">
        <v>959.7</v>
      </c>
      <c r="K7017">
        <v>1089.5</v>
      </c>
      <c r="L7017">
        <v>0</v>
      </c>
      <c r="M7017" t="s">
        <v>18</v>
      </c>
      <c r="N7017">
        <v>0</v>
      </c>
      <c r="O7017">
        <v>0</v>
      </c>
    </row>
    <row r="7018" spans="1:15" x14ac:dyDescent="0.2">
      <c r="A7018" s="6">
        <v>45783</v>
      </c>
      <c r="B7018" t="s">
        <v>15</v>
      </c>
      <c r="C7018" t="s">
        <v>16</v>
      </c>
      <c r="D7018" s="1">
        <v>45855</v>
      </c>
      <c r="E7018" t="s">
        <v>17</v>
      </c>
      <c r="F7018">
        <v>5750</v>
      </c>
      <c r="J7018">
        <v>81.3</v>
      </c>
      <c r="K7018">
        <v>49.4</v>
      </c>
      <c r="L7018">
        <v>0</v>
      </c>
      <c r="M7018" t="s">
        <v>18</v>
      </c>
      <c r="N7018">
        <v>0</v>
      </c>
      <c r="O7018">
        <v>0</v>
      </c>
    </row>
    <row r="7019" spans="1:15" x14ac:dyDescent="0.2">
      <c r="A7019" s="6">
        <v>45783</v>
      </c>
      <c r="B7019" t="s">
        <v>15</v>
      </c>
      <c r="C7019" t="s">
        <v>16</v>
      </c>
      <c r="D7019" s="1">
        <v>45855</v>
      </c>
      <c r="E7019" t="s">
        <v>19</v>
      </c>
      <c r="F7019">
        <v>5500</v>
      </c>
      <c r="J7019">
        <v>635.1</v>
      </c>
      <c r="K7019">
        <v>743.8</v>
      </c>
      <c r="L7019">
        <v>0</v>
      </c>
      <c r="M7019" t="s">
        <v>18</v>
      </c>
      <c r="N7019">
        <v>0</v>
      </c>
      <c r="O7019">
        <v>0</v>
      </c>
    </row>
    <row r="7020" spans="1:15" x14ac:dyDescent="0.2">
      <c r="A7020" s="6">
        <v>45783</v>
      </c>
      <c r="B7020" t="s">
        <v>15</v>
      </c>
      <c r="C7020" t="s">
        <v>16</v>
      </c>
      <c r="D7020" s="1">
        <v>45855</v>
      </c>
      <c r="E7020" t="s">
        <v>17</v>
      </c>
      <c r="F7020">
        <v>6300</v>
      </c>
      <c r="J7020">
        <v>25.6</v>
      </c>
      <c r="K7020">
        <v>13.4</v>
      </c>
      <c r="L7020">
        <v>0</v>
      </c>
      <c r="M7020" t="s">
        <v>18</v>
      </c>
      <c r="N7020">
        <v>0</v>
      </c>
      <c r="O7020">
        <v>0</v>
      </c>
    </row>
    <row r="7021" spans="1:15" x14ac:dyDescent="0.2">
      <c r="A7021" s="6">
        <v>45783</v>
      </c>
      <c r="B7021" t="s">
        <v>15</v>
      </c>
      <c r="C7021" t="s">
        <v>16</v>
      </c>
      <c r="D7021" s="1">
        <v>45855</v>
      </c>
      <c r="E7021" t="s">
        <v>19</v>
      </c>
      <c r="F7021">
        <v>4100</v>
      </c>
      <c r="J7021">
        <v>34.6</v>
      </c>
      <c r="K7021">
        <v>47.3</v>
      </c>
      <c r="L7021">
        <v>0</v>
      </c>
      <c r="M7021" t="s">
        <v>18</v>
      </c>
      <c r="N7021">
        <v>0</v>
      </c>
      <c r="O7021">
        <v>0</v>
      </c>
    </row>
    <row r="7022" spans="1:15" x14ac:dyDescent="0.2">
      <c r="A7022" s="6">
        <v>45783</v>
      </c>
      <c r="B7022" t="s">
        <v>15</v>
      </c>
      <c r="C7022" t="s">
        <v>16</v>
      </c>
      <c r="D7022" s="1">
        <v>45855</v>
      </c>
      <c r="E7022" t="s">
        <v>17</v>
      </c>
      <c r="F7022">
        <v>6500</v>
      </c>
      <c r="J7022">
        <v>16.2</v>
      </c>
      <c r="K7022">
        <v>8.1</v>
      </c>
      <c r="L7022">
        <v>0</v>
      </c>
      <c r="M7022" t="s">
        <v>18</v>
      </c>
      <c r="N7022">
        <v>0</v>
      </c>
      <c r="O7022">
        <v>0</v>
      </c>
    </row>
    <row r="7023" spans="1:15" x14ac:dyDescent="0.2">
      <c r="A7023" s="6">
        <v>45783</v>
      </c>
      <c r="B7023" t="s">
        <v>15</v>
      </c>
      <c r="C7023" t="s">
        <v>16</v>
      </c>
      <c r="D7023" s="1">
        <v>45855</v>
      </c>
      <c r="E7023" t="s">
        <v>19</v>
      </c>
      <c r="F7023">
        <v>3800</v>
      </c>
      <c r="J7023">
        <v>11</v>
      </c>
      <c r="K7023">
        <v>15.5</v>
      </c>
      <c r="L7023">
        <v>0</v>
      </c>
      <c r="M7023" t="s">
        <v>18</v>
      </c>
      <c r="N7023">
        <v>0</v>
      </c>
      <c r="O7023">
        <v>0</v>
      </c>
    </row>
    <row r="7024" spans="1:15" x14ac:dyDescent="0.2">
      <c r="A7024" s="6">
        <v>45783</v>
      </c>
      <c r="B7024" t="s">
        <v>15</v>
      </c>
      <c r="C7024" t="s">
        <v>16</v>
      </c>
      <c r="D7024" s="1">
        <v>45855</v>
      </c>
      <c r="E7024" t="s">
        <v>19</v>
      </c>
      <c r="F7024">
        <v>4500</v>
      </c>
      <c r="J7024">
        <v>111.2</v>
      </c>
      <c r="K7024">
        <v>144.9</v>
      </c>
      <c r="L7024">
        <v>0</v>
      </c>
      <c r="M7024" t="s">
        <v>18</v>
      </c>
      <c r="N7024">
        <v>0</v>
      </c>
      <c r="O7024">
        <v>0</v>
      </c>
    </row>
    <row r="7025" spans="1:15" x14ac:dyDescent="0.2">
      <c r="A7025" s="6">
        <v>45783</v>
      </c>
      <c r="B7025" t="s">
        <v>15</v>
      </c>
      <c r="C7025" t="s">
        <v>16</v>
      </c>
      <c r="D7025" s="1">
        <v>45855</v>
      </c>
      <c r="E7025" t="s">
        <v>19</v>
      </c>
      <c r="F7025">
        <v>5350</v>
      </c>
      <c r="J7025">
        <v>526.9</v>
      </c>
      <c r="K7025">
        <v>625.5</v>
      </c>
      <c r="L7025">
        <v>0</v>
      </c>
      <c r="M7025" t="s">
        <v>18</v>
      </c>
      <c r="N7025">
        <v>0</v>
      </c>
      <c r="O7025">
        <v>0</v>
      </c>
    </row>
    <row r="7026" spans="1:15" x14ac:dyDescent="0.2">
      <c r="A7026" s="6">
        <v>45783</v>
      </c>
      <c r="B7026" t="s">
        <v>15</v>
      </c>
      <c r="C7026" t="s">
        <v>16</v>
      </c>
      <c r="D7026" s="1">
        <v>45855</v>
      </c>
      <c r="E7026" t="s">
        <v>19</v>
      </c>
      <c r="F7026">
        <v>4400</v>
      </c>
      <c r="J7026">
        <v>85.9</v>
      </c>
      <c r="K7026">
        <v>113.2</v>
      </c>
      <c r="L7026">
        <v>0</v>
      </c>
      <c r="M7026" t="s">
        <v>18</v>
      </c>
      <c r="N7026">
        <v>0</v>
      </c>
      <c r="O7026">
        <v>0</v>
      </c>
    </row>
    <row r="7027" spans="1:15" x14ac:dyDescent="0.2">
      <c r="A7027" s="6">
        <v>45783</v>
      </c>
      <c r="B7027" t="s">
        <v>15</v>
      </c>
      <c r="C7027" t="s">
        <v>16</v>
      </c>
      <c r="D7027" s="1">
        <v>45855</v>
      </c>
      <c r="E7027" t="s">
        <v>17</v>
      </c>
      <c r="F7027">
        <v>6350</v>
      </c>
      <c r="J7027">
        <v>22.8</v>
      </c>
      <c r="K7027">
        <v>11.8</v>
      </c>
      <c r="L7027">
        <v>0</v>
      </c>
      <c r="M7027" t="s">
        <v>18</v>
      </c>
      <c r="N7027">
        <v>0</v>
      </c>
      <c r="O7027">
        <v>0</v>
      </c>
    </row>
    <row r="7028" spans="1:15" x14ac:dyDescent="0.2">
      <c r="A7028" s="6">
        <v>45783</v>
      </c>
      <c r="B7028" t="s">
        <v>15</v>
      </c>
      <c r="C7028" t="s">
        <v>16</v>
      </c>
      <c r="D7028" s="1">
        <v>45855</v>
      </c>
      <c r="E7028" t="s">
        <v>17</v>
      </c>
      <c r="F7028">
        <v>4050</v>
      </c>
      <c r="J7028">
        <v>956.3</v>
      </c>
      <c r="K7028">
        <v>812</v>
      </c>
      <c r="L7028">
        <v>0</v>
      </c>
      <c r="M7028" t="s">
        <v>18</v>
      </c>
      <c r="N7028">
        <v>0</v>
      </c>
      <c r="O7028">
        <v>0</v>
      </c>
    </row>
    <row r="7029" spans="1:15" x14ac:dyDescent="0.2">
      <c r="A7029" s="6">
        <v>45783</v>
      </c>
      <c r="B7029" t="s">
        <v>15</v>
      </c>
      <c r="C7029" t="s">
        <v>16</v>
      </c>
      <c r="D7029" s="1">
        <v>45855</v>
      </c>
      <c r="E7029" t="s">
        <v>17</v>
      </c>
      <c r="F7029">
        <v>4000</v>
      </c>
      <c r="J7029">
        <v>1000.8</v>
      </c>
      <c r="K7029">
        <v>855</v>
      </c>
      <c r="L7029">
        <v>0</v>
      </c>
      <c r="M7029" t="s">
        <v>18</v>
      </c>
      <c r="N7029">
        <v>0</v>
      </c>
      <c r="O7029">
        <v>0</v>
      </c>
    </row>
    <row r="7030" spans="1:15" x14ac:dyDescent="0.2">
      <c r="A7030" s="6">
        <v>45783</v>
      </c>
      <c r="B7030" t="s">
        <v>15</v>
      </c>
      <c r="C7030" t="s">
        <v>16</v>
      </c>
      <c r="D7030" s="1">
        <v>45855</v>
      </c>
      <c r="E7030" t="s">
        <v>19</v>
      </c>
      <c r="F7030">
        <v>4650</v>
      </c>
      <c r="J7030">
        <v>158.19999999999999</v>
      </c>
      <c r="K7030">
        <v>202.4</v>
      </c>
      <c r="L7030">
        <v>0</v>
      </c>
      <c r="M7030" t="s">
        <v>18</v>
      </c>
      <c r="N7030">
        <v>0</v>
      </c>
      <c r="O7030">
        <v>0</v>
      </c>
    </row>
    <row r="7031" spans="1:15" x14ac:dyDescent="0.2">
      <c r="A7031" s="6">
        <v>45783</v>
      </c>
      <c r="B7031" t="s">
        <v>15</v>
      </c>
      <c r="C7031" t="s">
        <v>16</v>
      </c>
      <c r="D7031" s="1">
        <v>45855</v>
      </c>
      <c r="E7031" t="s">
        <v>17</v>
      </c>
      <c r="F7031">
        <v>4550</v>
      </c>
      <c r="J7031">
        <v>559.1</v>
      </c>
      <c r="K7031">
        <v>441</v>
      </c>
      <c r="L7031">
        <v>0</v>
      </c>
      <c r="M7031" t="s">
        <v>18</v>
      </c>
      <c r="N7031">
        <v>0</v>
      </c>
      <c r="O7031">
        <v>0</v>
      </c>
    </row>
    <row r="7032" spans="1:15" x14ac:dyDescent="0.2">
      <c r="A7032" s="6">
        <v>45783</v>
      </c>
      <c r="B7032" t="s">
        <v>15</v>
      </c>
      <c r="C7032" t="s">
        <v>16</v>
      </c>
      <c r="D7032" s="1">
        <v>45855</v>
      </c>
      <c r="E7032" t="s">
        <v>17</v>
      </c>
      <c r="F7032">
        <v>5450</v>
      </c>
      <c r="J7032">
        <v>142.9</v>
      </c>
      <c r="K7032">
        <v>93.5</v>
      </c>
      <c r="L7032">
        <v>0</v>
      </c>
      <c r="M7032" t="s">
        <v>18</v>
      </c>
      <c r="N7032">
        <v>0</v>
      </c>
      <c r="O7032">
        <v>0</v>
      </c>
    </row>
    <row r="7033" spans="1:15" x14ac:dyDescent="0.2">
      <c r="A7033" s="6">
        <v>45783</v>
      </c>
      <c r="B7033" t="s">
        <v>15</v>
      </c>
      <c r="C7033" t="s">
        <v>16</v>
      </c>
      <c r="D7033" s="1">
        <v>45855</v>
      </c>
      <c r="E7033" t="s">
        <v>17</v>
      </c>
      <c r="F7033">
        <v>5800</v>
      </c>
      <c r="J7033">
        <v>73.7</v>
      </c>
      <c r="K7033">
        <v>44.2</v>
      </c>
      <c r="L7033">
        <v>0</v>
      </c>
      <c r="M7033" t="s">
        <v>18</v>
      </c>
      <c r="N7033">
        <v>0</v>
      </c>
      <c r="O7033">
        <v>0</v>
      </c>
    </row>
    <row r="7034" spans="1:15" x14ac:dyDescent="0.2">
      <c r="A7034" s="6">
        <v>45783</v>
      </c>
      <c r="B7034" t="s">
        <v>15</v>
      </c>
      <c r="C7034" t="s">
        <v>16</v>
      </c>
      <c r="D7034" s="1">
        <v>45855</v>
      </c>
      <c r="E7034" t="s">
        <v>17</v>
      </c>
      <c r="F7034">
        <v>5150</v>
      </c>
      <c r="J7034">
        <v>238.3</v>
      </c>
      <c r="K7034">
        <v>167</v>
      </c>
      <c r="L7034">
        <v>0</v>
      </c>
      <c r="M7034" t="s">
        <v>18</v>
      </c>
      <c r="N7034">
        <v>0</v>
      </c>
      <c r="O7034">
        <v>0</v>
      </c>
    </row>
    <row r="7035" spans="1:15" x14ac:dyDescent="0.2">
      <c r="A7035" s="6">
        <v>45783</v>
      </c>
      <c r="B7035" t="s">
        <v>15</v>
      </c>
      <c r="C7035" t="s">
        <v>16</v>
      </c>
      <c r="D7035" s="1">
        <v>45855</v>
      </c>
      <c r="E7035" t="s">
        <v>17</v>
      </c>
      <c r="F7035">
        <v>6250</v>
      </c>
      <c r="J7035">
        <v>28.6</v>
      </c>
      <c r="K7035">
        <v>15.2</v>
      </c>
      <c r="L7035">
        <v>0</v>
      </c>
      <c r="M7035" t="s">
        <v>18</v>
      </c>
      <c r="N7035">
        <v>0</v>
      </c>
      <c r="O7035">
        <v>0</v>
      </c>
    </row>
    <row r="7036" spans="1:15" x14ac:dyDescent="0.2">
      <c r="A7036" s="6">
        <v>45783</v>
      </c>
      <c r="B7036" t="s">
        <v>15</v>
      </c>
      <c r="C7036" t="s">
        <v>16</v>
      </c>
      <c r="D7036" s="1">
        <v>45855</v>
      </c>
      <c r="E7036" t="s">
        <v>17</v>
      </c>
      <c r="F7036">
        <v>5050</v>
      </c>
      <c r="J7036">
        <v>279.10000000000002</v>
      </c>
      <c r="K7036">
        <v>199.9</v>
      </c>
      <c r="L7036">
        <v>0</v>
      </c>
      <c r="M7036" t="s">
        <v>18</v>
      </c>
      <c r="N7036">
        <v>0</v>
      </c>
      <c r="O7036">
        <v>0</v>
      </c>
    </row>
    <row r="7037" spans="1:15" x14ac:dyDescent="0.2">
      <c r="A7037" s="6">
        <v>45783</v>
      </c>
      <c r="B7037" t="s">
        <v>15</v>
      </c>
      <c r="C7037" t="s">
        <v>16</v>
      </c>
      <c r="D7037" s="1">
        <v>45855</v>
      </c>
      <c r="E7037" t="s">
        <v>19</v>
      </c>
      <c r="F7037">
        <v>6250</v>
      </c>
      <c r="J7037">
        <v>1273.5999999999999</v>
      </c>
      <c r="K7037">
        <v>1415</v>
      </c>
      <c r="L7037">
        <v>0</v>
      </c>
      <c r="M7037" t="s">
        <v>18</v>
      </c>
      <c r="N7037">
        <v>0</v>
      </c>
      <c r="O7037">
        <v>0</v>
      </c>
    </row>
    <row r="7038" spans="1:15" x14ac:dyDescent="0.2">
      <c r="A7038" s="6">
        <v>45783</v>
      </c>
      <c r="B7038" t="s">
        <v>15</v>
      </c>
      <c r="C7038" t="s">
        <v>16</v>
      </c>
      <c r="D7038" s="1">
        <v>45855</v>
      </c>
      <c r="E7038" t="s">
        <v>19</v>
      </c>
      <c r="F7038">
        <v>5150</v>
      </c>
      <c r="J7038">
        <v>397.3</v>
      </c>
      <c r="K7038">
        <v>480.9</v>
      </c>
      <c r="L7038">
        <v>0</v>
      </c>
      <c r="M7038" t="s">
        <v>18</v>
      </c>
      <c r="N7038">
        <v>0</v>
      </c>
      <c r="O7038">
        <v>0</v>
      </c>
    </row>
    <row r="7039" spans="1:15" x14ac:dyDescent="0.2">
      <c r="A7039" s="6">
        <v>45783</v>
      </c>
      <c r="B7039" t="s">
        <v>15</v>
      </c>
      <c r="C7039" t="s">
        <v>16</v>
      </c>
      <c r="D7039" s="1">
        <v>45855</v>
      </c>
      <c r="E7039" t="s">
        <v>17</v>
      </c>
      <c r="F7039">
        <v>4500</v>
      </c>
      <c r="J7039">
        <v>594</v>
      </c>
      <c r="K7039">
        <v>472.6</v>
      </c>
      <c r="L7039">
        <v>0</v>
      </c>
      <c r="M7039" t="s">
        <v>18</v>
      </c>
      <c r="N7039">
        <v>0</v>
      </c>
      <c r="O7039">
        <v>0</v>
      </c>
    </row>
    <row r="7040" spans="1:15" x14ac:dyDescent="0.2">
      <c r="A7040" s="6">
        <v>45783</v>
      </c>
      <c r="B7040" t="s">
        <v>15</v>
      </c>
      <c r="C7040" t="s">
        <v>16</v>
      </c>
      <c r="D7040" s="1">
        <v>45855</v>
      </c>
      <c r="E7040" t="s">
        <v>17</v>
      </c>
      <c r="F7040">
        <v>5500</v>
      </c>
      <c r="J7040">
        <v>130.5</v>
      </c>
      <c r="K7040">
        <v>84.4</v>
      </c>
      <c r="L7040">
        <v>0</v>
      </c>
      <c r="M7040" t="s">
        <v>18</v>
      </c>
      <c r="N7040">
        <v>0</v>
      </c>
      <c r="O7040">
        <v>0</v>
      </c>
    </row>
    <row r="7041" spans="1:15" x14ac:dyDescent="0.2">
      <c r="A7041" s="6">
        <v>45783</v>
      </c>
      <c r="B7041" t="s">
        <v>15</v>
      </c>
      <c r="C7041" t="s">
        <v>16</v>
      </c>
      <c r="D7041" s="1">
        <v>45855</v>
      </c>
      <c r="E7041" t="s">
        <v>17</v>
      </c>
      <c r="F7041">
        <v>4250</v>
      </c>
      <c r="J7041">
        <v>785.7</v>
      </c>
      <c r="K7041">
        <v>649.70000000000005</v>
      </c>
      <c r="L7041">
        <v>0</v>
      </c>
      <c r="M7041" t="s">
        <v>18</v>
      </c>
      <c r="N7041">
        <v>0</v>
      </c>
      <c r="O7041">
        <v>0</v>
      </c>
    </row>
    <row r="7042" spans="1:15" x14ac:dyDescent="0.2">
      <c r="A7042" s="6">
        <v>45783</v>
      </c>
      <c r="B7042" t="s">
        <v>15</v>
      </c>
      <c r="C7042" t="s">
        <v>16</v>
      </c>
      <c r="D7042" s="1">
        <v>45855</v>
      </c>
      <c r="E7042" t="s">
        <v>17</v>
      </c>
      <c r="F7042">
        <v>4150</v>
      </c>
      <c r="J7042">
        <v>869.3</v>
      </c>
      <c r="K7042">
        <v>728.8</v>
      </c>
      <c r="L7042">
        <v>0</v>
      </c>
      <c r="M7042" t="s">
        <v>18</v>
      </c>
      <c r="N7042">
        <v>0</v>
      </c>
      <c r="O7042">
        <v>0</v>
      </c>
    </row>
    <row r="7043" spans="1:15" x14ac:dyDescent="0.2">
      <c r="A7043" s="6">
        <v>45783</v>
      </c>
      <c r="B7043" t="s">
        <v>15</v>
      </c>
      <c r="C7043" t="s">
        <v>16</v>
      </c>
      <c r="D7043" s="1">
        <v>45855</v>
      </c>
      <c r="E7043" t="s">
        <v>17</v>
      </c>
      <c r="F7043">
        <v>5900</v>
      </c>
      <c r="J7043">
        <v>60.2</v>
      </c>
      <c r="K7043">
        <v>35.200000000000003</v>
      </c>
      <c r="L7043">
        <v>0</v>
      </c>
      <c r="M7043" t="s">
        <v>18</v>
      </c>
      <c r="N7043">
        <v>0</v>
      </c>
      <c r="O7043">
        <v>0</v>
      </c>
    </row>
    <row r="7044" spans="1:15" x14ac:dyDescent="0.2">
      <c r="A7044" s="6">
        <v>45783</v>
      </c>
      <c r="B7044" t="s">
        <v>15</v>
      </c>
      <c r="C7044" t="s">
        <v>16</v>
      </c>
      <c r="D7044" s="1">
        <v>45855</v>
      </c>
      <c r="E7044" t="s">
        <v>17</v>
      </c>
      <c r="F7044">
        <v>5200</v>
      </c>
      <c r="J7044">
        <v>219.7</v>
      </c>
      <c r="K7044">
        <v>152.19999999999999</v>
      </c>
      <c r="L7044">
        <v>0</v>
      </c>
      <c r="M7044" t="s">
        <v>18</v>
      </c>
      <c r="N7044">
        <v>0</v>
      </c>
      <c r="O7044">
        <v>0</v>
      </c>
    </row>
    <row r="7045" spans="1:15" x14ac:dyDescent="0.2">
      <c r="A7045" s="6">
        <v>45783</v>
      </c>
      <c r="B7045" t="s">
        <v>15</v>
      </c>
      <c r="C7045" t="s">
        <v>16</v>
      </c>
      <c r="D7045" s="1">
        <v>45855</v>
      </c>
      <c r="E7045" t="s">
        <v>17</v>
      </c>
      <c r="F7045">
        <v>3950</v>
      </c>
      <c r="J7045">
        <v>1046</v>
      </c>
      <c r="K7045">
        <v>898.7</v>
      </c>
      <c r="L7045">
        <v>0</v>
      </c>
      <c r="M7045" t="s">
        <v>18</v>
      </c>
      <c r="N7045">
        <v>0</v>
      </c>
      <c r="O7045">
        <v>0</v>
      </c>
    </row>
    <row r="7046" spans="1:15" x14ac:dyDescent="0.2">
      <c r="A7046" s="6">
        <v>45783</v>
      </c>
      <c r="B7046" t="s">
        <v>15</v>
      </c>
      <c r="C7046" t="s">
        <v>16</v>
      </c>
      <c r="D7046" s="1">
        <v>45855</v>
      </c>
      <c r="E7046" t="s">
        <v>19</v>
      </c>
      <c r="F7046">
        <v>6350</v>
      </c>
      <c r="J7046">
        <v>1366.6</v>
      </c>
      <c r="K7046">
        <v>1510.4</v>
      </c>
      <c r="L7046">
        <v>0</v>
      </c>
      <c r="M7046" t="s">
        <v>18</v>
      </c>
      <c r="N7046">
        <v>0</v>
      </c>
      <c r="O7046">
        <v>0</v>
      </c>
    </row>
    <row r="7047" spans="1:15" x14ac:dyDescent="0.2">
      <c r="A7047" s="6">
        <v>45783</v>
      </c>
      <c r="B7047" t="s">
        <v>15</v>
      </c>
      <c r="C7047" t="s">
        <v>16</v>
      </c>
      <c r="D7047" s="1">
        <v>45855</v>
      </c>
      <c r="E7047" t="s">
        <v>19</v>
      </c>
      <c r="F7047">
        <v>5650</v>
      </c>
      <c r="J7047">
        <v>751.3</v>
      </c>
      <c r="K7047">
        <v>869</v>
      </c>
      <c r="L7047">
        <v>0</v>
      </c>
      <c r="M7047" t="s">
        <v>18</v>
      </c>
      <c r="N7047">
        <v>0</v>
      </c>
      <c r="O7047">
        <v>0</v>
      </c>
    </row>
    <row r="7048" spans="1:15" x14ac:dyDescent="0.2">
      <c r="A7048" s="6">
        <v>45783</v>
      </c>
      <c r="B7048" t="s">
        <v>15</v>
      </c>
      <c r="C7048" t="s">
        <v>16</v>
      </c>
      <c r="D7048" s="1">
        <v>45855</v>
      </c>
      <c r="E7048" t="s">
        <v>19</v>
      </c>
      <c r="F7048">
        <v>4000</v>
      </c>
      <c r="J7048">
        <v>24.3</v>
      </c>
      <c r="K7048">
        <v>33.6</v>
      </c>
      <c r="L7048">
        <v>0</v>
      </c>
      <c r="M7048" t="s">
        <v>18</v>
      </c>
      <c r="N7048">
        <v>0</v>
      </c>
      <c r="O7048">
        <v>0</v>
      </c>
    </row>
    <row r="7049" spans="1:15" x14ac:dyDescent="0.2">
      <c r="A7049" s="6">
        <v>45783</v>
      </c>
      <c r="B7049" t="s">
        <v>15</v>
      </c>
      <c r="C7049" t="s">
        <v>16</v>
      </c>
      <c r="D7049" s="1">
        <v>45855</v>
      </c>
      <c r="E7049" t="s">
        <v>19</v>
      </c>
      <c r="F7049">
        <v>5600</v>
      </c>
      <c r="J7049">
        <v>711.8</v>
      </c>
      <c r="K7049">
        <v>826.6</v>
      </c>
      <c r="L7049">
        <v>0</v>
      </c>
      <c r="M7049" t="s">
        <v>18</v>
      </c>
      <c r="N7049">
        <v>0</v>
      </c>
      <c r="O7049">
        <v>0</v>
      </c>
    </row>
    <row r="7050" spans="1:15" x14ac:dyDescent="0.2">
      <c r="A7050" s="6">
        <v>45783</v>
      </c>
      <c r="B7050" t="s">
        <v>15</v>
      </c>
      <c r="C7050" t="s">
        <v>16</v>
      </c>
      <c r="D7050" s="1">
        <v>45855</v>
      </c>
      <c r="E7050" t="s">
        <v>17</v>
      </c>
      <c r="F7050">
        <v>6100</v>
      </c>
      <c r="J7050">
        <v>39.6</v>
      </c>
      <c r="K7050">
        <v>22</v>
      </c>
      <c r="L7050">
        <v>0</v>
      </c>
      <c r="M7050" t="s">
        <v>18</v>
      </c>
      <c r="N7050">
        <v>0</v>
      </c>
      <c r="O7050">
        <v>0</v>
      </c>
    </row>
    <row r="7051" spans="1:15" x14ac:dyDescent="0.2">
      <c r="A7051" s="6">
        <v>45783</v>
      </c>
      <c r="B7051" t="s">
        <v>15</v>
      </c>
      <c r="C7051" t="s">
        <v>16</v>
      </c>
      <c r="D7051" s="1">
        <v>45855</v>
      </c>
      <c r="E7051" t="s">
        <v>19</v>
      </c>
      <c r="F7051">
        <v>4850</v>
      </c>
      <c r="J7051">
        <v>238.5</v>
      </c>
      <c r="K7051">
        <v>298.10000000000002</v>
      </c>
      <c r="L7051">
        <v>0</v>
      </c>
      <c r="M7051" t="s">
        <v>18</v>
      </c>
      <c r="N7051">
        <v>0</v>
      </c>
      <c r="O7051">
        <v>0</v>
      </c>
    </row>
    <row r="7052" spans="1:15" x14ac:dyDescent="0.2">
      <c r="A7052" s="6">
        <v>45783</v>
      </c>
      <c r="B7052" t="s">
        <v>15</v>
      </c>
      <c r="C7052" t="s">
        <v>16</v>
      </c>
      <c r="D7052" s="1">
        <v>45855</v>
      </c>
      <c r="E7052" t="s">
        <v>17</v>
      </c>
      <c r="F7052">
        <v>5350</v>
      </c>
      <c r="J7052">
        <v>170.5</v>
      </c>
      <c r="K7052">
        <v>114.2</v>
      </c>
      <c r="L7052">
        <v>0</v>
      </c>
      <c r="M7052" t="s">
        <v>18</v>
      </c>
      <c r="N7052">
        <v>0</v>
      </c>
      <c r="O7052">
        <v>0</v>
      </c>
    </row>
    <row r="7053" spans="1:15" x14ac:dyDescent="0.2">
      <c r="A7053" s="6">
        <v>45783</v>
      </c>
      <c r="B7053" t="s">
        <v>15</v>
      </c>
      <c r="C7053" t="s">
        <v>16</v>
      </c>
      <c r="D7053" s="1">
        <v>45855</v>
      </c>
      <c r="E7053" t="s">
        <v>19</v>
      </c>
      <c r="F7053">
        <v>3650</v>
      </c>
      <c r="J7053">
        <v>5.5</v>
      </c>
      <c r="K7053">
        <v>7.9</v>
      </c>
      <c r="L7053">
        <v>0</v>
      </c>
      <c r="M7053" t="s">
        <v>18</v>
      </c>
      <c r="N7053">
        <v>0</v>
      </c>
      <c r="O7053">
        <v>0</v>
      </c>
    </row>
    <row r="7054" spans="1:15" x14ac:dyDescent="0.2">
      <c r="A7054" s="6">
        <v>45783</v>
      </c>
      <c r="B7054" t="s">
        <v>15</v>
      </c>
      <c r="C7054" t="s">
        <v>16</v>
      </c>
      <c r="D7054" s="1">
        <v>45855</v>
      </c>
      <c r="E7054" t="s">
        <v>17</v>
      </c>
      <c r="F7054">
        <v>4600</v>
      </c>
      <c r="J7054">
        <v>525.4</v>
      </c>
      <c r="K7054">
        <v>410.8</v>
      </c>
      <c r="L7054">
        <v>0</v>
      </c>
      <c r="M7054" t="s">
        <v>18</v>
      </c>
      <c r="N7054">
        <v>0</v>
      </c>
      <c r="O7054">
        <v>0</v>
      </c>
    </row>
    <row r="7055" spans="1:15" x14ac:dyDescent="0.2">
      <c r="A7055" s="6">
        <v>45783</v>
      </c>
      <c r="B7055" t="s">
        <v>15</v>
      </c>
      <c r="C7055" t="s">
        <v>16</v>
      </c>
      <c r="D7055" s="1">
        <v>45855</v>
      </c>
      <c r="E7055" t="s">
        <v>19</v>
      </c>
      <c r="F7055">
        <v>3950</v>
      </c>
      <c r="J7055">
        <v>20.2</v>
      </c>
      <c r="K7055">
        <v>28.1</v>
      </c>
      <c r="L7055">
        <v>0</v>
      </c>
      <c r="M7055" t="s">
        <v>18</v>
      </c>
      <c r="N7055">
        <v>0</v>
      </c>
      <c r="O7055">
        <v>0</v>
      </c>
    </row>
    <row r="7056" spans="1:15" x14ac:dyDescent="0.2">
      <c r="A7056" s="6">
        <v>45783</v>
      </c>
      <c r="B7056" t="s">
        <v>15</v>
      </c>
      <c r="C7056" t="s">
        <v>16</v>
      </c>
      <c r="D7056" s="1">
        <v>45855</v>
      </c>
      <c r="E7056" t="s">
        <v>17</v>
      </c>
      <c r="F7056">
        <v>6400</v>
      </c>
      <c r="J7056">
        <v>20.399999999999999</v>
      </c>
      <c r="K7056">
        <v>10.4</v>
      </c>
      <c r="L7056">
        <v>0</v>
      </c>
      <c r="M7056" t="s">
        <v>18</v>
      </c>
      <c r="N7056">
        <v>0</v>
      </c>
      <c r="O7056">
        <v>0</v>
      </c>
    </row>
    <row r="7057" spans="1:15" x14ac:dyDescent="0.2">
      <c r="A7057" s="6">
        <v>45783</v>
      </c>
      <c r="B7057" t="s">
        <v>15</v>
      </c>
      <c r="C7057" t="s">
        <v>16</v>
      </c>
      <c r="D7057" s="1">
        <v>45855</v>
      </c>
      <c r="E7057" t="s">
        <v>19</v>
      </c>
      <c r="F7057">
        <v>5550</v>
      </c>
      <c r="J7057">
        <v>673</v>
      </c>
      <c r="K7057">
        <v>784.8</v>
      </c>
      <c r="L7057">
        <v>0</v>
      </c>
      <c r="M7057" t="s">
        <v>18</v>
      </c>
      <c r="N7057">
        <v>0</v>
      </c>
      <c r="O7057">
        <v>0</v>
      </c>
    </row>
    <row r="7058" spans="1:15" x14ac:dyDescent="0.2">
      <c r="A7058" s="6">
        <v>45783</v>
      </c>
      <c r="B7058" t="s">
        <v>15</v>
      </c>
      <c r="C7058" t="s">
        <v>16</v>
      </c>
      <c r="D7058" s="1">
        <v>45855</v>
      </c>
      <c r="E7058" t="s">
        <v>19</v>
      </c>
      <c r="F7058">
        <v>6300</v>
      </c>
      <c r="J7058">
        <v>1320</v>
      </c>
      <c r="K7058">
        <v>1462.6</v>
      </c>
      <c r="L7058">
        <v>0</v>
      </c>
      <c r="M7058" t="s">
        <v>18</v>
      </c>
      <c r="N7058">
        <v>0</v>
      </c>
      <c r="O7058">
        <v>0</v>
      </c>
    </row>
    <row r="7059" spans="1:15" x14ac:dyDescent="0.2">
      <c r="A7059" s="6">
        <v>45783</v>
      </c>
      <c r="B7059" t="s">
        <v>15</v>
      </c>
      <c r="C7059" t="s">
        <v>16</v>
      </c>
      <c r="D7059" s="1">
        <v>45855</v>
      </c>
      <c r="E7059" t="s">
        <v>17</v>
      </c>
      <c r="F7059">
        <v>6600</v>
      </c>
      <c r="J7059">
        <v>12.8</v>
      </c>
      <c r="K7059">
        <v>6.2</v>
      </c>
      <c r="L7059">
        <v>0</v>
      </c>
      <c r="M7059" t="s">
        <v>18</v>
      </c>
      <c r="N7059">
        <v>0</v>
      </c>
      <c r="O7059">
        <v>0</v>
      </c>
    </row>
    <row r="7060" spans="1:15" x14ac:dyDescent="0.2">
      <c r="A7060" s="6">
        <v>45783</v>
      </c>
      <c r="B7060" t="s">
        <v>15</v>
      </c>
      <c r="C7060" t="s">
        <v>16</v>
      </c>
      <c r="D7060" s="1">
        <v>45855</v>
      </c>
      <c r="E7060" t="s">
        <v>19</v>
      </c>
      <c r="F7060">
        <v>6000</v>
      </c>
      <c r="J7060">
        <v>1047.2</v>
      </c>
      <c r="K7060">
        <v>1180.9000000000001</v>
      </c>
      <c r="L7060">
        <v>0</v>
      </c>
      <c r="M7060" t="s">
        <v>18</v>
      </c>
      <c r="N7060">
        <v>0</v>
      </c>
      <c r="O7060">
        <v>0</v>
      </c>
    </row>
    <row r="7061" spans="1:15" x14ac:dyDescent="0.2">
      <c r="A7061" s="6">
        <v>45783</v>
      </c>
      <c r="B7061" t="s">
        <v>15</v>
      </c>
      <c r="C7061" t="s">
        <v>16</v>
      </c>
      <c r="D7061" s="1">
        <v>45855</v>
      </c>
      <c r="E7061" t="s">
        <v>19</v>
      </c>
      <c r="F7061">
        <v>5850</v>
      </c>
      <c r="J7061">
        <v>916.7</v>
      </c>
      <c r="K7061">
        <v>1044.4000000000001</v>
      </c>
      <c r="L7061">
        <v>0</v>
      </c>
      <c r="M7061" t="s">
        <v>18</v>
      </c>
      <c r="N7061">
        <v>0</v>
      </c>
      <c r="O7061">
        <v>0</v>
      </c>
    </row>
    <row r="7062" spans="1:15" x14ac:dyDescent="0.2">
      <c r="A7062" s="6">
        <v>45783</v>
      </c>
      <c r="B7062" t="s">
        <v>15</v>
      </c>
      <c r="C7062" t="s">
        <v>16</v>
      </c>
      <c r="D7062" s="1">
        <v>45855</v>
      </c>
      <c r="E7062" t="s">
        <v>17</v>
      </c>
      <c r="F7062">
        <v>5850</v>
      </c>
      <c r="J7062">
        <v>66.599999999999994</v>
      </c>
      <c r="K7062">
        <v>39.5</v>
      </c>
      <c r="L7062">
        <v>0</v>
      </c>
      <c r="M7062" t="s">
        <v>18</v>
      </c>
      <c r="N7062">
        <v>0</v>
      </c>
      <c r="O7062">
        <v>0</v>
      </c>
    </row>
    <row r="7063" spans="1:15" x14ac:dyDescent="0.2">
      <c r="A7063" s="6">
        <v>45783</v>
      </c>
      <c r="B7063" t="s">
        <v>15</v>
      </c>
      <c r="C7063" t="s">
        <v>16</v>
      </c>
      <c r="D7063" s="1">
        <v>45855</v>
      </c>
      <c r="E7063" t="s">
        <v>19</v>
      </c>
      <c r="F7063">
        <v>3850</v>
      </c>
      <c r="J7063">
        <v>13.6</v>
      </c>
      <c r="K7063">
        <v>19.100000000000001</v>
      </c>
      <c r="L7063">
        <v>0</v>
      </c>
      <c r="M7063" t="s">
        <v>18</v>
      </c>
      <c r="N7063">
        <v>0</v>
      </c>
      <c r="O7063">
        <v>0</v>
      </c>
    </row>
    <row r="7064" spans="1:15" x14ac:dyDescent="0.2">
      <c r="A7064" s="6">
        <v>45783</v>
      </c>
      <c r="B7064" t="s">
        <v>15</v>
      </c>
      <c r="C7064" t="s">
        <v>16</v>
      </c>
      <c r="D7064" s="1">
        <v>45855</v>
      </c>
      <c r="E7064" t="s">
        <v>19</v>
      </c>
      <c r="F7064">
        <v>6500</v>
      </c>
      <c r="J7064">
        <v>1508.1</v>
      </c>
      <c r="K7064">
        <v>1654.6</v>
      </c>
      <c r="L7064">
        <v>0</v>
      </c>
      <c r="M7064" t="s">
        <v>18</v>
      </c>
      <c r="N7064">
        <v>0</v>
      </c>
      <c r="O7064">
        <v>0</v>
      </c>
    </row>
    <row r="7065" spans="1:15" x14ac:dyDescent="0.2">
      <c r="A7065" s="6">
        <v>45783</v>
      </c>
      <c r="B7065" t="s">
        <v>15</v>
      </c>
      <c r="C7065" t="s">
        <v>16</v>
      </c>
      <c r="D7065" s="1">
        <v>45855</v>
      </c>
      <c r="E7065" t="s">
        <v>19</v>
      </c>
      <c r="F7065">
        <v>4350</v>
      </c>
      <c r="J7065">
        <v>74.900000000000006</v>
      </c>
      <c r="K7065">
        <v>99.3</v>
      </c>
      <c r="L7065">
        <v>0</v>
      </c>
      <c r="M7065" t="s">
        <v>18</v>
      </c>
      <c r="N7065">
        <v>0</v>
      </c>
      <c r="O7065">
        <v>0</v>
      </c>
    </row>
    <row r="7066" spans="1:15" x14ac:dyDescent="0.2">
      <c r="A7066" s="6">
        <v>45783</v>
      </c>
      <c r="B7066" t="s">
        <v>15</v>
      </c>
      <c r="C7066" t="s">
        <v>16</v>
      </c>
      <c r="D7066" s="1">
        <v>45855</v>
      </c>
      <c r="E7066" t="s">
        <v>19</v>
      </c>
      <c r="F7066">
        <v>4750</v>
      </c>
      <c r="J7066">
        <v>195.7</v>
      </c>
      <c r="K7066">
        <v>247.5</v>
      </c>
      <c r="L7066">
        <v>0</v>
      </c>
      <c r="M7066" t="s">
        <v>18</v>
      </c>
      <c r="N7066">
        <v>0</v>
      </c>
      <c r="O7066">
        <v>0</v>
      </c>
    </row>
    <row r="7067" spans="1:15" x14ac:dyDescent="0.2">
      <c r="A7067" s="6">
        <v>45783</v>
      </c>
      <c r="B7067" t="s">
        <v>15</v>
      </c>
      <c r="C7067" t="s">
        <v>16</v>
      </c>
      <c r="D7067" s="1">
        <v>45855</v>
      </c>
      <c r="E7067" t="s">
        <v>17</v>
      </c>
      <c r="F7067">
        <v>6150</v>
      </c>
      <c r="J7067">
        <v>35.6</v>
      </c>
      <c r="K7067">
        <v>19.5</v>
      </c>
      <c r="L7067">
        <v>0</v>
      </c>
      <c r="M7067" t="s">
        <v>18</v>
      </c>
      <c r="N7067">
        <v>0</v>
      </c>
      <c r="O7067">
        <v>0</v>
      </c>
    </row>
    <row r="7068" spans="1:15" x14ac:dyDescent="0.2">
      <c r="A7068" s="6">
        <v>45783</v>
      </c>
      <c r="B7068" t="s">
        <v>15</v>
      </c>
      <c r="C7068" t="s">
        <v>16</v>
      </c>
      <c r="D7068" s="1">
        <v>45855</v>
      </c>
      <c r="E7068" t="s">
        <v>17</v>
      </c>
      <c r="F7068">
        <v>5400</v>
      </c>
      <c r="J7068">
        <v>156.19999999999999</v>
      </c>
      <c r="K7068">
        <v>103.4</v>
      </c>
      <c r="L7068">
        <v>0</v>
      </c>
      <c r="M7068" t="s">
        <v>18</v>
      </c>
      <c r="N7068">
        <v>0</v>
      </c>
      <c r="O7068">
        <v>0</v>
      </c>
    </row>
    <row r="7069" spans="1:15" x14ac:dyDescent="0.2">
      <c r="A7069" s="6">
        <v>45783</v>
      </c>
      <c r="B7069" t="s">
        <v>15</v>
      </c>
      <c r="C7069" t="s">
        <v>16</v>
      </c>
      <c r="D7069" s="1">
        <v>45855</v>
      </c>
      <c r="E7069" t="s">
        <v>19</v>
      </c>
      <c r="F7069">
        <v>6600</v>
      </c>
      <c r="J7069">
        <v>1603.5</v>
      </c>
      <c r="K7069">
        <v>1751.5</v>
      </c>
      <c r="L7069">
        <v>0</v>
      </c>
      <c r="M7069" t="s">
        <v>18</v>
      </c>
      <c r="N7069">
        <v>0</v>
      </c>
      <c r="O7069">
        <v>0</v>
      </c>
    </row>
    <row r="7070" spans="1:15" x14ac:dyDescent="0.2">
      <c r="A7070" s="6">
        <v>45783</v>
      </c>
      <c r="B7070" t="s">
        <v>15</v>
      </c>
      <c r="C7070" t="s">
        <v>16</v>
      </c>
      <c r="D7070" s="1">
        <v>45855</v>
      </c>
      <c r="E7070" t="s">
        <v>19</v>
      </c>
      <c r="F7070">
        <v>6450</v>
      </c>
      <c r="J7070">
        <v>1460.7</v>
      </c>
      <c r="K7070">
        <v>1606.4</v>
      </c>
      <c r="L7070">
        <v>0</v>
      </c>
      <c r="M7070" t="s">
        <v>18</v>
      </c>
      <c r="N7070">
        <v>0</v>
      </c>
      <c r="O7070">
        <v>0</v>
      </c>
    </row>
    <row r="7071" spans="1:15" x14ac:dyDescent="0.2">
      <c r="A7071" s="6">
        <v>45783</v>
      </c>
      <c r="B7071" t="s">
        <v>15</v>
      </c>
      <c r="C7071" t="s">
        <v>16</v>
      </c>
      <c r="D7071" s="1">
        <v>45855</v>
      </c>
      <c r="E7071" t="s">
        <v>17</v>
      </c>
      <c r="F7071">
        <v>4300</v>
      </c>
      <c r="J7071">
        <v>745.2</v>
      </c>
      <c r="K7071">
        <v>611.79999999999995</v>
      </c>
      <c r="L7071">
        <v>0</v>
      </c>
      <c r="M7071" t="s">
        <v>18</v>
      </c>
      <c r="N7071">
        <v>0</v>
      </c>
      <c r="O7071">
        <v>0</v>
      </c>
    </row>
    <row r="7072" spans="1:15" x14ac:dyDescent="0.2">
      <c r="A7072" s="6">
        <v>45783</v>
      </c>
      <c r="B7072" t="s">
        <v>15</v>
      </c>
      <c r="C7072" t="s">
        <v>16</v>
      </c>
      <c r="D7072" s="1">
        <v>45855</v>
      </c>
      <c r="E7072" t="s">
        <v>19</v>
      </c>
      <c r="F7072">
        <v>4300</v>
      </c>
      <c r="J7072">
        <v>65</v>
      </c>
      <c r="K7072">
        <v>86.7</v>
      </c>
      <c r="L7072">
        <v>0</v>
      </c>
      <c r="M7072" t="s">
        <v>18</v>
      </c>
      <c r="N7072">
        <v>0</v>
      </c>
      <c r="O7072">
        <v>0</v>
      </c>
    </row>
    <row r="7073" spans="1:15" x14ac:dyDescent="0.2">
      <c r="A7073" s="6">
        <v>45783</v>
      </c>
      <c r="B7073" t="s">
        <v>15</v>
      </c>
      <c r="C7073" t="s">
        <v>16</v>
      </c>
      <c r="D7073" s="1">
        <v>45855</v>
      </c>
      <c r="E7073" t="s">
        <v>17</v>
      </c>
      <c r="F7073">
        <v>3900</v>
      </c>
      <c r="J7073">
        <v>1091.8</v>
      </c>
      <c r="K7073">
        <v>943.3</v>
      </c>
      <c r="L7073">
        <v>0</v>
      </c>
      <c r="M7073" t="s">
        <v>18</v>
      </c>
      <c r="N7073">
        <v>0</v>
      </c>
      <c r="O7073">
        <v>0</v>
      </c>
    </row>
    <row r="7074" spans="1:15" x14ac:dyDescent="0.2">
      <c r="A7074" s="6">
        <v>45783</v>
      </c>
      <c r="B7074" t="s">
        <v>15</v>
      </c>
      <c r="C7074" t="s">
        <v>16</v>
      </c>
      <c r="D7074" s="1">
        <v>45855</v>
      </c>
      <c r="E7074" t="s">
        <v>19</v>
      </c>
      <c r="F7074">
        <v>5950</v>
      </c>
      <c r="J7074">
        <v>1003.2</v>
      </c>
      <c r="K7074">
        <v>1135</v>
      </c>
      <c r="L7074">
        <v>0</v>
      </c>
      <c r="M7074" t="s">
        <v>18</v>
      </c>
      <c r="N7074">
        <v>0</v>
      </c>
      <c r="O7074">
        <v>0</v>
      </c>
    </row>
    <row r="7075" spans="1:15" x14ac:dyDescent="0.2">
      <c r="A7075" s="6">
        <v>45783</v>
      </c>
      <c r="B7075" t="s">
        <v>15</v>
      </c>
      <c r="C7075" t="s">
        <v>16</v>
      </c>
      <c r="D7075" s="1">
        <v>45855</v>
      </c>
      <c r="E7075" t="s">
        <v>17</v>
      </c>
      <c r="F7075">
        <v>6450</v>
      </c>
      <c r="J7075">
        <v>18.2</v>
      </c>
      <c r="K7075">
        <v>9.1999999999999993</v>
      </c>
      <c r="L7075">
        <v>0</v>
      </c>
      <c r="M7075" t="s">
        <v>18</v>
      </c>
      <c r="N7075">
        <v>0</v>
      </c>
      <c r="O7075">
        <v>0</v>
      </c>
    </row>
    <row r="7076" spans="1:15" x14ac:dyDescent="0.2">
      <c r="A7076" s="6">
        <v>45783</v>
      </c>
      <c r="B7076" t="s">
        <v>15</v>
      </c>
      <c r="C7076" t="s">
        <v>16</v>
      </c>
      <c r="D7076" s="1">
        <v>45855</v>
      </c>
      <c r="E7076" t="s">
        <v>17</v>
      </c>
      <c r="F7076">
        <v>4700</v>
      </c>
      <c r="J7076">
        <v>461.6</v>
      </c>
      <c r="K7076">
        <v>354.6</v>
      </c>
      <c r="L7076">
        <v>0</v>
      </c>
      <c r="M7076" t="s">
        <v>18</v>
      </c>
      <c r="N7076">
        <v>0</v>
      </c>
      <c r="O7076">
        <v>0</v>
      </c>
    </row>
    <row r="7077" spans="1:15" x14ac:dyDescent="0.2">
      <c r="A7077" s="6">
        <v>45783</v>
      </c>
      <c r="B7077" t="s">
        <v>15</v>
      </c>
      <c r="C7077" t="s">
        <v>16</v>
      </c>
      <c r="D7077" s="1">
        <v>45855</v>
      </c>
      <c r="E7077" t="s">
        <v>19</v>
      </c>
      <c r="F7077">
        <v>5000</v>
      </c>
      <c r="J7077">
        <v>312.2</v>
      </c>
      <c r="K7077">
        <v>384</v>
      </c>
      <c r="L7077">
        <v>0</v>
      </c>
      <c r="M7077" t="s">
        <v>18</v>
      </c>
      <c r="N7077">
        <v>0</v>
      </c>
      <c r="O7077">
        <v>0</v>
      </c>
    </row>
    <row r="7078" spans="1:15" x14ac:dyDescent="0.2">
      <c r="A7078" s="6">
        <v>45783</v>
      </c>
      <c r="B7078" t="s">
        <v>15</v>
      </c>
      <c r="C7078" t="s">
        <v>16</v>
      </c>
      <c r="D7078" s="1">
        <v>45855</v>
      </c>
      <c r="E7078" t="s">
        <v>19</v>
      </c>
      <c r="F7078">
        <v>4150</v>
      </c>
      <c r="J7078">
        <v>40.9</v>
      </c>
      <c r="K7078">
        <v>55.6</v>
      </c>
      <c r="L7078">
        <v>0</v>
      </c>
      <c r="M7078" t="s">
        <v>18</v>
      </c>
      <c r="N7078">
        <v>0</v>
      </c>
      <c r="O7078">
        <v>0</v>
      </c>
    </row>
    <row r="7079" spans="1:15" x14ac:dyDescent="0.2">
      <c r="A7079" s="6">
        <v>45783</v>
      </c>
      <c r="B7079" t="s">
        <v>15</v>
      </c>
      <c r="C7079" t="s">
        <v>16</v>
      </c>
      <c r="D7079" s="1">
        <v>45855</v>
      </c>
      <c r="E7079" t="s">
        <v>17</v>
      </c>
      <c r="F7079">
        <v>5650</v>
      </c>
      <c r="J7079">
        <v>98.7</v>
      </c>
      <c r="K7079">
        <v>61.5</v>
      </c>
      <c r="L7079">
        <v>0</v>
      </c>
      <c r="M7079" t="s">
        <v>18</v>
      </c>
      <c r="N7079">
        <v>0</v>
      </c>
      <c r="O7079">
        <v>0</v>
      </c>
    </row>
    <row r="7080" spans="1:15" x14ac:dyDescent="0.2">
      <c r="A7080" s="6">
        <v>45783</v>
      </c>
      <c r="B7080" t="s">
        <v>15</v>
      </c>
      <c r="C7080" t="s">
        <v>16</v>
      </c>
      <c r="D7080" s="1">
        <v>45855</v>
      </c>
      <c r="E7080" t="s">
        <v>19</v>
      </c>
      <c r="F7080">
        <v>6100</v>
      </c>
      <c r="J7080">
        <v>1136.5999999999999</v>
      </c>
      <c r="K7080">
        <v>1273.7</v>
      </c>
      <c r="L7080">
        <v>0</v>
      </c>
      <c r="M7080" t="s">
        <v>18</v>
      </c>
      <c r="N7080">
        <v>0</v>
      </c>
      <c r="O7080">
        <v>0</v>
      </c>
    </row>
    <row r="7081" spans="1:15" x14ac:dyDescent="0.2">
      <c r="A7081" s="6">
        <v>45783</v>
      </c>
      <c r="B7081" t="s">
        <v>15</v>
      </c>
      <c r="C7081" t="s">
        <v>16</v>
      </c>
      <c r="D7081" s="1">
        <v>45855</v>
      </c>
      <c r="E7081" t="s">
        <v>19</v>
      </c>
      <c r="F7081">
        <v>4050</v>
      </c>
      <c r="J7081">
        <v>29.1</v>
      </c>
      <c r="K7081">
        <v>40</v>
      </c>
      <c r="L7081">
        <v>0</v>
      </c>
      <c r="M7081" t="s">
        <v>18</v>
      </c>
      <c r="N7081">
        <v>0</v>
      </c>
      <c r="O7081">
        <v>0</v>
      </c>
    </row>
    <row r="7082" spans="1:15" x14ac:dyDescent="0.2">
      <c r="A7082" s="6">
        <v>45783</v>
      </c>
      <c r="B7082" t="s">
        <v>15</v>
      </c>
      <c r="C7082" t="s">
        <v>16</v>
      </c>
      <c r="D7082" s="1">
        <v>45855</v>
      </c>
      <c r="E7082" t="s">
        <v>19</v>
      </c>
      <c r="F7082">
        <v>5750</v>
      </c>
      <c r="J7082">
        <v>832.7</v>
      </c>
      <c r="K7082">
        <v>955.6</v>
      </c>
      <c r="L7082">
        <v>0</v>
      </c>
      <c r="M7082" t="s">
        <v>18</v>
      </c>
      <c r="N7082">
        <v>0</v>
      </c>
      <c r="O7082">
        <v>0</v>
      </c>
    </row>
    <row r="7083" spans="1:15" x14ac:dyDescent="0.2">
      <c r="A7083" s="6">
        <v>45783</v>
      </c>
      <c r="B7083" t="s">
        <v>15</v>
      </c>
      <c r="C7083" t="s">
        <v>16</v>
      </c>
      <c r="D7083" s="1">
        <v>45855</v>
      </c>
      <c r="E7083" t="s">
        <v>17</v>
      </c>
      <c r="F7083">
        <v>6000</v>
      </c>
      <c r="J7083">
        <v>49</v>
      </c>
      <c r="K7083">
        <v>27.9</v>
      </c>
      <c r="L7083">
        <v>0</v>
      </c>
      <c r="M7083" t="s">
        <v>18</v>
      </c>
      <c r="N7083">
        <v>0</v>
      </c>
      <c r="O7083">
        <v>0</v>
      </c>
    </row>
    <row r="7084" spans="1:15" x14ac:dyDescent="0.2">
      <c r="A7084" s="6">
        <v>45782</v>
      </c>
      <c r="B7084" t="s">
        <v>15</v>
      </c>
      <c r="C7084" t="s">
        <v>16</v>
      </c>
      <c r="D7084" s="1">
        <v>45855</v>
      </c>
      <c r="E7084" t="s">
        <v>17</v>
      </c>
      <c r="F7084">
        <v>4650</v>
      </c>
      <c r="J7084">
        <v>382</v>
      </c>
      <c r="K7084">
        <v>447.4</v>
      </c>
      <c r="L7084">
        <v>0</v>
      </c>
      <c r="M7084" t="s">
        <v>18</v>
      </c>
      <c r="N7084">
        <v>0</v>
      </c>
      <c r="O7084">
        <v>0</v>
      </c>
    </row>
    <row r="7085" spans="1:15" x14ac:dyDescent="0.2">
      <c r="A7085" s="6">
        <v>45782</v>
      </c>
      <c r="B7085" t="s">
        <v>15</v>
      </c>
      <c r="C7085" t="s">
        <v>16</v>
      </c>
      <c r="D7085" s="1">
        <v>45855</v>
      </c>
      <c r="E7085" t="s">
        <v>19</v>
      </c>
      <c r="F7085">
        <v>6050</v>
      </c>
      <c r="J7085">
        <v>1227.0999999999999</v>
      </c>
      <c r="K7085">
        <v>1149.5</v>
      </c>
      <c r="L7085">
        <v>0</v>
      </c>
      <c r="M7085" t="s">
        <v>18</v>
      </c>
      <c r="N7085">
        <v>0</v>
      </c>
      <c r="O7085">
        <v>0</v>
      </c>
    </row>
    <row r="7086" spans="1:15" x14ac:dyDescent="0.2">
      <c r="A7086" s="6">
        <v>45782</v>
      </c>
      <c r="B7086" t="s">
        <v>15</v>
      </c>
      <c r="C7086" t="s">
        <v>16</v>
      </c>
      <c r="D7086" s="1">
        <v>45855</v>
      </c>
      <c r="E7086" t="s">
        <v>17</v>
      </c>
      <c r="F7086">
        <v>4200</v>
      </c>
      <c r="J7086">
        <v>688.7</v>
      </c>
      <c r="K7086">
        <v>769</v>
      </c>
      <c r="L7086">
        <v>0</v>
      </c>
      <c r="M7086" t="s">
        <v>18</v>
      </c>
      <c r="N7086">
        <v>0</v>
      </c>
      <c r="O7086">
        <v>0</v>
      </c>
    </row>
    <row r="7087" spans="1:15" x14ac:dyDescent="0.2">
      <c r="A7087" s="6">
        <v>45782</v>
      </c>
      <c r="B7087" t="s">
        <v>15</v>
      </c>
      <c r="C7087" t="s">
        <v>16</v>
      </c>
      <c r="D7087" s="1">
        <v>45855</v>
      </c>
      <c r="E7087" t="s">
        <v>19</v>
      </c>
      <c r="F7087">
        <v>6650</v>
      </c>
      <c r="J7087">
        <v>1800.1</v>
      </c>
      <c r="K7087">
        <v>1714</v>
      </c>
      <c r="L7087">
        <v>0</v>
      </c>
      <c r="M7087" t="s">
        <v>18</v>
      </c>
      <c r="N7087">
        <v>0</v>
      </c>
      <c r="O7087">
        <v>0</v>
      </c>
    </row>
    <row r="7088" spans="1:15" x14ac:dyDescent="0.2">
      <c r="A7088" s="6">
        <v>45782</v>
      </c>
      <c r="B7088" t="s">
        <v>15</v>
      </c>
      <c r="C7088" t="s">
        <v>16</v>
      </c>
      <c r="D7088" s="1">
        <v>45855</v>
      </c>
      <c r="E7088" t="s">
        <v>19</v>
      </c>
      <c r="F7088">
        <v>4900</v>
      </c>
      <c r="J7088">
        <v>325.5</v>
      </c>
      <c r="K7088">
        <v>291</v>
      </c>
      <c r="L7088">
        <v>0</v>
      </c>
      <c r="M7088" t="s">
        <v>18</v>
      </c>
      <c r="N7088">
        <v>0</v>
      </c>
      <c r="O7088">
        <v>0</v>
      </c>
    </row>
    <row r="7089" spans="1:15" x14ac:dyDescent="0.2">
      <c r="A7089" s="6">
        <v>45782</v>
      </c>
      <c r="B7089" t="s">
        <v>15</v>
      </c>
      <c r="C7089" t="s">
        <v>16</v>
      </c>
      <c r="D7089" s="1">
        <v>45855</v>
      </c>
      <c r="E7089" t="s">
        <v>19</v>
      </c>
      <c r="F7089">
        <v>5100</v>
      </c>
      <c r="J7089">
        <v>447.4</v>
      </c>
      <c r="K7089">
        <v>403.6</v>
      </c>
      <c r="L7089">
        <v>0</v>
      </c>
      <c r="M7089" t="s">
        <v>18</v>
      </c>
      <c r="N7089">
        <v>0</v>
      </c>
      <c r="O7089">
        <v>0</v>
      </c>
    </row>
    <row r="7090" spans="1:15" x14ac:dyDescent="0.2">
      <c r="A7090" s="6">
        <v>45782</v>
      </c>
      <c r="B7090" t="s">
        <v>15</v>
      </c>
      <c r="C7090" t="s">
        <v>16</v>
      </c>
      <c r="D7090" s="1">
        <v>45855</v>
      </c>
      <c r="E7090" t="s">
        <v>17</v>
      </c>
      <c r="F7090">
        <v>5250</v>
      </c>
      <c r="J7090">
        <v>138.6</v>
      </c>
      <c r="K7090">
        <v>176.9</v>
      </c>
      <c r="L7090">
        <v>0</v>
      </c>
      <c r="M7090" t="s">
        <v>18</v>
      </c>
      <c r="N7090">
        <v>0</v>
      </c>
      <c r="O7090">
        <v>0</v>
      </c>
    </row>
    <row r="7091" spans="1:15" x14ac:dyDescent="0.2">
      <c r="A7091" s="6">
        <v>45782</v>
      </c>
      <c r="B7091" t="s">
        <v>15</v>
      </c>
      <c r="C7091" t="s">
        <v>16</v>
      </c>
      <c r="D7091" s="1">
        <v>45855</v>
      </c>
      <c r="E7091" t="s">
        <v>17</v>
      </c>
      <c r="F7091">
        <v>5100</v>
      </c>
      <c r="J7091">
        <v>182.9</v>
      </c>
      <c r="K7091">
        <v>228</v>
      </c>
      <c r="L7091">
        <v>0</v>
      </c>
      <c r="M7091" t="s">
        <v>18</v>
      </c>
      <c r="N7091">
        <v>0</v>
      </c>
      <c r="O7091">
        <v>0</v>
      </c>
    </row>
    <row r="7092" spans="1:15" x14ac:dyDescent="0.2">
      <c r="A7092" s="6">
        <v>45782</v>
      </c>
      <c r="B7092" t="s">
        <v>15</v>
      </c>
      <c r="C7092" t="s">
        <v>16</v>
      </c>
      <c r="D7092" s="1">
        <v>45855</v>
      </c>
      <c r="E7092" t="s">
        <v>19</v>
      </c>
      <c r="F7092">
        <v>4200</v>
      </c>
      <c r="J7092">
        <v>64.8</v>
      </c>
      <c r="K7092">
        <v>56.6</v>
      </c>
      <c r="L7092">
        <v>0</v>
      </c>
      <c r="M7092" t="s">
        <v>18</v>
      </c>
      <c r="N7092">
        <v>0</v>
      </c>
      <c r="O7092">
        <v>0</v>
      </c>
    </row>
    <row r="7093" spans="1:15" x14ac:dyDescent="0.2">
      <c r="A7093" s="6">
        <v>45782</v>
      </c>
      <c r="B7093" t="s">
        <v>15</v>
      </c>
      <c r="C7093" t="s">
        <v>16</v>
      </c>
      <c r="D7093" s="1">
        <v>45855</v>
      </c>
      <c r="E7093" t="s">
        <v>17</v>
      </c>
      <c r="F7093">
        <v>4800</v>
      </c>
      <c r="J7093">
        <v>303.7</v>
      </c>
      <c r="K7093">
        <v>362.7</v>
      </c>
      <c r="L7093">
        <v>0</v>
      </c>
      <c r="M7093" t="s">
        <v>18</v>
      </c>
      <c r="N7093">
        <v>0</v>
      </c>
      <c r="O7093">
        <v>0</v>
      </c>
    </row>
    <row r="7094" spans="1:15" x14ac:dyDescent="0.2">
      <c r="A7094" s="6">
        <v>45782</v>
      </c>
      <c r="B7094" t="s">
        <v>15</v>
      </c>
      <c r="C7094" t="s">
        <v>16</v>
      </c>
      <c r="D7094" s="1">
        <v>45855</v>
      </c>
      <c r="E7094" t="s">
        <v>17</v>
      </c>
      <c r="F7094">
        <v>5950</v>
      </c>
      <c r="J7094">
        <v>31.3</v>
      </c>
      <c r="K7094">
        <v>45.4</v>
      </c>
      <c r="L7094">
        <v>0</v>
      </c>
      <c r="M7094" t="s">
        <v>18</v>
      </c>
      <c r="N7094">
        <v>0</v>
      </c>
      <c r="O7094">
        <v>0</v>
      </c>
    </row>
    <row r="7095" spans="1:15" x14ac:dyDescent="0.2">
      <c r="A7095" s="6">
        <v>45782</v>
      </c>
      <c r="B7095" t="s">
        <v>15</v>
      </c>
      <c r="C7095" t="s">
        <v>16</v>
      </c>
      <c r="D7095" s="1">
        <v>45855</v>
      </c>
      <c r="E7095" t="s">
        <v>19</v>
      </c>
      <c r="F7095">
        <v>3900</v>
      </c>
      <c r="J7095">
        <v>23.2</v>
      </c>
      <c r="K7095">
        <v>20.2</v>
      </c>
      <c r="L7095">
        <v>0</v>
      </c>
      <c r="M7095" t="s">
        <v>18</v>
      </c>
      <c r="N7095">
        <v>0</v>
      </c>
      <c r="O7095">
        <v>0</v>
      </c>
    </row>
    <row r="7096" spans="1:15" x14ac:dyDescent="0.2">
      <c r="A7096" s="6">
        <v>45782</v>
      </c>
      <c r="B7096" t="s">
        <v>15</v>
      </c>
      <c r="C7096" t="s">
        <v>16</v>
      </c>
      <c r="D7096" s="1">
        <v>45855</v>
      </c>
      <c r="E7096" t="s">
        <v>17</v>
      </c>
      <c r="F7096">
        <v>4900</v>
      </c>
      <c r="J7096">
        <v>258.3</v>
      </c>
      <c r="K7096">
        <v>312.7</v>
      </c>
      <c r="L7096">
        <v>0</v>
      </c>
      <c r="M7096" t="s">
        <v>18</v>
      </c>
      <c r="N7096">
        <v>0</v>
      </c>
      <c r="O7096">
        <v>0</v>
      </c>
    </row>
    <row r="7097" spans="1:15" x14ac:dyDescent="0.2">
      <c r="A7097" s="6">
        <v>45782</v>
      </c>
      <c r="B7097" t="s">
        <v>15</v>
      </c>
      <c r="C7097" t="s">
        <v>16</v>
      </c>
      <c r="D7097" s="1">
        <v>45855</v>
      </c>
      <c r="E7097" t="s">
        <v>19</v>
      </c>
      <c r="F7097">
        <v>6550</v>
      </c>
      <c r="J7097">
        <v>1703</v>
      </c>
      <c r="K7097">
        <v>1617.8</v>
      </c>
      <c r="L7097">
        <v>0</v>
      </c>
      <c r="M7097" t="s">
        <v>18</v>
      </c>
      <c r="N7097">
        <v>0</v>
      </c>
      <c r="O7097">
        <v>0</v>
      </c>
    </row>
    <row r="7098" spans="1:15" x14ac:dyDescent="0.2">
      <c r="A7098" s="6">
        <v>45782</v>
      </c>
      <c r="B7098" t="s">
        <v>15</v>
      </c>
      <c r="C7098" t="s">
        <v>16</v>
      </c>
      <c r="D7098" s="1">
        <v>45855</v>
      </c>
      <c r="E7098" t="s">
        <v>17</v>
      </c>
      <c r="F7098">
        <v>5700</v>
      </c>
      <c r="J7098">
        <v>55.1</v>
      </c>
      <c r="K7098">
        <v>76.099999999999994</v>
      </c>
      <c r="L7098">
        <v>0</v>
      </c>
      <c r="M7098" t="s">
        <v>18</v>
      </c>
      <c r="N7098">
        <v>0</v>
      </c>
      <c r="O7098">
        <v>0</v>
      </c>
    </row>
    <row r="7099" spans="1:15" x14ac:dyDescent="0.2">
      <c r="A7099" s="6">
        <v>45782</v>
      </c>
      <c r="B7099" t="s">
        <v>15</v>
      </c>
      <c r="C7099" t="s">
        <v>16</v>
      </c>
      <c r="D7099" s="1">
        <v>45855</v>
      </c>
      <c r="E7099" t="s">
        <v>17</v>
      </c>
      <c r="F7099">
        <v>6200</v>
      </c>
      <c r="J7099">
        <v>17.2</v>
      </c>
      <c r="K7099">
        <v>26.2</v>
      </c>
      <c r="L7099">
        <v>0</v>
      </c>
      <c r="M7099" t="s">
        <v>18</v>
      </c>
      <c r="N7099">
        <v>0</v>
      </c>
      <c r="O7099">
        <v>0</v>
      </c>
    </row>
    <row r="7100" spans="1:15" x14ac:dyDescent="0.2">
      <c r="A7100" s="6">
        <v>45782</v>
      </c>
      <c r="B7100" t="s">
        <v>15</v>
      </c>
      <c r="C7100" t="s">
        <v>16</v>
      </c>
      <c r="D7100" s="1">
        <v>45855</v>
      </c>
      <c r="E7100" t="s">
        <v>17</v>
      </c>
      <c r="F7100">
        <v>4950</v>
      </c>
      <c r="J7100">
        <v>237.6</v>
      </c>
      <c r="K7100">
        <v>289.60000000000002</v>
      </c>
      <c r="L7100">
        <v>0</v>
      </c>
      <c r="M7100" t="s">
        <v>18</v>
      </c>
      <c r="N7100">
        <v>0</v>
      </c>
      <c r="O7100">
        <v>0</v>
      </c>
    </row>
    <row r="7101" spans="1:15" x14ac:dyDescent="0.2">
      <c r="A7101" s="6">
        <v>45782</v>
      </c>
      <c r="B7101" t="s">
        <v>15</v>
      </c>
      <c r="C7101" t="s">
        <v>16</v>
      </c>
      <c r="D7101" s="1">
        <v>45855</v>
      </c>
      <c r="E7101" t="s">
        <v>19</v>
      </c>
      <c r="F7101">
        <v>6150</v>
      </c>
      <c r="J7101">
        <v>1320.5</v>
      </c>
      <c r="K7101">
        <v>1240.9000000000001</v>
      </c>
      <c r="L7101">
        <v>0</v>
      </c>
      <c r="M7101" t="s">
        <v>18</v>
      </c>
      <c r="N7101">
        <v>0</v>
      </c>
      <c r="O7101">
        <v>0</v>
      </c>
    </row>
    <row r="7102" spans="1:15" x14ac:dyDescent="0.2">
      <c r="A7102" s="6">
        <v>45782</v>
      </c>
      <c r="B7102" t="s">
        <v>15</v>
      </c>
      <c r="C7102" t="s">
        <v>16</v>
      </c>
      <c r="D7102" s="1">
        <v>45855</v>
      </c>
      <c r="E7102" t="s">
        <v>17</v>
      </c>
      <c r="F7102">
        <v>5300</v>
      </c>
      <c r="J7102">
        <v>125.9</v>
      </c>
      <c r="K7102">
        <v>162</v>
      </c>
      <c r="L7102">
        <v>0</v>
      </c>
      <c r="M7102" t="s">
        <v>18</v>
      </c>
      <c r="N7102">
        <v>0</v>
      </c>
      <c r="O7102">
        <v>0</v>
      </c>
    </row>
    <row r="7103" spans="1:15" x14ac:dyDescent="0.2">
      <c r="A7103" s="6">
        <v>45782</v>
      </c>
      <c r="B7103" t="s">
        <v>15</v>
      </c>
      <c r="C7103" t="s">
        <v>16</v>
      </c>
      <c r="D7103" s="1">
        <v>45855</v>
      </c>
      <c r="E7103" t="s">
        <v>17</v>
      </c>
      <c r="F7103">
        <v>4450</v>
      </c>
      <c r="J7103">
        <v>505.5</v>
      </c>
      <c r="K7103">
        <v>578.5</v>
      </c>
      <c r="L7103">
        <v>0</v>
      </c>
      <c r="M7103" t="s">
        <v>18</v>
      </c>
      <c r="N7103">
        <v>0</v>
      </c>
      <c r="O7103">
        <v>0</v>
      </c>
    </row>
    <row r="7104" spans="1:15" x14ac:dyDescent="0.2">
      <c r="A7104" s="6">
        <v>45782</v>
      </c>
      <c r="B7104" t="s">
        <v>15</v>
      </c>
      <c r="C7104" t="s">
        <v>16</v>
      </c>
      <c r="D7104" s="1">
        <v>45855</v>
      </c>
      <c r="E7104" t="s">
        <v>17</v>
      </c>
      <c r="F7104">
        <v>5750</v>
      </c>
      <c r="J7104">
        <v>49.4</v>
      </c>
      <c r="K7104">
        <v>68.8</v>
      </c>
      <c r="L7104">
        <v>0</v>
      </c>
      <c r="M7104" t="s">
        <v>18</v>
      </c>
      <c r="N7104">
        <v>0</v>
      </c>
      <c r="O7104">
        <v>0</v>
      </c>
    </row>
    <row r="7105" spans="1:15" x14ac:dyDescent="0.2">
      <c r="A7105" s="6">
        <v>45782</v>
      </c>
      <c r="B7105" t="s">
        <v>15</v>
      </c>
      <c r="C7105" t="s">
        <v>16</v>
      </c>
      <c r="D7105" s="1">
        <v>45855</v>
      </c>
      <c r="E7105" t="s">
        <v>17</v>
      </c>
      <c r="F7105">
        <v>4100</v>
      </c>
      <c r="J7105">
        <v>769.9</v>
      </c>
      <c r="K7105">
        <v>852.3</v>
      </c>
      <c r="L7105">
        <v>0</v>
      </c>
      <c r="M7105" t="s">
        <v>18</v>
      </c>
      <c r="N7105">
        <v>0</v>
      </c>
      <c r="O7105">
        <v>0</v>
      </c>
    </row>
    <row r="7106" spans="1:15" x14ac:dyDescent="0.2">
      <c r="A7106" s="6">
        <v>45782</v>
      </c>
      <c r="B7106" t="s">
        <v>15</v>
      </c>
      <c r="C7106" t="s">
        <v>16</v>
      </c>
      <c r="D7106" s="1">
        <v>45855</v>
      </c>
      <c r="E7106" t="s">
        <v>17</v>
      </c>
      <c r="F7106">
        <v>4400</v>
      </c>
      <c r="J7106">
        <v>539.70000000000005</v>
      </c>
      <c r="K7106">
        <v>614.29999999999995</v>
      </c>
      <c r="L7106">
        <v>0</v>
      </c>
      <c r="M7106" t="s">
        <v>18</v>
      </c>
      <c r="N7106">
        <v>0</v>
      </c>
      <c r="O7106">
        <v>0</v>
      </c>
    </row>
    <row r="7107" spans="1:15" x14ac:dyDescent="0.2">
      <c r="A7107" s="6">
        <v>45782</v>
      </c>
      <c r="B7107" t="s">
        <v>15</v>
      </c>
      <c r="C7107" t="s">
        <v>16</v>
      </c>
      <c r="D7107" s="1">
        <v>45855</v>
      </c>
      <c r="E7107" t="s">
        <v>17</v>
      </c>
      <c r="F7107">
        <v>5800</v>
      </c>
      <c r="J7107">
        <v>44.2</v>
      </c>
      <c r="K7107">
        <v>62.1</v>
      </c>
      <c r="L7107">
        <v>0</v>
      </c>
      <c r="M7107" t="s">
        <v>18</v>
      </c>
      <c r="N7107">
        <v>0</v>
      </c>
      <c r="O7107">
        <v>0</v>
      </c>
    </row>
    <row r="7108" spans="1:15" x14ac:dyDescent="0.2">
      <c r="A7108" s="6">
        <v>45782</v>
      </c>
      <c r="B7108" t="s">
        <v>15</v>
      </c>
      <c r="C7108" t="s">
        <v>16</v>
      </c>
      <c r="D7108" s="1">
        <v>45855</v>
      </c>
      <c r="E7108" t="s">
        <v>17</v>
      </c>
      <c r="F7108">
        <v>4750</v>
      </c>
      <c r="J7108">
        <v>328.5</v>
      </c>
      <c r="K7108">
        <v>389.6</v>
      </c>
      <c r="L7108">
        <v>0</v>
      </c>
      <c r="M7108" t="s">
        <v>18</v>
      </c>
      <c r="N7108">
        <v>0</v>
      </c>
      <c r="O7108">
        <v>0</v>
      </c>
    </row>
    <row r="7109" spans="1:15" x14ac:dyDescent="0.2">
      <c r="A7109" s="6">
        <v>45782</v>
      </c>
      <c r="B7109" t="s">
        <v>15</v>
      </c>
      <c r="C7109" t="s">
        <v>16</v>
      </c>
      <c r="D7109" s="1">
        <v>45855</v>
      </c>
      <c r="E7109" t="s">
        <v>17</v>
      </c>
      <c r="F7109">
        <v>5000</v>
      </c>
      <c r="J7109">
        <v>218.1</v>
      </c>
      <c r="K7109">
        <v>267.89999999999998</v>
      </c>
      <c r="L7109">
        <v>0</v>
      </c>
      <c r="M7109" t="s">
        <v>18</v>
      </c>
      <c r="N7109">
        <v>0</v>
      </c>
      <c r="O7109">
        <v>0</v>
      </c>
    </row>
    <row r="7110" spans="1:15" x14ac:dyDescent="0.2">
      <c r="A7110" s="6">
        <v>45782</v>
      </c>
      <c r="B7110" t="s">
        <v>15</v>
      </c>
      <c r="C7110" t="s">
        <v>16</v>
      </c>
      <c r="D7110" s="1">
        <v>45855</v>
      </c>
      <c r="E7110" t="s">
        <v>17</v>
      </c>
      <c r="F7110">
        <v>4150</v>
      </c>
      <c r="J7110">
        <v>728.8</v>
      </c>
      <c r="K7110">
        <v>810.2</v>
      </c>
      <c r="L7110">
        <v>0</v>
      </c>
      <c r="M7110" t="s">
        <v>18</v>
      </c>
      <c r="N7110">
        <v>0</v>
      </c>
      <c r="O7110">
        <v>0</v>
      </c>
    </row>
    <row r="7111" spans="1:15" x14ac:dyDescent="0.2">
      <c r="A7111" s="6">
        <v>45782</v>
      </c>
      <c r="B7111" t="s">
        <v>15</v>
      </c>
      <c r="C7111" t="s">
        <v>16</v>
      </c>
      <c r="D7111" s="1">
        <v>45855</v>
      </c>
      <c r="E7111" t="s">
        <v>17</v>
      </c>
      <c r="F7111">
        <v>4350</v>
      </c>
      <c r="J7111">
        <v>575.1</v>
      </c>
      <c r="K7111">
        <v>651.4</v>
      </c>
      <c r="L7111">
        <v>0</v>
      </c>
      <c r="M7111" t="s">
        <v>18</v>
      </c>
      <c r="N7111">
        <v>0</v>
      </c>
      <c r="O7111">
        <v>0</v>
      </c>
    </row>
    <row r="7112" spans="1:15" x14ac:dyDescent="0.2">
      <c r="A7112" s="6">
        <v>45782</v>
      </c>
      <c r="B7112" t="s">
        <v>15</v>
      </c>
      <c r="C7112" t="s">
        <v>16</v>
      </c>
      <c r="D7112" s="1">
        <v>45855</v>
      </c>
      <c r="E7112" t="s">
        <v>19</v>
      </c>
      <c r="F7112">
        <v>5200</v>
      </c>
      <c r="J7112">
        <v>515.5</v>
      </c>
      <c r="K7112">
        <v>467.1</v>
      </c>
      <c r="L7112">
        <v>0</v>
      </c>
      <c r="M7112" t="s">
        <v>18</v>
      </c>
      <c r="N7112">
        <v>0</v>
      </c>
      <c r="O7112">
        <v>0</v>
      </c>
    </row>
    <row r="7113" spans="1:15" x14ac:dyDescent="0.2">
      <c r="A7113" s="6">
        <v>45782</v>
      </c>
      <c r="B7113" t="s">
        <v>15</v>
      </c>
      <c r="C7113" t="s">
        <v>16</v>
      </c>
      <c r="D7113" s="1">
        <v>45855</v>
      </c>
      <c r="E7113" t="s">
        <v>17</v>
      </c>
      <c r="F7113">
        <v>3700</v>
      </c>
      <c r="J7113">
        <v>1127.5</v>
      </c>
      <c r="K7113">
        <v>1214.4000000000001</v>
      </c>
      <c r="L7113">
        <v>0</v>
      </c>
      <c r="M7113" t="s">
        <v>18</v>
      </c>
      <c r="N7113">
        <v>0</v>
      </c>
      <c r="O7113">
        <v>0</v>
      </c>
    </row>
    <row r="7114" spans="1:15" x14ac:dyDescent="0.2">
      <c r="A7114" s="6">
        <v>45782</v>
      </c>
      <c r="B7114" t="s">
        <v>15</v>
      </c>
      <c r="C7114" t="s">
        <v>16</v>
      </c>
      <c r="D7114" s="1">
        <v>45855</v>
      </c>
      <c r="E7114" t="s">
        <v>19</v>
      </c>
      <c r="F7114">
        <v>5250</v>
      </c>
      <c r="J7114">
        <v>551.20000000000005</v>
      </c>
      <c r="K7114">
        <v>500.5</v>
      </c>
      <c r="L7114">
        <v>0</v>
      </c>
      <c r="M7114" t="s">
        <v>18</v>
      </c>
      <c r="N7114">
        <v>0</v>
      </c>
      <c r="O7114">
        <v>0</v>
      </c>
    </row>
    <row r="7115" spans="1:15" x14ac:dyDescent="0.2">
      <c r="A7115" s="6">
        <v>45782</v>
      </c>
      <c r="B7115" t="s">
        <v>15</v>
      </c>
      <c r="C7115" t="s">
        <v>16</v>
      </c>
      <c r="D7115" s="1">
        <v>45855</v>
      </c>
      <c r="E7115" t="s">
        <v>17</v>
      </c>
      <c r="F7115">
        <v>4850</v>
      </c>
      <c r="J7115">
        <v>280.39999999999998</v>
      </c>
      <c r="K7115">
        <v>337</v>
      </c>
      <c r="L7115">
        <v>0</v>
      </c>
      <c r="M7115" t="s">
        <v>18</v>
      </c>
      <c r="N7115">
        <v>0</v>
      </c>
      <c r="O7115">
        <v>0</v>
      </c>
    </row>
    <row r="7116" spans="1:15" x14ac:dyDescent="0.2">
      <c r="A7116" s="6">
        <v>45782</v>
      </c>
      <c r="B7116" t="s">
        <v>15</v>
      </c>
      <c r="C7116" t="s">
        <v>16</v>
      </c>
      <c r="D7116" s="1">
        <v>45855</v>
      </c>
      <c r="E7116" t="s">
        <v>17</v>
      </c>
      <c r="F7116">
        <v>3800</v>
      </c>
      <c r="J7116">
        <v>1034.3</v>
      </c>
      <c r="K7116">
        <v>1120.5</v>
      </c>
      <c r="L7116">
        <v>0</v>
      </c>
      <c r="M7116" t="s">
        <v>18</v>
      </c>
      <c r="N7116">
        <v>0</v>
      </c>
      <c r="O7116">
        <v>0</v>
      </c>
    </row>
    <row r="7117" spans="1:15" x14ac:dyDescent="0.2">
      <c r="A7117" s="6">
        <v>45782</v>
      </c>
      <c r="B7117" t="s">
        <v>15</v>
      </c>
      <c r="C7117" t="s">
        <v>16</v>
      </c>
      <c r="D7117" s="1">
        <v>45855</v>
      </c>
      <c r="E7117" t="s">
        <v>19</v>
      </c>
      <c r="F7117">
        <v>3950</v>
      </c>
      <c r="J7117">
        <v>28.1</v>
      </c>
      <c r="K7117">
        <v>24.4</v>
      </c>
      <c r="L7117">
        <v>0</v>
      </c>
      <c r="M7117" t="s">
        <v>18</v>
      </c>
      <c r="N7117">
        <v>0</v>
      </c>
      <c r="O7117">
        <v>0</v>
      </c>
    </row>
    <row r="7118" spans="1:15" x14ac:dyDescent="0.2">
      <c r="A7118" s="6">
        <v>45782</v>
      </c>
      <c r="B7118" t="s">
        <v>15</v>
      </c>
      <c r="C7118" t="s">
        <v>16</v>
      </c>
      <c r="D7118" s="1">
        <v>45855</v>
      </c>
      <c r="E7118" t="s">
        <v>19</v>
      </c>
      <c r="F7118">
        <v>5900</v>
      </c>
      <c r="J7118">
        <v>1089.5</v>
      </c>
      <c r="K7118">
        <v>1015.4</v>
      </c>
      <c r="L7118">
        <v>0</v>
      </c>
      <c r="M7118" t="s">
        <v>18</v>
      </c>
      <c r="N7118">
        <v>0</v>
      </c>
      <c r="O7118">
        <v>0</v>
      </c>
    </row>
    <row r="7119" spans="1:15" x14ac:dyDescent="0.2">
      <c r="A7119" s="6">
        <v>45782</v>
      </c>
      <c r="B7119" t="s">
        <v>15</v>
      </c>
      <c r="C7119" t="s">
        <v>16</v>
      </c>
      <c r="D7119" s="1">
        <v>45855</v>
      </c>
      <c r="E7119" t="s">
        <v>19</v>
      </c>
      <c r="F7119">
        <v>6200</v>
      </c>
      <c r="J7119">
        <v>1367.7</v>
      </c>
      <c r="K7119">
        <v>1287.0999999999999</v>
      </c>
      <c r="L7119">
        <v>0</v>
      </c>
      <c r="M7119" t="s">
        <v>18</v>
      </c>
      <c r="N7119">
        <v>0</v>
      </c>
      <c r="O7119">
        <v>0</v>
      </c>
    </row>
    <row r="7120" spans="1:15" x14ac:dyDescent="0.2">
      <c r="A7120" s="6">
        <v>45782</v>
      </c>
      <c r="B7120" t="s">
        <v>15</v>
      </c>
      <c r="C7120" t="s">
        <v>16</v>
      </c>
      <c r="D7120" s="1">
        <v>45855</v>
      </c>
      <c r="E7120" t="s">
        <v>19</v>
      </c>
      <c r="F7120">
        <v>4800</v>
      </c>
      <c r="J7120">
        <v>272.2</v>
      </c>
      <c r="K7120">
        <v>242.3</v>
      </c>
      <c r="L7120">
        <v>0</v>
      </c>
      <c r="M7120" t="s">
        <v>18</v>
      </c>
      <c r="N7120">
        <v>0</v>
      </c>
      <c r="O7120">
        <v>0</v>
      </c>
    </row>
    <row r="7121" spans="1:15" x14ac:dyDescent="0.2">
      <c r="A7121" s="6">
        <v>45782</v>
      </c>
      <c r="B7121" t="s">
        <v>15</v>
      </c>
      <c r="C7121" t="s">
        <v>16</v>
      </c>
      <c r="D7121" s="1">
        <v>45855</v>
      </c>
      <c r="E7121" t="s">
        <v>17</v>
      </c>
      <c r="F7121">
        <v>5550</v>
      </c>
      <c r="J7121">
        <v>76</v>
      </c>
      <c r="K7121">
        <v>102.2</v>
      </c>
      <c r="L7121">
        <v>0</v>
      </c>
      <c r="M7121" t="s">
        <v>18</v>
      </c>
      <c r="N7121">
        <v>0</v>
      </c>
      <c r="O7121">
        <v>0</v>
      </c>
    </row>
    <row r="7122" spans="1:15" x14ac:dyDescent="0.2">
      <c r="A7122" s="6">
        <v>45782</v>
      </c>
      <c r="B7122" t="s">
        <v>15</v>
      </c>
      <c r="C7122" t="s">
        <v>16</v>
      </c>
      <c r="D7122" s="1">
        <v>45855</v>
      </c>
      <c r="E7122" t="s">
        <v>17</v>
      </c>
      <c r="F7122">
        <v>5600</v>
      </c>
      <c r="J7122">
        <v>68.400000000000006</v>
      </c>
      <c r="K7122">
        <v>92.7</v>
      </c>
      <c r="L7122">
        <v>0</v>
      </c>
      <c r="M7122" t="s">
        <v>18</v>
      </c>
      <c r="N7122">
        <v>0</v>
      </c>
      <c r="O7122">
        <v>0</v>
      </c>
    </row>
    <row r="7123" spans="1:15" x14ac:dyDescent="0.2">
      <c r="A7123" s="6">
        <v>45782</v>
      </c>
      <c r="B7123" t="s">
        <v>15</v>
      </c>
      <c r="C7123" t="s">
        <v>16</v>
      </c>
      <c r="D7123" s="1">
        <v>45855</v>
      </c>
      <c r="E7123" t="s">
        <v>19</v>
      </c>
      <c r="F7123">
        <v>4600</v>
      </c>
      <c r="J7123">
        <v>181.8</v>
      </c>
      <c r="K7123">
        <v>160.6</v>
      </c>
      <c r="L7123">
        <v>0</v>
      </c>
      <c r="M7123" t="s">
        <v>18</v>
      </c>
      <c r="N7123">
        <v>0</v>
      </c>
      <c r="O7123">
        <v>0</v>
      </c>
    </row>
    <row r="7124" spans="1:15" x14ac:dyDescent="0.2">
      <c r="A7124" s="6">
        <v>45782</v>
      </c>
      <c r="B7124" t="s">
        <v>15</v>
      </c>
      <c r="C7124" t="s">
        <v>16</v>
      </c>
      <c r="D7124" s="1">
        <v>45855</v>
      </c>
      <c r="E7124" t="s">
        <v>17</v>
      </c>
      <c r="F7124">
        <v>6550</v>
      </c>
      <c r="J7124">
        <v>7.1</v>
      </c>
      <c r="K7124">
        <v>11.6</v>
      </c>
      <c r="L7124">
        <v>0</v>
      </c>
      <c r="M7124" t="s">
        <v>18</v>
      </c>
      <c r="N7124">
        <v>0</v>
      </c>
      <c r="O7124">
        <v>0</v>
      </c>
    </row>
    <row r="7125" spans="1:15" x14ac:dyDescent="0.2">
      <c r="A7125" s="6">
        <v>45782</v>
      </c>
      <c r="B7125" t="s">
        <v>15</v>
      </c>
      <c r="C7125" t="s">
        <v>16</v>
      </c>
      <c r="D7125" s="1">
        <v>45855</v>
      </c>
      <c r="E7125" t="s">
        <v>19</v>
      </c>
      <c r="F7125">
        <v>4250</v>
      </c>
      <c r="J7125">
        <v>75.2</v>
      </c>
      <c r="K7125">
        <v>65.7</v>
      </c>
      <c r="L7125">
        <v>0</v>
      </c>
      <c r="M7125" t="s">
        <v>18</v>
      </c>
      <c r="N7125">
        <v>0</v>
      </c>
      <c r="O7125">
        <v>0</v>
      </c>
    </row>
    <row r="7126" spans="1:15" x14ac:dyDescent="0.2">
      <c r="A7126" s="6">
        <v>45782</v>
      </c>
      <c r="B7126" t="s">
        <v>15</v>
      </c>
      <c r="C7126" t="s">
        <v>16</v>
      </c>
      <c r="D7126" s="1">
        <v>45855</v>
      </c>
      <c r="E7126" t="s">
        <v>17</v>
      </c>
      <c r="F7126">
        <v>3850</v>
      </c>
      <c r="J7126">
        <v>988.5</v>
      </c>
      <c r="K7126">
        <v>1074.3</v>
      </c>
      <c r="L7126">
        <v>0</v>
      </c>
      <c r="M7126" t="s">
        <v>18</v>
      </c>
      <c r="N7126">
        <v>0</v>
      </c>
      <c r="O7126">
        <v>0</v>
      </c>
    </row>
    <row r="7127" spans="1:15" x14ac:dyDescent="0.2">
      <c r="A7127" s="6">
        <v>45782</v>
      </c>
      <c r="B7127" t="s">
        <v>15</v>
      </c>
      <c r="C7127" t="s">
        <v>16</v>
      </c>
      <c r="D7127" s="1">
        <v>45855</v>
      </c>
      <c r="E7127" t="s">
        <v>19</v>
      </c>
      <c r="F7127">
        <v>4450</v>
      </c>
      <c r="J7127">
        <v>128.4</v>
      </c>
      <c r="K7127">
        <v>112.8</v>
      </c>
      <c r="L7127">
        <v>0</v>
      </c>
      <c r="M7127" t="s">
        <v>18</v>
      </c>
      <c r="N7127">
        <v>0</v>
      </c>
      <c r="O7127">
        <v>0</v>
      </c>
    </row>
    <row r="7128" spans="1:15" x14ac:dyDescent="0.2">
      <c r="A7128" s="6">
        <v>45782</v>
      </c>
      <c r="B7128" t="s">
        <v>15</v>
      </c>
      <c r="C7128" t="s">
        <v>16</v>
      </c>
      <c r="D7128" s="1">
        <v>45855</v>
      </c>
      <c r="E7128" t="s">
        <v>19</v>
      </c>
      <c r="F7128">
        <v>5400</v>
      </c>
      <c r="J7128">
        <v>664.1</v>
      </c>
      <c r="K7128">
        <v>606.9</v>
      </c>
      <c r="L7128">
        <v>0</v>
      </c>
      <c r="M7128" t="s">
        <v>18</v>
      </c>
      <c r="N7128">
        <v>0</v>
      </c>
      <c r="O7128">
        <v>0</v>
      </c>
    </row>
    <row r="7129" spans="1:15" x14ac:dyDescent="0.2">
      <c r="A7129" s="6">
        <v>45782</v>
      </c>
      <c r="B7129" t="s">
        <v>15</v>
      </c>
      <c r="C7129" t="s">
        <v>16</v>
      </c>
      <c r="D7129" s="1">
        <v>45855</v>
      </c>
      <c r="E7129" t="s">
        <v>19</v>
      </c>
      <c r="F7129">
        <v>5050</v>
      </c>
      <c r="J7129">
        <v>415.1</v>
      </c>
      <c r="K7129">
        <v>373.6</v>
      </c>
      <c r="L7129">
        <v>0</v>
      </c>
      <c r="M7129" t="s">
        <v>18</v>
      </c>
      <c r="N7129">
        <v>0</v>
      </c>
      <c r="O7129">
        <v>0</v>
      </c>
    </row>
    <row r="7130" spans="1:15" x14ac:dyDescent="0.2">
      <c r="A7130" s="6">
        <v>45782</v>
      </c>
      <c r="B7130" t="s">
        <v>15</v>
      </c>
      <c r="C7130" t="s">
        <v>16</v>
      </c>
      <c r="D7130" s="1">
        <v>45855</v>
      </c>
      <c r="E7130" t="s">
        <v>19</v>
      </c>
      <c r="F7130">
        <v>3700</v>
      </c>
      <c r="J7130">
        <v>10</v>
      </c>
      <c r="K7130">
        <v>8.8000000000000007</v>
      </c>
      <c r="L7130">
        <v>0</v>
      </c>
      <c r="M7130" t="s">
        <v>18</v>
      </c>
      <c r="N7130">
        <v>0</v>
      </c>
      <c r="O7130">
        <v>0</v>
      </c>
    </row>
    <row r="7131" spans="1:15" x14ac:dyDescent="0.2">
      <c r="A7131" s="6">
        <v>45782</v>
      </c>
      <c r="B7131" t="s">
        <v>15</v>
      </c>
      <c r="C7131" t="s">
        <v>16</v>
      </c>
      <c r="D7131" s="1">
        <v>45855</v>
      </c>
      <c r="E7131" t="s">
        <v>19</v>
      </c>
      <c r="F7131">
        <v>4950</v>
      </c>
      <c r="J7131">
        <v>354.1</v>
      </c>
      <c r="K7131">
        <v>317.3</v>
      </c>
      <c r="L7131">
        <v>0</v>
      </c>
      <c r="M7131" t="s">
        <v>18</v>
      </c>
      <c r="N7131">
        <v>0</v>
      </c>
      <c r="O7131">
        <v>0</v>
      </c>
    </row>
    <row r="7132" spans="1:15" x14ac:dyDescent="0.2">
      <c r="A7132" s="6">
        <v>45782</v>
      </c>
      <c r="B7132" t="s">
        <v>15</v>
      </c>
      <c r="C7132" t="s">
        <v>16</v>
      </c>
      <c r="D7132" s="1">
        <v>45855</v>
      </c>
      <c r="E7132" t="s">
        <v>19</v>
      </c>
      <c r="F7132">
        <v>5300</v>
      </c>
      <c r="J7132">
        <v>587.9</v>
      </c>
      <c r="K7132">
        <v>535</v>
      </c>
      <c r="L7132">
        <v>0</v>
      </c>
      <c r="M7132" t="s">
        <v>18</v>
      </c>
      <c r="N7132">
        <v>0</v>
      </c>
      <c r="O7132">
        <v>0</v>
      </c>
    </row>
    <row r="7133" spans="1:15" x14ac:dyDescent="0.2">
      <c r="A7133" s="6">
        <v>45782</v>
      </c>
      <c r="B7133" t="s">
        <v>15</v>
      </c>
      <c r="C7133" t="s">
        <v>16</v>
      </c>
      <c r="D7133" s="1">
        <v>45855</v>
      </c>
      <c r="E7133" t="s">
        <v>19</v>
      </c>
      <c r="F7133">
        <v>5700</v>
      </c>
      <c r="J7133">
        <v>912</v>
      </c>
      <c r="K7133">
        <v>843.7</v>
      </c>
      <c r="L7133">
        <v>0</v>
      </c>
      <c r="M7133" t="s">
        <v>18</v>
      </c>
      <c r="N7133">
        <v>0</v>
      </c>
      <c r="O7133">
        <v>0</v>
      </c>
    </row>
    <row r="7134" spans="1:15" x14ac:dyDescent="0.2">
      <c r="A7134" s="6">
        <v>45782</v>
      </c>
      <c r="B7134" t="s">
        <v>15</v>
      </c>
      <c r="C7134" t="s">
        <v>16</v>
      </c>
      <c r="D7134" s="1">
        <v>45855</v>
      </c>
      <c r="E7134" t="s">
        <v>19</v>
      </c>
      <c r="F7134">
        <v>5800</v>
      </c>
      <c r="J7134">
        <v>999.8</v>
      </c>
      <c r="K7134">
        <v>928.4</v>
      </c>
      <c r="L7134">
        <v>0</v>
      </c>
      <c r="M7134" t="s">
        <v>18</v>
      </c>
      <c r="N7134">
        <v>0</v>
      </c>
      <c r="O7134">
        <v>0</v>
      </c>
    </row>
    <row r="7135" spans="1:15" x14ac:dyDescent="0.2">
      <c r="A7135" s="6">
        <v>45782</v>
      </c>
      <c r="B7135" t="s">
        <v>15</v>
      </c>
      <c r="C7135" t="s">
        <v>16</v>
      </c>
      <c r="D7135" s="1">
        <v>45855</v>
      </c>
      <c r="E7135" t="s">
        <v>19</v>
      </c>
      <c r="F7135">
        <v>5450</v>
      </c>
      <c r="J7135">
        <v>703.6</v>
      </c>
      <c r="K7135">
        <v>644.29999999999995</v>
      </c>
      <c r="L7135">
        <v>0</v>
      </c>
      <c r="M7135" t="s">
        <v>18</v>
      </c>
      <c r="N7135">
        <v>0</v>
      </c>
      <c r="O7135">
        <v>0</v>
      </c>
    </row>
    <row r="7136" spans="1:15" x14ac:dyDescent="0.2">
      <c r="A7136" s="6">
        <v>45782</v>
      </c>
      <c r="B7136" t="s">
        <v>15</v>
      </c>
      <c r="C7136" t="s">
        <v>16</v>
      </c>
      <c r="D7136" s="1">
        <v>45855</v>
      </c>
      <c r="E7136" t="s">
        <v>19</v>
      </c>
      <c r="F7136">
        <v>4550</v>
      </c>
      <c r="J7136">
        <v>162.69999999999999</v>
      </c>
      <c r="K7136">
        <v>143.4</v>
      </c>
      <c r="L7136">
        <v>0</v>
      </c>
      <c r="M7136" t="s">
        <v>18</v>
      </c>
      <c r="N7136">
        <v>0</v>
      </c>
      <c r="O7136">
        <v>0</v>
      </c>
    </row>
    <row r="7137" spans="1:15" x14ac:dyDescent="0.2">
      <c r="A7137" s="6">
        <v>45782</v>
      </c>
      <c r="B7137" t="s">
        <v>15</v>
      </c>
      <c r="C7137" t="s">
        <v>16</v>
      </c>
      <c r="D7137" s="1">
        <v>45855</v>
      </c>
      <c r="E7137" t="s">
        <v>19</v>
      </c>
      <c r="F7137">
        <v>4700</v>
      </c>
      <c r="J7137">
        <v>224.3</v>
      </c>
      <c r="K7137">
        <v>198.8</v>
      </c>
      <c r="L7137">
        <v>0</v>
      </c>
      <c r="M7137" t="s">
        <v>18</v>
      </c>
      <c r="N7137">
        <v>0</v>
      </c>
      <c r="O7137">
        <v>0</v>
      </c>
    </row>
    <row r="7138" spans="1:15" x14ac:dyDescent="0.2">
      <c r="A7138" s="6">
        <v>45782</v>
      </c>
      <c r="B7138" t="s">
        <v>15</v>
      </c>
      <c r="C7138" t="s">
        <v>16</v>
      </c>
      <c r="D7138" s="1">
        <v>45855</v>
      </c>
      <c r="E7138" t="s">
        <v>17</v>
      </c>
      <c r="F7138">
        <v>6050</v>
      </c>
      <c r="J7138">
        <v>24.8</v>
      </c>
      <c r="K7138">
        <v>36.6</v>
      </c>
      <c r="L7138">
        <v>0</v>
      </c>
      <c r="M7138" t="s">
        <v>18</v>
      </c>
      <c r="N7138">
        <v>0</v>
      </c>
      <c r="O7138">
        <v>0</v>
      </c>
    </row>
    <row r="7139" spans="1:15" x14ac:dyDescent="0.2">
      <c r="A7139" s="6">
        <v>45782</v>
      </c>
      <c r="B7139" t="s">
        <v>15</v>
      </c>
      <c r="C7139" t="s">
        <v>16</v>
      </c>
      <c r="D7139" s="1">
        <v>45855</v>
      </c>
      <c r="E7139" t="s">
        <v>17</v>
      </c>
      <c r="F7139">
        <v>3750</v>
      </c>
      <c r="J7139">
        <v>1080.5999999999999</v>
      </c>
      <c r="K7139">
        <v>1167.3</v>
      </c>
      <c r="L7139">
        <v>0</v>
      </c>
      <c r="M7139" t="s">
        <v>18</v>
      </c>
      <c r="N7139">
        <v>0</v>
      </c>
      <c r="O7139">
        <v>0</v>
      </c>
    </row>
    <row r="7140" spans="1:15" x14ac:dyDescent="0.2">
      <c r="A7140" s="6">
        <v>45782</v>
      </c>
      <c r="B7140" t="s">
        <v>15</v>
      </c>
      <c r="C7140" t="s">
        <v>16</v>
      </c>
      <c r="D7140" s="1">
        <v>45855</v>
      </c>
      <c r="E7140" t="s">
        <v>19</v>
      </c>
      <c r="F7140">
        <v>3750</v>
      </c>
      <c r="J7140">
        <v>12.5</v>
      </c>
      <c r="K7140">
        <v>10.9</v>
      </c>
      <c r="L7140">
        <v>0</v>
      </c>
      <c r="M7140" t="s">
        <v>18</v>
      </c>
      <c r="N7140">
        <v>0</v>
      </c>
      <c r="O7140">
        <v>0</v>
      </c>
    </row>
    <row r="7141" spans="1:15" x14ac:dyDescent="0.2">
      <c r="A7141" s="6">
        <v>45782</v>
      </c>
      <c r="B7141" t="s">
        <v>15</v>
      </c>
      <c r="C7141" t="s">
        <v>16</v>
      </c>
      <c r="D7141" s="1">
        <v>45855</v>
      </c>
      <c r="E7141" t="s">
        <v>17</v>
      </c>
      <c r="F7141">
        <v>6650</v>
      </c>
      <c r="J7141">
        <v>5.4</v>
      </c>
      <c r="K7141">
        <v>9.1</v>
      </c>
      <c r="L7141">
        <v>0</v>
      </c>
      <c r="M7141" t="s">
        <v>18</v>
      </c>
      <c r="N7141">
        <v>0</v>
      </c>
      <c r="O7141">
        <v>0</v>
      </c>
    </row>
    <row r="7142" spans="1:15" x14ac:dyDescent="0.2">
      <c r="A7142" s="6">
        <v>45782</v>
      </c>
      <c r="B7142" t="s">
        <v>15</v>
      </c>
      <c r="C7142" t="s">
        <v>16</v>
      </c>
      <c r="D7142" s="1">
        <v>45855</v>
      </c>
      <c r="E7142" t="s">
        <v>19</v>
      </c>
      <c r="F7142">
        <v>6400</v>
      </c>
      <c r="J7142">
        <v>1558.3</v>
      </c>
      <c r="K7142">
        <v>1474.8</v>
      </c>
      <c r="L7142">
        <v>0</v>
      </c>
      <c r="M7142" t="s">
        <v>18</v>
      </c>
      <c r="N7142">
        <v>0</v>
      </c>
      <c r="O7142">
        <v>0</v>
      </c>
    </row>
    <row r="7143" spans="1:15" x14ac:dyDescent="0.2">
      <c r="A7143" s="6">
        <v>45782</v>
      </c>
      <c r="B7143" t="s">
        <v>15</v>
      </c>
      <c r="C7143" t="s">
        <v>16</v>
      </c>
      <c r="D7143" s="1">
        <v>45855</v>
      </c>
      <c r="E7143" t="s">
        <v>17</v>
      </c>
      <c r="F7143">
        <v>5200</v>
      </c>
      <c r="J7143">
        <v>152.19999999999999</v>
      </c>
      <c r="K7143">
        <v>192.8</v>
      </c>
      <c r="L7143">
        <v>0</v>
      </c>
      <c r="M7143" t="s">
        <v>18</v>
      </c>
      <c r="N7143">
        <v>0</v>
      </c>
      <c r="O7143">
        <v>0</v>
      </c>
    </row>
    <row r="7144" spans="1:15" x14ac:dyDescent="0.2">
      <c r="A7144" s="6">
        <v>45782</v>
      </c>
      <c r="B7144" t="s">
        <v>15</v>
      </c>
      <c r="C7144" t="s">
        <v>16</v>
      </c>
      <c r="D7144" s="1">
        <v>45855</v>
      </c>
      <c r="E7144" t="s">
        <v>17</v>
      </c>
      <c r="F7144">
        <v>5900</v>
      </c>
      <c r="J7144">
        <v>35.200000000000003</v>
      </c>
      <c r="K7144">
        <v>50.5</v>
      </c>
      <c r="L7144">
        <v>0</v>
      </c>
      <c r="M7144" t="s">
        <v>18</v>
      </c>
      <c r="N7144">
        <v>0</v>
      </c>
      <c r="O7144">
        <v>0</v>
      </c>
    </row>
    <row r="7145" spans="1:15" x14ac:dyDescent="0.2">
      <c r="A7145" s="6">
        <v>45782</v>
      </c>
      <c r="B7145" t="s">
        <v>15</v>
      </c>
      <c r="C7145" t="s">
        <v>16</v>
      </c>
      <c r="D7145" s="1">
        <v>45855</v>
      </c>
      <c r="E7145" t="s">
        <v>17</v>
      </c>
      <c r="F7145">
        <v>4250</v>
      </c>
      <c r="J7145">
        <v>649.70000000000005</v>
      </c>
      <c r="K7145">
        <v>728.7</v>
      </c>
      <c r="L7145">
        <v>0</v>
      </c>
      <c r="M7145" t="s">
        <v>18</v>
      </c>
      <c r="N7145">
        <v>0</v>
      </c>
      <c r="O7145">
        <v>0</v>
      </c>
    </row>
    <row r="7146" spans="1:15" x14ac:dyDescent="0.2">
      <c r="A7146" s="6">
        <v>45782</v>
      </c>
      <c r="B7146" t="s">
        <v>15</v>
      </c>
      <c r="C7146" t="s">
        <v>16</v>
      </c>
      <c r="D7146" s="1">
        <v>45855</v>
      </c>
      <c r="E7146" t="s">
        <v>17</v>
      </c>
      <c r="F7146">
        <v>5500</v>
      </c>
      <c r="J7146">
        <v>84.4</v>
      </c>
      <c r="K7146">
        <v>112.4</v>
      </c>
      <c r="L7146">
        <v>0</v>
      </c>
      <c r="M7146" t="s">
        <v>18</v>
      </c>
      <c r="N7146">
        <v>0</v>
      </c>
      <c r="O7146">
        <v>0</v>
      </c>
    </row>
    <row r="7147" spans="1:15" x14ac:dyDescent="0.2">
      <c r="A7147" s="6">
        <v>45782</v>
      </c>
      <c r="B7147" t="s">
        <v>15</v>
      </c>
      <c r="C7147" t="s">
        <v>16</v>
      </c>
      <c r="D7147" s="1">
        <v>45855</v>
      </c>
      <c r="E7147" t="s">
        <v>17</v>
      </c>
      <c r="F7147">
        <v>4500</v>
      </c>
      <c r="J7147">
        <v>472.6</v>
      </c>
      <c r="K7147">
        <v>543.79999999999995</v>
      </c>
      <c r="L7147">
        <v>0</v>
      </c>
      <c r="M7147" t="s">
        <v>18</v>
      </c>
      <c r="N7147">
        <v>0</v>
      </c>
      <c r="O7147">
        <v>0</v>
      </c>
    </row>
    <row r="7148" spans="1:15" x14ac:dyDescent="0.2">
      <c r="A7148" s="6">
        <v>45782</v>
      </c>
      <c r="B7148" t="s">
        <v>15</v>
      </c>
      <c r="C7148" t="s">
        <v>16</v>
      </c>
      <c r="D7148" s="1">
        <v>45855</v>
      </c>
      <c r="E7148" t="s">
        <v>19</v>
      </c>
      <c r="F7148">
        <v>5150</v>
      </c>
      <c r="J7148">
        <v>480.9</v>
      </c>
      <c r="K7148">
        <v>434.8</v>
      </c>
      <c r="L7148">
        <v>0</v>
      </c>
      <c r="M7148" t="s">
        <v>18</v>
      </c>
      <c r="N7148">
        <v>0</v>
      </c>
      <c r="O7148">
        <v>0</v>
      </c>
    </row>
    <row r="7149" spans="1:15" x14ac:dyDescent="0.2">
      <c r="A7149" s="6">
        <v>45782</v>
      </c>
      <c r="B7149" t="s">
        <v>15</v>
      </c>
      <c r="C7149" t="s">
        <v>16</v>
      </c>
      <c r="D7149" s="1">
        <v>45855</v>
      </c>
      <c r="E7149" t="s">
        <v>19</v>
      </c>
      <c r="F7149">
        <v>6250</v>
      </c>
      <c r="J7149">
        <v>1415</v>
      </c>
      <c r="K7149">
        <v>1333.7</v>
      </c>
      <c r="L7149">
        <v>0</v>
      </c>
      <c r="M7149" t="s">
        <v>18</v>
      </c>
      <c r="N7149">
        <v>0</v>
      </c>
      <c r="O7149">
        <v>0</v>
      </c>
    </row>
    <row r="7150" spans="1:15" x14ac:dyDescent="0.2">
      <c r="A7150" s="6">
        <v>45782</v>
      </c>
      <c r="B7150" t="s">
        <v>15</v>
      </c>
      <c r="C7150" t="s">
        <v>16</v>
      </c>
      <c r="D7150" s="1">
        <v>45855</v>
      </c>
      <c r="E7150" t="s">
        <v>17</v>
      </c>
      <c r="F7150">
        <v>5050</v>
      </c>
      <c r="J7150">
        <v>199.9</v>
      </c>
      <c r="K7150">
        <v>247.3</v>
      </c>
      <c r="L7150">
        <v>0</v>
      </c>
      <c r="M7150" t="s">
        <v>18</v>
      </c>
      <c r="N7150">
        <v>0</v>
      </c>
      <c r="O7150">
        <v>0</v>
      </c>
    </row>
    <row r="7151" spans="1:15" x14ac:dyDescent="0.2">
      <c r="A7151" s="6">
        <v>45782</v>
      </c>
      <c r="B7151" t="s">
        <v>15</v>
      </c>
      <c r="C7151" t="s">
        <v>16</v>
      </c>
      <c r="D7151" s="1">
        <v>45855</v>
      </c>
      <c r="E7151" t="s">
        <v>17</v>
      </c>
      <c r="F7151">
        <v>4550</v>
      </c>
      <c r="J7151">
        <v>441</v>
      </c>
      <c r="K7151">
        <v>510.4</v>
      </c>
      <c r="L7151">
        <v>0</v>
      </c>
      <c r="M7151" t="s">
        <v>18</v>
      </c>
      <c r="N7151">
        <v>0</v>
      </c>
      <c r="O7151">
        <v>0</v>
      </c>
    </row>
    <row r="7152" spans="1:15" x14ac:dyDescent="0.2">
      <c r="A7152" s="6">
        <v>45782</v>
      </c>
      <c r="B7152" t="s">
        <v>15</v>
      </c>
      <c r="C7152" t="s">
        <v>16</v>
      </c>
      <c r="D7152" s="1">
        <v>45855</v>
      </c>
      <c r="E7152" t="s">
        <v>17</v>
      </c>
      <c r="F7152">
        <v>6250</v>
      </c>
      <c r="J7152">
        <v>15.2</v>
      </c>
      <c r="K7152">
        <v>23.4</v>
      </c>
      <c r="L7152">
        <v>0</v>
      </c>
      <c r="M7152" t="s">
        <v>18</v>
      </c>
      <c r="N7152">
        <v>0</v>
      </c>
      <c r="O7152">
        <v>0</v>
      </c>
    </row>
    <row r="7153" spans="1:15" x14ac:dyDescent="0.2">
      <c r="A7153" s="6">
        <v>45782</v>
      </c>
      <c r="B7153" t="s">
        <v>15</v>
      </c>
      <c r="C7153" t="s">
        <v>16</v>
      </c>
      <c r="D7153" s="1">
        <v>45855</v>
      </c>
      <c r="E7153" t="s">
        <v>17</v>
      </c>
      <c r="F7153">
        <v>5150</v>
      </c>
      <c r="J7153">
        <v>167</v>
      </c>
      <c r="K7153">
        <v>209.8</v>
      </c>
      <c r="L7153">
        <v>0</v>
      </c>
      <c r="M7153" t="s">
        <v>18</v>
      </c>
      <c r="N7153">
        <v>0</v>
      </c>
      <c r="O7153">
        <v>0</v>
      </c>
    </row>
    <row r="7154" spans="1:15" x14ac:dyDescent="0.2">
      <c r="A7154" s="6">
        <v>45782</v>
      </c>
      <c r="B7154" t="s">
        <v>15</v>
      </c>
      <c r="C7154" t="s">
        <v>16</v>
      </c>
      <c r="D7154" s="1">
        <v>45855</v>
      </c>
      <c r="E7154" t="s">
        <v>17</v>
      </c>
      <c r="F7154">
        <v>5450</v>
      </c>
      <c r="J7154">
        <v>93.5</v>
      </c>
      <c r="K7154">
        <v>123.4</v>
      </c>
      <c r="L7154">
        <v>0</v>
      </c>
      <c r="M7154" t="s">
        <v>18</v>
      </c>
      <c r="N7154">
        <v>0</v>
      </c>
      <c r="O7154">
        <v>0</v>
      </c>
    </row>
    <row r="7155" spans="1:15" x14ac:dyDescent="0.2">
      <c r="A7155" s="6">
        <v>45782</v>
      </c>
      <c r="B7155" t="s">
        <v>15</v>
      </c>
      <c r="C7155" t="s">
        <v>16</v>
      </c>
      <c r="D7155" s="1">
        <v>45855</v>
      </c>
      <c r="E7155" t="s">
        <v>19</v>
      </c>
      <c r="F7155">
        <v>4650</v>
      </c>
      <c r="J7155">
        <v>202.4</v>
      </c>
      <c r="K7155">
        <v>179.1</v>
      </c>
      <c r="L7155">
        <v>0</v>
      </c>
      <c r="M7155" t="s">
        <v>18</v>
      </c>
      <c r="N7155">
        <v>0</v>
      </c>
      <c r="O7155">
        <v>0</v>
      </c>
    </row>
    <row r="7156" spans="1:15" x14ac:dyDescent="0.2">
      <c r="A7156" s="6">
        <v>45782</v>
      </c>
      <c r="B7156" t="s">
        <v>15</v>
      </c>
      <c r="C7156" t="s">
        <v>16</v>
      </c>
      <c r="D7156" s="1">
        <v>45855</v>
      </c>
      <c r="E7156" t="s">
        <v>17</v>
      </c>
      <c r="F7156">
        <v>4000</v>
      </c>
      <c r="J7156">
        <v>855</v>
      </c>
      <c r="K7156">
        <v>939</v>
      </c>
      <c r="L7156">
        <v>0</v>
      </c>
      <c r="M7156" t="s">
        <v>18</v>
      </c>
      <c r="N7156">
        <v>0</v>
      </c>
      <c r="O7156">
        <v>0</v>
      </c>
    </row>
    <row r="7157" spans="1:15" x14ac:dyDescent="0.2">
      <c r="A7157" s="6">
        <v>45782</v>
      </c>
      <c r="B7157" t="s">
        <v>15</v>
      </c>
      <c r="C7157" t="s">
        <v>16</v>
      </c>
      <c r="D7157" s="1">
        <v>45855</v>
      </c>
      <c r="E7157" t="s">
        <v>17</v>
      </c>
      <c r="F7157">
        <v>4050</v>
      </c>
      <c r="J7157">
        <v>812</v>
      </c>
      <c r="K7157">
        <v>895.2</v>
      </c>
      <c r="L7157">
        <v>0</v>
      </c>
      <c r="M7157" t="s">
        <v>18</v>
      </c>
      <c r="N7157">
        <v>0</v>
      </c>
      <c r="O7157">
        <v>0</v>
      </c>
    </row>
    <row r="7158" spans="1:15" x14ac:dyDescent="0.2">
      <c r="A7158" s="6">
        <v>45782</v>
      </c>
      <c r="B7158" t="s">
        <v>15</v>
      </c>
      <c r="C7158" t="s">
        <v>16</v>
      </c>
      <c r="D7158" s="1">
        <v>45855</v>
      </c>
      <c r="E7158" t="s">
        <v>17</v>
      </c>
      <c r="F7158">
        <v>6350</v>
      </c>
      <c r="J7158">
        <v>11.8</v>
      </c>
      <c r="K7158">
        <v>18.600000000000001</v>
      </c>
      <c r="L7158">
        <v>0</v>
      </c>
      <c r="M7158" t="s">
        <v>18</v>
      </c>
      <c r="N7158">
        <v>0</v>
      </c>
      <c r="O7158">
        <v>0</v>
      </c>
    </row>
    <row r="7159" spans="1:15" x14ac:dyDescent="0.2">
      <c r="A7159" s="6">
        <v>45782</v>
      </c>
      <c r="B7159" t="s">
        <v>15</v>
      </c>
      <c r="C7159" t="s">
        <v>16</v>
      </c>
      <c r="D7159" s="1">
        <v>45855</v>
      </c>
      <c r="E7159" t="s">
        <v>19</v>
      </c>
      <c r="F7159">
        <v>4400</v>
      </c>
      <c r="J7159">
        <v>113.2</v>
      </c>
      <c r="K7159">
        <v>99.3</v>
      </c>
      <c r="L7159">
        <v>0</v>
      </c>
      <c r="M7159" t="s">
        <v>18</v>
      </c>
      <c r="N7159">
        <v>0</v>
      </c>
      <c r="O7159">
        <v>0</v>
      </c>
    </row>
    <row r="7160" spans="1:15" x14ac:dyDescent="0.2">
      <c r="A7160" s="6">
        <v>45782</v>
      </c>
      <c r="B7160" t="s">
        <v>15</v>
      </c>
      <c r="C7160" t="s">
        <v>16</v>
      </c>
      <c r="D7160" s="1">
        <v>45855</v>
      </c>
      <c r="E7160" t="s">
        <v>19</v>
      </c>
      <c r="F7160">
        <v>5350</v>
      </c>
      <c r="J7160">
        <v>625.5</v>
      </c>
      <c r="K7160">
        <v>570.5</v>
      </c>
      <c r="L7160">
        <v>0</v>
      </c>
      <c r="M7160" t="s">
        <v>18</v>
      </c>
      <c r="N7160">
        <v>0</v>
      </c>
      <c r="O7160">
        <v>0</v>
      </c>
    </row>
    <row r="7161" spans="1:15" x14ac:dyDescent="0.2">
      <c r="A7161" s="6">
        <v>45782</v>
      </c>
      <c r="B7161" t="s">
        <v>15</v>
      </c>
      <c r="C7161" t="s">
        <v>16</v>
      </c>
      <c r="D7161" s="1">
        <v>45855</v>
      </c>
      <c r="E7161" t="s">
        <v>19</v>
      </c>
      <c r="F7161">
        <v>5750</v>
      </c>
      <c r="J7161">
        <v>955.6</v>
      </c>
      <c r="K7161">
        <v>885.8</v>
      </c>
      <c r="L7161">
        <v>0</v>
      </c>
      <c r="M7161" t="s">
        <v>18</v>
      </c>
      <c r="N7161">
        <v>0</v>
      </c>
      <c r="O7161">
        <v>0</v>
      </c>
    </row>
    <row r="7162" spans="1:15" x14ac:dyDescent="0.2">
      <c r="A7162" s="6">
        <v>45782</v>
      </c>
      <c r="B7162" t="s">
        <v>15</v>
      </c>
      <c r="C7162" t="s">
        <v>16</v>
      </c>
      <c r="D7162" s="1">
        <v>45855</v>
      </c>
      <c r="E7162" t="s">
        <v>19</v>
      </c>
      <c r="F7162">
        <v>4500</v>
      </c>
      <c r="J7162">
        <v>144.9</v>
      </c>
      <c r="K7162">
        <v>127.5</v>
      </c>
      <c r="L7162">
        <v>0</v>
      </c>
      <c r="M7162" t="s">
        <v>18</v>
      </c>
      <c r="N7162">
        <v>0</v>
      </c>
      <c r="O7162">
        <v>0</v>
      </c>
    </row>
    <row r="7163" spans="1:15" x14ac:dyDescent="0.2">
      <c r="A7163" s="6">
        <v>45782</v>
      </c>
      <c r="B7163" t="s">
        <v>15</v>
      </c>
      <c r="C7163" t="s">
        <v>16</v>
      </c>
      <c r="D7163" s="1">
        <v>45855</v>
      </c>
      <c r="E7163" t="s">
        <v>17</v>
      </c>
      <c r="F7163">
        <v>6500</v>
      </c>
      <c r="J7163">
        <v>8.1</v>
      </c>
      <c r="K7163">
        <v>13.1</v>
      </c>
      <c r="L7163">
        <v>0</v>
      </c>
      <c r="M7163" t="s">
        <v>18</v>
      </c>
      <c r="N7163">
        <v>0</v>
      </c>
      <c r="O7163">
        <v>0</v>
      </c>
    </row>
    <row r="7164" spans="1:15" x14ac:dyDescent="0.2">
      <c r="A7164" s="6">
        <v>45782</v>
      </c>
      <c r="B7164" t="s">
        <v>15</v>
      </c>
      <c r="C7164" t="s">
        <v>16</v>
      </c>
      <c r="D7164" s="1">
        <v>45855</v>
      </c>
      <c r="E7164" t="s">
        <v>19</v>
      </c>
      <c r="F7164">
        <v>4100</v>
      </c>
      <c r="J7164">
        <v>47.3</v>
      </c>
      <c r="K7164">
        <v>41.3</v>
      </c>
      <c r="L7164">
        <v>0</v>
      </c>
      <c r="M7164" t="s">
        <v>18</v>
      </c>
      <c r="N7164">
        <v>0</v>
      </c>
      <c r="O7164">
        <v>0</v>
      </c>
    </row>
    <row r="7165" spans="1:15" x14ac:dyDescent="0.2">
      <c r="A7165" s="6">
        <v>45782</v>
      </c>
      <c r="B7165" t="s">
        <v>15</v>
      </c>
      <c r="C7165" t="s">
        <v>16</v>
      </c>
      <c r="D7165" s="1">
        <v>45855</v>
      </c>
      <c r="E7165" t="s">
        <v>19</v>
      </c>
      <c r="F7165">
        <v>4350</v>
      </c>
      <c r="J7165">
        <v>99.3</v>
      </c>
      <c r="K7165">
        <v>87</v>
      </c>
      <c r="L7165">
        <v>0</v>
      </c>
      <c r="M7165" t="s">
        <v>18</v>
      </c>
      <c r="N7165">
        <v>0</v>
      </c>
      <c r="O7165">
        <v>0</v>
      </c>
    </row>
    <row r="7166" spans="1:15" x14ac:dyDescent="0.2">
      <c r="A7166" s="6">
        <v>45782</v>
      </c>
      <c r="B7166" t="s">
        <v>15</v>
      </c>
      <c r="C7166" t="s">
        <v>16</v>
      </c>
      <c r="D7166" s="1">
        <v>45855</v>
      </c>
      <c r="E7166" t="s">
        <v>17</v>
      </c>
      <c r="F7166">
        <v>6300</v>
      </c>
      <c r="J7166">
        <v>13.4</v>
      </c>
      <c r="K7166">
        <v>20.9</v>
      </c>
      <c r="L7166">
        <v>0</v>
      </c>
      <c r="M7166" t="s">
        <v>18</v>
      </c>
      <c r="N7166">
        <v>0</v>
      </c>
      <c r="O7166">
        <v>0</v>
      </c>
    </row>
    <row r="7167" spans="1:15" x14ac:dyDescent="0.2">
      <c r="A7167" s="6">
        <v>45782</v>
      </c>
      <c r="B7167" t="s">
        <v>15</v>
      </c>
      <c r="C7167" t="s">
        <v>16</v>
      </c>
      <c r="D7167" s="1">
        <v>45855</v>
      </c>
      <c r="E7167" t="s">
        <v>19</v>
      </c>
      <c r="F7167">
        <v>5500</v>
      </c>
      <c r="J7167">
        <v>743.8</v>
      </c>
      <c r="K7167">
        <v>682.6</v>
      </c>
      <c r="L7167">
        <v>0</v>
      </c>
      <c r="M7167" t="s">
        <v>18</v>
      </c>
      <c r="N7167">
        <v>0</v>
      </c>
      <c r="O7167">
        <v>0</v>
      </c>
    </row>
    <row r="7168" spans="1:15" x14ac:dyDescent="0.2">
      <c r="A7168" s="6">
        <v>45782</v>
      </c>
      <c r="B7168" t="s">
        <v>15</v>
      </c>
      <c r="C7168" t="s">
        <v>16</v>
      </c>
      <c r="D7168" s="1">
        <v>45855</v>
      </c>
      <c r="E7168" t="s">
        <v>19</v>
      </c>
      <c r="F7168">
        <v>3650</v>
      </c>
      <c r="J7168">
        <v>7.9</v>
      </c>
      <c r="K7168">
        <v>7</v>
      </c>
      <c r="L7168">
        <v>0</v>
      </c>
      <c r="M7168" t="s">
        <v>18</v>
      </c>
      <c r="N7168">
        <v>0</v>
      </c>
      <c r="O7168">
        <v>0</v>
      </c>
    </row>
    <row r="7169" spans="1:15" x14ac:dyDescent="0.2">
      <c r="A7169" s="6">
        <v>45782</v>
      </c>
      <c r="B7169" t="s">
        <v>15</v>
      </c>
      <c r="C7169" t="s">
        <v>16</v>
      </c>
      <c r="D7169" s="1">
        <v>45855</v>
      </c>
      <c r="E7169" t="s">
        <v>17</v>
      </c>
      <c r="F7169">
        <v>3650</v>
      </c>
      <c r="J7169">
        <v>1174.8</v>
      </c>
      <c r="K7169">
        <v>1262</v>
      </c>
      <c r="L7169">
        <v>0</v>
      </c>
      <c r="M7169" t="s">
        <v>18</v>
      </c>
      <c r="N7169">
        <v>0</v>
      </c>
      <c r="O7169">
        <v>0</v>
      </c>
    </row>
    <row r="7170" spans="1:15" x14ac:dyDescent="0.2">
      <c r="A7170" s="6">
        <v>45782</v>
      </c>
      <c r="B7170" t="s">
        <v>15</v>
      </c>
      <c r="C7170" t="s">
        <v>16</v>
      </c>
      <c r="D7170" s="1">
        <v>45855</v>
      </c>
      <c r="E7170" t="s">
        <v>17</v>
      </c>
      <c r="F7170">
        <v>4600</v>
      </c>
      <c r="J7170">
        <v>410.8</v>
      </c>
      <c r="K7170">
        <v>478.3</v>
      </c>
      <c r="L7170">
        <v>0</v>
      </c>
      <c r="M7170" t="s">
        <v>18</v>
      </c>
      <c r="N7170">
        <v>0</v>
      </c>
      <c r="O7170">
        <v>0</v>
      </c>
    </row>
    <row r="7171" spans="1:15" x14ac:dyDescent="0.2">
      <c r="A7171" s="6">
        <v>45782</v>
      </c>
      <c r="B7171" t="s">
        <v>15</v>
      </c>
      <c r="C7171" t="s">
        <v>16</v>
      </c>
      <c r="D7171" s="1">
        <v>45855</v>
      </c>
      <c r="E7171" t="s">
        <v>17</v>
      </c>
      <c r="F7171">
        <v>5350</v>
      </c>
      <c r="J7171">
        <v>114.2</v>
      </c>
      <c r="K7171">
        <v>148.19999999999999</v>
      </c>
      <c r="L7171">
        <v>0</v>
      </c>
      <c r="M7171" t="s">
        <v>18</v>
      </c>
      <c r="N7171">
        <v>0</v>
      </c>
      <c r="O7171">
        <v>0</v>
      </c>
    </row>
    <row r="7172" spans="1:15" x14ac:dyDescent="0.2">
      <c r="A7172" s="6">
        <v>45782</v>
      </c>
      <c r="B7172" t="s">
        <v>15</v>
      </c>
      <c r="C7172" t="s">
        <v>16</v>
      </c>
      <c r="D7172" s="1">
        <v>45855</v>
      </c>
      <c r="E7172" t="s">
        <v>19</v>
      </c>
      <c r="F7172">
        <v>4850</v>
      </c>
      <c r="J7172">
        <v>298.10000000000002</v>
      </c>
      <c r="K7172">
        <v>266</v>
      </c>
      <c r="L7172">
        <v>0</v>
      </c>
      <c r="M7172" t="s">
        <v>18</v>
      </c>
      <c r="N7172">
        <v>0</v>
      </c>
      <c r="O7172">
        <v>0</v>
      </c>
    </row>
    <row r="7173" spans="1:15" x14ac:dyDescent="0.2">
      <c r="A7173" s="6">
        <v>45782</v>
      </c>
      <c r="B7173" t="s">
        <v>15</v>
      </c>
      <c r="C7173" t="s">
        <v>16</v>
      </c>
      <c r="D7173" s="1">
        <v>45855</v>
      </c>
      <c r="E7173" t="s">
        <v>17</v>
      </c>
      <c r="F7173">
        <v>6100</v>
      </c>
      <c r="J7173">
        <v>22</v>
      </c>
      <c r="K7173">
        <v>32.799999999999997</v>
      </c>
      <c r="L7173">
        <v>0</v>
      </c>
      <c r="M7173" t="s">
        <v>18</v>
      </c>
      <c r="N7173">
        <v>0</v>
      </c>
      <c r="O7173">
        <v>0</v>
      </c>
    </row>
    <row r="7174" spans="1:15" x14ac:dyDescent="0.2">
      <c r="A7174" s="6">
        <v>45782</v>
      </c>
      <c r="B7174" t="s">
        <v>15</v>
      </c>
      <c r="C7174" t="s">
        <v>16</v>
      </c>
      <c r="D7174" s="1">
        <v>45855</v>
      </c>
      <c r="E7174" t="s">
        <v>19</v>
      </c>
      <c r="F7174">
        <v>4000</v>
      </c>
      <c r="J7174">
        <v>33.6</v>
      </c>
      <c r="K7174">
        <v>29.3</v>
      </c>
      <c r="L7174">
        <v>0</v>
      </c>
      <c r="M7174" t="s">
        <v>18</v>
      </c>
      <c r="N7174">
        <v>0</v>
      </c>
      <c r="O7174">
        <v>0</v>
      </c>
    </row>
    <row r="7175" spans="1:15" x14ac:dyDescent="0.2">
      <c r="A7175" s="6">
        <v>45782</v>
      </c>
      <c r="B7175" t="s">
        <v>15</v>
      </c>
      <c r="C7175" t="s">
        <v>16</v>
      </c>
      <c r="D7175" s="1">
        <v>45855</v>
      </c>
      <c r="E7175" t="s">
        <v>19</v>
      </c>
      <c r="F7175">
        <v>5600</v>
      </c>
      <c r="J7175">
        <v>826.6</v>
      </c>
      <c r="K7175">
        <v>761.7</v>
      </c>
      <c r="L7175">
        <v>0</v>
      </c>
      <c r="M7175" t="s">
        <v>18</v>
      </c>
      <c r="N7175">
        <v>0</v>
      </c>
      <c r="O7175">
        <v>0</v>
      </c>
    </row>
    <row r="7176" spans="1:15" x14ac:dyDescent="0.2">
      <c r="A7176" s="6">
        <v>45782</v>
      </c>
      <c r="B7176" t="s">
        <v>15</v>
      </c>
      <c r="C7176" t="s">
        <v>16</v>
      </c>
      <c r="D7176" s="1">
        <v>45855</v>
      </c>
      <c r="E7176" t="s">
        <v>19</v>
      </c>
      <c r="F7176">
        <v>5650</v>
      </c>
      <c r="J7176">
        <v>869</v>
      </c>
      <c r="K7176">
        <v>802.4</v>
      </c>
      <c r="L7176">
        <v>0</v>
      </c>
      <c r="M7176" t="s">
        <v>18</v>
      </c>
      <c r="N7176">
        <v>0</v>
      </c>
      <c r="O7176">
        <v>0</v>
      </c>
    </row>
    <row r="7177" spans="1:15" x14ac:dyDescent="0.2">
      <c r="A7177" s="6">
        <v>45782</v>
      </c>
      <c r="B7177" t="s">
        <v>15</v>
      </c>
      <c r="C7177" t="s">
        <v>16</v>
      </c>
      <c r="D7177" s="1">
        <v>45855</v>
      </c>
      <c r="E7177" t="s">
        <v>19</v>
      </c>
      <c r="F7177">
        <v>6350</v>
      </c>
      <c r="J7177">
        <v>1510.4</v>
      </c>
      <c r="K7177">
        <v>1427.5</v>
      </c>
      <c r="L7177">
        <v>0</v>
      </c>
      <c r="M7177" t="s">
        <v>18</v>
      </c>
      <c r="N7177">
        <v>0</v>
      </c>
      <c r="O7177">
        <v>0</v>
      </c>
    </row>
    <row r="7178" spans="1:15" x14ac:dyDescent="0.2">
      <c r="A7178" s="6">
        <v>45782</v>
      </c>
      <c r="B7178" t="s">
        <v>15</v>
      </c>
      <c r="C7178" t="s">
        <v>16</v>
      </c>
      <c r="D7178" s="1">
        <v>45855</v>
      </c>
      <c r="E7178" t="s">
        <v>17</v>
      </c>
      <c r="F7178">
        <v>3950</v>
      </c>
      <c r="J7178">
        <v>898.7</v>
      </c>
      <c r="K7178">
        <v>983.4</v>
      </c>
      <c r="L7178">
        <v>0</v>
      </c>
      <c r="M7178" t="s">
        <v>18</v>
      </c>
      <c r="N7178">
        <v>0</v>
      </c>
      <c r="O7178">
        <v>0</v>
      </c>
    </row>
    <row r="7179" spans="1:15" x14ac:dyDescent="0.2">
      <c r="A7179" s="6">
        <v>45782</v>
      </c>
      <c r="B7179" t="s">
        <v>15</v>
      </c>
      <c r="C7179" t="s">
        <v>16</v>
      </c>
      <c r="D7179" s="1">
        <v>45855</v>
      </c>
      <c r="E7179" t="s">
        <v>17</v>
      </c>
      <c r="F7179">
        <v>6000</v>
      </c>
      <c r="J7179">
        <v>27.9</v>
      </c>
      <c r="K7179">
        <v>40.799999999999997</v>
      </c>
      <c r="L7179">
        <v>0</v>
      </c>
      <c r="M7179" t="s">
        <v>18</v>
      </c>
      <c r="N7179">
        <v>0</v>
      </c>
      <c r="O7179">
        <v>0</v>
      </c>
    </row>
    <row r="7180" spans="1:15" x14ac:dyDescent="0.2">
      <c r="A7180" s="6">
        <v>45782</v>
      </c>
      <c r="B7180" t="s">
        <v>15</v>
      </c>
      <c r="C7180" t="s">
        <v>16</v>
      </c>
      <c r="D7180" s="1">
        <v>45855</v>
      </c>
      <c r="E7180" t="s">
        <v>19</v>
      </c>
      <c r="F7180">
        <v>4150</v>
      </c>
      <c r="J7180">
        <v>55.6</v>
      </c>
      <c r="K7180">
        <v>48.5</v>
      </c>
      <c r="L7180">
        <v>0</v>
      </c>
      <c r="M7180" t="s">
        <v>18</v>
      </c>
      <c r="N7180">
        <v>0</v>
      </c>
      <c r="O7180">
        <v>0</v>
      </c>
    </row>
    <row r="7181" spans="1:15" x14ac:dyDescent="0.2">
      <c r="A7181" s="6">
        <v>45782</v>
      </c>
      <c r="B7181" t="s">
        <v>15</v>
      </c>
      <c r="C7181" t="s">
        <v>16</v>
      </c>
      <c r="D7181" s="1">
        <v>45855</v>
      </c>
      <c r="E7181" t="s">
        <v>19</v>
      </c>
      <c r="F7181">
        <v>3800</v>
      </c>
      <c r="J7181">
        <v>15.5</v>
      </c>
      <c r="K7181">
        <v>13.5</v>
      </c>
      <c r="L7181">
        <v>0</v>
      </c>
      <c r="M7181" t="s">
        <v>18</v>
      </c>
      <c r="N7181">
        <v>0</v>
      </c>
      <c r="O7181">
        <v>0</v>
      </c>
    </row>
    <row r="7182" spans="1:15" x14ac:dyDescent="0.2">
      <c r="A7182" s="6">
        <v>45782</v>
      </c>
      <c r="B7182" t="s">
        <v>15</v>
      </c>
      <c r="C7182" t="s">
        <v>16</v>
      </c>
      <c r="D7182" s="1">
        <v>45855</v>
      </c>
      <c r="E7182" t="s">
        <v>19</v>
      </c>
      <c r="F7182">
        <v>6100</v>
      </c>
      <c r="J7182">
        <v>1273.7</v>
      </c>
      <c r="K7182">
        <v>1195</v>
      </c>
      <c r="L7182">
        <v>0</v>
      </c>
      <c r="M7182" t="s">
        <v>18</v>
      </c>
      <c r="N7182">
        <v>0</v>
      </c>
      <c r="O7182">
        <v>0</v>
      </c>
    </row>
    <row r="7183" spans="1:15" x14ac:dyDescent="0.2">
      <c r="A7183" s="6">
        <v>45782</v>
      </c>
      <c r="B7183" t="s">
        <v>15</v>
      </c>
      <c r="C7183" t="s">
        <v>16</v>
      </c>
      <c r="D7183" s="1">
        <v>45855</v>
      </c>
      <c r="E7183" t="s">
        <v>19</v>
      </c>
      <c r="F7183">
        <v>4050</v>
      </c>
      <c r="J7183">
        <v>40</v>
      </c>
      <c r="K7183">
        <v>34.9</v>
      </c>
      <c r="L7183">
        <v>0</v>
      </c>
      <c r="M7183" t="s">
        <v>18</v>
      </c>
      <c r="N7183">
        <v>0</v>
      </c>
      <c r="O7183">
        <v>0</v>
      </c>
    </row>
    <row r="7184" spans="1:15" x14ac:dyDescent="0.2">
      <c r="A7184" s="6">
        <v>45782</v>
      </c>
      <c r="B7184" t="s">
        <v>15</v>
      </c>
      <c r="C7184" t="s">
        <v>16</v>
      </c>
      <c r="D7184" s="1">
        <v>45855</v>
      </c>
      <c r="E7184" t="s">
        <v>19</v>
      </c>
      <c r="F7184">
        <v>5000</v>
      </c>
      <c r="J7184">
        <v>384</v>
      </c>
      <c r="K7184">
        <v>344.8</v>
      </c>
      <c r="L7184">
        <v>0</v>
      </c>
      <c r="M7184" t="s">
        <v>18</v>
      </c>
      <c r="N7184">
        <v>0</v>
      </c>
      <c r="O7184">
        <v>0</v>
      </c>
    </row>
    <row r="7185" spans="1:15" x14ac:dyDescent="0.2">
      <c r="A7185" s="6">
        <v>45782</v>
      </c>
      <c r="B7185" t="s">
        <v>15</v>
      </c>
      <c r="C7185" t="s">
        <v>16</v>
      </c>
      <c r="D7185" s="1">
        <v>45855</v>
      </c>
      <c r="E7185" t="s">
        <v>19</v>
      </c>
      <c r="F7185">
        <v>4750</v>
      </c>
      <c r="J7185">
        <v>247.5</v>
      </c>
      <c r="K7185">
        <v>219.9</v>
      </c>
      <c r="L7185">
        <v>0</v>
      </c>
      <c r="M7185" t="s">
        <v>18</v>
      </c>
      <c r="N7185">
        <v>0</v>
      </c>
      <c r="O7185">
        <v>0</v>
      </c>
    </row>
    <row r="7186" spans="1:15" x14ac:dyDescent="0.2">
      <c r="A7186" s="6">
        <v>45782</v>
      </c>
      <c r="B7186" t="s">
        <v>15</v>
      </c>
      <c r="C7186" t="s">
        <v>16</v>
      </c>
      <c r="D7186" s="1">
        <v>45855</v>
      </c>
      <c r="E7186" t="s">
        <v>19</v>
      </c>
      <c r="F7186">
        <v>5950</v>
      </c>
      <c r="J7186">
        <v>1135</v>
      </c>
      <c r="K7186">
        <v>1059.7</v>
      </c>
      <c r="L7186">
        <v>0</v>
      </c>
      <c r="M7186" t="s">
        <v>18</v>
      </c>
      <c r="N7186">
        <v>0</v>
      </c>
      <c r="O7186">
        <v>0</v>
      </c>
    </row>
    <row r="7187" spans="1:15" x14ac:dyDescent="0.2">
      <c r="A7187" s="6">
        <v>45782</v>
      </c>
      <c r="B7187" t="s">
        <v>15</v>
      </c>
      <c r="C7187" t="s">
        <v>16</v>
      </c>
      <c r="D7187" s="1">
        <v>45855</v>
      </c>
      <c r="E7187" t="s">
        <v>17</v>
      </c>
      <c r="F7187">
        <v>4700</v>
      </c>
      <c r="J7187">
        <v>354.6</v>
      </c>
      <c r="K7187">
        <v>417.9</v>
      </c>
      <c r="L7187">
        <v>0</v>
      </c>
      <c r="M7187" t="s">
        <v>18</v>
      </c>
      <c r="N7187">
        <v>0</v>
      </c>
      <c r="O7187">
        <v>0</v>
      </c>
    </row>
    <row r="7188" spans="1:15" x14ac:dyDescent="0.2">
      <c r="A7188" s="6">
        <v>45782</v>
      </c>
      <c r="B7188" t="s">
        <v>15</v>
      </c>
      <c r="C7188" t="s">
        <v>16</v>
      </c>
      <c r="D7188" s="1">
        <v>45855</v>
      </c>
      <c r="E7188" t="s">
        <v>17</v>
      </c>
      <c r="F7188">
        <v>6450</v>
      </c>
      <c r="J7188">
        <v>9.1999999999999993</v>
      </c>
      <c r="K7188">
        <v>14.7</v>
      </c>
      <c r="L7188">
        <v>0</v>
      </c>
      <c r="M7188" t="s">
        <v>18</v>
      </c>
      <c r="N7188">
        <v>0</v>
      </c>
      <c r="O7188">
        <v>0</v>
      </c>
    </row>
    <row r="7189" spans="1:15" x14ac:dyDescent="0.2">
      <c r="A7189" s="6">
        <v>45782</v>
      </c>
      <c r="B7189" t="s">
        <v>15</v>
      </c>
      <c r="C7189" t="s">
        <v>16</v>
      </c>
      <c r="D7189" s="1">
        <v>45855</v>
      </c>
      <c r="E7189" t="s">
        <v>19</v>
      </c>
      <c r="F7189">
        <v>4300</v>
      </c>
      <c r="J7189">
        <v>86.7</v>
      </c>
      <c r="K7189">
        <v>75.8</v>
      </c>
      <c r="L7189">
        <v>0</v>
      </c>
      <c r="M7189" t="s">
        <v>18</v>
      </c>
      <c r="N7189">
        <v>0</v>
      </c>
      <c r="O7189">
        <v>0</v>
      </c>
    </row>
    <row r="7190" spans="1:15" x14ac:dyDescent="0.2">
      <c r="A7190" s="6">
        <v>45782</v>
      </c>
      <c r="B7190" t="s">
        <v>15</v>
      </c>
      <c r="C7190" t="s">
        <v>16</v>
      </c>
      <c r="D7190" s="1">
        <v>45855</v>
      </c>
      <c r="E7190" t="s">
        <v>17</v>
      </c>
      <c r="F7190">
        <v>3900</v>
      </c>
      <c r="J7190">
        <v>943.3</v>
      </c>
      <c r="K7190">
        <v>1028.5999999999999</v>
      </c>
      <c r="L7190">
        <v>0</v>
      </c>
      <c r="M7190" t="s">
        <v>18</v>
      </c>
      <c r="N7190">
        <v>0</v>
      </c>
      <c r="O7190">
        <v>0</v>
      </c>
    </row>
    <row r="7191" spans="1:15" x14ac:dyDescent="0.2">
      <c r="A7191" s="6">
        <v>45782</v>
      </c>
      <c r="B7191" t="s">
        <v>15</v>
      </c>
      <c r="C7191" t="s">
        <v>16</v>
      </c>
      <c r="D7191" s="1">
        <v>45855</v>
      </c>
      <c r="E7191" t="s">
        <v>17</v>
      </c>
      <c r="F7191">
        <v>4300</v>
      </c>
      <c r="J7191">
        <v>611.79999999999995</v>
      </c>
      <c r="K7191">
        <v>689.5</v>
      </c>
      <c r="L7191">
        <v>0</v>
      </c>
      <c r="M7191" t="s">
        <v>18</v>
      </c>
      <c r="N7191">
        <v>0</v>
      </c>
      <c r="O7191">
        <v>0</v>
      </c>
    </row>
    <row r="7192" spans="1:15" x14ac:dyDescent="0.2">
      <c r="A7192" s="6">
        <v>45782</v>
      </c>
      <c r="B7192" t="s">
        <v>15</v>
      </c>
      <c r="C7192" t="s">
        <v>16</v>
      </c>
      <c r="D7192" s="1">
        <v>45855</v>
      </c>
      <c r="E7192" t="s">
        <v>19</v>
      </c>
      <c r="F7192">
        <v>6450</v>
      </c>
      <c r="J7192">
        <v>1606.4</v>
      </c>
      <c r="K7192">
        <v>1522.3</v>
      </c>
      <c r="L7192">
        <v>0</v>
      </c>
      <c r="M7192" t="s">
        <v>18</v>
      </c>
      <c r="N7192">
        <v>0</v>
      </c>
      <c r="O7192">
        <v>0</v>
      </c>
    </row>
    <row r="7193" spans="1:15" x14ac:dyDescent="0.2">
      <c r="A7193" s="6">
        <v>45782</v>
      </c>
      <c r="B7193" t="s">
        <v>15</v>
      </c>
      <c r="C7193" t="s">
        <v>16</v>
      </c>
      <c r="D7193" s="1">
        <v>45855</v>
      </c>
      <c r="E7193" t="s">
        <v>17</v>
      </c>
      <c r="F7193">
        <v>5650</v>
      </c>
      <c r="J7193">
        <v>61.5</v>
      </c>
      <c r="K7193">
        <v>84.1</v>
      </c>
      <c r="L7193">
        <v>0</v>
      </c>
      <c r="M7193" t="s">
        <v>18</v>
      </c>
      <c r="N7193">
        <v>0</v>
      </c>
      <c r="O7193">
        <v>0</v>
      </c>
    </row>
    <row r="7194" spans="1:15" x14ac:dyDescent="0.2">
      <c r="A7194" s="6">
        <v>45782</v>
      </c>
      <c r="B7194" t="s">
        <v>15</v>
      </c>
      <c r="C7194" t="s">
        <v>16</v>
      </c>
      <c r="D7194" s="1">
        <v>45855</v>
      </c>
      <c r="E7194" t="s">
        <v>19</v>
      </c>
      <c r="F7194">
        <v>6600</v>
      </c>
      <c r="J7194">
        <v>1751.5</v>
      </c>
      <c r="K7194">
        <v>1665.9</v>
      </c>
      <c r="L7194">
        <v>0</v>
      </c>
      <c r="M7194" t="s">
        <v>18</v>
      </c>
      <c r="N7194">
        <v>0</v>
      </c>
      <c r="O7194">
        <v>0</v>
      </c>
    </row>
    <row r="7195" spans="1:15" x14ac:dyDescent="0.2">
      <c r="A7195" s="6">
        <v>45782</v>
      </c>
      <c r="B7195" t="s">
        <v>15</v>
      </c>
      <c r="C7195" t="s">
        <v>16</v>
      </c>
      <c r="D7195" s="1">
        <v>45855</v>
      </c>
      <c r="E7195" t="s">
        <v>17</v>
      </c>
      <c r="F7195">
        <v>5400</v>
      </c>
      <c r="J7195">
        <v>103.4</v>
      </c>
      <c r="K7195">
        <v>135.30000000000001</v>
      </c>
      <c r="L7195">
        <v>0</v>
      </c>
      <c r="M7195" t="s">
        <v>18</v>
      </c>
      <c r="N7195">
        <v>0</v>
      </c>
      <c r="O7195">
        <v>0</v>
      </c>
    </row>
    <row r="7196" spans="1:15" x14ac:dyDescent="0.2">
      <c r="A7196" s="6">
        <v>45782</v>
      </c>
      <c r="B7196" t="s">
        <v>15</v>
      </c>
      <c r="C7196" t="s">
        <v>16</v>
      </c>
      <c r="D7196" s="1">
        <v>45855</v>
      </c>
      <c r="E7196" t="s">
        <v>17</v>
      </c>
      <c r="F7196">
        <v>6150</v>
      </c>
      <c r="J7196">
        <v>19.5</v>
      </c>
      <c r="K7196">
        <v>29.3</v>
      </c>
      <c r="L7196">
        <v>0</v>
      </c>
      <c r="M7196" t="s">
        <v>18</v>
      </c>
      <c r="N7196">
        <v>0</v>
      </c>
      <c r="O7196">
        <v>0</v>
      </c>
    </row>
    <row r="7197" spans="1:15" x14ac:dyDescent="0.2">
      <c r="A7197" s="6">
        <v>45782</v>
      </c>
      <c r="B7197" t="s">
        <v>15</v>
      </c>
      <c r="C7197" t="s">
        <v>16</v>
      </c>
      <c r="D7197" s="1">
        <v>45855</v>
      </c>
      <c r="E7197" t="s">
        <v>19</v>
      </c>
      <c r="F7197">
        <v>6500</v>
      </c>
      <c r="J7197">
        <v>1654.6</v>
      </c>
      <c r="K7197">
        <v>1570</v>
      </c>
      <c r="L7197">
        <v>0</v>
      </c>
      <c r="M7197" t="s">
        <v>18</v>
      </c>
      <c r="N7197">
        <v>0</v>
      </c>
      <c r="O7197">
        <v>0</v>
      </c>
    </row>
    <row r="7198" spans="1:15" x14ac:dyDescent="0.2">
      <c r="A7198" s="6">
        <v>45782</v>
      </c>
      <c r="B7198" t="s">
        <v>15</v>
      </c>
      <c r="C7198" t="s">
        <v>16</v>
      </c>
      <c r="D7198" s="1">
        <v>45855</v>
      </c>
      <c r="E7198" t="s">
        <v>19</v>
      </c>
      <c r="F7198">
        <v>5850</v>
      </c>
      <c r="J7198">
        <v>1044.4000000000001</v>
      </c>
      <c r="K7198">
        <v>971.6</v>
      </c>
      <c r="L7198">
        <v>0</v>
      </c>
      <c r="M7198" t="s">
        <v>18</v>
      </c>
      <c r="N7198">
        <v>0</v>
      </c>
      <c r="O7198">
        <v>0</v>
      </c>
    </row>
    <row r="7199" spans="1:15" x14ac:dyDescent="0.2">
      <c r="A7199" s="6">
        <v>45782</v>
      </c>
      <c r="B7199" t="s">
        <v>15</v>
      </c>
      <c r="C7199" t="s">
        <v>16</v>
      </c>
      <c r="D7199" s="1">
        <v>45855</v>
      </c>
      <c r="E7199" t="s">
        <v>17</v>
      </c>
      <c r="F7199">
        <v>5850</v>
      </c>
      <c r="J7199">
        <v>39.5</v>
      </c>
      <c r="K7199">
        <v>56</v>
      </c>
      <c r="L7199">
        <v>0</v>
      </c>
      <c r="M7199" t="s">
        <v>18</v>
      </c>
      <c r="N7199">
        <v>0</v>
      </c>
      <c r="O7199">
        <v>0</v>
      </c>
    </row>
    <row r="7200" spans="1:15" x14ac:dyDescent="0.2">
      <c r="A7200" s="6">
        <v>45782</v>
      </c>
      <c r="B7200" t="s">
        <v>15</v>
      </c>
      <c r="C7200" t="s">
        <v>16</v>
      </c>
      <c r="D7200" s="1">
        <v>45855</v>
      </c>
      <c r="E7200" t="s">
        <v>19</v>
      </c>
      <c r="F7200">
        <v>6000</v>
      </c>
      <c r="J7200">
        <v>1180.9000000000001</v>
      </c>
      <c r="K7200">
        <v>1104.4000000000001</v>
      </c>
      <c r="L7200">
        <v>0</v>
      </c>
      <c r="M7200" t="s">
        <v>18</v>
      </c>
      <c r="N7200">
        <v>0</v>
      </c>
      <c r="O7200">
        <v>0</v>
      </c>
    </row>
    <row r="7201" spans="1:15" x14ac:dyDescent="0.2">
      <c r="A7201" s="6">
        <v>45782</v>
      </c>
      <c r="B7201" t="s">
        <v>15</v>
      </c>
      <c r="C7201" t="s">
        <v>16</v>
      </c>
      <c r="D7201" s="1">
        <v>45855</v>
      </c>
      <c r="E7201" t="s">
        <v>19</v>
      </c>
      <c r="F7201">
        <v>6300</v>
      </c>
      <c r="J7201">
        <v>1462.6</v>
      </c>
      <c r="K7201">
        <v>1380.5</v>
      </c>
      <c r="L7201">
        <v>0</v>
      </c>
      <c r="M7201" t="s">
        <v>18</v>
      </c>
      <c r="N7201">
        <v>0</v>
      </c>
      <c r="O7201">
        <v>0</v>
      </c>
    </row>
    <row r="7202" spans="1:15" x14ac:dyDescent="0.2">
      <c r="A7202" s="6">
        <v>45782</v>
      </c>
      <c r="B7202" t="s">
        <v>15</v>
      </c>
      <c r="C7202" t="s">
        <v>16</v>
      </c>
      <c r="D7202" s="1">
        <v>45855</v>
      </c>
      <c r="E7202" t="s">
        <v>17</v>
      </c>
      <c r="F7202">
        <v>6600</v>
      </c>
      <c r="J7202">
        <v>6.2</v>
      </c>
      <c r="K7202">
        <v>10.3</v>
      </c>
      <c r="L7202">
        <v>0</v>
      </c>
      <c r="M7202" t="s">
        <v>18</v>
      </c>
      <c r="N7202">
        <v>0</v>
      </c>
      <c r="O7202">
        <v>0</v>
      </c>
    </row>
    <row r="7203" spans="1:15" x14ac:dyDescent="0.2">
      <c r="A7203" s="6">
        <v>45782</v>
      </c>
      <c r="B7203" t="s">
        <v>15</v>
      </c>
      <c r="C7203" t="s">
        <v>16</v>
      </c>
      <c r="D7203" s="1">
        <v>45855</v>
      </c>
      <c r="E7203" t="s">
        <v>19</v>
      </c>
      <c r="F7203">
        <v>5550</v>
      </c>
      <c r="J7203">
        <v>784.8</v>
      </c>
      <c r="K7203">
        <v>721.8</v>
      </c>
      <c r="L7203">
        <v>0</v>
      </c>
      <c r="M7203" t="s">
        <v>18</v>
      </c>
      <c r="N7203">
        <v>0</v>
      </c>
      <c r="O7203">
        <v>0</v>
      </c>
    </row>
    <row r="7204" spans="1:15" x14ac:dyDescent="0.2">
      <c r="A7204" s="6">
        <v>45782</v>
      </c>
      <c r="B7204" t="s">
        <v>15</v>
      </c>
      <c r="C7204" t="s">
        <v>16</v>
      </c>
      <c r="D7204" s="1">
        <v>45855</v>
      </c>
      <c r="E7204" t="s">
        <v>19</v>
      </c>
      <c r="F7204">
        <v>3850</v>
      </c>
      <c r="J7204">
        <v>19.100000000000001</v>
      </c>
      <c r="K7204">
        <v>16.600000000000001</v>
      </c>
      <c r="L7204">
        <v>0</v>
      </c>
      <c r="M7204" t="s">
        <v>18</v>
      </c>
      <c r="N7204">
        <v>0</v>
      </c>
      <c r="O7204">
        <v>0</v>
      </c>
    </row>
    <row r="7205" spans="1:15" x14ac:dyDescent="0.2">
      <c r="A7205" s="6">
        <v>45782</v>
      </c>
      <c r="B7205" t="s">
        <v>15</v>
      </c>
      <c r="C7205" t="s">
        <v>16</v>
      </c>
      <c r="D7205" s="1">
        <v>45855</v>
      </c>
      <c r="E7205" t="s">
        <v>17</v>
      </c>
      <c r="F7205">
        <v>6400</v>
      </c>
      <c r="J7205">
        <v>10.4</v>
      </c>
      <c r="K7205">
        <v>16.5</v>
      </c>
      <c r="L7205">
        <v>0</v>
      </c>
      <c r="M7205" t="s">
        <v>18</v>
      </c>
      <c r="N7205">
        <v>0</v>
      </c>
      <c r="O7205">
        <v>0</v>
      </c>
    </row>
    <row r="7206" spans="1:15" x14ac:dyDescent="0.2">
      <c r="A7206" s="6">
        <v>45779</v>
      </c>
      <c r="B7206" t="s">
        <v>15</v>
      </c>
      <c r="C7206" t="s">
        <v>16</v>
      </c>
      <c r="D7206" s="1">
        <v>45855</v>
      </c>
      <c r="E7206" t="s">
        <v>17</v>
      </c>
      <c r="F7206">
        <v>4850</v>
      </c>
      <c r="J7206">
        <v>337</v>
      </c>
      <c r="K7206">
        <v>362.5</v>
      </c>
      <c r="L7206">
        <v>0</v>
      </c>
      <c r="M7206" t="s">
        <v>18</v>
      </c>
      <c r="N7206">
        <v>0</v>
      </c>
      <c r="O7206">
        <v>0</v>
      </c>
    </row>
    <row r="7207" spans="1:15" x14ac:dyDescent="0.2">
      <c r="A7207" s="6">
        <v>45779</v>
      </c>
      <c r="B7207" t="s">
        <v>15</v>
      </c>
      <c r="C7207" t="s">
        <v>16</v>
      </c>
      <c r="D7207" s="1">
        <v>45855</v>
      </c>
      <c r="E7207" t="s">
        <v>19</v>
      </c>
      <c r="F7207">
        <v>5250</v>
      </c>
      <c r="J7207">
        <v>500.5</v>
      </c>
      <c r="K7207">
        <v>494.9</v>
      </c>
      <c r="L7207">
        <v>0</v>
      </c>
      <c r="M7207" t="s">
        <v>18</v>
      </c>
      <c r="N7207">
        <v>0</v>
      </c>
      <c r="O7207">
        <v>0</v>
      </c>
    </row>
    <row r="7208" spans="1:15" x14ac:dyDescent="0.2">
      <c r="A7208" s="6">
        <v>45779</v>
      </c>
      <c r="B7208" t="s">
        <v>15</v>
      </c>
      <c r="C7208" t="s">
        <v>16</v>
      </c>
      <c r="D7208" s="1">
        <v>45855</v>
      </c>
      <c r="E7208" t="s">
        <v>17</v>
      </c>
      <c r="F7208">
        <v>3700</v>
      </c>
      <c r="J7208">
        <v>1214.4000000000001</v>
      </c>
      <c r="K7208">
        <v>1241</v>
      </c>
      <c r="L7208">
        <v>0</v>
      </c>
      <c r="M7208" t="s">
        <v>18</v>
      </c>
      <c r="N7208">
        <v>0</v>
      </c>
      <c r="O7208">
        <v>0</v>
      </c>
    </row>
    <row r="7209" spans="1:15" x14ac:dyDescent="0.2">
      <c r="A7209" s="6">
        <v>45779</v>
      </c>
      <c r="B7209" t="s">
        <v>15</v>
      </c>
      <c r="C7209" t="s">
        <v>16</v>
      </c>
      <c r="D7209" s="1">
        <v>45855</v>
      </c>
      <c r="E7209" t="s">
        <v>19</v>
      </c>
      <c r="F7209">
        <v>5200</v>
      </c>
      <c r="J7209">
        <v>467.1</v>
      </c>
      <c r="K7209">
        <v>462.3</v>
      </c>
      <c r="L7209">
        <v>0</v>
      </c>
      <c r="M7209" t="s">
        <v>18</v>
      </c>
      <c r="N7209">
        <v>0</v>
      </c>
      <c r="O7209">
        <v>0</v>
      </c>
    </row>
    <row r="7210" spans="1:15" x14ac:dyDescent="0.2">
      <c r="A7210" s="6">
        <v>45779</v>
      </c>
      <c r="B7210" t="s">
        <v>15</v>
      </c>
      <c r="C7210" t="s">
        <v>16</v>
      </c>
      <c r="D7210" s="1">
        <v>45855</v>
      </c>
      <c r="E7210" t="s">
        <v>17</v>
      </c>
      <c r="F7210">
        <v>4350</v>
      </c>
      <c r="J7210">
        <v>651.4</v>
      </c>
      <c r="K7210">
        <v>679.5</v>
      </c>
      <c r="L7210">
        <v>0</v>
      </c>
      <c r="M7210" t="s">
        <v>18</v>
      </c>
      <c r="N7210">
        <v>0</v>
      </c>
      <c r="O7210">
        <v>0</v>
      </c>
    </row>
    <row r="7211" spans="1:15" x14ac:dyDescent="0.2">
      <c r="A7211" s="6">
        <v>45779</v>
      </c>
      <c r="B7211" t="s">
        <v>15</v>
      </c>
      <c r="C7211" t="s">
        <v>16</v>
      </c>
      <c r="D7211" s="1">
        <v>45855</v>
      </c>
      <c r="E7211" t="s">
        <v>17</v>
      </c>
      <c r="F7211">
        <v>5000</v>
      </c>
      <c r="J7211">
        <v>267.89999999999998</v>
      </c>
      <c r="K7211">
        <v>291.60000000000002</v>
      </c>
      <c r="L7211">
        <v>0</v>
      </c>
      <c r="M7211" t="s">
        <v>18</v>
      </c>
      <c r="N7211">
        <v>0</v>
      </c>
      <c r="O7211">
        <v>0</v>
      </c>
    </row>
    <row r="7212" spans="1:15" x14ac:dyDescent="0.2">
      <c r="A7212" s="6">
        <v>45779</v>
      </c>
      <c r="B7212" t="s">
        <v>15</v>
      </c>
      <c r="C7212" t="s">
        <v>16</v>
      </c>
      <c r="D7212" s="1">
        <v>45855</v>
      </c>
      <c r="E7212" t="s">
        <v>17</v>
      </c>
      <c r="F7212">
        <v>4750</v>
      </c>
      <c r="J7212">
        <v>389.6</v>
      </c>
      <c r="K7212">
        <v>416</v>
      </c>
      <c r="L7212">
        <v>0</v>
      </c>
      <c r="M7212" t="s">
        <v>18</v>
      </c>
      <c r="N7212">
        <v>0</v>
      </c>
      <c r="O7212">
        <v>0</v>
      </c>
    </row>
    <row r="7213" spans="1:15" x14ac:dyDescent="0.2">
      <c r="A7213" s="6">
        <v>45779</v>
      </c>
      <c r="B7213" t="s">
        <v>15</v>
      </c>
      <c r="C7213" t="s">
        <v>16</v>
      </c>
      <c r="D7213" s="1">
        <v>45855</v>
      </c>
      <c r="E7213" t="s">
        <v>17</v>
      </c>
      <c r="F7213">
        <v>4400</v>
      </c>
      <c r="J7213">
        <v>614.29999999999995</v>
      </c>
      <c r="K7213">
        <v>642.4</v>
      </c>
      <c r="L7213">
        <v>0</v>
      </c>
      <c r="M7213" t="s">
        <v>18</v>
      </c>
      <c r="N7213">
        <v>0</v>
      </c>
      <c r="O7213">
        <v>0</v>
      </c>
    </row>
    <row r="7214" spans="1:15" x14ac:dyDescent="0.2">
      <c r="A7214" s="6">
        <v>45779</v>
      </c>
      <c r="B7214" t="s">
        <v>15</v>
      </c>
      <c r="C7214" t="s">
        <v>16</v>
      </c>
      <c r="D7214" s="1">
        <v>45855</v>
      </c>
      <c r="E7214" t="s">
        <v>17</v>
      </c>
      <c r="F7214">
        <v>4100</v>
      </c>
      <c r="J7214">
        <v>852.3</v>
      </c>
      <c r="K7214">
        <v>880.1</v>
      </c>
      <c r="L7214">
        <v>0</v>
      </c>
      <c r="M7214" t="s">
        <v>18</v>
      </c>
      <c r="N7214">
        <v>0</v>
      </c>
      <c r="O7214">
        <v>0</v>
      </c>
    </row>
    <row r="7215" spans="1:15" x14ac:dyDescent="0.2">
      <c r="A7215" s="6">
        <v>45779</v>
      </c>
      <c r="B7215" t="s">
        <v>15</v>
      </c>
      <c r="C7215" t="s">
        <v>16</v>
      </c>
      <c r="D7215" s="1">
        <v>45855</v>
      </c>
      <c r="E7215" t="s">
        <v>17</v>
      </c>
      <c r="F7215">
        <v>4450</v>
      </c>
      <c r="J7215">
        <v>578.5</v>
      </c>
      <c r="K7215">
        <v>606.5</v>
      </c>
      <c r="L7215">
        <v>0</v>
      </c>
      <c r="M7215" t="s">
        <v>18</v>
      </c>
      <c r="N7215">
        <v>0</v>
      </c>
      <c r="O7215">
        <v>0</v>
      </c>
    </row>
    <row r="7216" spans="1:15" x14ac:dyDescent="0.2">
      <c r="A7216" s="6">
        <v>45779</v>
      </c>
      <c r="B7216" t="s">
        <v>15</v>
      </c>
      <c r="C7216" t="s">
        <v>16</v>
      </c>
      <c r="D7216" s="1">
        <v>45855</v>
      </c>
      <c r="E7216" t="s">
        <v>17</v>
      </c>
      <c r="F7216">
        <v>5300</v>
      </c>
      <c r="J7216">
        <v>162</v>
      </c>
      <c r="K7216">
        <v>181.4</v>
      </c>
      <c r="L7216">
        <v>0</v>
      </c>
      <c r="M7216" t="s">
        <v>18</v>
      </c>
      <c r="N7216">
        <v>0</v>
      </c>
      <c r="O7216">
        <v>0</v>
      </c>
    </row>
    <row r="7217" spans="1:15" x14ac:dyDescent="0.2">
      <c r="A7217" s="6">
        <v>45779</v>
      </c>
      <c r="B7217" t="s">
        <v>15</v>
      </c>
      <c r="C7217" t="s">
        <v>16</v>
      </c>
      <c r="D7217" s="1">
        <v>45855</v>
      </c>
      <c r="E7217" t="s">
        <v>19</v>
      </c>
      <c r="F7217">
        <v>6150</v>
      </c>
      <c r="J7217">
        <v>1240.9000000000001</v>
      </c>
      <c r="K7217">
        <v>1222.2</v>
      </c>
      <c r="L7217">
        <v>0</v>
      </c>
      <c r="M7217" t="s">
        <v>18</v>
      </c>
      <c r="N7217">
        <v>0</v>
      </c>
      <c r="O7217">
        <v>0</v>
      </c>
    </row>
    <row r="7218" spans="1:15" x14ac:dyDescent="0.2">
      <c r="A7218" s="6">
        <v>45779</v>
      </c>
      <c r="B7218" t="s">
        <v>15</v>
      </c>
      <c r="C7218" t="s">
        <v>16</v>
      </c>
      <c r="D7218" s="1">
        <v>45855</v>
      </c>
      <c r="E7218" t="s">
        <v>17</v>
      </c>
      <c r="F7218">
        <v>4950</v>
      </c>
      <c r="J7218">
        <v>289.60000000000002</v>
      </c>
      <c r="K7218">
        <v>314</v>
      </c>
      <c r="L7218">
        <v>0</v>
      </c>
      <c r="M7218" t="s">
        <v>18</v>
      </c>
      <c r="N7218">
        <v>0</v>
      </c>
      <c r="O7218">
        <v>0</v>
      </c>
    </row>
    <row r="7219" spans="1:15" x14ac:dyDescent="0.2">
      <c r="A7219" s="6">
        <v>45779</v>
      </c>
      <c r="B7219" t="s">
        <v>15</v>
      </c>
      <c r="C7219" t="s">
        <v>16</v>
      </c>
      <c r="D7219" s="1">
        <v>45855</v>
      </c>
      <c r="E7219" t="s">
        <v>17</v>
      </c>
      <c r="F7219">
        <v>6200</v>
      </c>
      <c r="J7219">
        <v>26.2</v>
      </c>
      <c r="K7219">
        <v>32.799999999999997</v>
      </c>
      <c r="L7219">
        <v>0</v>
      </c>
      <c r="M7219" t="s">
        <v>18</v>
      </c>
      <c r="N7219">
        <v>0</v>
      </c>
      <c r="O7219">
        <v>0</v>
      </c>
    </row>
    <row r="7220" spans="1:15" x14ac:dyDescent="0.2">
      <c r="A7220" s="6">
        <v>45779</v>
      </c>
      <c r="B7220" t="s">
        <v>15</v>
      </c>
      <c r="C7220" t="s">
        <v>16</v>
      </c>
      <c r="D7220" s="1">
        <v>45855</v>
      </c>
      <c r="E7220" t="s">
        <v>17</v>
      </c>
      <c r="F7220">
        <v>5700</v>
      </c>
      <c r="J7220">
        <v>76.099999999999994</v>
      </c>
      <c r="K7220">
        <v>89.2</v>
      </c>
      <c r="L7220">
        <v>0</v>
      </c>
      <c r="M7220" t="s">
        <v>18</v>
      </c>
      <c r="N7220">
        <v>0</v>
      </c>
      <c r="O7220">
        <v>0</v>
      </c>
    </row>
    <row r="7221" spans="1:15" x14ac:dyDescent="0.2">
      <c r="A7221" s="6">
        <v>45779</v>
      </c>
      <c r="B7221" t="s">
        <v>15</v>
      </c>
      <c r="C7221" t="s">
        <v>16</v>
      </c>
      <c r="D7221" s="1">
        <v>45855</v>
      </c>
      <c r="E7221" t="s">
        <v>19</v>
      </c>
      <c r="F7221">
        <v>6550</v>
      </c>
      <c r="J7221">
        <v>1617.8</v>
      </c>
      <c r="K7221">
        <v>1595.6</v>
      </c>
      <c r="L7221">
        <v>0</v>
      </c>
      <c r="M7221" t="s">
        <v>18</v>
      </c>
      <c r="N7221">
        <v>0</v>
      </c>
      <c r="O7221">
        <v>0</v>
      </c>
    </row>
    <row r="7222" spans="1:15" x14ac:dyDescent="0.2">
      <c r="A7222" s="6">
        <v>45779</v>
      </c>
      <c r="B7222" t="s">
        <v>15</v>
      </c>
      <c r="C7222" t="s">
        <v>16</v>
      </c>
      <c r="D7222" s="1">
        <v>45855</v>
      </c>
      <c r="E7222" t="s">
        <v>17</v>
      </c>
      <c r="F7222">
        <v>4900</v>
      </c>
      <c r="J7222">
        <v>312.7</v>
      </c>
      <c r="K7222">
        <v>337.6</v>
      </c>
      <c r="L7222">
        <v>0</v>
      </c>
      <c r="M7222" t="s">
        <v>18</v>
      </c>
      <c r="N7222">
        <v>0</v>
      </c>
      <c r="O7222">
        <v>0</v>
      </c>
    </row>
    <row r="7223" spans="1:15" x14ac:dyDescent="0.2">
      <c r="A7223" s="6">
        <v>45779</v>
      </c>
      <c r="B7223" t="s">
        <v>15</v>
      </c>
      <c r="C7223" t="s">
        <v>16</v>
      </c>
      <c r="D7223" s="1">
        <v>45855</v>
      </c>
      <c r="E7223" t="s">
        <v>17</v>
      </c>
      <c r="F7223">
        <v>5950</v>
      </c>
      <c r="J7223">
        <v>45.4</v>
      </c>
      <c r="K7223">
        <v>54.9</v>
      </c>
      <c r="L7223">
        <v>0</v>
      </c>
      <c r="M7223" t="s">
        <v>18</v>
      </c>
      <c r="N7223">
        <v>0</v>
      </c>
      <c r="O7223">
        <v>0</v>
      </c>
    </row>
    <row r="7224" spans="1:15" x14ac:dyDescent="0.2">
      <c r="A7224" s="6">
        <v>45779</v>
      </c>
      <c r="B7224" t="s">
        <v>15</v>
      </c>
      <c r="C7224" t="s">
        <v>16</v>
      </c>
      <c r="D7224" s="1">
        <v>45855</v>
      </c>
      <c r="E7224" t="s">
        <v>19</v>
      </c>
      <c r="F7224">
        <v>3900</v>
      </c>
      <c r="J7224">
        <v>20.2</v>
      </c>
      <c r="K7224">
        <v>22</v>
      </c>
      <c r="L7224">
        <v>0</v>
      </c>
      <c r="M7224" t="s">
        <v>18</v>
      </c>
      <c r="N7224">
        <v>0</v>
      </c>
      <c r="O7224">
        <v>0</v>
      </c>
    </row>
    <row r="7225" spans="1:15" x14ac:dyDescent="0.2">
      <c r="A7225" s="6">
        <v>45779</v>
      </c>
      <c r="B7225" t="s">
        <v>15</v>
      </c>
      <c r="C7225" t="s">
        <v>16</v>
      </c>
      <c r="D7225" s="1">
        <v>45855</v>
      </c>
      <c r="E7225" t="s">
        <v>17</v>
      </c>
      <c r="F7225">
        <v>4800</v>
      </c>
      <c r="J7225">
        <v>362.7</v>
      </c>
      <c r="K7225">
        <v>388.6</v>
      </c>
      <c r="L7225">
        <v>0</v>
      </c>
      <c r="M7225" t="s">
        <v>18</v>
      </c>
      <c r="N7225">
        <v>0</v>
      </c>
      <c r="O7225">
        <v>0</v>
      </c>
    </row>
    <row r="7226" spans="1:15" x14ac:dyDescent="0.2">
      <c r="A7226" s="6">
        <v>45779</v>
      </c>
      <c r="B7226" t="s">
        <v>15</v>
      </c>
      <c r="C7226" t="s">
        <v>16</v>
      </c>
      <c r="D7226" s="1">
        <v>45855</v>
      </c>
      <c r="E7226" t="s">
        <v>19</v>
      </c>
      <c r="F7226">
        <v>4200</v>
      </c>
      <c r="J7226">
        <v>56.6</v>
      </c>
      <c r="K7226">
        <v>59.1</v>
      </c>
      <c r="L7226">
        <v>0</v>
      </c>
      <c r="M7226" t="s">
        <v>18</v>
      </c>
      <c r="N7226">
        <v>0</v>
      </c>
      <c r="O7226">
        <v>0</v>
      </c>
    </row>
    <row r="7227" spans="1:15" x14ac:dyDescent="0.2">
      <c r="A7227" s="6">
        <v>45779</v>
      </c>
      <c r="B7227" t="s">
        <v>15</v>
      </c>
      <c r="C7227" t="s">
        <v>16</v>
      </c>
      <c r="D7227" s="1">
        <v>45855</v>
      </c>
      <c r="E7227" t="s">
        <v>17</v>
      </c>
      <c r="F7227">
        <v>5100</v>
      </c>
      <c r="J7227">
        <v>228</v>
      </c>
      <c r="K7227">
        <v>250.3</v>
      </c>
      <c r="L7227">
        <v>0</v>
      </c>
      <c r="M7227" t="s">
        <v>18</v>
      </c>
      <c r="N7227">
        <v>0</v>
      </c>
      <c r="O7227">
        <v>0</v>
      </c>
    </row>
    <row r="7228" spans="1:15" x14ac:dyDescent="0.2">
      <c r="A7228" s="6">
        <v>45779</v>
      </c>
      <c r="B7228" t="s">
        <v>15</v>
      </c>
      <c r="C7228" t="s">
        <v>16</v>
      </c>
      <c r="D7228" s="1">
        <v>45855</v>
      </c>
      <c r="E7228" t="s">
        <v>19</v>
      </c>
      <c r="F7228">
        <v>4900</v>
      </c>
      <c r="J7228">
        <v>291</v>
      </c>
      <c r="K7228">
        <v>290.3</v>
      </c>
      <c r="L7228">
        <v>0</v>
      </c>
      <c r="M7228" t="s">
        <v>18</v>
      </c>
      <c r="N7228">
        <v>0</v>
      </c>
      <c r="O7228">
        <v>0</v>
      </c>
    </row>
    <row r="7229" spans="1:15" x14ac:dyDescent="0.2">
      <c r="A7229" s="6">
        <v>45779</v>
      </c>
      <c r="B7229" t="s">
        <v>15</v>
      </c>
      <c r="C7229" t="s">
        <v>16</v>
      </c>
      <c r="D7229" s="1">
        <v>45855</v>
      </c>
      <c r="E7229" t="s">
        <v>19</v>
      </c>
      <c r="F7229">
        <v>5100</v>
      </c>
      <c r="J7229">
        <v>403.6</v>
      </c>
      <c r="K7229">
        <v>400.3</v>
      </c>
      <c r="L7229">
        <v>0</v>
      </c>
      <c r="M7229" t="s">
        <v>18</v>
      </c>
      <c r="N7229">
        <v>0</v>
      </c>
      <c r="O7229">
        <v>0</v>
      </c>
    </row>
    <row r="7230" spans="1:15" x14ac:dyDescent="0.2">
      <c r="A7230" s="6">
        <v>45779</v>
      </c>
      <c r="B7230" t="s">
        <v>15</v>
      </c>
      <c r="C7230" t="s">
        <v>16</v>
      </c>
      <c r="D7230" s="1">
        <v>45855</v>
      </c>
      <c r="E7230" t="s">
        <v>17</v>
      </c>
      <c r="F7230">
        <v>5250</v>
      </c>
      <c r="J7230">
        <v>176.9</v>
      </c>
      <c r="K7230">
        <v>197</v>
      </c>
      <c r="L7230">
        <v>0</v>
      </c>
      <c r="M7230" t="s">
        <v>18</v>
      </c>
      <c r="N7230">
        <v>0</v>
      </c>
      <c r="O7230">
        <v>0</v>
      </c>
    </row>
    <row r="7231" spans="1:15" x14ac:dyDescent="0.2">
      <c r="A7231" s="6">
        <v>45779</v>
      </c>
      <c r="B7231" t="s">
        <v>15</v>
      </c>
      <c r="C7231" t="s">
        <v>16</v>
      </c>
      <c r="D7231" s="1">
        <v>45855</v>
      </c>
      <c r="E7231" t="s">
        <v>19</v>
      </c>
      <c r="F7231">
        <v>6650</v>
      </c>
      <c r="J7231">
        <v>1714</v>
      </c>
      <c r="K7231">
        <v>1691.2</v>
      </c>
      <c r="L7231">
        <v>0</v>
      </c>
      <c r="M7231" t="s">
        <v>18</v>
      </c>
      <c r="N7231">
        <v>0</v>
      </c>
      <c r="O7231">
        <v>0</v>
      </c>
    </row>
    <row r="7232" spans="1:15" x14ac:dyDescent="0.2">
      <c r="A7232" s="6">
        <v>45779</v>
      </c>
      <c r="B7232" t="s">
        <v>15</v>
      </c>
      <c r="C7232" t="s">
        <v>16</v>
      </c>
      <c r="D7232" s="1">
        <v>45855</v>
      </c>
      <c r="E7232" t="s">
        <v>17</v>
      </c>
      <c r="F7232">
        <v>4200</v>
      </c>
      <c r="J7232">
        <v>769</v>
      </c>
      <c r="K7232">
        <v>797</v>
      </c>
      <c r="L7232">
        <v>0</v>
      </c>
      <c r="M7232" t="s">
        <v>18</v>
      </c>
      <c r="N7232">
        <v>0</v>
      </c>
      <c r="O7232">
        <v>0</v>
      </c>
    </row>
    <row r="7233" spans="1:15" x14ac:dyDescent="0.2">
      <c r="A7233" s="6">
        <v>45779</v>
      </c>
      <c r="B7233" t="s">
        <v>15</v>
      </c>
      <c r="C7233" t="s">
        <v>16</v>
      </c>
      <c r="D7233" s="1">
        <v>45855</v>
      </c>
      <c r="E7233" t="s">
        <v>19</v>
      </c>
      <c r="F7233">
        <v>6050</v>
      </c>
      <c r="J7233">
        <v>1149.5</v>
      </c>
      <c r="K7233">
        <v>1131.9000000000001</v>
      </c>
      <c r="L7233">
        <v>0</v>
      </c>
      <c r="M7233" t="s">
        <v>18</v>
      </c>
      <c r="N7233">
        <v>0</v>
      </c>
      <c r="O7233">
        <v>0</v>
      </c>
    </row>
    <row r="7234" spans="1:15" x14ac:dyDescent="0.2">
      <c r="A7234" s="6">
        <v>45779</v>
      </c>
      <c r="B7234" t="s">
        <v>15</v>
      </c>
      <c r="C7234" t="s">
        <v>16</v>
      </c>
      <c r="D7234" s="1">
        <v>45855</v>
      </c>
      <c r="E7234" t="s">
        <v>17</v>
      </c>
      <c r="F7234">
        <v>4650</v>
      </c>
      <c r="J7234">
        <v>447.4</v>
      </c>
      <c r="K7234">
        <v>474.6</v>
      </c>
      <c r="L7234">
        <v>0</v>
      </c>
      <c r="M7234" t="s">
        <v>18</v>
      </c>
      <c r="N7234">
        <v>0</v>
      </c>
      <c r="O7234">
        <v>0</v>
      </c>
    </row>
    <row r="7235" spans="1:15" x14ac:dyDescent="0.2">
      <c r="A7235" s="6">
        <v>45779</v>
      </c>
      <c r="B7235" t="s">
        <v>15</v>
      </c>
      <c r="C7235" t="s">
        <v>16</v>
      </c>
      <c r="D7235" s="1">
        <v>45855</v>
      </c>
      <c r="E7235" t="s">
        <v>19</v>
      </c>
      <c r="F7235">
        <v>6400</v>
      </c>
      <c r="J7235">
        <v>1474.8</v>
      </c>
      <c r="K7235">
        <v>1453.7</v>
      </c>
      <c r="L7235">
        <v>0</v>
      </c>
      <c r="M7235" t="s">
        <v>18</v>
      </c>
      <c r="N7235">
        <v>0</v>
      </c>
      <c r="O7235">
        <v>0</v>
      </c>
    </row>
    <row r="7236" spans="1:15" x14ac:dyDescent="0.2">
      <c r="A7236" s="6">
        <v>45779</v>
      </c>
      <c r="B7236" t="s">
        <v>15</v>
      </c>
      <c r="C7236" t="s">
        <v>16</v>
      </c>
      <c r="D7236" s="1">
        <v>45855</v>
      </c>
      <c r="E7236" t="s">
        <v>17</v>
      </c>
      <c r="F7236">
        <v>3750</v>
      </c>
      <c r="J7236">
        <v>1167.3</v>
      </c>
      <c r="K7236">
        <v>1194</v>
      </c>
      <c r="L7236">
        <v>0</v>
      </c>
      <c r="M7236" t="s">
        <v>18</v>
      </c>
      <c r="N7236">
        <v>0</v>
      </c>
      <c r="O7236">
        <v>0</v>
      </c>
    </row>
    <row r="7237" spans="1:15" x14ac:dyDescent="0.2">
      <c r="A7237" s="6">
        <v>45779</v>
      </c>
      <c r="B7237" t="s">
        <v>15</v>
      </c>
      <c r="C7237" t="s">
        <v>16</v>
      </c>
      <c r="D7237" s="1">
        <v>45855</v>
      </c>
      <c r="E7237" t="s">
        <v>17</v>
      </c>
      <c r="F7237">
        <v>6650</v>
      </c>
      <c r="J7237">
        <v>9.1</v>
      </c>
      <c r="K7237">
        <v>12.2</v>
      </c>
      <c r="L7237">
        <v>0</v>
      </c>
      <c r="M7237" t="s">
        <v>18</v>
      </c>
      <c r="N7237">
        <v>0</v>
      </c>
      <c r="O7237">
        <v>0</v>
      </c>
    </row>
    <row r="7238" spans="1:15" x14ac:dyDescent="0.2">
      <c r="A7238" s="6">
        <v>45779</v>
      </c>
      <c r="B7238" t="s">
        <v>15</v>
      </c>
      <c r="C7238" t="s">
        <v>16</v>
      </c>
      <c r="D7238" s="1">
        <v>45855</v>
      </c>
      <c r="E7238" t="s">
        <v>17</v>
      </c>
      <c r="F7238">
        <v>6050</v>
      </c>
      <c r="J7238">
        <v>36.6</v>
      </c>
      <c r="K7238">
        <v>44.8</v>
      </c>
      <c r="L7238">
        <v>0</v>
      </c>
      <c r="M7238" t="s">
        <v>18</v>
      </c>
      <c r="N7238">
        <v>0</v>
      </c>
      <c r="O7238">
        <v>0</v>
      </c>
    </row>
    <row r="7239" spans="1:15" x14ac:dyDescent="0.2">
      <c r="A7239" s="6">
        <v>45779</v>
      </c>
      <c r="B7239" t="s">
        <v>15</v>
      </c>
      <c r="C7239" t="s">
        <v>16</v>
      </c>
      <c r="D7239" s="1">
        <v>45855</v>
      </c>
      <c r="E7239" t="s">
        <v>19</v>
      </c>
      <c r="F7239">
        <v>4700</v>
      </c>
      <c r="J7239">
        <v>198.8</v>
      </c>
      <c r="K7239">
        <v>200</v>
      </c>
      <c r="L7239">
        <v>0</v>
      </c>
      <c r="M7239" t="s">
        <v>18</v>
      </c>
      <c r="N7239">
        <v>0</v>
      </c>
      <c r="O7239">
        <v>0</v>
      </c>
    </row>
    <row r="7240" spans="1:15" x14ac:dyDescent="0.2">
      <c r="A7240" s="6">
        <v>45779</v>
      </c>
      <c r="B7240" t="s">
        <v>15</v>
      </c>
      <c r="C7240" t="s">
        <v>16</v>
      </c>
      <c r="D7240" s="1">
        <v>45855</v>
      </c>
      <c r="E7240" t="s">
        <v>19</v>
      </c>
      <c r="F7240">
        <v>3750</v>
      </c>
      <c r="J7240">
        <v>10.9</v>
      </c>
      <c r="K7240">
        <v>12.2</v>
      </c>
      <c r="L7240">
        <v>0</v>
      </c>
      <c r="M7240" t="s">
        <v>18</v>
      </c>
      <c r="N7240">
        <v>0</v>
      </c>
      <c r="O7240">
        <v>0</v>
      </c>
    </row>
    <row r="7241" spans="1:15" x14ac:dyDescent="0.2">
      <c r="A7241" s="6">
        <v>45779</v>
      </c>
      <c r="B7241" t="s">
        <v>15</v>
      </c>
      <c r="C7241" t="s">
        <v>16</v>
      </c>
      <c r="D7241" s="1">
        <v>45855</v>
      </c>
      <c r="E7241" t="s">
        <v>19</v>
      </c>
      <c r="F7241">
        <v>5450</v>
      </c>
      <c r="J7241">
        <v>644.29999999999995</v>
      </c>
      <c r="K7241">
        <v>635.6</v>
      </c>
      <c r="L7241">
        <v>0</v>
      </c>
      <c r="M7241" t="s">
        <v>18</v>
      </c>
      <c r="N7241">
        <v>0</v>
      </c>
      <c r="O7241">
        <v>0</v>
      </c>
    </row>
    <row r="7242" spans="1:15" x14ac:dyDescent="0.2">
      <c r="A7242" s="6">
        <v>45779</v>
      </c>
      <c r="B7242" t="s">
        <v>15</v>
      </c>
      <c r="C7242" t="s">
        <v>16</v>
      </c>
      <c r="D7242" s="1">
        <v>45855</v>
      </c>
      <c r="E7242" t="s">
        <v>19</v>
      </c>
      <c r="F7242">
        <v>5800</v>
      </c>
      <c r="J7242">
        <v>928.4</v>
      </c>
      <c r="K7242">
        <v>914.2</v>
      </c>
      <c r="L7242">
        <v>0</v>
      </c>
      <c r="M7242" t="s">
        <v>18</v>
      </c>
      <c r="N7242">
        <v>0</v>
      </c>
      <c r="O7242">
        <v>0</v>
      </c>
    </row>
    <row r="7243" spans="1:15" x14ac:dyDescent="0.2">
      <c r="A7243" s="6">
        <v>45779</v>
      </c>
      <c r="B7243" t="s">
        <v>15</v>
      </c>
      <c r="C7243" t="s">
        <v>16</v>
      </c>
      <c r="D7243" s="1">
        <v>45855</v>
      </c>
      <c r="E7243" t="s">
        <v>19</v>
      </c>
      <c r="F7243">
        <v>4550</v>
      </c>
      <c r="J7243">
        <v>143.4</v>
      </c>
      <c r="K7243">
        <v>145.5</v>
      </c>
      <c r="L7243">
        <v>0</v>
      </c>
      <c r="M7243" t="s">
        <v>18</v>
      </c>
      <c r="N7243">
        <v>0</v>
      </c>
      <c r="O7243">
        <v>0</v>
      </c>
    </row>
    <row r="7244" spans="1:15" x14ac:dyDescent="0.2">
      <c r="A7244" s="6">
        <v>45779</v>
      </c>
      <c r="B7244" t="s">
        <v>15</v>
      </c>
      <c r="C7244" t="s">
        <v>16</v>
      </c>
      <c r="D7244" s="1">
        <v>45855</v>
      </c>
      <c r="E7244" t="s">
        <v>19</v>
      </c>
      <c r="F7244">
        <v>5700</v>
      </c>
      <c r="J7244">
        <v>843.7</v>
      </c>
      <c r="K7244">
        <v>831</v>
      </c>
      <c r="L7244">
        <v>0</v>
      </c>
      <c r="M7244" t="s">
        <v>18</v>
      </c>
      <c r="N7244">
        <v>0</v>
      </c>
      <c r="O7244">
        <v>0</v>
      </c>
    </row>
    <row r="7245" spans="1:15" x14ac:dyDescent="0.2">
      <c r="A7245" s="6">
        <v>45779</v>
      </c>
      <c r="B7245" t="s">
        <v>15</v>
      </c>
      <c r="C7245" t="s">
        <v>16</v>
      </c>
      <c r="D7245" s="1">
        <v>45855</v>
      </c>
      <c r="E7245" t="s">
        <v>17</v>
      </c>
      <c r="F7245">
        <v>6550</v>
      </c>
      <c r="J7245">
        <v>11.6</v>
      </c>
      <c r="K7245">
        <v>15.3</v>
      </c>
      <c r="L7245">
        <v>0</v>
      </c>
      <c r="M7245" t="s">
        <v>18</v>
      </c>
      <c r="N7245">
        <v>0</v>
      </c>
      <c r="O7245">
        <v>0</v>
      </c>
    </row>
    <row r="7246" spans="1:15" x14ac:dyDescent="0.2">
      <c r="A7246" s="6">
        <v>45779</v>
      </c>
      <c r="B7246" t="s">
        <v>15</v>
      </c>
      <c r="C7246" t="s">
        <v>16</v>
      </c>
      <c r="D7246" s="1">
        <v>45855</v>
      </c>
      <c r="E7246" t="s">
        <v>19</v>
      </c>
      <c r="F7246">
        <v>5300</v>
      </c>
      <c r="J7246">
        <v>535</v>
      </c>
      <c r="K7246">
        <v>528.6</v>
      </c>
      <c r="L7246">
        <v>0</v>
      </c>
      <c r="M7246" t="s">
        <v>18</v>
      </c>
      <c r="N7246">
        <v>0</v>
      </c>
      <c r="O7246">
        <v>0</v>
      </c>
    </row>
    <row r="7247" spans="1:15" x14ac:dyDescent="0.2">
      <c r="A7247" s="6">
        <v>45779</v>
      </c>
      <c r="B7247" t="s">
        <v>15</v>
      </c>
      <c r="C7247" t="s">
        <v>16</v>
      </c>
      <c r="D7247" s="1">
        <v>45855</v>
      </c>
      <c r="E7247" t="s">
        <v>19</v>
      </c>
      <c r="F7247">
        <v>5400</v>
      </c>
      <c r="J7247">
        <v>606.9</v>
      </c>
      <c r="K7247">
        <v>599</v>
      </c>
      <c r="L7247">
        <v>0</v>
      </c>
      <c r="M7247" t="s">
        <v>18</v>
      </c>
      <c r="N7247">
        <v>0</v>
      </c>
      <c r="O7247">
        <v>0</v>
      </c>
    </row>
    <row r="7248" spans="1:15" x14ac:dyDescent="0.2">
      <c r="A7248" s="6">
        <v>45779</v>
      </c>
      <c r="B7248" t="s">
        <v>15</v>
      </c>
      <c r="C7248" t="s">
        <v>16</v>
      </c>
      <c r="D7248" s="1">
        <v>45855</v>
      </c>
      <c r="E7248" t="s">
        <v>19</v>
      </c>
      <c r="F7248">
        <v>4950</v>
      </c>
      <c r="J7248">
        <v>317.3</v>
      </c>
      <c r="K7248">
        <v>316</v>
      </c>
      <c r="L7248">
        <v>0</v>
      </c>
      <c r="M7248" t="s">
        <v>18</v>
      </c>
      <c r="N7248">
        <v>0</v>
      </c>
      <c r="O7248">
        <v>0</v>
      </c>
    </row>
    <row r="7249" spans="1:15" x14ac:dyDescent="0.2">
      <c r="A7249" s="6">
        <v>45779</v>
      </c>
      <c r="B7249" t="s">
        <v>15</v>
      </c>
      <c r="C7249" t="s">
        <v>16</v>
      </c>
      <c r="D7249" s="1">
        <v>45855</v>
      </c>
      <c r="E7249" t="s">
        <v>19</v>
      </c>
      <c r="F7249">
        <v>4450</v>
      </c>
      <c r="J7249">
        <v>112.8</v>
      </c>
      <c r="K7249">
        <v>115.2</v>
      </c>
      <c r="L7249">
        <v>0</v>
      </c>
      <c r="M7249" t="s">
        <v>18</v>
      </c>
      <c r="N7249">
        <v>0</v>
      </c>
      <c r="O7249">
        <v>0</v>
      </c>
    </row>
    <row r="7250" spans="1:15" x14ac:dyDescent="0.2">
      <c r="A7250" s="6">
        <v>45779</v>
      </c>
      <c r="B7250" t="s">
        <v>15</v>
      </c>
      <c r="C7250" t="s">
        <v>16</v>
      </c>
      <c r="D7250" s="1">
        <v>45855</v>
      </c>
      <c r="E7250" t="s">
        <v>17</v>
      </c>
      <c r="F7250">
        <v>3850</v>
      </c>
      <c r="J7250">
        <v>1074.3</v>
      </c>
      <c r="K7250">
        <v>1101.3</v>
      </c>
      <c r="L7250">
        <v>0</v>
      </c>
      <c r="M7250" t="s">
        <v>18</v>
      </c>
      <c r="N7250">
        <v>0</v>
      </c>
      <c r="O7250">
        <v>0</v>
      </c>
    </row>
    <row r="7251" spans="1:15" x14ac:dyDescent="0.2">
      <c r="A7251" s="6">
        <v>45779</v>
      </c>
      <c r="B7251" t="s">
        <v>15</v>
      </c>
      <c r="C7251" t="s">
        <v>16</v>
      </c>
      <c r="D7251" s="1">
        <v>45855</v>
      </c>
      <c r="E7251" t="s">
        <v>19</v>
      </c>
      <c r="F7251">
        <v>3700</v>
      </c>
      <c r="J7251">
        <v>8.8000000000000007</v>
      </c>
      <c r="K7251">
        <v>9.8000000000000007</v>
      </c>
      <c r="L7251">
        <v>0</v>
      </c>
      <c r="M7251" t="s">
        <v>18</v>
      </c>
      <c r="N7251">
        <v>0</v>
      </c>
      <c r="O7251">
        <v>0</v>
      </c>
    </row>
    <row r="7252" spans="1:15" x14ac:dyDescent="0.2">
      <c r="A7252" s="6">
        <v>45779</v>
      </c>
      <c r="B7252" t="s">
        <v>15</v>
      </c>
      <c r="C7252" t="s">
        <v>16</v>
      </c>
      <c r="D7252" s="1">
        <v>45855</v>
      </c>
      <c r="E7252" t="s">
        <v>19</v>
      </c>
      <c r="F7252">
        <v>5050</v>
      </c>
      <c r="J7252">
        <v>373.6</v>
      </c>
      <c r="K7252">
        <v>371</v>
      </c>
      <c r="L7252">
        <v>0</v>
      </c>
      <c r="M7252" t="s">
        <v>18</v>
      </c>
      <c r="N7252">
        <v>0</v>
      </c>
      <c r="O7252">
        <v>0</v>
      </c>
    </row>
    <row r="7253" spans="1:15" x14ac:dyDescent="0.2">
      <c r="A7253" s="6">
        <v>45779</v>
      </c>
      <c r="B7253" t="s">
        <v>15</v>
      </c>
      <c r="C7253" t="s">
        <v>16</v>
      </c>
      <c r="D7253" s="1">
        <v>45855</v>
      </c>
      <c r="E7253" t="s">
        <v>19</v>
      </c>
      <c r="F7253">
        <v>4250</v>
      </c>
      <c r="J7253">
        <v>65.7</v>
      </c>
      <c r="K7253">
        <v>68.3</v>
      </c>
      <c r="L7253">
        <v>0</v>
      </c>
      <c r="M7253" t="s">
        <v>18</v>
      </c>
      <c r="N7253">
        <v>0</v>
      </c>
      <c r="O7253">
        <v>0</v>
      </c>
    </row>
    <row r="7254" spans="1:15" x14ac:dyDescent="0.2">
      <c r="A7254" s="6">
        <v>45779</v>
      </c>
      <c r="B7254" t="s">
        <v>15</v>
      </c>
      <c r="C7254" t="s">
        <v>16</v>
      </c>
      <c r="D7254" s="1">
        <v>45855</v>
      </c>
      <c r="E7254" t="s">
        <v>19</v>
      </c>
      <c r="F7254">
        <v>4600</v>
      </c>
      <c r="J7254">
        <v>160.6</v>
      </c>
      <c r="K7254">
        <v>162.4</v>
      </c>
      <c r="L7254">
        <v>0</v>
      </c>
      <c r="M7254" t="s">
        <v>18</v>
      </c>
      <c r="N7254">
        <v>0</v>
      </c>
      <c r="O7254">
        <v>0</v>
      </c>
    </row>
    <row r="7255" spans="1:15" x14ac:dyDescent="0.2">
      <c r="A7255" s="6">
        <v>45779</v>
      </c>
      <c r="B7255" t="s">
        <v>15</v>
      </c>
      <c r="C7255" t="s">
        <v>16</v>
      </c>
      <c r="D7255" s="1">
        <v>45855</v>
      </c>
      <c r="E7255" t="s">
        <v>17</v>
      </c>
      <c r="F7255">
        <v>5550</v>
      </c>
      <c r="J7255">
        <v>102.2</v>
      </c>
      <c r="K7255">
        <v>117.5</v>
      </c>
      <c r="L7255">
        <v>0</v>
      </c>
      <c r="M7255" t="s">
        <v>18</v>
      </c>
      <c r="N7255">
        <v>0</v>
      </c>
      <c r="O7255">
        <v>0</v>
      </c>
    </row>
    <row r="7256" spans="1:15" x14ac:dyDescent="0.2">
      <c r="A7256" s="6">
        <v>45779</v>
      </c>
      <c r="B7256" t="s">
        <v>15</v>
      </c>
      <c r="C7256" t="s">
        <v>16</v>
      </c>
      <c r="D7256" s="1">
        <v>45855</v>
      </c>
      <c r="E7256" t="s">
        <v>19</v>
      </c>
      <c r="F7256">
        <v>6200</v>
      </c>
      <c r="J7256">
        <v>1287.0999999999999</v>
      </c>
      <c r="K7256">
        <v>1267.9000000000001</v>
      </c>
      <c r="L7256">
        <v>0</v>
      </c>
      <c r="M7256" t="s">
        <v>18</v>
      </c>
      <c r="N7256">
        <v>0</v>
      </c>
      <c r="O7256">
        <v>0</v>
      </c>
    </row>
    <row r="7257" spans="1:15" x14ac:dyDescent="0.2">
      <c r="A7257" s="6">
        <v>45779</v>
      </c>
      <c r="B7257" t="s">
        <v>15</v>
      </c>
      <c r="C7257" t="s">
        <v>16</v>
      </c>
      <c r="D7257" s="1">
        <v>45855</v>
      </c>
      <c r="E7257" t="s">
        <v>17</v>
      </c>
      <c r="F7257">
        <v>5600</v>
      </c>
      <c r="J7257">
        <v>92.7</v>
      </c>
      <c r="K7257">
        <v>107.3</v>
      </c>
      <c r="L7257">
        <v>0</v>
      </c>
      <c r="M7257" t="s">
        <v>18</v>
      </c>
      <c r="N7257">
        <v>0</v>
      </c>
      <c r="O7257">
        <v>0</v>
      </c>
    </row>
    <row r="7258" spans="1:15" x14ac:dyDescent="0.2">
      <c r="A7258" s="6">
        <v>45779</v>
      </c>
      <c r="B7258" t="s">
        <v>15</v>
      </c>
      <c r="C7258" t="s">
        <v>16</v>
      </c>
      <c r="D7258" s="1">
        <v>45855</v>
      </c>
      <c r="E7258" t="s">
        <v>19</v>
      </c>
      <c r="F7258">
        <v>5900</v>
      </c>
      <c r="J7258">
        <v>1015.4</v>
      </c>
      <c r="K7258">
        <v>999.7</v>
      </c>
      <c r="L7258">
        <v>0</v>
      </c>
      <c r="M7258" t="s">
        <v>18</v>
      </c>
      <c r="N7258">
        <v>0</v>
      </c>
      <c r="O7258">
        <v>0</v>
      </c>
    </row>
    <row r="7259" spans="1:15" x14ac:dyDescent="0.2">
      <c r="A7259" s="6">
        <v>45779</v>
      </c>
      <c r="B7259" t="s">
        <v>15</v>
      </c>
      <c r="C7259" t="s">
        <v>16</v>
      </c>
      <c r="D7259" s="1">
        <v>45855</v>
      </c>
      <c r="E7259" t="s">
        <v>17</v>
      </c>
      <c r="F7259">
        <v>3800</v>
      </c>
      <c r="J7259">
        <v>1120.5</v>
      </c>
      <c r="K7259">
        <v>1147.4000000000001</v>
      </c>
      <c r="L7259">
        <v>0</v>
      </c>
      <c r="M7259" t="s">
        <v>18</v>
      </c>
      <c r="N7259">
        <v>0</v>
      </c>
      <c r="O7259">
        <v>0</v>
      </c>
    </row>
    <row r="7260" spans="1:15" x14ac:dyDescent="0.2">
      <c r="A7260" s="6">
        <v>45779</v>
      </c>
      <c r="B7260" t="s">
        <v>15</v>
      </c>
      <c r="C7260" t="s">
        <v>16</v>
      </c>
      <c r="D7260" s="1">
        <v>45855</v>
      </c>
      <c r="E7260" t="s">
        <v>19</v>
      </c>
      <c r="F7260">
        <v>4800</v>
      </c>
      <c r="J7260">
        <v>242.3</v>
      </c>
      <c r="K7260">
        <v>242.6</v>
      </c>
      <c r="L7260">
        <v>0</v>
      </c>
      <c r="M7260" t="s">
        <v>18</v>
      </c>
      <c r="N7260">
        <v>0</v>
      </c>
      <c r="O7260">
        <v>0</v>
      </c>
    </row>
    <row r="7261" spans="1:15" x14ac:dyDescent="0.2">
      <c r="A7261" s="6">
        <v>45779</v>
      </c>
      <c r="B7261" t="s">
        <v>15</v>
      </c>
      <c r="C7261" t="s">
        <v>16</v>
      </c>
      <c r="D7261" s="1">
        <v>45855</v>
      </c>
      <c r="E7261" t="s">
        <v>17</v>
      </c>
      <c r="F7261">
        <v>5750</v>
      </c>
      <c r="J7261">
        <v>68.8</v>
      </c>
      <c r="K7261">
        <v>81.099999999999994</v>
      </c>
      <c r="L7261">
        <v>0</v>
      </c>
      <c r="M7261" t="s">
        <v>18</v>
      </c>
      <c r="N7261">
        <v>0</v>
      </c>
      <c r="O7261">
        <v>0</v>
      </c>
    </row>
    <row r="7262" spans="1:15" x14ac:dyDescent="0.2">
      <c r="A7262" s="6">
        <v>45779</v>
      </c>
      <c r="B7262" t="s">
        <v>15</v>
      </c>
      <c r="C7262" t="s">
        <v>16</v>
      </c>
      <c r="D7262" s="1">
        <v>45855</v>
      </c>
      <c r="E7262" t="s">
        <v>17</v>
      </c>
      <c r="F7262">
        <v>6300</v>
      </c>
      <c r="J7262">
        <v>20.9</v>
      </c>
      <c r="K7262">
        <v>26.5</v>
      </c>
      <c r="L7262">
        <v>0</v>
      </c>
      <c r="M7262" t="s">
        <v>18</v>
      </c>
      <c r="N7262">
        <v>0</v>
      </c>
      <c r="O7262">
        <v>0</v>
      </c>
    </row>
    <row r="7263" spans="1:15" x14ac:dyDescent="0.2">
      <c r="A7263" s="6">
        <v>45779</v>
      </c>
      <c r="B7263" t="s">
        <v>15</v>
      </c>
      <c r="C7263" t="s">
        <v>16</v>
      </c>
      <c r="D7263" s="1">
        <v>45855</v>
      </c>
      <c r="E7263" t="s">
        <v>19</v>
      </c>
      <c r="F7263">
        <v>4100</v>
      </c>
      <c r="J7263">
        <v>41.3</v>
      </c>
      <c r="K7263">
        <v>43.6</v>
      </c>
      <c r="L7263">
        <v>0</v>
      </c>
      <c r="M7263" t="s">
        <v>18</v>
      </c>
      <c r="N7263">
        <v>0</v>
      </c>
      <c r="O7263">
        <v>0</v>
      </c>
    </row>
    <row r="7264" spans="1:15" x14ac:dyDescent="0.2">
      <c r="A7264" s="6">
        <v>45779</v>
      </c>
      <c r="B7264" t="s">
        <v>15</v>
      </c>
      <c r="C7264" t="s">
        <v>16</v>
      </c>
      <c r="D7264" s="1">
        <v>45855</v>
      </c>
      <c r="E7264" t="s">
        <v>17</v>
      </c>
      <c r="F7264">
        <v>6500</v>
      </c>
      <c r="J7264">
        <v>13.1</v>
      </c>
      <c r="K7264">
        <v>17.100000000000001</v>
      </c>
      <c r="L7264">
        <v>0</v>
      </c>
      <c r="M7264" t="s">
        <v>18</v>
      </c>
      <c r="N7264">
        <v>0</v>
      </c>
      <c r="O7264">
        <v>0</v>
      </c>
    </row>
    <row r="7265" spans="1:15" x14ac:dyDescent="0.2">
      <c r="A7265" s="6">
        <v>45779</v>
      </c>
      <c r="B7265" t="s">
        <v>15</v>
      </c>
      <c r="C7265" t="s">
        <v>16</v>
      </c>
      <c r="D7265" s="1">
        <v>45855</v>
      </c>
      <c r="E7265" t="s">
        <v>19</v>
      </c>
      <c r="F7265">
        <v>4500</v>
      </c>
      <c r="J7265">
        <v>127.5</v>
      </c>
      <c r="K7265">
        <v>129.80000000000001</v>
      </c>
      <c r="L7265">
        <v>0</v>
      </c>
      <c r="M7265" t="s">
        <v>18</v>
      </c>
      <c r="N7265">
        <v>0</v>
      </c>
      <c r="O7265">
        <v>0</v>
      </c>
    </row>
    <row r="7266" spans="1:15" x14ac:dyDescent="0.2">
      <c r="A7266" s="6">
        <v>45779</v>
      </c>
      <c r="B7266" t="s">
        <v>15</v>
      </c>
      <c r="C7266" t="s">
        <v>16</v>
      </c>
      <c r="D7266" s="1">
        <v>45855</v>
      </c>
      <c r="E7266" t="s">
        <v>19</v>
      </c>
      <c r="F7266">
        <v>5350</v>
      </c>
      <c r="J7266">
        <v>570.5</v>
      </c>
      <c r="K7266">
        <v>563.29999999999995</v>
      </c>
      <c r="L7266">
        <v>0</v>
      </c>
      <c r="M7266" t="s">
        <v>18</v>
      </c>
      <c r="N7266">
        <v>0</v>
      </c>
      <c r="O7266">
        <v>0</v>
      </c>
    </row>
    <row r="7267" spans="1:15" x14ac:dyDescent="0.2">
      <c r="A7267" s="6">
        <v>45779</v>
      </c>
      <c r="B7267" t="s">
        <v>15</v>
      </c>
      <c r="C7267" t="s">
        <v>16</v>
      </c>
      <c r="D7267" s="1">
        <v>45855</v>
      </c>
      <c r="E7267" t="s">
        <v>19</v>
      </c>
      <c r="F7267">
        <v>4400</v>
      </c>
      <c r="J7267">
        <v>99.3</v>
      </c>
      <c r="K7267">
        <v>101.8</v>
      </c>
      <c r="L7267">
        <v>0</v>
      </c>
      <c r="M7267" t="s">
        <v>18</v>
      </c>
      <c r="N7267">
        <v>0</v>
      </c>
      <c r="O7267">
        <v>0</v>
      </c>
    </row>
    <row r="7268" spans="1:15" x14ac:dyDescent="0.2">
      <c r="A7268" s="6">
        <v>45779</v>
      </c>
      <c r="B7268" t="s">
        <v>15</v>
      </c>
      <c r="C7268" t="s">
        <v>16</v>
      </c>
      <c r="D7268" s="1">
        <v>45855</v>
      </c>
      <c r="E7268" t="s">
        <v>17</v>
      </c>
      <c r="F7268">
        <v>6350</v>
      </c>
      <c r="J7268">
        <v>18.600000000000001</v>
      </c>
      <c r="K7268">
        <v>23.8</v>
      </c>
      <c r="L7268">
        <v>0</v>
      </c>
      <c r="M7268" t="s">
        <v>18</v>
      </c>
      <c r="N7268">
        <v>0</v>
      </c>
      <c r="O7268">
        <v>0</v>
      </c>
    </row>
    <row r="7269" spans="1:15" x14ac:dyDescent="0.2">
      <c r="A7269" s="6">
        <v>45779</v>
      </c>
      <c r="B7269" t="s">
        <v>15</v>
      </c>
      <c r="C7269" t="s">
        <v>16</v>
      </c>
      <c r="D7269" s="1">
        <v>45855</v>
      </c>
      <c r="E7269" t="s">
        <v>17</v>
      </c>
      <c r="F7269">
        <v>4050</v>
      </c>
      <c r="J7269">
        <v>895.2</v>
      </c>
      <c r="K7269">
        <v>922.9</v>
      </c>
      <c r="L7269">
        <v>0</v>
      </c>
      <c r="M7269" t="s">
        <v>18</v>
      </c>
      <c r="N7269">
        <v>0</v>
      </c>
      <c r="O7269">
        <v>0</v>
      </c>
    </row>
    <row r="7270" spans="1:15" x14ac:dyDescent="0.2">
      <c r="A7270" s="6">
        <v>45779</v>
      </c>
      <c r="B7270" t="s">
        <v>15</v>
      </c>
      <c r="C7270" t="s">
        <v>16</v>
      </c>
      <c r="D7270" s="1">
        <v>45855</v>
      </c>
      <c r="E7270" t="s">
        <v>17</v>
      </c>
      <c r="F7270">
        <v>4000</v>
      </c>
      <c r="J7270">
        <v>939</v>
      </c>
      <c r="K7270">
        <v>966.5</v>
      </c>
      <c r="L7270">
        <v>0</v>
      </c>
      <c r="M7270" t="s">
        <v>18</v>
      </c>
      <c r="N7270">
        <v>0</v>
      </c>
      <c r="O7270">
        <v>0</v>
      </c>
    </row>
    <row r="7271" spans="1:15" x14ac:dyDescent="0.2">
      <c r="A7271" s="6">
        <v>45779</v>
      </c>
      <c r="B7271" t="s">
        <v>15</v>
      </c>
      <c r="C7271" t="s">
        <v>16</v>
      </c>
      <c r="D7271" s="1">
        <v>45855</v>
      </c>
      <c r="E7271" t="s">
        <v>19</v>
      </c>
      <c r="F7271">
        <v>4650</v>
      </c>
      <c r="J7271">
        <v>179.1</v>
      </c>
      <c r="K7271">
        <v>180.6</v>
      </c>
      <c r="L7271">
        <v>0</v>
      </c>
      <c r="M7271" t="s">
        <v>18</v>
      </c>
      <c r="N7271">
        <v>0</v>
      </c>
      <c r="O7271">
        <v>0</v>
      </c>
    </row>
    <row r="7272" spans="1:15" x14ac:dyDescent="0.2">
      <c r="A7272" s="6">
        <v>45779</v>
      </c>
      <c r="B7272" t="s">
        <v>15</v>
      </c>
      <c r="C7272" t="s">
        <v>16</v>
      </c>
      <c r="D7272" s="1">
        <v>45855</v>
      </c>
      <c r="E7272" t="s">
        <v>17</v>
      </c>
      <c r="F7272">
        <v>5800</v>
      </c>
      <c r="J7272">
        <v>62.1</v>
      </c>
      <c r="K7272">
        <v>73.7</v>
      </c>
      <c r="L7272">
        <v>0</v>
      </c>
      <c r="M7272" t="s">
        <v>18</v>
      </c>
      <c r="N7272">
        <v>0</v>
      </c>
      <c r="O7272">
        <v>0</v>
      </c>
    </row>
    <row r="7273" spans="1:15" x14ac:dyDescent="0.2">
      <c r="A7273" s="6">
        <v>45779</v>
      </c>
      <c r="B7273" t="s">
        <v>15</v>
      </c>
      <c r="C7273" t="s">
        <v>16</v>
      </c>
      <c r="D7273" s="1">
        <v>45855</v>
      </c>
      <c r="E7273" t="s">
        <v>17</v>
      </c>
      <c r="F7273">
        <v>4550</v>
      </c>
      <c r="J7273">
        <v>510.4</v>
      </c>
      <c r="K7273">
        <v>538.1</v>
      </c>
      <c r="L7273">
        <v>0</v>
      </c>
      <c r="M7273" t="s">
        <v>18</v>
      </c>
      <c r="N7273">
        <v>0</v>
      </c>
      <c r="O7273">
        <v>0</v>
      </c>
    </row>
    <row r="7274" spans="1:15" x14ac:dyDescent="0.2">
      <c r="A7274" s="6">
        <v>45779</v>
      </c>
      <c r="B7274" t="s">
        <v>15</v>
      </c>
      <c r="C7274" t="s">
        <v>16</v>
      </c>
      <c r="D7274" s="1">
        <v>45855</v>
      </c>
      <c r="E7274" t="s">
        <v>17</v>
      </c>
      <c r="F7274">
        <v>5450</v>
      </c>
      <c r="J7274">
        <v>123.4</v>
      </c>
      <c r="K7274">
        <v>140.4</v>
      </c>
      <c r="L7274">
        <v>0</v>
      </c>
      <c r="M7274" t="s">
        <v>18</v>
      </c>
      <c r="N7274">
        <v>0</v>
      </c>
      <c r="O7274">
        <v>0</v>
      </c>
    </row>
    <row r="7275" spans="1:15" x14ac:dyDescent="0.2">
      <c r="A7275" s="6">
        <v>45779</v>
      </c>
      <c r="B7275" t="s">
        <v>15</v>
      </c>
      <c r="C7275" t="s">
        <v>16</v>
      </c>
      <c r="D7275" s="1">
        <v>45855</v>
      </c>
      <c r="E7275" t="s">
        <v>17</v>
      </c>
      <c r="F7275">
        <v>5150</v>
      </c>
      <c r="J7275">
        <v>209.8</v>
      </c>
      <c r="K7275">
        <v>231.4</v>
      </c>
      <c r="L7275">
        <v>0</v>
      </c>
      <c r="M7275" t="s">
        <v>18</v>
      </c>
      <c r="N7275">
        <v>0</v>
      </c>
      <c r="O7275">
        <v>0</v>
      </c>
    </row>
    <row r="7276" spans="1:15" x14ac:dyDescent="0.2">
      <c r="A7276" s="6">
        <v>45779</v>
      </c>
      <c r="B7276" t="s">
        <v>15</v>
      </c>
      <c r="C7276" t="s">
        <v>16</v>
      </c>
      <c r="D7276" s="1">
        <v>45855</v>
      </c>
      <c r="E7276" t="s">
        <v>17</v>
      </c>
      <c r="F7276">
        <v>6250</v>
      </c>
      <c r="J7276">
        <v>23.4</v>
      </c>
      <c r="K7276">
        <v>29.5</v>
      </c>
      <c r="L7276">
        <v>0</v>
      </c>
      <c r="M7276" t="s">
        <v>18</v>
      </c>
      <c r="N7276">
        <v>0</v>
      </c>
      <c r="O7276">
        <v>0</v>
      </c>
    </row>
    <row r="7277" spans="1:15" x14ac:dyDescent="0.2">
      <c r="A7277" s="6">
        <v>45779</v>
      </c>
      <c r="B7277" t="s">
        <v>15</v>
      </c>
      <c r="C7277" t="s">
        <v>16</v>
      </c>
      <c r="D7277" s="1">
        <v>45855</v>
      </c>
      <c r="E7277" t="s">
        <v>19</v>
      </c>
      <c r="F7277">
        <v>6250</v>
      </c>
      <c r="J7277">
        <v>1333.7</v>
      </c>
      <c r="K7277">
        <v>1313.9</v>
      </c>
      <c r="L7277">
        <v>0</v>
      </c>
      <c r="M7277" t="s">
        <v>18</v>
      </c>
      <c r="N7277">
        <v>0</v>
      </c>
      <c r="O7277">
        <v>0</v>
      </c>
    </row>
    <row r="7278" spans="1:15" x14ac:dyDescent="0.2">
      <c r="A7278" s="6">
        <v>45779</v>
      </c>
      <c r="B7278" t="s">
        <v>15</v>
      </c>
      <c r="C7278" t="s">
        <v>16</v>
      </c>
      <c r="D7278" s="1">
        <v>45855</v>
      </c>
      <c r="E7278" t="s">
        <v>19</v>
      </c>
      <c r="F7278">
        <v>5150</v>
      </c>
      <c r="J7278">
        <v>434.8</v>
      </c>
      <c r="K7278">
        <v>430.7</v>
      </c>
      <c r="L7278">
        <v>0</v>
      </c>
      <c r="M7278" t="s">
        <v>18</v>
      </c>
      <c r="N7278">
        <v>0</v>
      </c>
      <c r="O7278">
        <v>0</v>
      </c>
    </row>
    <row r="7279" spans="1:15" x14ac:dyDescent="0.2">
      <c r="A7279" s="6">
        <v>45779</v>
      </c>
      <c r="B7279" t="s">
        <v>15</v>
      </c>
      <c r="C7279" t="s">
        <v>16</v>
      </c>
      <c r="D7279" s="1">
        <v>45855</v>
      </c>
      <c r="E7279" t="s">
        <v>17</v>
      </c>
      <c r="F7279">
        <v>5050</v>
      </c>
      <c r="J7279">
        <v>247.3</v>
      </c>
      <c r="K7279">
        <v>270.39999999999998</v>
      </c>
      <c r="L7279">
        <v>0</v>
      </c>
      <c r="M7279" t="s">
        <v>18</v>
      </c>
      <c r="N7279">
        <v>0</v>
      </c>
      <c r="O7279">
        <v>0</v>
      </c>
    </row>
    <row r="7280" spans="1:15" x14ac:dyDescent="0.2">
      <c r="A7280" s="6">
        <v>45779</v>
      </c>
      <c r="B7280" t="s">
        <v>15</v>
      </c>
      <c r="C7280" t="s">
        <v>16</v>
      </c>
      <c r="D7280" s="1">
        <v>45855</v>
      </c>
      <c r="E7280" t="s">
        <v>17</v>
      </c>
      <c r="F7280">
        <v>4500</v>
      </c>
      <c r="J7280">
        <v>543.79999999999995</v>
      </c>
      <c r="K7280">
        <v>571.70000000000005</v>
      </c>
      <c r="L7280">
        <v>0</v>
      </c>
      <c r="M7280" t="s">
        <v>18</v>
      </c>
      <c r="N7280">
        <v>0</v>
      </c>
      <c r="O7280">
        <v>0</v>
      </c>
    </row>
    <row r="7281" spans="1:15" x14ac:dyDescent="0.2">
      <c r="A7281" s="6">
        <v>45779</v>
      </c>
      <c r="B7281" t="s">
        <v>15</v>
      </c>
      <c r="C7281" t="s">
        <v>16</v>
      </c>
      <c r="D7281" s="1">
        <v>45855</v>
      </c>
      <c r="E7281" t="s">
        <v>17</v>
      </c>
      <c r="F7281">
        <v>5500</v>
      </c>
      <c r="J7281">
        <v>112.4</v>
      </c>
      <c r="K7281">
        <v>128.5</v>
      </c>
      <c r="L7281">
        <v>0</v>
      </c>
      <c r="M7281" t="s">
        <v>18</v>
      </c>
      <c r="N7281">
        <v>0</v>
      </c>
      <c r="O7281">
        <v>0</v>
      </c>
    </row>
    <row r="7282" spans="1:15" x14ac:dyDescent="0.2">
      <c r="A7282" s="6">
        <v>45779</v>
      </c>
      <c r="B7282" t="s">
        <v>15</v>
      </c>
      <c r="C7282" t="s">
        <v>16</v>
      </c>
      <c r="D7282" s="1">
        <v>45855</v>
      </c>
      <c r="E7282" t="s">
        <v>17</v>
      </c>
      <c r="F7282">
        <v>4250</v>
      </c>
      <c r="J7282">
        <v>728.7</v>
      </c>
      <c r="K7282">
        <v>756.8</v>
      </c>
      <c r="L7282">
        <v>0</v>
      </c>
      <c r="M7282" t="s">
        <v>18</v>
      </c>
      <c r="N7282">
        <v>0</v>
      </c>
      <c r="O7282">
        <v>0</v>
      </c>
    </row>
    <row r="7283" spans="1:15" x14ac:dyDescent="0.2">
      <c r="A7283" s="6">
        <v>45779</v>
      </c>
      <c r="B7283" t="s">
        <v>15</v>
      </c>
      <c r="C7283" t="s">
        <v>16</v>
      </c>
      <c r="D7283" s="1">
        <v>45855</v>
      </c>
      <c r="E7283" t="s">
        <v>17</v>
      </c>
      <c r="F7283">
        <v>4150</v>
      </c>
      <c r="J7283">
        <v>810.2</v>
      </c>
      <c r="K7283">
        <v>838.1</v>
      </c>
      <c r="L7283">
        <v>0</v>
      </c>
      <c r="M7283" t="s">
        <v>18</v>
      </c>
      <c r="N7283">
        <v>0</v>
      </c>
      <c r="O7283">
        <v>0</v>
      </c>
    </row>
    <row r="7284" spans="1:15" x14ac:dyDescent="0.2">
      <c r="A7284" s="6">
        <v>45779</v>
      </c>
      <c r="B7284" t="s">
        <v>15</v>
      </c>
      <c r="C7284" t="s">
        <v>16</v>
      </c>
      <c r="D7284" s="1">
        <v>45855</v>
      </c>
      <c r="E7284" t="s">
        <v>17</v>
      </c>
      <c r="F7284">
        <v>5900</v>
      </c>
      <c r="J7284">
        <v>50.5</v>
      </c>
      <c r="K7284">
        <v>60.6</v>
      </c>
      <c r="L7284">
        <v>0</v>
      </c>
      <c r="M7284" t="s">
        <v>18</v>
      </c>
      <c r="N7284">
        <v>0</v>
      </c>
      <c r="O7284">
        <v>0</v>
      </c>
    </row>
    <row r="7285" spans="1:15" x14ac:dyDescent="0.2">
      <c r="A7285" s="6">
        <v>45779</v>
      </c>
      <c r="B7285" t="s">
        <v>15</v>
      </c>
      <c r="C7285" t="s">
        <v>16</v>
      </c>
      <c r="D7285" s="1">
        <v>45855</v>
      </c>
      <c r="E7285" t="s">
        <v>17</v>
      </c>
      <c r="F7285">
        <v>5200</v>
      </c>
      <c r="J7285">
        <v>192.8</v>
      </c>
      <c r="K7285">
        <v>213.7</v>
      </c>
      <c r="L7285">
        <v>0</v>
      </c>
      <c r="M7285" t="s">
        <v>18</v>
      </c>
      <c r="N7285">
        <v>0</v>
      </c>
      <c r="O7285">
        <v>0</v>
      </c>
    </row>
    <row r="7286" spans="1:15" x14ac:dyDescent="0.2">
      <c r="A7286" s="6">
        <v>45779</v>
      </c>
      <c r="B7286" t="s">
        <v>15</v>
      </c>
      <c r="C7286" t="s">
        <v>16</v>
      </c>
      <c r="D7286" s="1">
        <v>45855</v>
      </c>
      <c r="E7286" t="s">
        <v>17</v>
      </c>
      <c r="F7286">
        <v>3950</v>
      </c>
      <c r="J7286">
        <v>983.4</v>
      </c>
      <c r="K7286">
        <v>1010.8</v>
      </c>
      <c r="L7286">
        <v>0</v>
      </c>
      <c r="M7286" t="s">
        <v>18</v>
      </c>
      <c r="N7286">
        <v>0</v>
      </c>
      <c r="O7286">
        <v>0</v>
      </c>
    </row>
    <row r="7287" spans="1:15" x14ac:dyDescent="0.2">
      <c r="A7287" s="6">
        <v>45779</v>
      </c>
      <c r="B7287" t="s">
        <v>15</v>
      </c>
      <c r="C7287" t="s">
        <v>16</v>
      </c>
      <c r="D7287" s="1">
        <v>45855</v>
      </c>
      <c r="E7287" t="s">
        <v>19</v>
      </c>
      <c r="F7287">
        <v>6350</v>
      </c>
      <c r="J7287">
        <v>1427.5</v>
      </c>
      <c r="K7287">
        <v>1406.8</v>
      </c>
      <c r="L7287">
        <v>0</v>
      </c>
      <c r="M7287" t="s">
        <v>18</v>
      </c>
      <c r="N7287">
        <v>0</v>
      </c>
      <c r="O7287">
        <v>0</v>
      </c>
    </row>
    <row r="7288" spans="1:15" x14ac:dyDescent="0.2">
      <c r="A7288" s="6">
        <v>45779</v>
      </c>
      <c r="B7288" t="s">
        <v>15</v>
      </c>
      <c r="C7288" t="s">
        <v>16</v>
      </c>
      <c r="D7288" s="1">
        <v>45855</v>
      </c>
      <c r="E7288" t="s">
        <v>19</v>
      </c>
      <c r="F7288">
        <v>5650</v>
      </c>
      <c r="J7288">
        <v>802.4</v>
      </c>
      <c r="K7288">
        <v>790.4</v>
      </c>
      <c r="L7288">
        <v>0</v>
      </c>
      <c r="M7288" t="s">
        <v>18</v>
      </c>
      <c r="N7288">
        <v>0</v>
      </c>
      <c r="O7288">
        <v>0</v>
      </c>
    </row>
    <row r="7289" spans="1:15" x14ac:dyDescent="0.2">
      <c r="A7289" s="6">
        <v>45779</v>
      </c>
      <c r="B7289" t="s">
        <v>15</v>
      </c>
      <c r="C7289" t="s">
        <v>16</v>
      </c>
      <c r="D7289" s="1">
        <v>45855</v>
      </c>
      <c r="E7289" t="s">
        <v>19</v>
      </c>
      <c r="F7289">
        <v>4000</v>
      </c>
      <c r="J7289">
        <v>29.3</v>
      </c>
      <c r="K7289">
        <v>31.3</v>
      </c>
      <c r="L7289">
        <v>0</v>
      </c>
      <c r="M7289" t="s">
        <v>18</v>
      </c>
      <c r="N7289">
        <v>0</v>
      </c>
      <c r="O7289">
        <v>0</v>
      </c>
    </row>
    <row r="7290" spans="1:15" x14ac:dyDescent="0.2">
      <c r="A7290" s="6">
        <v>45779</v>
      </c>
      <c r="B7290" t="s">
        <v>15</v>
      </c>
      <c r="C7290" t="s">
        <v>16</v>
      </c>
      <c r="D7290" s="1">
        <v>45855</v>
      </c>
      <c r="E7290" t="s">
        <v>19</v>
      </c>
      <c r="F7290">
        <v>5600</v>
      </c>
      <c r="J7290">
        <v>761.7</v>
      </c>
      <c r="K7290">
        <v>750.5</v>
      </c>
      <c r="L7290">
        <v>0</v>
      </c>
      <c r="M7290" t="s">
        <v>18</v>
      </c>
      <c r="N7290">
        <v>0</v>
      </c>
      <c r="O7290">
        <v>0</v>
      </c>
    </row>
    <row r="7291" spans="1:15" x14ac:dyDescent="0.2">
      <c r="A7291" s="6">
        <v>45779</v>
      </c>
      <c r="B7291" t="s">
        <v>15</v>
      </c>
      <c r="C7291" t="s">
        <v>16</v>
      </c>
      <c r="D7291" s="1">
        <v>45855</v>
      </c>
      <c r="E7291" t="s">
        <v>17</v>
      </c>
      <c r="F7291">
        <v>6100</v>
      </c>
      <c r="J7291">
        <v>32.799999999999997</v>
      </c>
      <c r="K7291">
        <v>40.5</v>
      </c>
      <c r="L7291">
        <v>0</v>
      </c>
      <c r="M7291" t="s">
        <v>18</v>
      </c>
      <c r="N7291">
        <v>0</v>
      </c>
      <c r="O7291">
        <v>0</v>
      </c>
    </row>
    <row r="7292" spans="1:15" x14ac:dyDescent="0.2">
      <c r="A7292" s="6">
        <v>45779</v>
      </c>
      <c r="B7292" t="s">
        <v>15</v>
      </c>
      <c r="C7292" t="s">
        <v>16</v>
      </c>
      <c r="D7292" s="1">
        <v>45855</v>
      </c>
      <c r="E7292" t="s">
        <v>19</v>
      </c>
      <c r="F7292">
        <v>4850</v>
      </c>
      <c r="J7292">
        <v>266</v>
      </c>
      <c r="K7292">
        <v>265.8</v>
      </c>
      <c r="L7292">
        <v>0</v>
      </c>
      <c r="M7292" t="s">
        <v>18</v>
      </c>
      <c r="N7292">
        <v>0</v>
      </c>
      <c r="O7292">
        <v>0</v>
      </c>
    </row>
    <row r="7293" spans="1:15" x14ac:dyDescent="0.2">
      <c r="A7293" s="6">
        <v>45779</v>
      </c>
      <c r="B7293" t="s">
        <v>15</v>
      </c>
      <c r="C7293" t="s">
        <v>16</v>
      </c>
      <c r="D7293" s="1">
        <v>45855</v>
      </c>
      <c r="E7293" t="s">
        <v>17</v>
      </c>
      <c r="F7293">
        <v>5350</v>
      </c>
      <c r="J7293">
        <v>148.19999999999999</v>
      </c>
      <c r="K7293">
        <v>166.7</v>
      </c>
      <c r="L7293">
        <v>0</v>
      </c>
      <c r="M7293" t="s">
        <v>18</v>
      </c>
      <c r="N7293">
        <v>0</v>
      </c>
      <c r="O7293">
        <v>0</v>
      </c>
    </row>
    <row r="7294" spans="1:15" x14ac:dyDescent="0.2">
      <c r="A7294" s="6">
        <v>45779</v>
      </c>
      <c r="B7294" t="s">
        <v>15</v>
      </c>
      <c r="C7294" t="s">
        <v>16</v>
      </c>
      <c r="D7294" s="1">
        <v>45855</v>
      </c>
      <c r="E7294" t="s">
        <v>17</v>
      </c>
      <c r="F7294">
        <v>4600</v>
      </c>
      <c r="J7294">
        <v>478.3</v>
      </c>
      <c r="K7294">
        <v>505.7</v>
      </c>
      <c r="L7294">
        <v>0</v>
      </c>
      <c r="M7294" t="s">
        <v>18</v>
      </c>
      <c r="N7294">
        <v>0</v>
      </c>
      <c r="O7294">
        <v>0</v>
      </c>
    </row>
    <row r="7295" spans="1:15" x14ac:dyDescent="0.2">
      <c r="A7295" s="6">
        <v>45779</v>
      </c>
      <c r="B7295" t="s">
        <v>15</v>
      </c>
      <c r="C7295" t="s">
        <v>16</v>
      </c>
      <c r="D7295" s="1">
        <v>45855</v>
      </c>
      <c r="E7295" t="s">
        <v>17</v>
      </c>
      <c r="F7295">
        <v>6400</v>
      </c>
      <c r="J7295">
        <v>16.5</v>
      </c>
      <c r="K7295">
        <v>21.4</v>
      </c>
      <c r="L7295">
        <v>0</v>
      </c>
      <c r="M7295" t="s">
        <v>18</v>
      </c>
      <c r="N7295">
        <v>0</v>
      </c>
      <c r="O7295">
        <v>0</v>
      </c>
    </row>
    <row r="7296" spans="1:15" x14ac:dyDescent="0.2">
      <c r="A7296" s="6">
        <v>45779</v>
      </c>
      <c r="B7296" t="s">
        <v>15</v>
      </c>
      <c r="C7296" t="s">
        <v>16</v>
      </c>
      <c r="D7296" s="1">
        <v>45855</v>
      </c>
      <c r="E7296" t="s">
        <v>19</v>
      </c>
      <c r="F7296">
        <v>3950</v>
      </c>
      <c r="J7296">
        <v>24.4</v>
      </c>
      <c r="K7296">
        <v>26.3</v>
      </c>
      <c r="L7296">
        <v>0</v>
      </c>
      <c r="M7296" t="s">
        <v>18</v>
      </c>
      <c r="N7296">
        <v>0</v>
      </c>
      <c r="O7296">
        <v>0</v>
      </c>
    </row>
    <row r="7297" spans="1:15" x14ac:dyDescent="0.2">
      <c r="A7297" s="6">
        <v>45779</v>
      </c>
      <c r="B7297" t="s">
        <v>15</v>
      </c>
      <c r="C7297" t="s">
        <v>16</v>
      </c>
      <c r="D7297" s="1">
        <v>45855</v>
      </c>
      <c r="E7297" t="s">
        <v>19</v>
      </c>
      <c r="F7297">
        <v>5550</v>
      </c>
      <c r="J7297">
        <v>721.8</v>
      </c>
      <c r="K7297">
        <v>711.4</v>
      </c>
      <c r="L7297">
        <v>0</v>
      </c>
      <c r="M7297" t="s">
        <v>18</v>
      </c>
      <c r="N7297">
        <v>0</v>
      </c>
      <c r="O7297">
        <v>0</v>
      </c>
    </row>
    <row r="7298" spans="1:15" x14ac:dyDescent="0.2">
      <c r="A7298" s="6">
        <v>45779</v>
      </c>
      <c r="B7298" t="s">
        <v>15</v>
      </c>
      <c r="C7298" t="s">
        <v>16</v>
      </c>
      <c r="D7298" s="1">
        <v>45855</v>
      </c>
      <c r="E7298" t="s">
        <v>19</v>
      </c>
      <c r="F7298">
        <v>6300</v>
      </c>
      <c r="J7298">
        <v>1380.5</v>
      </c>
      <c r="K7298">
        <v>1360.2</v>
      </c>
      <c r="L7298">
        <v>0</v>
      </c>
      <c r="M7298" t="s">
        <v>18</v>
      </c>
      <c r="N7298">
        <v>0</v>
      </c>
      <c r="O7298">
        <v>0</v>
      </c>
    </row>
    <row r="7299" spans="1:15" x14ac:dyDescent="0.2">
      <c r="A7299" s="6">
        <v>45779</v>
      </c>
      <c r="B7299" t="s">
        <v>15</v>
      </c>
      <c r="C7299" t="s">
        <v>16</v>
      </c>
      <c r="D7299" s="1">
        <v>45855</v>
      </c>
      <c r="E7299" t="s">
        <v>19</v>
      </c>
      <c r="F7299">
        <v>6000</v>
      </c>
      <c r="J7299">
        <v>1104.4000000000001</v>
      </c>
      <c r="K7299">
        <v>1087.4000000000001</v>
      </c>
      <c r="L7299">
        <v>0</v>
      </c>
      <c r="M7299" t="s">
        <v>18</v>
      </c>
      <c r="N7299">
        <v>0</v>
      </c>
      <c r="O7299">
        <v>0</v>
      </c>
    </row>
    <row r="7300" spans="1:15" x14ac:dyDescent="0.2">
      <c r="A7300" s="6">
        <v>45779</v>
      </c>
      <c r="B7300" t="s">
        <v>15</v>
      </c>
      <c r="C7300" t="s">
        <v>16</v>
      </c>
      <c r="D7300" s="1">
        <v>45855</v>
      </c>
      <c r="E7300" t="s">
        <v>17</v>
      </c>
      <c r="F7300">
        <v>6600</v>
      </c>
      <c r="J7300">
        <v>10.3</v>
      </c>
      <c r="K7300">
        <v>13.7</v>
      </c>
      <c r="L7300">
        <v>0</v>
      </c>
      <c r="M7300" t="s">
        <v>18</v>
      </c>
      <c r="N7300">
        <v>0</v>
      </c>
      <c r="O7300">
        <v>0</v>
      </c>
    </row>
    <row r="7301" spans="1:15" x14ac:dyDescent="0.2">
      <c r="A7301" s="6">
        <v>45779</v>
      </c>
      <c r="B7301" t="s">
        <v>15</v>
      </c>
      <c r="C7301" t="s">
        <v>16</v>
      </c>
      <c r="D7301" s="1">
        <v>45855</v>
      </c>
      <c r="E7301" t="s">
        <v>17</v>
      </c>
      <c r="F7301">
        <v>5850</v>
      </c>
      <c r="J7301">
        <v>56</v>
      </c>
      <c r="K7301">
        <v>66.900000000000006</v>
      </c>
      <c r="L7301">
        <v>0</v>
      </c>
      <c r="M7301" t="s">
        <v>18</v>
      </c>
      <c r="N7301">
        <v>0</v>
      </c>
      <c r="O7301">
        <v>0</v>
      </c>
    </row>
    <row r="7302" spans="1:15" x14ac:dyDescent="0.2">
      <c r="A7302" s="6">
        <v>45779</v>
      </c>
      <c r="B7302" t="s">
        <v>15</v>
      </c>
      <c r="C7302" t="s">
        <v>16</v>
      </c>
      <c r="D7302" s="1">
        <v>45855</v>
      </c>
      <c r="E7302" t="s">
        <v>19</v>
      </c>
      <c r="F7302">
        <v>3850</v>
      </c>
      <c r="J7302">
        <v>16.600000000000001</v>
      </c>
      <c r="K7302">
        <v>18.2</v>
      </c>
      <c r="L7302">
        <v>0</v>
      </c>
      <c r="M7302" t="s">
        <v>18</v>
      </c>
      <c r="N7302">
        <v>0</v>
      </c>
      <c r="O7302">
        <v>0</v>
      </c>
    </row>
    <row r="7303" spans="1:15" x14ac:dyDescent="0.2">
      <c r="A7303" s="6">
        <v>45779</v>
      </c>
      <c r="B7303" t="s">
        <v>15</v>
      </c>
      <c r="C7303" t="s">
        <v>16</v>
      </c>
      <c r="D7303" s="1">
        <v>45855</v>
      </c>
      <c r="E7303" t="s">
        <v>19</v>
      </c>
      <c r="F7303">
        <v>5850</v>
      </c>
      <c r="J7303">
        <v>971.6</v>
      </c>
      <c r="K7303">
        <v>956.7</v>
      </c>
      <c r="L7303">
        <v>0</v>
      </c>
      <c r="M7303" t="s">
        <v>18</v>
      </c>
      <c r="N7303">
        <v>0</v>
      </c>
      <c r="O7303">
        <v>0</v>
      </c>
    </row>
    <row r="7304" spans="1:15" x14ac:dyDescent="0.2">
      <c r="A7304" s="6">
        <v>45779</v>
      </c>
      <c r="B7304" t="s">
        <v>15</v>
      </c>
      <c r="C7304" t="s">
        <v>16</v>
      </c>
      <c r="D7304" s="1">
        <v>45855</v>
      </c>
      <c r="E7304" t="s">
        <v>19</v>
      </c>
      <c r="F7304">
        <v>6500</v>
      </c>
      <c r="J7304">
        <v>1570</v>
      </c>
      <c r="K7304">
        <v>1548.1</v>
      </c>
      <c r="L7304">
        <v>0</v>
      </c>
      <c r="M7304" t="s">
        <v>18</v>
      </c>
      <c r="N7304">
        <v>0</v>
      </c>
      <c r="O7304">
        <v>0</v>
      </c>
    </row>
    <row r="7305" spans="1:15" x14ac:dyDescent="0.2">
      <c r="A7305" s="6">
        <v>45779</v>
      </c>
      <c r="B7305" t="s">
        <v>15</v>
      </c>
      <c r="C7305" t="s">
        <v>16</v>
      </c>
      <c r="D7305" s="1">
        <v>45855</v>
      </c>
      <c r="E7305" t="s">
        <v>17</v>
      </c>
      <c r="F7305">
        <v>3900</v>
      </c>
      <c r="J7305">
        <v>1028.5999999999999</v>
      </c>
      <c r="K7305">
        <v>1055.8</v>
      </c>
      <c r="L7305">
        <v>0</v>
      </c>
      <c r="M7305" t="s">
        <v>18</v>
      </c>
      <c r="N7305">
        <v>0</v>
      </c>
      <c r="O7305">
        <v>0</v>
      </c>
    </row>
    <row r="7306" spans="1:15" x14ac:dyDescent="0.2">
      <c r="A7306" s="6">
        <v>45779</v>
      </c>
      <c r="B7306" t="s">
        <v>15</v>
      </c>
      <c r="C7306" t="s">
        <v>16</v>
      </c>
      <c r="D7306" s="1">
        <v>45855</v>
      </c>
      <c r="E7306" t="s">
        <v>17</v>
      </c>
      <c r="F7306">
        <v>6150</v>
      </c>
      <c r="J7306">
        <v>29.3</v>
      </c>
      <c r="K7306">
        <v>36.5</v>
      </c>
      <c r="L7306">
        <v>0</v>
      </c>
      <c r="M7306" t="s">
        <v>18</v>
      </c>
      <c r="N7306">
        <v>0</v>
      </c>
      <c r="O7306">
        <v>0</v>
      </c>
    </row>
    <row r="7307" spans="1:15" x14ac:dyDescent="0.2">
      <c r="A7307" s="6">
        <v>45779</v>
      </c>
      <c r="B7307" t="s">
        <v>15</v>
      </c>
      <c r="C7307" t="s">
        <v>16</v>
      </c>
      <c r="D7307" s="1">
        <v>45855</v>
      </c>
      <c r="E7307" t="s">
        <v>17</v>
      </c>
      <c r="F7307">
        <v>5400</v>
      </c>
      <c r="J7307">
        <v>135.30000000000001</v>
      </c>
      <c r="K7307">
        <v>153.1</v>
      </c>
      <c r="L7307">
        <v>0</v>
      </c>
      <c r="M7307" t="s">
        <v>18</v>
      </c>
      <c r="N7307">
        <v>0</v>
      </c>
      <c r="O7307">
        <v>0</v>
      </c>
    </row>
    <row r="7308" spans="1:15" x14ac:dyDescent="0.2">
      <c r="A7308" s="6">
        <v>45779</v>
      </c>
      <c r="B7308" t="s">
        <v>15</v>
      </c>
      <c r="C7308" t="s">
        <v>16</v>
      </c>
      <c r="D7308" s="1">
        <v>45855</v>
      </c>
      <c r="E7308" t="s">
        <v>19</v>
      </c>
      <c r="F7308">
        <v>6600</v>
      </c>
      <c r="J7308">
        <v>1665.9</v>
      </c>
      <c r="K7308">
        <v>1643.3</v>
      </c>
      <c r="L7308">
        <v>0</v>
      </c>
      <c r="M7308" t="s">
        <v>18</v>
      </c>
      <c r="N7308">
        <v>0</v>
      </c>
      <c r="O7308">
        <v>0</v>
      </c>
    </row>
    <row r="7309" spans="1:15" x14ac:dyDescent="0.2">
      <c r="A7309" s="6">
        <v>45779</v>
      </c>
      <c r="B7309" t="s">
        <v>15</v>
      </c>
      <c r="C7309" t="s">
        <v>16</v>
      </c>
      <c r="D7309" s="1">
        <v>45855</v>
      </c>
      <c r="E7309" t="s">
        <v>17</v>
      </c>
      <c r="F7309">
        <v>5650</v>
      </c>
      <c r="J7309">
        <v>84.1</v>
      </c>
      <c r="K7309">
        <v>97.9</v>
      </c>
      <c r="L7309">
        <v>0</v>
      </c>
      <c r="M7309" t="s">
        <v>18</v>
      </c>
      <c r="N7309">
        <v>0</v>
      </c>
      <c r="O7309">
        <v>0</v>
      </c>
    </row>
    <row r="7310" spans="1:15" x14ac:dyDescent="0.2">
      <c r="A7310" s="6">
        <v>45779</v>
      </c>
      <c r="B7310" t="s">
        <v>15</v>
      </c>
      <c r="C7310" t="s">
        <v>16</v>
      </c>
      <c r="D7310" s="1">
        <v>45855</v>
      </c>
      <c r="E7310" t="s">
        <v>19</v>
      </c>
      <c r="F7310">
        <v>6450</v>
      </c>
      <c r="J7310">
        <v>1522.3</v>
      </c>
      <c r="K7310">
        <v>1500.8</v>
      </c>
      <c r="L7310">
        <v>0</v>
      </c>
      <c r="M7310" t="s">
        <v>18</v>
      </c>
      <c r="N7310">
        <v>0</v>
      </c>
      <c r="O7310">
        <v>0</v>
      </c>
    </row>
    <row r="7311" spans="1:15" x14ac:dyDescent="0.2">
      <c r="A7311" s="6">
        <v>45779</v>
      </c>
      <c r="B7311" t="s">
        <v>15</v>
      </c>
      <c r="C7311" t="s">
        <v>16</v>
      </c>
      <c r="D7311" s="1">
        <v>45855</v>
      </c>
      <c r="E7311" t="s">
        <v>19</v>
      </c>
      <c r="F7311">
        <v>4300</v>
      </c>
      <c r="J7311">
        <v>75.8</v>
      </c>
      <c r="K7311">
        <v>78.400000000000006</v>
      </c>
      <c r="L7311">
        <v>0</v>
      </c>
      <c r="M7311" t="s">
        <v>18</v>
      </c>
      <c r="N7311">
        <v>0</v>
      </c>
      <c r="O7311">
        <v>0</v>
      </c>
    </row>
    <row r="7312" spans="1:15" x14ac:dyDescent="0.2">
      <c r="A7312" s="6">
        <v>45779</v>
      </c>
      <c r="B7312" t="s">
        <v>15</v>
      </c>
      <c r="C7312" t="s">
        <v>16</v>
      </c>
      <c r="D7312" s="1">
        <v>45855</v>
      </c>
      <c r="E7312" t="s">
        <v>17</v>
      </c>
      <c r="F7312">
        <v>4300</v>
      </c>
      <c r="J7312">
        <v>689.5</v>
      </c>
      <c r="K7312">
        <v>717.6</v>
      </c>
      <c r="L7312">
        <v>0</v>
      </c>
      <c r="M7312" t="s">
        <v>18</v>
      </c>
      <c r="N7312">
        <v>0</v>
      </c>
      <c r="O7312">
        <v>0</v>
      </c>
    </row>
    <row r="7313" spans="1:15" x14ac:dyDescent="0.2">
      <c r="A7313" s="6">
        <v>45779</v>
      </c>
      <c r="B7313" t="s">
        <v>15</v>
      </c>
      <c r="C7313" t="s">
        <v>16</v>
      </c>
      <c r="D7313" s="1">
        <v>45855</v>
      </c>
      <c r="E7313" t="s">
        <v>19</v>
      </c>
      <c r="F7313">
        <v>4750</v>
      </c>
      <c r="J7313">
        <v>219.9</v>
      </c>
      <c r="K7313">
        <v>220.7</v>
      </c>
      <c r="L7313">
        <v>0</v>
      </c>
      <c r="M7313" t="s">
        <v>18</v>
      </c>
      <c r="N7313">
        <v>0</v>
      </c>
      <c r="O7313">
        <v>0</v>
      </c>
    </row>
    <row r="7314" spans="1:15" x14ac:dyDescent="0.2">
      <c r="A7314" s="6">
        <v>45779</v>
      </c>
      <c r="B7314" t="s">
        <v>15</v>
      </c>
      <c r="C7314" t="s">
        <v>16</v>
      </c>
      <c r="D7314" s="1">
        <v>45855</v>
      </c>
      <c r="E7314" t="s">
        <v>19</v>
      </c>
      <c r="F7314">
        <v>4350</v>
      </c>
      <c r="J7314">
        <v>87</v>
      </c>
      <c r="K7314">
        <v>89.6</v>
      </c>
      <c r="L7314">
        <v>0</v>
      </c>
      <c r="M7314" t="s">
        <v>18</v>
      </c>
      <c r="N7314">
        <v>0</v>
      </c>
      <c r="O7314">
        <v>0</v>
      </c>
    </row>
    <row r="7315" spans="1:15" x14ac:dyDescent="0.2">
      <c r="A7315" s="6">
        <v>45779</v>
      </c>
      <c r="B7315" t="s">
        <v>15</v>
      </c>
      <c r="C7315" t="s">
        <v>16</v>
      </c>
      <c r="D7315" s="1">
        <v>45855</v>
      </c>
      <c r="E7315" t="s">
        <v>17</v>
      </c>
      <c r="F7315">
        <v>6450</v>
      </c>
      <c r="J7315">
        <v>14.7</v>
      </c>
      <c r="K7315">
        <v>19.100000000000001</v>
      </c>
      <c r="L7315">
        <v>0</v>
      </c>
      <c r="M7315" t="s">
        <v>18</v>
      </c>
      <c r="N7315">
        <v>0</v>
      </c>
      <c r="O7315">
        <v>0</v>
      </c>
    </row>
    <row r="7316" spans="1:15" x14ac:dyDescent="0.2">
      <c r="A7316" s="6">
        <v>45779</v>
      </c>
      <c r="B7316" t="s">
        <v>15</v>
      </c>
      <c r="C7316" t="s">
        <v>16</v>
      </c>
      <c r="D7316" s="1">
        <v>45855</v>
      </c>
      <c r="E7316" t="s">
        <v>17</v>
      </c>
      <c r="F7316">
        <v>4700</v>
      </c>
      <c r="J7316">
        <v>417.9</v>
      </c>
      <c r="K7316">
        <v>444.7</v>
      </c>
      <c r="L7316">
        <v>0</v>
      </c>
      <c r="M7316" t="s">
        <v>18</v>
      </c>
      <c r="N7316">
        <v>0</v>
      </c>
      <c r="O7316">
        <v>0</v>
      </c>
    </row>
    <row r="7317" spans="1:15" x14ac:dyDescent="0.2">
      <c r="A7317" s="6">
        <v>45779</v>
      </c>
      <c r="B7317" t="s">
        <v>15</v>
      </c>
      <c r="C7317" t="s">
        <v>16</v>
      </c>
      <c r="D7317" s="1">
        <v>45855</v>
      </c>
      <c r="E7317" t="s">
        <v>19</v>
      </c>
      <c r="F7317">
        <v>5950</v>
      </c>
      <c r="J7317">
        <v>1059.7</v>
      </c>
      <c r="K7317">
        <v>1043.3</v>
      </c>
      <c r="L7317">
        <v>0</v>
      </c>
      <c r="M7317" t="s">
        <v>18</v>
      </c>
      <c r="N7317">
        <v>0</v>
      </c>
      <c r="O7317">
        <v>0</v>
      </c>
    </row>
    <row r="7318" spans="1:15" x14ac:dyDescent="0.2">
      <c r="A7318" s="6">
        <v>45779</v>
      </c>
      <c r="B7318" t="s">
        <v>15</v>
      </c>
      <c r="C7318" t="s">
        <v>16</v>
      </c>
      <c r="D7318" s="1">
        <v>45855</v>
      </c>
      <c r="E7318" t="s">
        <v>19</v>
      </c>
      <c r="F7318">
        <v>4150</v>
      </c>
      <c r="J7318">
        <v>48.5</v>
      </c>
      <c r="K7318">
        <v>50.9</v>
      </c>
      <c r="L7318">
        <v>0</v>
      </c>
      <c r="M7318" t="s">
        <v>18</v>
      </c>
      <c r="N7318">
        <v>0</v>
      </c>
      <c r="O7318">
        <v>0</v>
      </c>
    </row>
    <row r="7319" spans="1:15" x14ac:dyDescent="0.2">
      <c r="A7319" s="6">
        <v>45779</v>
      </c>
      <c r="B7319" t="s">
        <v>15</v>
      </c>
      <c r="C7319" t="s">
        <v>16</v>
      </c>
      <c r="D7319" s="1">
        <v>45855</v>
      </c>
      <c r="E7319" t="s">
        <v>19</v>
      </c>
      <c r="F7319">
        <v>5000</v>
      </c>
      <c r="J7319">
        <v>344.8</v>
      </c>
      <c r="K7319">
        <v>342.9</v>
      </c>
      <c r="L7319">
        <v>0</v>
      </c>
      <c r="M7319" t="s">
        <v>18</v>
      </c>
      <c r="N7319">
        <v>0</v>
      </c>
      <c r="O7319">
        <v>0</v>
      </c>
    </row>
    <row r="7320" spans="1:15" x14ac:dyDescent="0.2">
      <c r="A7320" s="6">
        <v>45779</v>
      </c>
      <c r="B7320" t="s">
        <v>15</v>
      </c>
      <c r="C7320" t="s">
        <v>16</v>
      </c>
      <c r="D7320" s="1">
        <v>45855</v>
      </c>
      <c r="E7320" t="s">
        <v>19</v>
      </c>
      <c r="F7320">
        <v>4050</v>
      </c>
      <c r="J7320">
        <v>34.9</v>
      </c>
      <c r="K7320">
        <v>37.1</v>
      </c>
      <c r="L7320">
        <v>0</v>
      </c>
      <c r="M7320" t="s">
        <v>18</v>
      </c>
      <c r="N7320">
        <v>0</v>
      </c>
      <c r="O7320">
        <v>0</v>
      </c>
    </row>
    <row r="7321" spans="1:15" x14ac:dyDescent="0.2">
      <c r="A7321" s="6">
        <v>45779</v>
      </c>
      <c r="B7321" t="s">
        <v>15</v>
      </c>
      <c r="C7321" t="s">
        <v>16</v>
      </c>
      <c r="D7321" s="1">
        <v>45855</v>
      </c>
      <c r="E7321" t="s">
        <v>19</v>
      </c>
      <c r="F7321">
        <v>6100</v>
      </c>
      <c r="J7321">
        <v>1195</v>
      </c>
      <c r="K7321">
        <v>1176.9000000000001</v>
      </c>
      <c r="L7321">
        <v>0</v>
      </c>
      <c r="M7321" t="s">
        <v>18</v>
      </c>
      <c r="N7321">
        <v>0</v>
      </c>
      <c r="O7321">
        <v>0</v>
      </c>
    </row>
    <row r="7322" spans="1:15" x14ac:dyDescent="0.2">
      <c r="A7322" s="6">
        <v>45779</v>
      </c>
      <c r="B7322" t="s">
        <v>15</v>
      </c>
      <c r="C7322" t="s">
        <v>16</v>
      </c>
      <c r="D7322" s="1">
        <v>45855</v>
      </c>
      <c r="E7322" t="s">
        <v>19</v>
      </c>
      <c r="F7322">
        <v>5500</v>
      </c>
      <c r="J7322">
        <v>682.6</v>
      </c>
      <c r="K7322">
        <v>673</v>
      </c>
      <c r="L7322">
        <v>0</v>
      </c>
      <c r="M7322" t="s">
        <v>18</v>
      </c>
      <c r="N7322">
        <v>0</v>
      </c>
      <c r="O7322">
        <v>0</v>
      </c>
    </row>
    <row r="7323" spans="1:15" x14ac:dyDescent="0.2">
      <c r="A7323" s="6">
        <v>45779</v>
      </c>
      <c r="B7323" t="s">
        <v>15</v>
      </c>
      <c r="C7323" t="s">
        <v>16</v>
      </c>
      <c r="D7323" s="1">
        <v>45855</v>
      </c>
      <c r="E7323" t="s">
        <v>19</v>
      </c>
      <c r="F7323">
        <v>5750</v>
      </c>
      <c r="J7323">
        <v>885.8</v>
      </c>
      <c r="K7323">
        <v>872.3</v>
      </c>
      <c r="L7323">
        <v>0</v>
      </c>
      <c r="M7323" t="s">
        <v>18</v>
      </c>
      <c r="N7323">
        <v>0</v>
      </c>
      <c r="O7323">
        <v>0</v>
      </c>
    </row>
    <row r="7324" spans="1:15" x14ac:dyDescent="0.2">
      <c r="A7324" s="6">
        <v>45779</v>
      </c>
      <c r="B7324" t="s">
        <v>15</v>
      </c>
      <c r="C7324" t="s">
        <v>16</v>
      </c>
      <c r="D7324" s="1">
        <v>45855</v>
      </c>
      <c r="E7324" t="s">
        <v>19</v>
      </c>
      <c r="F7324">
        <v>3800</v>
      </c>
      <c r="J7324">
        <v>13.5</v>
      </c>
      <c r="K7324">
        <v>14.9</v>
      </c>
      <c r="L7324">
        <v>0</v>
      </c>
      <c r="M7324" t="s">
        <v>18</v>
      </c>
      <c r="N7324">
        <v>0</v>
      </c>
      <c r="O7324">
        <v>0</v>
      </c>
    </row>
    <row r="7325" spans="1:15" x14ac:dyDescent="0.2">
      <c r="A7325" s="6">
        <v>45779</v>
      </c>
      <c r="B7325" t="s">
        <v>15</v>
      </c>
      <c r="C7325" t="s">
        <v>16</v>
      </c>
      <c r="D7325" s="1">
        <v>45855</v>
      </c>
      <c r="E7325" t="s">
        <v>17</v>
      </c>
      <c r="F7325">
        <v>6000</v>
      </c>
      <c r="J7325">
        <v>40.799999999999997</v>
      </c>
      <c r="K7325">
        <v>49.6</v>
      </c>
      <c r="L7325">
        <v>0</v>
      </c>
      <c r="M7325" t="s">
        <v>18</v>
      </c>
      <c r="N7325">
        <v>0</v>
      </c>
      <c r="O7325">
        <v>0</v>
      </c>
    </row>
    <row r="7326" spans="1:15" x14ac:dyDescent="0.2">
      <c r="A7326" s="6">
        <v>45778</v>
      </c>
      <c r="B7326" t="s">
        <v>15</v>
      </c>
      <c r="C7326" t="s">
        <v>16</v>
      </c>
      <c r="D7326" s="1">
        <v>45855</v>
      </c>
      <c r="E7326" t="s">
        <v>17</v>
      </c>
      <c r="F7326">
        <v>5100</v>
      </c>
      <c r="J7326">
        <v>250.3</v>
      </c>
      <c r="K7326">
        <v>253.5</v>
      </c>
      <c r="L7326">
        <v>0</v>
      </c>
      <c r="M7326" t="s">
        <v>18</v>
      </c>
      <c r="N7326">
        <v>0</v>
      </c>
      <c r="O7326">
        <v>0</v>
      </c>
    </row>
    <row r="7327" spans="1:15" x14ac:dyDescent="0.2">
      <c r="A7327" s="6">
        <v>45778</v>
      </c>
      <c r="B7327" t="s">
        <v>15</v>
      </c>
      <c r="C7327" t="s">
        <v>16</v>
      </c>
      <c r="D7327" s="1">
        <v>45855</v>
      </c>
      <c r="E7327" t="s">
        <v>19</v>
      </c>
      <c r="F7327">
        <v>6050</v>
      </c>
      <c r="J7327">
        <v>1131.9000000000001</v>
      </c>
      <c r="K7327">
        <v>1154.2</v>
      </c>
      <c r="L7327">
        <v>0</v>
      </c>
      <c r="M7327" t="s">
        <v>18</v>
      </c>
      <c r="N7327">
        <v>0</v>
      </c>
      <c r="O7327">
        <v>0</v>
      </c>
    </row>
    <row r="7328" spans="1:15" x14ac:dyDescent="0.2">
      <c r="A7328" s="6">
        <v>45778</v>
      </c>
      <c r="B7328" t="s">
        <v>15</v>
      </c>
      <c r="C7328" t="s">
        <v>16</v>
      </c>
      <c r="D7328" s="1">
        <v>45855</v>
      </c>
      <c r="E7328" t="s">
        <v>19</v>
      </c>
      <c r="F7328">
        <v>6650</v>
      </c>
      <c r="J7328">
        <v>1691.2</v>
      </c>
      <c r="K7328">
        <v>1711.5</v>
      </c>
      <c r="L7328">
        <v>0</v>
      </c>
      <c r="M7328" t="s">
        <v>18</v>
      </c>
      <c r="N7328">
        <v>0</v>
      </c>
      <c r="O7328">
        <v>0</v>
      </c>
    </row>
    <row r="7329" spans="1:15" x14ac:dyDescent="0.2">
      <c r="A7329" s="6">
        <v>45778</v>
      </c>
      <c r="B7329" t="s">
        <v>15</v>
      </c>
      <c r="C7329" t="s">
        <v>16</v>
      </c>
      <c r="D7329" s="1">
        <v>45855</v>
      </c>
      <c r="E7329" t="s">
        <v>17</v>
      </c>
      <c r="F7329">
        <v>5250</v>
      </c>
      <c r="J7329">
        <v>197</v>
      </c>
      <c r="K7329">
        <v>201</v>
      </c>
      <c r="L7329">
        <v>0</v>
      </c>
      <c r="M7329" t="s">
        <v>18</v>
      </c>
      <c r="N7329">
        <v>0</v>
      </c>
      <c r="O7329">
        <v>0</v>
      </c>
    </row>
    <row r="7330" spans="1:15" x14ac:dyDescent="0.2">
      <c r="A7330" s="6">
        <v>45778</v>
      </c>
      <c r="B7330" t="s">
        <v>15</v>
      </c>
      <c r="C7330" t="s">
        <v>16</v>
      </c>
      <c r="D7330" s="1">
        <v>45855</v>
      </c>
      <c r="E7330" t="s">
        <v>17</v>
      </c>
      <c r="F7330">
        <v>4200</v>
      </c>
      <c r="J7330">
        <v>797</v>
      </c>
      <c r="K7330">
        <v>787.5</v>
      </c>
      <c r="L7330">
        <v>0</v>
      </c>
      <c r="M7330" t="s">
        <v>18</v>
      </c>
      <c r="N7330">
        <v>0</v>
      </c>
      <c r="O7330">
        <v>0</v>
      </c>
    </row>
    <row r="7331" spans="1:15" x14ac:dyDescent="0.2">
      <c r="A7331" s="6">
        <v>45778</v>
      </c>
      <c r="B7331" t="s">
        <v>15</v>
      </c>
      <c r="C7331" t="s">
        <v>16</v>
      </c>
      <c r="D7331" s="1">
        <v>45855</v>
      </c>
      <c r="E7331" t="s">
        <v>19</v>
      </c>
      <c r="F7331">
        <v>5100</v>
      </c>
      <c r="J7331">
        <v>400.3</v>
      </c>
      <c r="K7331">
        <v>422.1</v>
      </c>
      <c r="L7331">
        <v>0</v>
      </c>
      <c r="M7331" t="s">
        <v>18</v>
      </c>
      <c r="N7331">
        <v>0</v>
      </c>
      <c r="O7331">
        <v>0</v>
      </c>
    </row>
    <row r="7332" spans="1:15" x14ac:dyDescent="0.2">
      <c r="A7332" s="6">
        <v>45778</v>
      </c>
      <c r="B7332" t="s">
        <v>15</v>
      </c>
      <c r="C7332" t="s">
        <v>16</v>
      </c>
      <c r="D7332" s="1">
        <v>45855</v>
      </c>
      <c r="E7332" t="s">
        <v>17</v>
      </c>
      <c r="F7332">
        <v>4650</v>
      </c>
      <c r="J7332">
        <v>474.6</v>
      </c>
      <c r="K7332">
        <v>472.5</v>
      </c>
      <c r="L7332">
        <v>0</v>
      </c>
      <c r="M7332" t="s">
        <v>18</v>
      </c>
      <c r="N7332">
        <v>0</v>
      </c>
      <c r="O7332">
        <v>0</v>
      </c>
    </row>
    <row r="7333" spans="1:15" x14ac:dyDescent="0.2">
      <c r="A7333" s="6">
        <v>45778</v>
      </c>
      <c r="B7333" t="s">
        <v>15</v>
      </c>
      <c r="C7333" t="s">
        <v>16</v>
      </c>
      <c r="D7333" s="1">
        <v>45855</v>
      </c>
      <c r="E7333" t="s">
        <v>19</v>
      </c>
      <c r="F7333">
        <v>4200</v>
      </c>
      <c r="J7333">
        <v>59.1</v>
      </c>
      <c r="K7333">
        <v>68.5</v>
      </c>
      <c r="L7333">
        <v>0</v>
      </c>
      <c r="M7333" t="s">
        <v>18</v>
      </c>
      <c r="N7333">
        <v>0</v>
      </c>
      <c r="O7333">
        <v>0</v>
      </c>
    </row>
    <row r="7334" spans="1:15" x14ac:dyDescent="0.2">
      <c r="A7334" s="6">
        <v>45778</v>
      </c>
      <c r="B7334" t="s">
        <v>15</v>
      </c>
      <c r="C7334" t="s">
        <v>16</v>
      </c>
      <c r="D7334" s="1">
        <v>45855</v>
      </c>
      <c r="E7334" t="s">
        <v>17</v>
      </c>
      <c r="F7334">
        <v>4800</v>
      </c>
      <c r="J7334">
        <v>388.6</v>
      </c>
      <c r="K7334">
        <v>388.7</v>
      </c>
      <c r="L7334">
        <v>0</v>
      </c>
      <c r="M7334" t="s">
        <v>18</v>
      </c>
      <c r="N7334">
        <v>0</v>
      </c>
      <c r="O7334">
        <v>0</v>
      </c>
    </row>
    <row r="7335" spans="1:15" x14ac:dyDescent="0.2">
      <c r="A7335" s="6">
        <v>45778</v>
      </c>
      <c r="B7335" t="s">
        <v>15</v>
      </c>
      <c r="C7335" t="s">
        <v>16</v>
      </c>
      <c r="D7335" s="1">
        <v>45855</v>
      </c>
      <c r="E7335" t="s">
        <v>17</v>
      </c>
      <c r="F7335">
        <v>4900</v>
      </c>
      <c r="J7335">
        <v>337.6</v>
      </c>
      <c r="K7335">
        <v>338.9</v>
      </c>
      <c r="L7335">
        <v>0</v>
      </c>
      <c r="M7335" t="s">
        <v>18</v>
      </c>
      <c r="N7335">
        <v>0</v>
      </c>
      <c r="O7335">
        <v>0</v>
      </c>
    </row>
    <row r="7336" spans="1:15" x14ac:dyDescent="0.2">
      <c r="A7336" s="6">
        <v>45778</v>
      </c>
      <c r="B7336" t="s">
        <v>15</v>
      </c>
      <c r="C7336" t="s">
        <v>16</v>
      </c>
      <c r="D7336" s="1">
        <v>45855</v>
      </c>
      <c r="E7336" t="s">
        <v>17</v>
      </c>
      <c r="F7336">
        <v>5300</v>
      </c>
      <c r="J7336">
        <v>181.4</v>
      </c>
      <c r="K7336">
        <v>185.6</v>
      </c>
      <c r="L7336">
        <v>0</v>
      </c>
      <c r="M7336" t="s">
        <v>18</v>
      </c>
      <c r="N7336">
        <v>0</v>
      </c>
      <c r="O7336">
        <v>0</v>
      </c>
    </row>
    <row r="7337" spans="1:15" x14ac:dyDescent="0.2">
      <c r="A7337" s="6">
        <v>45778</v>
      </c>
      <c r="B7337" t="s">
        <v>15</v>
      </c>
      <c r="C7337" t="s">
        <v>16</v>
      </c>
      <c r="D7337" s="1">
        <v>45855</v>
      </c>
      <c r="E7337" t="s">
        <v>17</v>
      </c>
      <c r="F7337">
        <v>4950</v>
      </c>
      <c r="J7337">
        <v>314</v>
      </c>
      <c r="K7337">
        <v>315.8</v>
      </c>
      <c r="L7337">
        <v>0</v>
      </c>
      <c r="M7337" t="s">
        <v>18</v>
      </c>
      <c r="N7337">
        <v>0</v>
      </c>
      <c r="O7337">
        <v>0</v>
      </c>
    </row>
    <row r="7338" spans="1:15" x14ac:dyDescent="0.2">
      <c r="A7338" s="6">
        <v>45778</v>
      </c>
      <c r="B7338" t="s">
        <v>15</v>
      </c>
      <c r="C7338" t="s">
        <v>16</v>
      </c>
      <c r="D7338" s="1">
        <v>45855</v>
      </c>
      <c r="E7338" t="s">
        <v>19</v>
      </c>
      <c r="F7338">
        <v>5250</v>
      </c>
      <c r="J7338">
        <v>494.9</v>
      </c>
      <c r="K7338">
        <v>517.6</v>
      </c>
      <c r="L7338">
        <v>0</v>
      </c>
      <c r="M7338" t="s">
        <v>18</v>
      </c>
      <c r="N7338">
        <v>0</v>
      </c>
      <c r="O7338">
        <v>0</v>
      </c>
    </row>
    <row r="7339" spans="1:15" x14ac:dyDescent="0.2">
      <c r="A7339" s="6">
        <v>45778</v>
      </c>
      <c r="B7339" t="s">
        <v>15</v>
      </c>
      <c r="C7339" t="s">
        <v>16</v>
      </c>
      <c r="D7339" s="1">
        <v>45855</v>
      </c>
      <c r="E7339" t="s">
        <v>17</v>
      </c>
      <c r="F7339">
        <v>4450</v>
      </c>
      <c r="J7339">
        <v>606.5</v>
      </c>
      <c r="K7339">
        <v>601.20000000000005</v>
      </c>
      <c r="L7339">
        <v>0</v>
      </c>
      <c r="M7339" t="s">
        <v>18</v>
      </c>
      <c r="N7339">
        <v>0</v>
      </c>
      <c r="O7339">
        <v>0</v>
      </c>
    </row>
    <row r="7340" spans="1:15" x14ac:dyDescent="0.2">
      <c r="A7340" s="6">
        <v>45778</v>
      </c>
      <c r="B7340" t="s">
        <v>15</v>
      </c>
      <c r="C7340" t="s">
        <v>16</v>
      </c>
      <c r="D7340" s="1">
        <v>45855</v>
      </c>
      <c r="E7340" t="s">
        <v>17</v>
      </c>
      <c r="F7340">
        <v>4750</v>
      </c>
      <c r="J7340">
        <v>416</v>
      </c>
      <c r="K7340">
        <v>415.4</v>
      </c>
      <c r="L7340">
        <v>0</v>
      </c>
      <c r="M7340" t="s">
        <v>18</v>
      </c>
      <c r="N7340">
        <v>0</v>
      </c>
      <c r="O7340">
        <v>0</v>
      </c>
    </row>
    <row r="7341" spans="1:15" x14ac:dyDescent="0.2">
      <c r="A7341" s="6">
        <v>45778</v>
      </c>
      <c r="B7341" t="s">
        <v>15</v>
      </c>
      <c r="C7341" t="s">
        <v>16</v>
      </c>
      <c r="D7341" s="1">
        <v>45855</v>
      </c>
      <c r="E7341" t="s">
        <v>19</v>
      </c>
      <c r="F7341">
        <v>3900</v>
      </c>
      <c r="J7341">
        <v>22</v>
      </c>
      <c r="K7341">
        <v>26.9</v>
      </c>
      <c r="L7341">
        <v>0</v>
      </c>
      <c r="M7341" t="s">
        <v>18</v>
      </c>
      <c r="N7341">
        <v>0</v>
      </c>
      <c r="O7341">
        <v>0</v>
      </c>
    </row>
    <row r="7342" spans="1:15" x14ac:dyDescent="0.2">
      <c r="A7342" s="6">
        <v>45778</v>
      </c>
      <c r="B7342" t="s">
        <v>15</v>
      </c>
      <c r="C7342" t="s">
        <v>16</v>
      </c>
      <c r="D7342" s="1">
        <v>45855</v>
      </c>
      <c r="E7342" t="s">
        <v>17</v>
      </c>
      <c r="F7342">
        <v>5700</v>
      </c>
      <c r="J7342">
        <v>89.2</v>
      </c>
      <c r="K7342">
        <v>93.7</v>
      </c>
      <c r="L7342">
        <v>0</v>
      </c>
      <c r="M7342" t="s">
        <v>18</v>
      </c>
      <c r="N7342">
        <v>0</v>
      </c>
      <c r="O7342">
        <v>0</v>
      </c>
    </row>
    <row r="7343" spans="1:15" x14ac:dyDescent="0.2">
      <c r="A7343" s="6">
        <v>45778</v>
      </c>
      <c r="B7343" t="s">
        <v>15</v>
      </c>
      <c r="C7343" t="s">
        <v>16</v>
      </c>
      <c r="D7343" s="1">
        <v>45855</v>
      </c>
      <c r="E7343" t="s">
        <v>17</v>
      </c>
      <c r="F7343">
        <v>5200</v>
      </c>
      <c r="J7343">
        <v>213.7</v>
      </c>
      <c r="K7343">
        <v>217.4</v>
      </c>
      <c r="L7343">
        <v>0</v>
      </c>
      <c r="M7343" t="s">
        <v>18</v>
      </c>
      <c r="N7343">
        <v>0</v>
      </c>
      <c r="O7343">
        <v>0</v>
      </c>
    </row>
    <row r="7344" spans="1:15" x14ac:dyDescent="0.2">
      <c r="A7344" s="6">
        <v>45778</v>
      </c>
      <c r="B7344" t="s">
        <v>15</v>
      </c>
      <c r="C7344" t="s">
        <v>16</v>
      </c>
      <c r="D7344" s="1">
        <v>45855</v>
      </c>
      <c r="E7344" t="s">
        <v>19</v>
      </c>
      <c r="F7344">
        <v>4900</v>
      </c>
      <c r="J7344">
        <v>290.3</v>
      </c>
      <c r="K7344">
        <v>310.3</v>
      </c>
      <c r="L7344">
        <v>0</v>
      </c>
      <c r="M7344" t="s">
        <v>18</v>
      </c>
      <c r="N7344">
        <v>0</v>
      </c>
      <c r="O7344">
        <v>0</v>
      </c>
    </row>
    <row r="7345" spans="1:15" x14ac:dyDescent="0.2">
      <c r="A7345" s="6">
        <v>45778</v>
      </c>
      <c r="B7345" t="s">
        <v>15</v>
      </c>
      <c r="C7345" t="s">
        <v>16</v>
      </c>
      <c r="D7345" s="1">
        <v>45855</v>
      </c>
      <c r="E7345" t="s">
        <v>17</v>
      </c>
      <c r="F7345">
        <v>4400</v>
      </c>
      <c r="J7345">
        <v>642.4</v>
      </c>
      <c r="K7345">
        <v>636.29999999999995</v>
      </c>
      <c r="L7345">
        <v>0</v>
      </c>
      <c r="M7345" t="s">
        <v>18</v>
      </c>
      <c r="N7345">
        <v>0</v>
      </c>
      <c r="O7345">
        <v>0</v>
      </c>
    </row>
    <row r="7346" spans="1:15" x14ac:dyDescent="0.2">
      <c r="A7346" s="6">
        <v>45778</v>
      </c>
      <c r="B7346" t="s">
        <v>15</v>
      </c>
      <c r="C7346" t="s">
        <v>16</v>
      </c>
      <c r="D7346" s="1">
        <v>45855</v>
      </c>
      <c r="E7346" t="s">
        <v>17</v>
      </c>
      <c r="F7346">
        <v>4100</v>
      </c>
      <c r="J7346">
        <v>880.1</v>
      </c>
      <c r="K7346">
        <v>869</v>
      </c>
      <c r="L7346">
        <v>0</v>
      </c>
      <c r="M7346" t="s">
        <v>18</v>
      </c>
      <c r="N7346">
        <v>0</v>
      </c>
      <c r="O7346">
        <v>0</v>
      </c>
    </row>
    <row r="7347" spans="1:15" x14ac:dyDescent="0.2">
      <c r="A7347" s="6">
        <v>45778</v>
      </c>
      <c r="B7347" t="s">
        <v>15</v>
      </c>
      <c r="C7347" t="s">
        <v>16</v>
      </c>
      <c r="D7347" s="1">
        <v>45855</v>
      </c>
      <c r="E7347" t="s">
        <v>17</v>
      </c>
      <c r="F7347">
        <v>5000</v>
      </c>
      <c r="J7347">
        <v>291.60000000000002</v>
      </c>
      <c r="K7347">
        <v>293.89999999999998</v>
      </c>
      <c r="L7347">
        <v>0</v>
      </c>
      <c r="M7347" t="s">
        <v>18</v>
      </c>
      <c r="N7347">
        <v>0</v>
      </c>
      <c r="O7347">
        <v>0</v>
      </c>
    </row>
    <row r="7348" spans="1:15" x14ac:dyDescent="0.2">
      <c r="A7348" s="6">
        <v>45778</v>
      </c>
      <c r="B7348" t="s">
        <v>15</v>
      </c>
      <c r="C7348" t="s">
        <v>16</v>
      </c>
      <c r="D7348" s="1">
        <v>45855</v>
      </c>
      <c r="E7348" t="s">
        <v>17</v>
      </c>
      <c r="F7348">
        <v>5150</v>
      </c>
      <c r="J7348">
        <v>231.4</v>
      </c>
      <c r="K7348">
        <v>234.9</v>
      </c>
      <c r="L7348">
        <v>0</v>
      </c>
      <c r="M7348" t="s">
        <v>18</v>
      </c>
      <c r="N7348">
        <v>0</v>
      </c>
      <c r="O7348">
        <v>0</v>
      </c>
    </row>
    <row r="7349" spans="1:15" x14ac:dyDescent="0.2">
      <c r="A7349" s="6">
        <v>45778</v>
      </c>
      <c r="B7349" t="s">
        <v>15</v>
      </c>
      <c r="C7349" t="s">
        <v>16</v>
      </c>
      <c r="D7349" s="1">
        <v>45855</v>
      </c>
      <c r="E7349" t="s">
        <v>17</v>
      </c>
      <c r="F7349">
        <v>3700</v>
      </c>
      <c r="J7349">
        <v>1241</v>
      </c>
      <c r="K7349">
        <v>1224.8</v>
      </c>
      <c r="L7349">
        <v>0</v>
      </c>
      <c r="M7349" t="s">
        <v>18</v>
      </c>
      <c r="N7349">
        <v>0</v>
      </c>
      <c r="O7349">
        <v>0</v>
      </c>
    </row>
    <row r="7350" spans="1:15" x14ac:dyDescent="0.2">
      <c r="A7350" s="6">
        <v>45778</v>
      </c>
      <c r="B7350" t="s">
        <v>15</v>
      </c>
      <c r="C7350" t="s">
        <v>16</v>
      </c>
      <c r="D7350" s="1">
        <v>45855</v>
      </c>
      <c r="E7350" t="s">
        <v>17</v>
      </c>
      <c r="F7350">
        <v>4350</v>
      </c>
      <c r="J7350">
        <v>679.5</v>
      </c>
      <c r="K7350">
        <v>672.5</v>
      </c>
      <c r="L7350">
        <v>0</v>
      </c>
      <c r="M7350" t="s">
        <v>18</v>
      </c>
      <c r="N7350">
        <v>0</v>
      </c>
      <c r="O7350">
        <v>0</v>
      </c>
    </row>
    <row r="7351" spans="1:15" x14ac:dyDescent="0.2">
      <c r="A7351" s="6">
        <v>45778</v>
      </c>
      <c r="B7351" t="s">
        <v>15</v>
      </c>
      <c r="C7351" t="s">
        <v>16</v>
      </c>
      <c r="D7351" s="1">
        <v>45855</v>
      </c>
      <c r="E7351" t="s">
        <v>17</v>
      </c>
      <c r="F7351">
        <v>4500</v>
      </c>
      <c r="J7351">
        <v>571.70000000000005</v>
      </c>
      <c r="K7351">
        <v>567.29999999999995</v>
      </c>
      <c r="L7351">
        <v>0</v>
      </c>
      <c r="M7351" t="s">
        <v>18</v>
      </c>
      <c r="N7351">
        <v>0</v>
      </c>
      <c r="O7351">
        <v>0</v>
      </c>
    </row>
    <row r="7352" spans="1:15" x14ac:dyDescent="0.2">
      <c r="A7352" s="6">
        <v>45778</v>
      </c>
      <c r="B7352" t="s">
        <v>15</v>
      </c>
      <c r="C7352" t="s">
        <v>16</v>
      </c>
      <c r="D7352" s="1">
        <v>45855</v>
      </c>
      <c r="E7352" t="s">
        <v>19</v>
      </c>
      <c r="F7352">
        <v>6150</v>
      </c>
      <c r="J7352">
        <v>1222.2</v>
      </c>
      <c r="K7352">
        <v>1244.2</v>
      </c>
      <c r="L7352">
        <v>0</v>
      </c>
      <c r="M7352" t="s">
        <v>18</v>
      </c>
      <c r="N7352">
        <v>0</v>
      </c>
      <c r="O7352">
        <v>0</v>
      </c>
    </row>
    <row r="7353" spans="1:15" x14ac:dyDescent="0.2">
      <c r="A7353" s="6">
        <v>45778</v>
      </c>
      <c r="B7353" t="s">
        <v>15</v>
      </c>
      <c r="C7353" t="s">
        <v>16</v>
      </c>
      <c r="D7353" s="1">
        <v>45855</v>
      </c>
      <c r="E7353" t="s">
        <v>17</v>
      </c>
      <c r="F7353">
        <v>5950</v>
      </c>
      <c r="J7353">
        <v>54.9</v>
      </c>
      <c r="K7353">
        <v>58.9</v>
      </c>
      <c r="L7353">
        <v>0</v>
      </c>
      <c r="M7353" t="s">
        <v>18</v>
      </c>
      <c r="N7353">
        <v>0</v>
      </c>
      <c r="O7353">
        <v>0</v>
      </c>
    </row>
    <row r="7354" spans="1:15" x14ac:dyDescent="0.2">
      <c r="A7354" s="6">
        <v>45778</v>
      </c>
      <c r="B7354" t="s">
        <v>15</v>
      </c>
      <c r="C7354" t="s">
        <v>16</v>
      </c>
      <c r="D7354" s="1">
        <v>45855</v>
      </c>
      <c r="E7354" t="s">
        <v>17</v>
      </c>
      <c r="F7354">
        <v>6400</v>
      </c>
      <c r="J7354">
        <v>21.4</v>
      </c>
      <c r="K7354">
        <v>24</v>
      </c>
      <c r="L7354">
        <v>0</v>
      </c>
      <c r="M7354" t="s">
        <v>18</v>
      </c>
      <c r="N7354">
        <v>0</v>
      </c>
      <c r="O7354">
        <v>0</v>
      </c>
    </row>
    <row r="7355" spans="1:15" x14ac:dyDescent="0.2">
      <c r="A7355" s="6">
        <v>45778</v>
      </c>
      <c r="B7355" t="s">
        <v>15</v>
      </c>
      <c r="C7355" t="s">
        <v>16</v>
      </c>
      <c r="D7355" s="1">
        <v>45855</v>
      </c>
      <c r="E7355" t="s">
        <v>19</v>
      </c>
      <c r="F7355">
        <v>6200</v>
      </c>
      <c r="J7355">
        <v>1267.9000000000001</v>
      </c>
      <c r="K7355">
        <v>1289.7</v>
      </c>
      <c r="L7355">
        <v>0</v>
      </c>
      <c r="M7355" t="s">
        <v>18</v>
      </c>
      <c r="N7355">
        <v>0</v>
      </c>
      <c r="O7355">
        <v>0</v>
      </c>
    </row>
    <row r="7356" spans="1:15" x14ac:dyDescent="0.2">
      <c r="A7356" s="6">
        <v>45778</v>
      </c>
      <c r="B7356" t="s">
        <v>15</v>
      </c>
      <c r="C7356" t="s">
        <v>16</v>
      </c>
      <c r="D7356" s="1">
        <v>45855</v>
      </c>
      <c r="E7356" t="s">
        <v>17</v>
      </c>
      <c r="F7356">
        <v>3800</v>
      </c>
      <c r="J7356">
        <v>1147.4000000000001</v>
      </c>
      <c r="K7356">
        <v>1132.3</v>
      </c>
      <c r="L7356">
        <v>0</v>
      </c>
      <c r="M7356" t="s">
        <v>18</v>
      </c>
      <c r="N7356">
        <v>0</v>
      </c>
      <c r="O7356">
        <v>0</v>
      </c>
    </row>
    <row r="7357" spans="1:15" x14ac:dyDescent="0.2">
      <c r="A7357" s="6">
        <v>45778</v>
      </c>
      <c r="B7357" t="s">
        <v>15</v>
      </c>
      <c r="C7357" t="s">
        <v>16</v>
      </c>
      <c r="D7357" s="1">
        <v>45855</v>
      </c>
      <c r="E7357" t="s">
        <v>19</v>
      </c>
      <c r="F7357">
        <v>5900</v>
      </c>
      <c r="J7357">
        <v>999.7</v>
      </c>
      <c r="K7357">
        <v>1022.5</v>
      </c>
      <c r="L7357">
        <v>0</v>
      </c>
      <c r="M7357" t="s">
        <v>18</v>
      </c>
      <c r="N7357">
        <v>0</v>
      </c>
      <c r="O7357">
        <v>0</v>
      </c>
    </row>
    <row r="7358" spans="1:15" x14ac:dyDescent="0.2">
      <c r="A7358" s="6">
        <v>45778</v>
      </c>
      <c r="B7358" t="s">
        <v>15</v>
      </c>
      <c r="C7358" t="s">
        <v>16</v>
      </c>
      <c r="D7358" s="1">
        <v>45855</v>
      </c>
      <c r="E7358" t="s">
        <v>19</v>
      </c>
      <c r="F7358">
        <v>4250</v>
      </c>
      <c r="J7358">
        <v>68.3</v>
      </c>
      <c r="K7358">
        <v>78.400000000000006</v>
      </c>
      <c r="L7358">
        <v>0</v>
      </c>
      <c r="M7358" t="s">
        <v>18</v>
      </c>
      <c r="N7358">
        <v>0</v>
      </c>
      <c r="O7358">
        <v>0</v>
      </c>
    </row>
    <row r="7359" spans="1:15" x14ac:dyDescent="0.2">
      <c r="A7359" s="6">
        <v>45778</v>
      </c>
      <c r="B7359" t="s">
        <v>15</v>
      </c>
      <c r="C7359" t="s">
        <v>16</v>
      </c>
      <c r="D7359" s="1">
        <v>45855</v>
      </c>
      <c r="E7359" t="s">
        <v>17</v>
      </c>
      <c r="F7359">
        <v>3850</v>
      </c>
      <c r="J7359">
        <v>1101.3</v>
      </c>
      <c r="K7359">
        <v>1086.8</v>
      </c>
      <c r="L7359">
        <v>0</v>
      </c>
      <c r="M7359" t="s">
        <v>18</v>
      </c>
      <c r="N7359">
        <v>0</v>
      </c>
      <c r="O7359">
        <v>0</v>
      </c>
    </row>
    <row r="7360" spans="1:15" x14ac:dyDescent="0.2">
      <c r="A7360" s="6">
        <v>45778</v>
      </c>
      <c r="B7360" t="s">
        <v>15</v>
      </c>
      <c r="C7360" t="s">
        <v>16</v>
      </c>
      <c r="D7360" s="1">
        <v>45855</v>
      </c>
      <c r="E7360" t="s">
        <v>19</v>
      </c>
      <c r="F7360">
        <v>4950</v>
      </c>
      <c r="J7360">
        <v>316</v>
      </c>
      <c r="K7360">
        <v>336.5</v>
      </c>
      <c r="L7360">
        <v>0</v>
      </c>
      <c r="M7360" t="s">
        <v>18</v>
      </c>
      <c r="N7360">
        <v>0</v>
      </c>
      <c r="O7360">
        <v>0</v>
      </c>
    </row>
    <row r="7361" spans="1:15" x14ac:dyDescent="0.2">
      <c r="A7361" s="6">
        <v>45778</v>
      </c>
      <c r="B7361" t="s">
        <v>15</v>
      </c>
      <c r="C7361" t="s">
        <v>16</v>
      </c>
      <c r="D7361" s="1">
        <v>45855</v>
      </c>
      <c r="E7361" t="s">
        <v>19</v>
      </c>
      <c r="F7361">
        <v>3700</v>
      </c>
      <c r="J7361">
        <v>9.8000000000000007</v>
      </c>
      <c r="K7361">
        <v>12.7</v>
      </c>
      <c r="L7361">
        <v>0</v>
      </c>
      <c r="M7361" t="s">
        <v>18</v>
      </c>
      <c r="N7361">
        <v>0</v>
      </c>
      <c r="O7361">
        <v>0</v>
      </c>
    </row>
    <row r="7362" spans="1:15" x14ac:dyDescent="0.2">
      <c r="A7362" s="6">
        <v>45778</v>
      </c>
      <c r="B7362" t="s">
        <v>15</v>
      </c>
      <c r="C7362" t="s">
        <v>16</v>
      </c>
      <c r="D7362" s="1">
        <v>45855</v>
      </c>
      <c r="E7362" t="s">
        <v>17</v>
      </c>
      <c r="F7362">
        <v>5750</v>
      </c>
      <c r="J7362">
        <v>81.099999999999994</v>
      </c>
      <c r="K7362">
        <v>85.6</v>
      </c>
      <c r="L7362">
        <v>0</v>
      </c>
      <c r="M7362" t="s">
        <v>18</v>
      </c>
      <c r="N7362">
        <v>0</v>
      </c>
      <c r="O7362">
        <v>0</v>
      </c>
    </row>
    <row r="7363" spans="1:15" x14ac:dyDescent="0.2">
      <c r="A7363" s="6">
        <v>45778</v>
      </c>
      <c r="B7363" t="s">
        <v>15</v>
      </c>
      <c r="C7363" t="s">
        <v>16</v>
      </c>
      <c r="D7363" s="1">
        <v>45855</v>
      </c>
      <c r="E7363" t="s">
        <v>19</v>
      </c>
      <c r="F7363">
        <v>4600</v>
      </c>
      <c r="J7363">
        <v>162.4</v>
      </c>
      <c r="K7363">
        <v>178.4</v>
      </c>
      <c r="L7363">
        <v>0</v>
      </c>
      <c r="M7363" t="s">
        <v>18</v>
      </c>
      <c r="N7363">
        <v>0</v>
      </c>
      <c r="O7363">
        <v>0</v>
      </c>
    </row>
    <row r="7364" spans="1:15" x14ac:dyDescent="0.2">
      <c r="A7364" s="6">
        <v>45778</v>
      </c>
      <c r="B7364" t="s">
        <v>15</v>
      </c>
      <c r="C7364" t="s">
        <v>16</v>
      </c>
      <c r="D7364" s="1">
        <v>45855</v>
      </c>
      <c r="E7364" t="s">
        <v>19</v>
      </c>
      <c r="F7364">
        <v>5050</v>
      </c>
      <c r="J7364">
        <v>371</v>
      </c>
      <c r="K7364">
        <v>392.4</v>
      </c>
      <c r="L7364">
        <v>0</v>
      </c>
      <c r="M7364" t="s">
        <v>18</v>
      </c>
      <c r="N7364">
        <v>0</v>
      </c>
      <c r="O7364">
        <v>0</v>
      </c>
    </row>
    <row r="7365" spans="1:15" x14ac:dyDescent="0.2">
      <c r="A7365" s="6">
        <v>45778</v>
      </c>
      <c r="B7365" t="s">
        <v>15</v>
      </c>
      <c r="C7365" t="s">
        <v>16</v>
      </c>
      <c r="D7365" s="1">
        <v>45855</v>
      </c>
      <c r="E7365" t="s">
        <v>19</v>
      </c>
      <c r="F7365">
        <v>5400</v>
      </c>
      <c r="J7365">
        <v>599</v>
      </c>
      <c r="K7365">
        <v>622.1</v>
      </c>
      <c r="L7365">
        <v>0</v>
      </c>
      <c r="M7365" t="s">
        <v>18</v>
      </c>
      <c r="N7365">
        <v>0</v>
      </c>
      <c r="O7365">
        <v>0</v>
      </c>
    </row>
    <row r="7366" spans="1:15" x14ac:dyDescent="0.2">
      <c r="A7366" s="6">
        <v>45778</v>
      </c>
      <c r="B7366" t="s">
        <v>15</v>
      </c>
      <c r="C7366" t="s">
        <v>16</v>
      </c>
      <c r="D7366" s="1">
        <v>45855</v>
      </c>
      <c r="E7366" t="s">
        <v>19</v>
      </c>
      <c r="F7366">
        <v>6400</v>
      </c>
      <c r="J7366">
        <v>1453.7</v>
      </c>
      <c r="K7366">
        <v>1474.8</v>
      </c>
      <c r="L7366">
        <v>0</v>
      </c>
      <c r="M7366" t="s">
        <v>18</v>
      </c>
      <c r="N7366">
        <v>0</v>
      </c>
      <c r="O7366">
        <v>0</v>
      </c>
    </row>
    <row r="7367" spans="1:15" x14ac:dyDescent="0.2">
      <c r="A7367" s="6">
        <v>45778</v>
      </c>
      <c r="B7367" t="s">
        <v>15</v>
      </c>
      <c r="C7367" t="s">
        <v>16</v>
      </c>
      <c r="D7367" s="1">
        <v>45855</v>
      </c>
      <c r="E7367" t="s">
        <v>17</v>
      </c>
      <c r="F7367">
        <v>5600</v>
      </c>
      <c r="J7367">
        <v>107.3</v>
      </c>
      <c r="K7367">
        <v>112</v>
      </c>
      <c r="L7367">
        <v>0</v>
      </c>
      <c r="M7367" t="s">
        <v>18</v>
      </c>
      <c r="N7367">
        <v>0</v>
      </c>
      <c r="O7367">
        <v>0</v>
      </c>
    </row>
    <row r="7368" spans="1:15" x14ac:dyDescent="0.2">
      <c r="A7368" s="6">
        <v>45778</v>
      </c>
      <c r="B7368" t="s">
        <v>15</v>
      </c>
      <c r="C7368" t="s">
        <v>16</v>
      </c>
      <c r="D7368" s="1">
        <v>45855</v>
      </c>
      <c r="E7368" t="s">
        <v>19</v>
      </c>
      <c r="F7368">
        <v>5300</v>
      </c>
      <c r="J7368">
        <v>528.6</v>
      </c>
      <c r="K7368">
        <v>551.5</v>
      </c>
      <c r="L7368">
        <v>0</v>
      </c>
      <c r="M7368" t="s">
        <v>18</v>
      </c>
      <c r="N7368">
        <v>0</v>
      </c>
      <c r="O7368">
        <v>0</v>
      </c>
    </row>
    <row r="7369" spans="1:15" x14ac:dyDescent="0.2">
      <c r="A7369" s="6">
        <v>45778</v>
      </c>
      <c r="B7369" t="s">
        <v>15</v>
      </c>
      <c r="C7369" t="s">
        <v>16</v>
      </c>
      <c r="D7369" s="1">
        <v>45855</v>
      </c>
      <c r="E7369" t="s">
        <v>19</v>
      </c>
      <c r="F7369">
        <v>4450</v>
      </c>
      <c r="J7369">
        <v>115.2</v>
      </c>
      <c r="K7369">
        <v>128.80000000000001</v>
      </c>
      <c r="L7369">
        <v>0</v>
      </c>
      <c r="M7369" t="s">
        <v>18</v>
      </c>
      <c r="N7369">
        <v>0</v>
      </c>
      <c r="O7369">
        <v>0</v>
      </c>
    </row>
    <row r="7370" spans="1:15" x14ac:dyDescent="0.2">
      <c r="A7370" s="6">
        <v>45778</v>
      </c>
      <c r="B7370" t="s">
        <v>15</v>
      </c>
      <c r="C7370" t="s">
        <v>16</v>
      </c>
      <c r="D7370" s="1">
        <v>45855</v>
      </c>
      <c r="E7370" t="s">
        <v>19</v>
      </c>
      <c r="F7370">
        <v>5700</v>
      </c>
      <c r="J7370">
        <v>831</v>
      </c>
      <c r="K7370">
        <v>854.2</v>
      </c>
      <c r="L7370">
        <v>0</v>
      </c>
      <c r="M7370" t="s">
        <v>18</v>
      </c>
      <c r="N7370">
        <v>0</v>
      </c>
      <c r="O7370">
        <v>0</v>
      </c>
    </row>
    <row r="7371" spans="1:15" x14ac:dyDescent="0.2">
      <c r="A7371" s="6">
        <v>45778</v>
      </c>
      <c r="B7371" t="s">
        <v>15</v>
      </c>
      <c r="C7371" t="s">
        <v>16</v>
      </c>
      <c r="D7371" s="1">
        <v>45855</v>
      </c>
      <c r="E7371" t="s">
        <v>17</v>
      </c>
      <c r="F7371">
        <v>6550</v>
      </c>
      <c r="J7371">
        <v>15.3</v>
      </c>
      <c r="K7371">
        <v>17.5</v>
      </c>
      <c r="L7371">
        <v>0</v>
      </c>
      <c r="M7371" t="s">
        <v>18</v>
      </c>
      <c r="N7371">
        <v>0</v>
      </c>
      <c r="O7371">
        <v>0</v>
      </c>
    </row>
    <row r="7372" spans="1:15" x14ac:dyDescent="0.2">
      <c r="A7372" s="6">
        <v>45778</v>
      </c>
      <c r="B7372" t="s">
        <v>15</v>
      </c>
      <c r="C7372" t="s">
        <v>16</v>
      </c>
      <c r="D7372" s="1">
        <v>45855</v>
      </c>
      <c r="E7372" t="s">
        <v>19</v>
      </c>
      <c r="F7372">
        <v>5800</v>
      </c>
      <c r="J7372">
        <v>914.2</v>
      </c>
      <c r="K7372">
        <v>937.2</v>
      </c>
      <c r="L7372">
        <v>0</v>
      </c>
      <c r="M7372" t="s">
        <v>18</v>
      </c>
      <c r="N7372">
        <v>0</v>
      </c>
      <c r="O7372">
        <v>0</v>
      </c>
    </row>
    <row r="7373" spans="1:15" x14ac:dyDescent="0.2">
      <c r="A7373" s="6">
        <v>45778</v>
      </c>
      <c r="B7373" t="s">
        <v>15</v>
      </c>
      <c r="C7373" t="s">
        <v>16</v>
      </c>
      <c r="D7373" s="1">
        <v>45855</v>
      </c>
      <c r="E7373" t="s">
        <v>19</v>
      </c>
      <c r="F7373">
        <v>5450</v>
      </c>
      <c r="J7373">
        <v>635.6</v>
      </c>
      <c r="K7373">
        <v>658.8</v>
      </c>
      <c r="L7373">
        <v>0</v>
      </c>
      <c r="M7373" t="s">
        <v>18</v>
      </c>
      <c r="N7373">
        <v>0</v>
      </c>
      <c r="O7373">
        <v>0</v>
      </c>
    </row>
    <row r="7374" spans="1:15" x14ac:dyDescent="0.2">
      <c r="A7374" s="6">
        <v>45778</v>
      </c>
      <c r="B7374" t="s">
        <v>15</v>
      </c>
      <c r="C7374" t="s">
        <v>16</v>
      </c>
      <c r="D7374" s="1">
        <v>45855</v>
      </c>
      <c r="E7374" t="s">
        <v>17</v>
      </c>
      <c r="F7374">
        <v>6650</v>
      </c>
      <c r="J7374">
        <v>12.2</v>
      </c>
      <c r="K7374">
        <v>14.1</v>
      </c>
      <c r="L7374">
        <v>0</v>
      </c>
      <c r="M7374" t="s">
        <v>18</v>
      </c>
      <c r="N7374">
        <v>0</v>
      </c>
      <c r="O7374">
        <v>0</v>
      </c>
    </row>
    <row r="7375" spans="1:15" x14ac:dyDescent="0.2">
      <c r="A7375" s="6">
        <v>45778</v>
      </c>
      <c r="B7375" t="s">
        <v>15</v>
      </c>
      <c r="C7375" t="s">
        <v>16</v>
      </c>
      <c r="D7375" s="1">
        <v>45855</v>
      </c>
      <c r="E7375" t="s">
        <v>17</v>
      </c>
      <c r="F7375">
        <v>3750</v>
      </c>
      <c r="J7375">
        <v>1194</v>
      </c>
      <c r="K7375">
        <v>1178.3</v>
      </c>
      <c r="L7375">
        <v>0</v>
      </c>
      <c r="M7375" t="s">
        <v>18</v>
      </c>
      <c r="N7375">
        <v>0</v>
      </c>
      <c r="O7375">
        <v>0</v>
      </c>
    </row>
    <row r="7376" spans="1:15" x14ac:dyDescent="0.2">
      <c r="A7376" s="6">
        <v>45778</v>
      </c>
      <c r="B7376" t="s">
        <v>15</v>
      </c>
      <c r="C7376" t="s">
        <v>16</v>
      </c>
      <c r="D7376" s="1">
        <v>45855</v>
      </c>
      <c r="E7376" t="s">
        <v>17</v>
      </c>
      <c r="F7376">
        <v>6050</v>
      </c>
      <c r="J7376">
        <v>44.8</v>
      </c>
      <c r="K7376">
        <v>48.6</v>
      </c>
      <c r="L7376">
        <v>0</v>
      </c>
      <c r="M7376" t="s">
        <v>18</v>
      </c>
      <c r="N7376">
        <v>0</v>
      </c>
      <c r="O7376">
        <v>0</v>
      </c>
    </row>
    <row r="7377" spans="1:15" x14ac:dyDescent="0.2">
      <c r="A7377" s="6">
        <v>45778</v>
      </c>
      <c r="B7377" t="s">
        <v>15</v>
      </c>
      <c r="C7377" t="s">
        <v>16</v>
      </c>
      <c r="D7377" s="1">
        <v>45855</v>
      </c>
      <c r="E7377" t="s">
        <v>19</v>
      </c>
      <c r="F7377">
        <v>4550</v>
      </c>
      <c r="J7377">
        <v>145.5</v>
      </c>
      <c r="K7377">
        <v>160.69999999999999</v>
      </c>
      <c r="L7377">
        <v>0</v>
      </c>
      <c r="M7377" t="s">
        <v>18</v>
      </c>
      <c r="N7377">
        <v>0</v>
      </c>
      <c r="O7377">
        <v>0</v>
      </c>
    </row>
    <row r="7378" spans="1:15" x14ac:dyDescent="0.2">
      <c r="A7378" s="6">
        <v>45778</v>
      </c>
      <c r="B7378" t="s">
        <v>15</v>
      </c>
      <c r="C7378" t="s">
        <v>16</v>
      </c>
      <c r="D7378" s="1">
        <v>45855</v>
      </c>
      <c r="E7378" t="s">
        <v>19</v>
      </c>
      <c r="F7378">
        <v>3750</v>
      </c>
      <c r="J7378">
        <v>12.2</v>
      </c>
      <c r="K7378">
        <v>15.5</v>
      </c>
      <c r="L7378">
        <v>0</v>
      </c>
      <c r="M7378" t="s">
        <v>18</v>
      </c>
      <c r="N7378">
        <v>0</v>
      </c>
      <c r="O7378">
        <v>0</v>
      </c>
    </row>
    <row r="7379" spans="1:15" x14ac:dyDescent="0.2">
      <c r="A7379" s="6">
        <v>45778</v>
      </c>
      <c r="B7379" t="s">
        <v>15</v>
      </c>
      <c r="C7379" t="s">
        <v>16</v>
      </c>
      <c r="D7379" s="1">
        <v>45855</v>
      </c>
      <c r="E7379" t="s">
        <v>19</v>
      </c>
      <c r="F7379">
        <v>4700</v>
      </c>
      <c r="J7379">
        <v>200</v>
      </c>
      <c r="K7379">
        <v>217.5</v>
      </c>
      <c r="L7379">
        <v>0</v>
      </c>
      <c r="M7379" t="s">
        <v>18</v>
      </c>
      <c r="N7379">
        <v>0</v>
      </c>
      <c r="O7379">
        <v>0</v>
      </c>
    </row>
    <row r="7380" spans="1:15" x14ac:dyDescent="0.2">
      <c r="A7380" s="6">
        <v>45778</v>
      </c>
      <c r="B7380" t="s">
        <v>15</v>
      </c>
      <c r="C7380" t="s">
        <v>16</v>
      </c>
      <c r="D7380" s="1">
        <v>45855</v>
      </c>
      <c r="E7380" t="s">
        <v>17</v>
      </c>
      <c r="F7380">
        <v>4150</v>
      </c>
      <c r="J7380">
        <v>838.1</v>
      </c>
      <c r="K7380">
        <v>827.8</v>
      </c>
      <c r="L7380">
        <v>0</v>
      </c>
      <c r="M7380" t="s">
        <v>18</v>
      </c>
      <c r="N7380">
        <v>0</v>
      </c>
      <c r="O7380">
        <v>0</v>
      </c>
    </row>
    <row r="7381" spans="1:15" x14ac:dyDescent="0.2">
      <c r="A7381" s="6">
        <v>45778</v>
      </c>
      <c r="B7381" t="s">
        <v>15</v>
      </c>
      <c r="C7381" t="s">
        <v>16</v>
      </c>
      <c r="D7381" s="1">
        <v>45855</v>
      </c>
      <c r="E7381" t="s">
        <v>19</v>
      </c>
      <c r="F7381">
        <v>5200</v>
      </c>
      <c r="J7381">
        <v>462.3</v>
      </c>
      <c r="K7381">
        <v>484.7</v>
      </c>
      <c r="L7381">
        <v>0</v>
      </c>
      <c r="M7381" t="s">
        <v>18</v>
      </c>
      <c r="N7381">
        <v>0</v>
      </c>
      <c r="O7381">
        <v>0</v>
      </c>
    </row>
    <row r="7382" spans="1:15" x14ac:dyDescent="0.2">
      <c r="A7382" s="6">
        <v>45778</v>
      </c>
      <c r="B7382" t="s">
        <v>15</v>
      </c>
      <c r="C7382" t="s">
        <v>16</v>
      </c>
      <c r="D7382" s="1">
        <v>45855</v>
      </c>
      <c r="E7382" t="s">
        <v>19</v>
      </c>
      <c r="F7382">
        <v>6250</v>
      </c>
      <c r="J7382">
        <v>1313.9</v>
      </c>
      <c r="K7382">
        <v>1335.5</v>
      </c>
      <c r="L7382">
        <v>0</v>
      </c>
      <c r="M7382" t="s">
        <v>18</v>
      </c>
      <c r="N7382">
        <v>0</v>
      </c>
      <c r="O7382">
        <v>0</v>
      </c>
    </row>
    <row r="7383" spans="1:15" x14ac:dyDescent="0.2">
      <c r="A7383" s="6">
        <v>45778</v>
      </c>
      <c r="B7383" t="s">
        <v>15</v>
      </c>
      <c r="C7383" t="s">
        <v>16</v>
      </c>
      <c r="D7383" s="1">
        <v>45855</v>
      </c>
      <c r="E7383" t="s">
        <v>17</v>
      </c>
      <c r="F7383">
        <v>6200</v>
      </c>
      <c r="J7383">
        <v>32.799999999999997</v>
      </c>
      <c r="K7383">
        <v>36.1</v>
      </c>
      <c r="L7383">
        <v>0</v>
      </c>
      <c r="M7383" t="s">
        <v>18</v>
      </c>
      <c r="N7383">
        <v>0</v>
      </c>
      <c r="O7383">
        <v>0</v>
      </c>
    </row>
    <row r="7384" spans="1:15" x14ac:dyDescent="0.2">
      <c r="A7384" s="6">
        <v>45778</v>
      </c>
      <c r="B7384" t="s">
        <v>15</v>
      </c>
      <c r="C7384" t="s">
        <v>16</v>
      </c>
      <c r="D7384" s="1">
        <v>45855</v>
      </c>
      <c r="E7384" t="s">
        <v>17</v>
      </c>
      <c r="F7384">
        <v>6250</v>
      </c>
      <c r="J7384">
        <v>29.5</v>
      </c>
      <c r="K7384">
        <v>32.6</v>
      </c>
      <c r="L7384">
        <v>0</v>
      </c>
      <c r="M7384" t="s">
        <v>18</v>
      </c>
      <c r="N7384">
        <v>0</v>
      </c>
      <c r="O7384">
        <v>0</v>
      </c>
    </row>
    <row r="7385" spans="1:15" x14ac:dyDescent="0.2">
      <c r="A7385" s="6">
        <v>45778</v>
      </c>
      <c r="B7385" t="s">
        <v>15</v>
      </c>
      <c r="C7385" t="s">
        <v>16</v>
      </c>
      <c r="D7385" s="1">
        <v>45855</v>
      </c>
      <c r="E7385" t="s">
        <v>17</v>
      </c>
      <c r="F7385">
        <v>5050</v>
      </c>
      <c r="J7385">
        <v>270.39999999999998</v>
      </c>
      <c r="K7385">
        <v>273.10000000000002</v>
      </c>
      <c r="L7385">
        <v>0</v>
      </c>
      <c r="M7385" t="s">
        <v>18</v>
      </c>
      <c r="N7385">
        <v>0</v>
      </c>
      <c r="O7385">
        <v>0</v>
      </c>
    </row>
    <row r="7386" spans="1:15" x14ac:dyDescent="0.2">
      <c r="A7386" s="6">
        <v>45778</v>
      </c>
      <c r="B7386" t="s">
        <v>15</v>
      </c>
      <c r="C7386" t="s">
        <v>16</v>
      </c>
      <c r="D7386" s="1">
        <v>45855</v>
      </c>
      <c r="E7386" t="s">
        <v>17</v>
      </c>
      <c r="F7386">
        <v>5900</v>
      </c>
      <c r="J7386">
        <v>60.6</v>
      </c>
      <c r="K7386">
        <v>64.8</v>
      </c>
      <c r="L7386">
        <v>0</v>
      </c>
      <c r="M7386" t="s">
        <v>18</v>
      </c>
      <c r="N7386">
        <v>0</v>
      </c>
      <c r="O7386">
        <v>0</v>
      </c>
    </row>
    <row r="7387" spans="1:15" x14ac:dyDescent="0.2">
      <c r="A7387" s="6">
        <v>45778</v>
      </c>
      <c r="B7387" t="s">
        <v>15</v>
      </c>
      <c r="C7387" t="s">
        <v>16</v>
      </c>
      <c r="D7387" s="1">
        <v>45855</v>
      </c>
      <c r="E7387" t="s">
        <v>17</v>
      </c>
      <c r="F7387">
        <v>6500</v>
      </c>
      <c r="J7387">
        <v>17.100000000000001</v>
      </c>
      <c r="K7387">
        <v>19.399999999999999</v>
      </c>
      <c r="L7387">
        <v>0</v>
      </c>
      <c r="M7387" t="s">
        <v>18</v>
      </c>
      <c r="N7387">
        <v>0</v>
      </c>
      <c r="O7387">
        <v>0</v>
      </c>
    </row>
    <row r="7388" spans="1:15" x14ac:dyDescent="0.2">
      <c r="A7388" s="6">
        <v>45778</v>
      </c>
      <c r="B7388" t="s">
        <v>15</v>
      </c>
      <c r="C7388" t="s">
        <v>16</v>
      </c>
      <c r="D7388" s="1">
        <v>45855</v>
      </c>
      <c r="E7388" t="s">
        <v>19</v>
      </c>
      <c r="F7388">
        <v>5150</v>
      </c>
      <c r="J7388">
        <v>430.7</v>
      </c>
      <c r="K7388">
        <v>452.9</v>
      </c>
      <c r="L7388">
        <v>0</v>
      </c>
      <c r="M7388" t="s">
        <v>18</v>
      </c>
      <c r="N7388">
        <v>0</v>
      </c>
      <c r="O7388">
        <v>0</v>
      </c>
    </row>
    <row r="7389" spans="1:15" x14ac:dyDescent="0.2">
      <c r="A7389" s="6">
        <v>45778</v>
      </c>
      <c r="B7389" t="s">
        <v>15</v>
      </c>
      <c r="C7389" t="s">
        <v>16</v>
      </c>
      <c r="D7389" s="1">
        <v>45855</v>
      </c>
      <c r="E7389" t="s">
        <v>17</v>
      </c>
      <c r="F7389">
        <v>4600</v>
      </c>
      <c r="J7389">
        <v>505.7</v>
      </c>
      <c r="K7389">
        <v>502.9</v>
      </c>
      <c r="L7389">
        <v>0</v>
      </c>
      <c r="M7389" t="s">
        <v>18</v>
      </c>
      <c r="N7389">
        <v>0</v>
      </c>
      <c r="O7389">
        <v>0</v>
      </c>
    </row>
    <row r="7390" spans="1:15" x14ac:dyDescent="0.2">
      <c r="A7390" s="6">
        <v>45778</v>
      </c>
      <c r="B7390" t="s">
        <v>15</v>
      </c>
      <c r="C7390" t="s">
        <v>16</v>
      </c>
      <c r="D7390" s="1">
        <v>45855</v>
      </c>
      <c r="E7390" t="s">
        <v>19</v>
      </c>
      <c r="F7390">
        <v>4650</v>
      </c>
      <c r="J7390">
        <v>180.6</v>
      </c>
      <c r="K7390">
        <v>197.3</v>
      </c>
      <c r="L7390">
        <v>0</v>
      </c>
      <c r="M7390" t="s">
        <v>18</v>
      </c>
      <c r="N7390">
        <v>0</v>
      </c>
      <c r="O7390">
        <v>0</v>
      </c>
    </row>
    <row r="7391" spans="1:15" x14ac:dyDescent="0.2">
      <c r="A7391" s="6">
        <v>45778</v>
      </c>
      <c r="B7391" t="s">
        <v>15</v>
      </c>
      <c r="C7391" t="s">
        <v>16</v>
      </c>
      <c r="D7391" s="1">
        <v>45855</v>
      </c>
      <c r="E7391" t="s">
        <v>17</v>
      </c>
      <c r="F7391">
        <v>6350</v>
      </c>
      <c r="J7391">
        <v>23.8</v>
      </c>
      <c r="K7391">
        <v>26.6</v>
      </c>
      <c r="L7391">
        <v>0</v>
      </c>
      <c r="M7391" t="s">
        <v>18</v>
      </c>
      <c r="N7391">
        <v>0</v>
      </c>
      <c r="O7391">
        <v>0</v>
      </c>
    </row>
    <row r="7392" spans="1:15" x14ac:dyDescent="0.2">
      <c r="A7392" s="6">
        <v>45778</v>
      </c>
      <c r="B7392" t="s">
        <v>15</v>
      </c>
      <c r="C7392" t="s">
        <v>16</v>
      </c>
      <c r="D7392" s="1">
        <v>45855</v>
      </c>
      <c r="E7392" t="s">
        <v>19</v>
      </c>
      <c r="F7392">
        <v>6550</v>
      </c>
      <c r="J7392">
        <v>1595.6</v>
      </c>
      <c r="K7392">
        <v>1616.3</v>
      </c>
      <c r="L7392">
        <v>0</v>
      </c>
      <c r="M7392" t="s">
        <v>18</v>
      </c>
      <c r="N7392">
        <v>0</v>
      </c>
      <c r="O7392">
        <v>0</v>
      </c>
    </row>
    <row r="7393" spans="1:15" x14ac:dyDescent="0.2">
      <c r="A7393" s="6">
        <v>45778</v>
      </c>
      <c r="B7393" t="s">
        <v>15</v>
      </c>
      <c r="C7393" t="s">
        <v>16</v>
      </c>
      <c r="D7393" s="1">
        <v>45855</v>
      </c>
      <c r="E7393" t="s">
        <v>17</v>
      </c>
      <c r="F7393">
        <v>5450</v>
      </c>
      <c r="J7393">
        <v>140.4</v>
      </c>
      <c r="K7393">
        <v>145</v>
      </c>
      <c r="L7393">
        <v>0</v>
      </c>
      <c r="M7393" t="s">
        <v>18</v>
      </c>
      <c r="N7393">
        <v>0</v>
      </c>
      <c r="O7393">
        <v>0</v>
      </c>
    </row>
    <row r="7394" spans="1:15" x14ac:dyDescent="0.2">
      <c r="A7394" s="6">
        <v>45778</v>
      </c>
      <c r="B7394" t="s">
        <v>15</v>
      </c>
      <c r="C7394" t="s">
        <v>16</v>
      </c>
      <c r="D7394" s="1">
        <v>45855</v>
      </c>
      <c r="E7394" t="s">
        <v>17</v>
      </c>
      <c r="F7394">
        <v>5800</v>
      </c>
      <c r="J7394">
        <v>73.7</v>
      </c>
      <c r="K7394">
        <v>78.099999999999994</v>
      </c>
      <c r="L7394">
        <v>0</v>
      </c>
      <c r="M7394" t="s">
        <v>18</v>
      </c>
      <c r="N7394">
        <v>0</v>
      </c>
      <c r="O7394">
        <v>0</v>
      </c>
    </row>
    <row r="7395" spans="1:15" x14ac:dyDescent="0.2">
      <c r="A7395" s="6">
        <v>45778</v>
      </c>
      <c r="B7395" t="s">
        <v>15</v>
      </c>
      <c r="C7395" t="s">
        <v>16</v>
      </c>
      <c r="D7395" s="1">
        <v>45855</v>
      </c>
      <c r="E7395" t="s">
        <v>17</v>
      </c>
      <c r="F7395">
        <v>4000</v>
      </c>
      <c r="J7395">
        <v>966.5</v>
      </c>
      <c r="K7395">
        <v>953.9</v>
      </c>
      <c r="L7395">
        <v>0</v>
      </c>
      <c r="M7395" t="s">
        <v>18</v>
      </c>
      <c r="N7395">
        <v>0</v>
      </c>
      <c r="O7395">
        <v>0</v>
      </c>
    </row>
    <row r="7396" spans="1:15" x14ac:dyDescent="0.2">
      <c r="A7396" s="6">
        <v>45778</v>
      </c>
      <c r="B7396" t="s">
        <v>15</v>
      </c>
      <c r="C7396" t="s">
        <v>16</v>
      </c>
      <c r="D7396" s="1">
        <v>45855</v>
      </c>
      <c r="E7396" t="s">
        <v>17</v>
      </c>
      <c r="F7396">
        <v>4050</v>
      </c>
      <c r="J7396">
        <v>922.9</v>
      </c>
      <c r="K7396">
        <v>911.1</v>
      </c>
      <c r="L7396">
        <v>0</v>
      </c>
      <c r="M7396" t="s">
        <v>18</v>
      </c>
      <c r="N7396">
        <v>0</v>
      </c>
      <c r="O7396">
        <v>0</v>
      </c>
    </row>
    <row r="7397" spans="1:15" x14ac:dyDescent="0.2">
      <c r="A7397" s="6">
        <v>45778</v>
      </c>
      <c r="B7397" t="s">
        <v>15</v>
      </c>
      <c r="C7397" t="s">
        <v>16</v>
      </c>
      <c r="D7397" s="1">
        <v>45855</v>
      </c>
      <c r="E7397" t="s">
        <v>19</v>
      </c>
      <c r="F7397">
        <v>5950</v>
      </c>
      <c r="J7397">
        <v>1043.3</v>
      </c>
      <c r="K7397">
        <v>1065.9000000000001</v>
      </c>
      <c r="L7397">
        <v>0</v>
      </c>
      <c r="M7397" t="s">
        <v>18</v>
      </c>
      <c r="N7397">
        <v>0</v>
      </c>
      <c r="O7397">
        <v>0</v>
      </c>
    </row>
    <row r="7398" spans="1:15" x14ac:dyDescent="0.2">
      <c r="A7398" s="6">
        <v>45778</v>
      </c>
      <c r="B7398" t="s">
        <v>15</v>
      </c>
      <c r="C7398" t="s">
        <v>16</v>
      </c>
      <c r="D7398" s="1">
        <v>45855</v>
      </c>
      <c r="E7398" t="s">
        <v>17</v>
      </c>
      <c r="F7398">
        <v>6300</v>
      </c>
      <c r="J7398">
        <v>26.5</v>
      </c>
      <c r="K7398">
        <v>29.5</v>
      </c>
      <c r="L7398">
        <v>0</v>
      </c>
      <c r="M7398" t="s">
        <v>18</v>
      </c>
      <c r="N7398">
        <v>0</v>
      </c>
      <c r="O7398">
        <v>0</v>
      </c>
    </row>
    <row r="7399" spans="1:15" x14ac:dyDescent="0.2">
      <c r="A7399" s="6">
        <v>45778</v>
      </c>
      <c r="B7399" t="s">
        <v>15</v>
      </c>
      <c r="C7399" t="s">
        <v>16</v>
      </c>
      <c r="D7399" s="1">
        <v>45855</v>
      </c>
      <c r="E7399" t="s">
        <v>19</v>
      </c>
      <c r="F7399">
        <v>4050</v>
      </c>
      <c r="J7399">
        <v>37.1</v>
      </c>
      <c r="K7399">
        <v>44.1</v>
      </c>
      <c r="L7399">
        <v>0</v>
      </c>
      <c r="M7399" t="s">
        <v>18</v>
      </c>
      <c r="N7399">
        <v>0</v>
      </c>
      <c r="O7399">
        <v>0</v>
      </c>
    </row>
    <row r="7400" spans="1:15" x14ac:dyDescent="0.2">
      <c r="A7400" s="6">
        <v>45778</v>
      </c>
      <c r="B7400" t="s">
        <v>15</v>
      </c>
      <c r="C7400" t="s">
        <v>16</v>
      </c>
      <c r="D7400" s="1">
        <v>45855</v>
      </c>
      <c r="E7400" t="s">
        <v>17</v>
      </c>
      <c r="F7400">
        <v>5500</v>
      </c>
      <c r="J7400">
        <v>128.5</v>
      </c>
      <c r="K7400">
        <v>133.19999999999999</v>
      </c>
      <c r="L7400">
        <v>0</v>
      </c>
      <c r="M7400" t="s">
        <v>18</v>
      </c>
      <c r="N7400">
        <v>0</v>
      </c>
      <c r="O7400">
        <v>0</v>
      </c>
    </row>
    <row r="7401" spans="1:15" x14ac:dyDescent="0.2">
      <c r="A7401" s="6">
        <v>45778</v>
      </c>
      <c r="B7401" t="s">
        <v>15</v>
      </c>
      <c r="C7401" t="s">
        <v>16</v>
      </c>
      <c r="D7401" s="1">
        <v>45855</v>
      </c>
      <c r="E7401" t="s">
        <v>17</v>
      </c>
      <c r="F7401">
        <v>4550</v>
      </c>
      <c r="J7401">
        <v>538.1</v>
      </c>
      <c r="K7401">
        <v>534.5</v>
      </c>
      <c r="L7401">
        <v>0</v>
      </c>
      <c r="M7401" t="s">
        <v>18</v>
      </c>
      <c r="N7401">
        <v>0</v>
      </c>
      <c r="O7401">
        <v>0</v>
      </c>
    </row>
    <row r="7402" spans="1:15" x14ac:dyDescent="0.2">
      <c r="A7402" s="6">
        <v>45778</v>
      </c>
      <c r="B7402" t="s">
        <v>15</v>
      </c>
      <c r="C7402" t="s">
        <v>16</v>
      </c>
      <c r="D7402" s="1">
        <v>45855</v>
      </c>
      <c r="E7402" t="s">
        <v>19</v>
      </c>
      <c r="F7402">
        <v>4100</v>
      </c>
      <c r="J7402">
        <v>43.6</v>
      </c>
      <c r="K7402">
        <v>51.3</v>
      </c>
      <c r="L7402">
        <v>0</v>
      </c>
      <c r="M7402" t="s">
        <v>18</v>
      </c>
      <c r="N7402">
        <v>0</v>
      </c>
      <c r="O7402">
        <v>0</v>
      </c>
    </row>
    <row r="7403" spans="1:15" x14ac:dyDescent="0.2">
      <c r="A7403" s="6">
        <v>45778</v>
      </c>
      <c r="B7403" t="s">
        <v>15</v>
      </c>
      <c r="C7403" t="s">
        <v>16</v>
      </c>
      <c r="D7403" s="1">
        <v>45855</v>
      </c>
      <c r="E7403" t="s">
        <v>17</v>
      </c>
      <c r="F7403">
        <v>6000</v>
      </c>
      <c r="J7403">
        <v>49.6</v>
      </c>
      <c r="K7403">
        <v>53.5</v>
      </c>
      <c r="L7403">
        <v>0</v>
      </c>
      <c r="M7403" t="s">
        <v>18</v>
      </c>
      <c r="N7403">
        <v>0</v>
      </c>
      <c r="O7403">
        <v>0</v>
      </c>
    </row>
    <row r="7404" spans="1:15" x14ac:dyDescent="0.2">
      <c r="A7404" s="6">
        <v>45778</v>
      </c>
      <c r="B7404" t="s">
        <v>15</v>
      </c>
      <c r="C7404" t="s">
        <v>16</v>
      </c>
      <c r="D7404" s="1">
        <v>45855</v>
      </c>
      <c r="E7404" t="s">
        <v>17</v>
      </c>
      <c r="F7404">
        <v>4250</v>
      </c>
      <c r="J7404">
        <v>756.8</v>
      </c>
      <c r="K7404">
        <v>748.2</v>
      </c>
      <c r="L7404">
        <v>0</v>
      </c>
      <c r="M7404" t="s">
        <v>18</v>
      </c>
      <c r="N7404">
        <v>0</v>
      </c>
      <c r="O7404">
        <v>0</v>
      </c>
    </row>
    <row r="7405" spans="1:15" x14ac:dyDescent="0.2">
      <c r="A7405" s="6">
        <v>45778</v>
      </c>
      <c r="B7405" t="s">
        <v>15</v>
      </c>
      <c r="C7405" t="s">
        <v>16</v>
      </c>
      <c r="D7405" s="1">
        <v>45855</v>
      </c>
      <c r="E7405" t="s">
        <v>19</v>
      </c>
      <c r="F7405">
        <v>5000</v>
      </c>
      <c r="J7405">
        <v>342.9</v>
      </c>
      <c r="K7405">
        <v>363.9</v>
      </c>
      <c r="L7405">
        <v>0</v>
      </c>
      <c r="M7405" t="s">
        <v>18</v>
      </c>
      <c r="N7405">
        <v>0</v>
      </c>
      <c r="O7405">
        <v>0</v>
      </c>
    </row>
    <row r="7406" spans="1:15" x14ac:dyDescent="0.2">
      <c r="A7406" s="6">
        <v>45778</v>
      </c>
      <c r="B7406" t="s">
        <v>15</v>
      </c>
      <c r="C7406" t="s">
        <v>16</v>
      </c>
      <c r="D7406" s="1">
        <v>45855</v>
      </c>
      <c r="E7406" t="s">
        <v>17</v>
      </c>
      <c r="F7406">
        <v>4850</v>
      </c>
      <c r="J7406">
        <v>362.5</v>
      </c>
      <c r="K7406">
        <v>363.2</v>
      </c>
      <c r="L7406">
        <v>0</v>
      </c>
      <c r="M7406" t="s">
        <v>18</v>
      </c>
      <c r="N7406">
        <v>0</v>
      </c>
      <c r="O7406">
        <v>0</v>
      </c>
    </row>
    <row r="7407" spans="1:15" x14ac:dyDescent="0.2">
      <c r="A7407" s="6">
        <v>45778</v>
      </c>
      <c r="B7407" t="s">
        <v>15</v>
      </c>
      <c r="C7407" t="s">
        <v>16</v>
      </c>
      <c r="D7407" s="1">
        <v>45855</v>
      </c>
      <c r="E7407" t="s">
        <v>19</v>
      </c>
      <c r="F7407">
        <v>5350</v>
      </c>
      <c r="J7407">
        <v>563.29999999999995</v>
      </c>
      <c r="K7407">
        <v>586.4</v>
      </c>
      <c r="L7407">
        <v>0</v>
      </c>
      <c r="M7407" t="s">
        <v>18</v>
      </c>
      <c r="N7407">
        <v>0</v>
      </c>
      <c r="O7407">
        <v>0</v>
      </c>
    </row>
    <row r="7408" spans="1:15" x14ac:dyDescent="0.2">
      <c r="A7408" s="6">
        <v>45778</v>
      </c>
      <c r="B7408" t="s">
        <v>15</v>
      </c>
      <c r="C7408" t="s">
        <v>16</v>
      </c>
      <c r="D7408" s="1">
        <v>45855</v>
      </c>
      <c r="E7408" t="s">
        <v>19</v>
      </c>
      <c r="F7408">
        <v>4500</v>
      </c>
      <c r="J7408">
        <v>129.80000000000001</v>
      </c>
      <c r="K7408">
        <v>144.1</v>
      </c>
      <c r="L7408">
        <v>0</v>
      </c>
      <c r="M7408" t="s">
        <v>18</v>
      </c>
      <c r="N7408">
        <v>0</v>
      </c>
      <c r="O7408">
        <v>0</v>
      </c>
    </row>
    <row r="7409" spans="1:15" x14ac:dyDescent="0.2">
      <c r="A7409" s="6">
        <v>45778</v>
      </c>
      <c r="B7409" t="s">
        <v>15</v>
      </c>
      <c r="C7409" t="s">
        <v>16</v>
      </c>
      <c r="D7409" s="1">
        <v>45855</v>
      </c>
      <c r="E7409" t="s">
        <v>19</v>
      </c>
      <c r="F7409">
        <v>4400</v>
      </c>
      <c r="J7409">
        <v>101.8</v>
      </c>
      <c r="K7409">
        <v>114.6</v>
      </c>
      <c r="L7409">
        <v>0</v>
      </c>
      <c r="M7409" t="s">
        <v>18</v>
      </c>
      <c r="N7409">
        <v>0</v>
      </c>
      <c r="O7409">
        <v>0</v>
      </c>
    </row>
    <row r="7410" spans="1:15" x14ac:dyDescent="0.2">
      <c r="A7410" s="6">
        <v>45778</v>
      </c>
      <c r="B7410" t="s">
        <v>15</v>
      </c>
      <c r="C7410" t="s">
        <v>16</v>
      </c>
      <c r="D7410" s="1">
        <v>45855</v>
      </c>
      <c r="E7410" t="s">
        <v>17</v>
      </c>
      <c r="F7410">
        <v>6450</v>
      </c>
      <c r="J7410">
        <v>19.100000000000001</v>
      </c>
      <c r="K7410">
        <v>21.6</v>
      </c>
      <c r="L7410">
        <v>0</v>
      </c>
      <c r="M7410" t="s">
        <v>18</v>
      </c>
      <c r="N7410">
        <v>0</v>
      </c>
      <c r="O7410">
        <v>0</v>
      </c>
    </row>
    <row r="7411" spans="1:15" x14ac:dyDescent="0.2">
      <c r="A7411" s="6">
        <v>45778</v>
      </c>
      <c r="B7411" t="s">
        <v>15</v>
      </c>
      <c r="C7411" t="s">
        <v>16</v>
      </c>
      <c r="D7411" s="1">
        <v>45855</v>
      </c>
      <c r="E7411" t="s">
        <v>17</v>
      </c>
      <c r="F7411">
        <v>5350</v>
      </c>
      <c r="J7411">
        <v>166.7</v>
      </c>
      <c r="K7411">
        <v>171.1</v>
      </c>
      <c r="L7411">
        <v>0</v>
      </c>
      <c r="M7411" t="s">
        <v>18</v>
      </c>
      <c r="N7411">
        <v>0</v>
      </c>
      <c r="O7411">
        <v>0</v>
      </c>
    </row>
    <row r="7412" spans="1:15" x14ac:dyDescent="0.2">
      <c r="A7412" s="6">
        <v>45778</v>
      </c>
      <c r="B7412" t="s">
        <v>15</v>
      </c>
      <c r="C7412" t="s">
        <v>16</v>
      </c>
      <c r="D7412" s="1">
        <v>45855</v>
      </c>
      <c r="E7412" t="s">
        <v>17</v>
      </c>
      <c r="F7412">
        <v>6100</v>
      </c>
      <c r="J7412">
        <v>40.5</v>
      </c>
      <c r="K7412">
        <v>44</v>
      </c>
      <c r="L7412">
        <v>0</v>
      </c>
      <c r="M7412" t="s">
        <v>18</v>
      </c>
      <c r="N7412">
        <v>0</v>
      </c>
      <c r="O7412">
        <v>0</v>
      </c>
    </row>
    <row r="7413" spans="1:15" x14ac:dyDescent="0.2">
      <c r="A7413" s="6">
        <v>45778</v>
      </c>
      <c r="B7413" t="s">
        <v>15</v>
      </c>
      <c r="C7413" t="s">
        <v>16</v>
      </c>
      <c r="D7413" s="1">
        <v>45855</v>
      </c>
      <c r="E7413" t="s">
        <v>19</v>
      </c>
      <c r="F7413">
        <v>5600</v>
      </c>
      <c r="J7413">
        <v>750.5</v>
      </c>
      <c r="K7413">
        <v>773.8</v>
      </c>
      <c r="L7413">
        <v>0</v>
      </c>
      <c r="M7413" t="s">
        <v>18</v>
      </c>
      <c r="N7413">
        <v>0</v>
      </c>
      <c r="O7413">
        <v>0</v>
      </c>
    </row>
    <row r="7414" spans="1:15" x14ac:dyDescent="0.2">
      <c r="A7414" s="6">
        <v>45778</v>
      </c>
      <c r="B7414" t="s">
        <v>15</v>
      </c>
      <c r="C7414" t="s">
        <v>16</v>
      </c>
      <c r="D7414" s="1">
        <v>45855</v>
      </c>
      <c r="E7414" t="s">
        <v>19</v>
      </c>
      <c r="F7414">
        <v>4850</v>
      </c>
      <c r="J7414">
        <v>265.8</v>
      </c>
      <c r="K7414">
        <v>285.3</v>
      </c>
      <c r="L7414">
        <v>0</v>
      </c>
      <c r="M7414" t="s">
        <v>18</v>
      </c>
      <c r="N7414">
        <v>0</v>
      </c>
      <c r="O7414">
        <v>0</v>
      </c>
    </row>
    <row r="7415" spans="1:15" x14ac:dyDescent="0.2">
      <c r="A7415" s="6">
        <v>45778</v>
      </c>
      <c r="B7415" t="s">
        <v>15</v>
      </c>
      <c r="C7415" t="s">
        <v>16</v>
      </c>
      <c r="D7415" s="1">
        <v>45855</v>
      </c>
      <c r="E7415" t="s">
        <v>19</v>
      </c>
      <c r="F7415">
        <v>4000</v>
      </c>
      <c r="J7415">
        <v>31.3</v>
      </c>
      <c r="K7415">
        <v>37.6</v>
      </c>
      <c r="L7415">
        <v>0</v>
      </c>
      <c r="M7415" t="s">
        <v>18</v>
      </c>
      <c r="N7415">
        <v>0</v>
      </c>
      <c r="O7415">
        <v>0</v>
      </c>
    </row>
    <row r="7416" spans="1:15" x14ac:dyDescent="0.2">
      <c r="A7416" s="6">
        <v>45778</v>
      </c>
      <c r="B7416" t="s">
        <v>15</v>
      </c>
      <c r="C7416" t="s">
        <v>16</v>
      </c>
      <c r="D7416" s="1">
        <v>45855</v>
      </c>
      <c r="E7416" t="s">
        <v>19</v>
      </c>
      <c r="F7416">
        <v>6350</v>
      </c>
      <c r="J7416">
        <v>1406.8</v>
      </c>
      <c r="K7416">
        <v>1428.1</v>
      </c>
      <c r="L7416">
        <v>0</v>
      </c>
      <c r="M7416" t="s">
        <v>18</v>
      </c>
      <c r="N7416">
        <v>0</v>
      </c>
      <c r="O7416">
        <v>0</v>
      </c>
    </row>
    <row r="7417" spans="1:15" x14ac:dyDescent="0.2">
      <c r="A7417" s="6">
        <v>45778</v>
      </c>
      <c r="B7417" t="s">
        <v>15</v>
      </c>
      <c r="C7417" t="s">
        <v>16</v>
      </c>
      <c r="D7417" s="1">
        <v>45855</v>
      </c>
      <c r="E7417" t="s">
        <v>19</v>
      </c>
      <c r="F7417">
        <v>5650</v>
      </c>
      <c r="J7417">
        <v>790.4</v>
      </c>
      <c r="K7417">
        <v>813.6</v>
      </c>
      <c r="L7417">
        <v>0</v>
      </c>
      <c r="M7417" t="s">
        <v>18</v>
      </c>
      <c r="N7417">
        <v>0</v>
      </c>
      <c r="O7417">
        <v>0</v>
      </c>
    </row>
    <row r="7418" spans="1:15" x14ac:dyDescent="0.2">
      <c r="A7418" s="6">
        <v>45778</v>
      </c>
      <c r="B7418" t="s">
        <v>15</v>
      </c>
      <c r="C7418" t="s">
        <v>16</v>
      </c>
      <c r="D7418" s="1">
        <v>45855</v>
      </c>
      <c r="E7418" t="s">
        <v>17</v>
      </c>
      <c r="F7418">
        <v>3950</v>
      </c>
      <c r="J7418">
        <v>1010.8</v>
      </c>
      <c r="K7418">
        <v>997.5</v>
      </c>
      <c r="L7418">
        <v>0</v>
      </c>
      <c r="M7418" t="s">
        <v>18</v>
      </c>
      <c r="N7418">
        <v>0</v>
      </c>
      <c r="O7418">
        <v>0</v>
      </c>
    </row>
    <row r="7419" spans="1:15" x14ac:dyDescent="0.2">
      <c r="A7419" s="6">
        <v>45778</v>
      </c>
      <c r="B7419" t="s">
        <v>15</v>
      </c>
      <c r="C7419" t="s">
        <v>16</v>
      </c>
      <c r="D7419" s="1">
        <v>45855</v>
      </c>
      <c r="E7419" t="s">
        <v>17</v>
      </c>
      <c r="F7419">
        <v>4300</v>
      </c>
      <c r="J7419">
        <v>717.6</v>
      </c>
      <c r="K7419">
        <v>709.8</v>
      </c>
      <c r="L7419">
        <v>0</v>
      </c>
      <c r="M7419" t="s">
        <v>18</v>
      </c>
      <c r="N7419">
        <v>0</v>
      </c>
      <c r="O7419">
        <v>0</v>
      </c>
    </row>
    <row r="7420" spans="1:15" x14ac:dyDescent="0.2">
      <c r="A7420" s="6">
        <v>45778</v>
      </c>
      <c r="B7420" t="s">
        <v>15</v>
      </c>
      <c r="C7420" t="s">
        <v>16</v>
      </c>
      <c r="D7420" s="1">
        <v>45855</v>
      </c>
      <c r="E7420" t="s">
        <v>19</v>
      </c>
      <c r="F7420">
        <v>3800</v>
      </c>
      <c r="J7420">
        <v>14.9</v>
      </c>
      <c r="K7420">
        <v>18.7</v>
      </c>
      <c r="L7420">
        <v>0</v>
      </c>
      <c r="M7420" t="s">
        <v>18</v>
      </c>
      <c r="N7420">
        <v>0</v>
      </c>
      <c r="O7420">
        <v>0</v>
      </c>
    </row>
    <row r="7421" spans="1:15" x14ac:dyDescent="0.2">
      <c r="A7421" s="6">
        <v>45778</v>
      </c>
      <c r="B7421" t="s">
        <v>15</v>
      </c>
      <c r="C7421" t="s">
        <v>16</v>
      </c>
      <c r="D7421" s="1">
        <v>45855</v>
      </c>
      <c r="E7421" t="s">
        <v>19</v>
      </c>
      <c r="F7421">
        <v>5500</v>
      </c>
      <c r="J7421">
        <v>673</v>
      </c>
      <c r="K7421">
        <v>696.3</v>
      </c>
      <c r="L7421">
        <v>0</v>
      </c>
      <c r="M7421" t="s">
        <v>18</v>
      </c>
      <c r="N7421">
        <v>0</v>
      </c>
      <c r="O7421">
        <v>0</v>
      </c>
    </row>
    <row r="7422" spans="1:15" x14ac:dyDescent="0.2">
      <c r="A7422" s="6">
        <v>45778</v>
      </c>
      <c r="B7422" t="s">
        <v>15</v>
      </c>
      <c r="C7422" t="s">
        <v>16</v>
      </c>
      <c r="D7422" s="1">
        <v>45855</v>
      </c>
      <c r="E7422" t="s">
        <v>19</v>
      </c>
      <c r="F7422">
        <v>5750</v>
      </c>
      <c r="J7422">
        <v>872.3</v>
      </c>
      <c r="K7422">
        <v>895.4</v>
      </c>
      <c r="L7422">
        <v>0</v>
      </c>
      <c r="M7422" t="s">
        <v>18</v>
      </c>
      <c r="N7422">
        <v>0</v>
      </c>
      <c r="O7422">
        <v>0</v>
      </c>
    </row>
    <row r="7423" spans="1:15" x14ac:dyDescent="0.2">
      <c r="A7423" s="6">
        <v>45778</v>
      </c>
      <c r="B7423" t="s">
        <v>15</v>
      </c>
      <c r="C7423" t="s">
        <v>16</v>
      </c>
      <c r="D7423" s="1">
        <v>45855</v>
      </c>
      <c r="E7423" t="s">
        <v>17</v>
      </c>
      <c r="F7423">
        <v>4700</v>
      </c>
      <c r="J7423">
        <v>444.7</v>
      </c>
      <c r="K7423">
        <v>443.4</v>
      </c>
      <c r="L7423">
        <v>0</v>
      </c>
      <c r="M7423" t="s">
        <v>18</v>
      </c>
      <c r="N7423">
        <v>0</v>
      </c>
      <c r="O7423">
        <v>0</v>
      </c>
    </row>
    <row r="7424" spans="1:15" x14ac:dyDescent="0.2">
      <c r="A7424" s="6">
        <v>45778</v>
      </c>
      <c r="B7424" t="s">
        <v>15</v>
      </c>
      <c r="C7424" t="s">
        <v>16</v>
      </c>
      <c r="D7424" s="1">
        <v>45855</v>
      </c>
      <c r="E7424" t="s">
        <v>19</v>
      </c>
      <c r="F7424">
        <v>6100</v>
      </c>
      <c r="J7424">
        <v>1176.9000000000001</v>
      </c>
      <c r="K7424">
        <v>1199</v>
      </c>
      <c r="L7424">
        <v>0</v>
      </c>
      <c r="M7424" t="s">
        <v>18</v>
      </c>
      <c r="N7424">
        <v>0</v>
      </c>
      <c r="O7424">
        <v>0</v>
      </c>
    </row>
    <row r="7425" spans="1:15" x14ac:dyDescent="0.2">
      <c r="A7425" s="6">
        <v>45778</v>
      </c>
      <c r="B7425" t="s">
        <v>15</v>
      </c>
      <c r="C7425" t="s">
        <v>16</v>
      </c>
      <c r="D7425" s="1">
        <v>45855</v>
      </c>
      <c r="E7425" t="s">
        <v>19</v>
      </c>
      <c r="F7425">
        <v>6450</v>
      </c>
      <c r="J7425">
        <v>1500.8</v>
      </c>
      <c r="K7425">
        <v>1521.8</v>
      </c>
      <c r="L7425">
        <v>0</v>
      </c>
      <c r="M7425" t="s">
        <v>18</v>
      </c>
      <c r="N7425">
        <v>0</v>
      </c>
      <c r="O7425">
        <v>0</v>
      </c>
    </row>
    <row r="7426" spans="1:15" x14ac:dyDescent="0.2">
      <c r="A7426" s="6">
        <v>45778</v>
      </c>
      <c r="B7426" t="s">
        <v>15</v>
      </c>
      <c r="C7426" t="s">
        <v>16</v>
      </c>
      <c r="D7426" s="1">
        <v>45855</v>
      </c>
      <c r="E7426" t="s">
        <v>19</v>
      </c>
      <c r="F7426">
        <v>4350</v>
      </c>
      <c r="J7426">
        <v>89.6</v>
      </c>
      <c r="K7426">
        <v>101.4</v>
      </c>
      <c r="L7426">
        <v>0</v>
      </c>
      <c r="M7426" t="s">
        <v>18</v>
      </c>
      <c r="N7426">
        <v>0</v>
      </c>
      <c r="O7426">
        <v>0</v>
      </c>
    </row>
    <row r="7427" spans="1:15" x14ac:dyDescent="0.2">
      <c r="A7427" s="6">
        <v>45778</v>
      </c>
      <c r="B7427" t="s">
        <v>15</v>
      </c>
      <c r="C7427" t="s">
        <v>16</v>
      </c>
      <c r="D7427" s="1">
        <v>45855</v>
      </c>
      <c r="E7427" t="s">
        <v>19</v>
      </c>
      <c r="F7427">
        <v>4150</v>
      </c>
      <c r="J7427">
        <v>50.9</v>
      </c>
      <c r="K7427">
        <v>59.5</v>
      </c>
      <c r="L7427">
        <v>0</v>
      </c>
      <c r="M7427" t="s">
        <v>18</v>
      </c>
      <c r="N7427">
        <v>0</v>
      </c>
      <c r="O7427">
        <v>0</v>
      </c>
    </row>
    <row r="7428" spans="1:15" x14ac:dyDescent="0.2">
      <c r="A7428" s="6">
        <v>45778</v>
      </c>
      <c r="B7428" t="s">
        <v>15</v>
      </c>
      <c r="C7428" t="s">
        <v>16</v>
      </c>
      <c r="D7428" s="1">
        <v>45855</v>
      </c>
      <c r="E7428" t="s">
        <v>19</v>
      </c>
      <c r="F7428">
        <v>6600</v>
      </c>
      <c r="J7428">
        <v>1643.3</v>
      </c>
      <c r="K7428">
        <v>1663.8</v>
      </c>
      <c r="L7428">
        <v>0</v>
      </c>
      <c r="M7428" t="s">
        <v>18</v>
      </c>
      <c r="N7428">
        <v>0</v>
      </c>
      <c r="O7428">
        <v>0</v>
      </c>
    </row>
    <row r="7429" spans="1:15" x14ac:dyDescent="0.2">
      <c r="A7429" s="6">
        <v>45778</v>
      </c>
      <c r="B7429" t="s">
        <v>15</v>
      </c>
      <c r="C7429" t="s">
        <v>16</v>
      </c>
      <c r="D7429" s="1">
        <v>45855</v>
      </c>
      <c r="E7429" t="s">
        <v>17</v>
      </c>
      <c r="F7429">
        <v>6150</v>
      </c>
      <c r="J7429">
        <v>36.5</v>
      </c>
      <c r="K7429">
        <v>39.9</v>
      </c>
      <c r="L7429">
        <v>0</v>
      </c>
      <c r="M7429" t="s">
        <v>18</v>
      </c>
      <c r="N7429">
        <v>0</v>
      </c>
      <c r="O7429">
        <v>0</v>
      </c>
    </row>
    <row r="7430" spans="1:15" x14ac:dyDescent="0.2">
      <c r="A7430" s="6">
        <v>45778</v>
      </c>
      <c r="B7430" t="s">
        <v>15</v>
      </c>
      <c r="C7430" t="s">
        <v>16</v>
      </c>
      <c r="D7430" s="1">
        <v>45855</v>
      </c>
      <c r="E7430" t="s">
        <v>19</v>
      </c>
      <c r="F7430">
        <v>5550</v>
      </c>
      <c r="J7430">
        <v>711.4</v>
      </c>
      <c r="K7430">
        <v>734.7</v>
      </c>
      <c r="L7430">
        <v>0</v>
      </c>
      <c r="M7430" t="s">
        <v>18</v>
      </c>
      <c r="N7430">
        <v>0</v>
      </c>
      <c r="O7430">
        <v>0</v>
      </c>
    </row>
    <row r="7431" spans="1:15" x14ac:dyDescent="0.2">
      <c r="A7431" s="6">
        <v>45778</v>
      </c>
      <c r="B7431" t="s">
        <v>15</v>
      </c>
      <c r="C7431" t="s">
        <v>16</v>
      </c>
      <c r="D7431" s="1">
        <v>45855</v>
      </c>
      <c r="E7431" t="s">
        <v>17</v>
      </c>
      <c r="F7431">
        <v>5650</v>
      </c>
      <c r="J7431">
        <v>97.9</v>
      </c>
      <c r="K7431">
        <v>102.5</v>
      </c>
      <c r="L7431">
        <v>0</v>
      </c>
      <c r="M7431" t="s">
        <v>18</v>
      </c>
      <c r="N7431">
        <v>0</v>
      </c>
      <c r="O7431">
        <v>0</v>
      </c>
    </row>
    <row r="7432" spans="1:15" x14ac:dyDescent="0.2">
      <c r="A7432" s="6">
        <v>45778</v>
      </c>
      <c r="B7432" t="s">
        <v>15</v>
      </c>
      <c r="C7432" t="s">
        <v>16</v>
      </c>
      <c r="D7432" s="1">
        <v>45855</v>
      </c>
      <c r="E7432" t="s">
        <v>17</v>
      </c>
      <c r="F7432">
        <v>3900</v>
      </c>
      <c r="J7432">
        <v>1055.8</v>
      </c>
      <c r="K7432">
        <v>1041.8</v>
      </c>
      <c r="L7432">
        <v>0</v>
      </c>
      <c r="M7432" t="s">
        <v>18</v>
      </c>
      <c r="N7432">
        <v>0</v>
      </c>
      <c r="O7432">
        <v>0</v>
      </c>
    </row>
    <row r="7433" spans="1:15" x14ac:dyDescent="0.2">
      <c r="A7433" s="6">
        <v>45778</v>
      </c>
      <c r="B7433" t="s">
        <v>15</v>
      </c>
      <c r="C7433" t="s">
        <v>16</v>
      </c>
      <c r="D7433" s="1">
        <v>45855</v>
      </c>
      <c r="E7433" t="s">
        <v>17</v>
      </c>
      <c r="F7433">
        <v>5850</v>
      </c>
      <c r="J7433">
        <v>66.900000000000006</v>
      </c>
      <c r="K7433">
        <v>71.2</v>
      </c>
      <c r="L7433">
        <v>0</v>
      </c>
      <c r="M7433" t="s">
        <v>18</v>
      </c>
      <c r="N7433">
        <v>0</v>
      </c>
      <c r="O7433">
        <v>0</v>
      </c>
    </row>
    <row r="7434" spans="1:15" x14ac:dyDescent="0.2">
      <c r="A7434" s="6">
        <v>45778</v>
      </c>
      <c r="B7434" t="s">
        <v>15</v>
      </c>
      <c r="C7434" t="s">
        <v>16</v>
      </c>
      <c r="D7434" s="1">
        <v>45855</v>
      </c>
      <c r="E7434" t="s">
        <v>19</v>
      </c>
      <c r="F7434">
        <v>6300</v>
      </c>
      <c r="J7434">
        <v>1360.2</v>
      </c>
      <c r="K7434">
        <v>1381.7</v>
      </c>
      <c r="L7434">
        <v>0</v>
      </c>
      <c r="M7434" t="s">
        <v>18</v>
      </c>
      <c r="N7434">
        <v>0</v>
      </c>
      <c r="O7434">
        <v>0</v>
      </c>
    </row>
    <row r="7435" spans="1:15" x14ac:dyDescent="0.2">
      <c r="A7435" s="6">
        <v>45778</v>
      </c>
      <c r="B7435" t="s">
        <v>15</v>
      </c>
      <c r="C7435" t="s">
        <v>16</v>
      </c>
      <c r="D7435" s="1">
        <v>45855</v>
      </c>
      <c r="E7435" t="s">
        <v>19</v>
      </c>
      <c r="F7435">
        <v>6500</v>
      </c>
      <c r="J7435">
        <v>1548.1</v>
      </c>
      <c r="K7435">
        <v>1568.9</v>
      </c>
      <c r="L7435">
        <v>0</v>
      </c>
      <c r="M7435" t="s">
        <v>18</v>
      </c>
      <c r="N7435">
        <v>0</v>
      </c>
      <c r="O7435">
        <v>0</v>
      </c>
    </row>
    <row r="7436" spans="1:15" x14ac:dyDescent="0.2">
      <c r="A7436" s="6">
        <v>45778</v>
      </c>
      <c r="B7436" t="s">
        <v>15</v>
      </c>
      <c r="C7436" t="s">
        <v>16</v>
      </c>
      <c r="D7436" s="1">
        <v>45855</v>
      </c>
      <c r="E7436" t="s">
        <v>19</v>
      </c>
      <c r="F7436">
        <v>5850</v>
      </c>
      <c r="J7436">
        <v>956.7</v>
      </c>
      <c r="K7436">
        <v>979.6</v>
      </c>
      <c r="L7436">
        <v>0</v>
      </c>
      <c r="M7436" t="s">
        <v>18</v>
      </c>
      <c r="N7436">
        <v>0</v>
      </c>
      <c r="O7436">
        <v>0</v>
      </c>
    </row>
    <row r="7437" spans="1:15" x14ac:dyDescent="0.2">
      <c r="A7437" s="6">
        <v>45778</v>
      </c>
      <c r="B7437" t="s">
        <v>15</v>
      </c>
      <c r="C7437" t="s">
        <v>16</v>
      </c>
      <c r="D7437" s="1">
        <v>45855</v>
      </c>
      <c r="E7437" t="s">
        <v>17</v>
      </c>
      <c r="F7437">
        <v>5400</v>
      </c>
      <c r="J7437">
        <v>153.1</v>
      </c>
      <c r="K7437">
        <v>157.6</v>
      </c>
      <c r="L7437">
        <v>0</v>
      </c>
      <c r="M7437" t="s">
        <v>18</v>
      </c>
      <c r="N7437">
        <v>0</v>
      </c>
      <c r="O7437">
        <v>0</v>
      </c>
    </row>
    <row r="7438" spans="1:15" x14ac:dyDescent="0.2">
      <c r="A7438" s="6">
        <v>45778</v>
      </c>
      <c r="B7438" t="s">
        <v>15</v>
      </c>
      <c r="C7438" t="s">
        <v>16</v>
      </c>
      <c r="D7438" s="1">
        <v>45855</v>
      </c>
      <c r="E7438" t="s">
        <v>17</v>
      </c>
      <c r="F7438">
        <v>6600</v>
      </c>
      <c r="J7438">
        <v>13.7</v>
      </c>
      <c r="K7438">
        <v>15.7</v>
      </c>
      <c r="L7438">
        <v>0</v>
      </c>
      <c r="M7438" t="s">
        <v>18</v>
      </c>
      <c r="N7438">
        <v>0</v>
      </c>
      <c r="O7438">
        <v>0</v>
      </c>
    </row>
    <row r="7439" spans="1:15" x14ac:dyDescent="0.2">
      <c r="A7439" s="6">
        <v>45778</v>
      </c>
      <c r="B7439" t="s">
        <v>15</v>
      </c>
      <c r="C7439" t="s">
        <v>16</v>
      </c>
      <c r="D7439" s="1">
        <v>45855</v>
      </c>
      <c r="E7439" t="s">
        <v>19</v>
      </c>
      <c r="F7439">
        <v>4800</v>
      </c>
      <c r="J7439">
        <v>242.6</v>
      </c>
      <c r="K7439">
        <v>261.5</v>
      </c>
      <c r="L7439">
        <v>0</v>
      </c>
      <c r="M7439" t="s">
        <v>18</v>
      </c>
      <c r="N7439">
        <v>0</v>
      </c>
      <c r="O7439">
        <v>0</v>
      </c>
    </row>
    <row r="7440" spans="1:15" x14ac:dyDescent="0.2">
      <c r="A7440" s="6">
        <v>45778</v>
      </c>
      <c r="B7440" t="s">
        <v>15</v>
      </c>
      <c r="C7440" t="s">
        <v>16</v>
      </c>
      <c r="D7440" s="1">
        <v>45855</v>
      </c>
      <c r="E7440" t="s">
        <v>19</v>
      </c>
      <c r="F7440">
        <v>4300</v>
      </c>
      <c r="J7440">
        <v>78.400000000000006</v>
      </c>
      <c r="K7440">
        <v>89.4</v>
      </c>
      <c r="L7440">
        <v>0</v>
      </c>
      <c r="M7440" t="s">
        <v>18</v>
      </c>
      <c r="N7440">
        <v>0</v>
      </c>
      <c r="O7440">
        <v>0</v>
      </c>
    </row>
    <row r="7441" spans="1:15" x14ac:dyDescent="0.2">
      <c r="A7441" s="6">
        <v>45778</v>
      </c>
      <c r="B7441" t="s">
        <v>15</v>
      </c>
      <c r="C7441" t="s">
        <v>16</v>
      </c>
      <c r="D7441" s="1">
        <v>45855</v>
      </c>
      <c r="E7441" t="s">
        <v>19</v>
      </c>
      <c r="F7441">
        <v>4750</v>
      </c>
      <c r="J7441">
        <v>220.7</v>
      </c>
      <c r="K7441">
        <v>238.9</v>
      </c>
      <c r="L7441">
        <v>0</v>
      </c>
      <c r="M7441" t="s">
        <v>18</v>
      </c>
      <c r="N7441">
        <v>0</v>
      </c>
      <c r="O7441">
        <v>0</v>
      </c>
    </row>
    <row r="7442" spans="1:15" x14ac:dyDescent="0.2">
      <c r="A7442" s="6">
        <v>45778</v>
      </c>
      <c r="B7442" t="s">
        <v>15</v>
      </c>
      <c r="C7442" t="s">
        <v>16</v>
      </c>
      <c r="D7442" s="1">
        <v>45855</v>
      </c>
      <c r="E7442" t="s">
        <v>19</v>
      </c>
      <c r="F7442">
        <v>3850</v>
      </c>
      <c r="J7442">
        <v>18.2</v>
      </c>
      <c r="K7442">
        <v>22.5</v>
      </c>
      <c r="L7442">
        <v>0</v>
      </c>
      <c r="M7442" t="s">
        <v>18</v>
      </c>
      <c r="N7442">
        <v>0</v>
      </c>
      <c r="O7442">
        <v>0</v>
      </c>
    </row>
    <row r="7443" spans="1:15" x14ac:dyDescent="0.2">
      <c r="A7443" s="6">
        <v>45778</v>
      </c>
      <c r="B7443" t="s">
        <v>15</v>
      </c>
      <c r="C7443" t="s">
        <v>16</v>
      </c>
      <c r="D7443" s="1">
        <v>45855</v>
      </c>
      <c r="E7443" t="s">
        <v>19</v>
      </c>
      <c r="F7443">
        <v>3950</v>
      </c>
      <c r="J7443">
        <v>26.3</v>
      </c>
      <c r="K7443">
        <v>31.9</v>
      </c>
      <c r="L7443">
        <v>0</v>
      </c>
      <c r="M7443" t="s">
        <v>18</v>
      </c>
      <c r="N7443">
        <v>0</v>
      </c>
      <c r="O7443">
        <v>0</v>
      </c>
    </row>
    <row r="7444" spans="1:15" x14ac:dyDescent="0.2">
      <c r="A7444" s="6">
        <v>45778</v>
      </c>
      <c r="B7444" t="s">
        <v>15</v>
      </c>
      <c r="C7444" t="s">
        <v>16</v>
      </c>
      <c r="D7444" s="1">
        <v>45855</v>
      </c>
      <c r="E7444" t="s">
        <v>19</v>
      </c>
      <c r="F7444">
        <v>6000</v>
      </c>
      <c r="J7444">
        <v>1087.4000000000001</v>
      </c>
      <c r="K7444">
        <v>1109.9000000000001</v>
      </c>
      <c r="L7444">
        <v>0</v>
      </c>
      <c r="M7444" t="s">
        <v>18</v>
      </c>
      <c r="N7444">
        <v>0</v>
      </c>
      <c r="O7444">
        <v>0</v>
      </c>
    </row>
    <row r="7445" spans="1:15" x14ac:dyDescent="0.2">
      <c r="A7445" s="6">
        <v>45778</v>
      </c>
      <c r="B7445" t="s">
        <v>15</v>
      </c>
      <c r="C7445" t="s">
        <v>16</v>
      </c>
      <c r="D7445" s="1">
        <v>45855</v>
      </c>
      <c r="E7445" t="s">
        <v>17</v>
      </c>
      <c r="F7445">
        <v>5550</v>
      </c>
      <c r="J7445">
        <v>117.5</v>
      </c>
      <c r="K7445">
        <v>122.2</v>
      </c>
      <c r="L7445">
        <v>0</v>
      </c>
      <c r="M7445" t="s">
        <v>18</v>
      </c>
      <c r="N7445">
        <v>0</v>
      </c>
      <c r="O7445">
        <v>0</v>
      </c>
    </row>
    <row r="7446" spans="1:15" x14ac:dyDescent="0.2">
      <c r="A7446" s="6">
        <v>45777</v>
      </c>
      <c r="B7446" t="s">
        <v>15</v>
      </c>
      <c r="C7446" t="s">
        <v>16</v>
      </c>
      <c r="D7446" s="1">
        <v>45855</v>
      </c>
      <c r="E7446" t="s">
        <v>17</v>
      </c>
      <c r="F7446">
        <v>5950</v>
      </c>
      <c r="J7446">
        <v>58.9</v>
      </c>
      <c r="K7446">
        <v>79.5</v>
      </c>
      <c r="L7446">
        <v>0</v>
      </c>
      <c r="M7446" t="s">
        <v>18</v>
      </c>
      <c r="N7446">
        <v>0</v>
      </c>
      <c r="O7446">
        <v>0</v>
      </c>
    </row>
    <row r="7447" spans="1:15" x14ac:dyDescent="0.2">
      <c r="A7447" s="6">
        <v>45777</v>
      </c>
      <c r="B7447" t="s">
        <v>15</v>
      </c>
      <c r="C7447" t="s">
        <v>16</v>
      </c>
      <c r="D7447" s="1">
        <v>45855</v>
      </c>
      <c r="E7447" t="s">
        <v>17</v>
      </c>
      <c r="F7447">
        <v>4500</v>
      </c>
      <c r="J7447">
        <v>567.29999999999995</v>
      </c>
      <c r="K7447">
        <v>712.6</v>
      </c>
      <c r="L7447">
        <v>0</v>
      </c>
      <c r="M7447" t="s">
        <v>18</v>
      </c>
      <c r="N7447">
        <v>0</v>
      </c>
      <c r="O7447">
        <v>0</v>
      </c>
    </row>
    <row r="7448" spans="1:15" x14ac:dyDescent="0.2">
      <c r="A7448" s="6">
        <v>45777</v>
      </c>
      <c r="B7448" t="s">
        <v>15</v>
      </c>
      <c r="C7448" t="s">
        <v>16</v>
      </c>
      <c r="D7448" s="1">
        <v>45855</v>
      </c>
      <c r="E7448" t="s">
        <v>17</v>
      </c>
      <c r="F7448">
        <v>4350</v>
      </c>
      <c r="J7448">
        <v>672.5</v>
      </c>
      <c r="K7448">
        <v>832.6</v>
      </c>
      <c r="L7448">
        <v>0</v>
      </c>
      <c r="M7448" t="s">
        <v>18</v>
      </c>
      <c r="N7448">
        <v>0</v>
      </c>
      <c r="O7448">
        <v>0</v>
      </c>
    </row>
    <row r="7449" spans="1:15" x14ac:dyDescent="0.2">
      <c r="A7449" s="6">
        <v>45777</v>
      </c>
      <c r="B7449" t="s">
        <v>15</v>
      </c>
      <c r="C7449" t="s">
        <v>16</v>
      </c>
      <c r="D7449" s="1">
        <v>45855</v>
      </c>
      <c r="E7449" t="s">
        <v>17</v>
      </c>
      <c r="F7449">
        <v>5150</v>
      </c>
      <c r="J7449">
        <v>234.9</v>
      </c>
      <c r="K7449">
        <v>310.8</v>
      </c>
      <c r="L7449">
        <v>0</v>
      </c>
      <c r="M7449" t="s">
        <v>18</v>
      </c>
      <c r="N7449">
        <v>0</v>
      </c>
      <c r="O7449">
        <v>0</v>
      </c>
    </row>
    <row r="7450" spans="1:15" x14ac:dyDescent="0.2">
      <c r="A7450" s="6">
        <v>45777</v>
      </c>
      <c r="B7450" t="s">
        <v>15</v>
      </c>
      <c r="C7450" t="s">
        <v>16</v>
      </c>
      <c r="D7450" s="1">
        <v>45855</v>
      </c>
      <c r="E7450" t="s">
        <v>17</v>
      </c>
      <c r="F7450">
        <v>5000</v>
      </c>
      <c r="J7450">
        <v>293.89999999999998</v>
      </c>
      <c r="K7450">
        <v>385.1</v>
      </c>
      <c r="L7450">
        <v>0</v>
      </c>
      <c r="M7450" t="s">
        <v>18</v>
      </c>
      <c r="N7450">
        <v>0</v>
      </c>
      <c r="O7450">
        <v>0</v>
      </c>
    </row>
    <row r="7451" spans="1:15" x14ac:dyDescent="0.2">
      <c r="A7451" s="6">
        <v>45777</v>
      </c>
      <c r="B7451" t="s">
        <v>15</v>
      </c>
      <c r="C7451" t="s">
        <v>16</v>
      </c>
      <c r="D7451" s="1">
        <v>45855</v>
      </c>
      <c r="E7451" t="s">
        <v>17</v>
      </c>
      <c r="F7451">
        <v>4400</v>
      </c>
      <c r="J7451">
        <v>636.29999999999995</v>
      </c>
      <c r="K7451">
        <v>791.7</v>
      </c>
      <c r="L7451">
        <v>0</v>
      </c>
      <c r="M7451" t="s">
        <v>18</v>
      </c>
      <c r="N7451">
        <v>0</v>
      </c>
      <c r="O7451">
        <v>0</v>
      </c>
    </row>
    <row r="7452" spans="1:15" x14ac:dyDescent="0.2">
      <c r="A7452" s="6">
        <v>45777</v>
      </c>
      <c r="B7452" t="s">
        <v>15</v>
      </c>
      <c r="C7452" t="s">
        <v>16</v>
      </c>
      <c r="D7452" s="1">
        <v>45855</v>
      </c>
      <c r="E7452" t="s">
        <v>17</v>
      </c>
      <c r="F7452">
        <v>5300</v>
      </c>
      <c r="J7452">
        <v>185.6</v>
      </c>
      <c r="K7452">
        <v>247.5</v>
      </c>
      <c r="L7452">
        <v>0</v>
      </c>
      <c r="M7452" t="s">
        <v>18</v>
      </c>
      <c r="N7452">
        <v>0</v>
      </c>
      <c r="O7452">
        <v>0</v>
      </c>
    </row>
    <row r="7453" spans="1:15" x14ac:dyDescent="0.2">
      <c r="A7453" s="6">
        <v>45777</v>
      </c>
      <c r="B7453" t="s">
        <v>15</v>
      </c>
      <c r="C7453" t="s">
        <v>16</v>
      </c>
      <c r="D7453" s="1">
        <v>45855</v>
      </c>
      <c r="E7453" t="s">
        <v>17</v>
      </c>
      <c r="F7453">
        <v>4100</v>
      </c>
      <c r="J7453">
        <v>869</v>
      </c>
      <c r="K7453">
        <v>1049.5999999999999</v>
      </c>
      <c r="L7453">
        <v>0</v>
      </c>
      <c r="M7453" t="s">
        <v>18</v>
      </c>
      <c r="N7453">
        <v>0</v>
      </c>
      <c r="O7453">
        <v>0</v>
      </c>
    </row>
    <row r="7454" spans="1:15" x14ac:dyDescent="0.2">
      <c r="A7454" s="6">
        <v>45777</v>
      </c>
      <c r="B7454" t="s">
        <v>15</v>
      </c>
      <c r="C7454" t="s">
        <v>16</v>
      </c>
      <c r="D7454" s="1">
        <v>45855</v>
      </c>
      <c r="E7454" t="s">
        <v>19</v>
      </c>
      <c r="F7454">
        <v>4900</v>
      </c>
      <c r="J7454">
        <v>310.3</v>
      </c>
      <c r="K7454">
        <v>203.2</v>
      </c>
      <c r="L7454">
        <v>0</v>
      </c>
      <c r="M7454" t="s">
        <v>18</v>
      </c>
      <c r="N7454">
        <v>0</v>
      </c>
      <c r="O7454">
        <v>0</v>
      </c>
    </row>
    <row r="7455" spans="1:15" x14ac:dyDescent="0.2">
      <c r="A7455" s="6">
        <v>45777</v>
      </c>
      <c r="B7455" t="s">
        <v>15</v>
      </c>
      <c r="C7455" t="s">
        <v>16</v>
      </c>
      <c r="D7455" s="1">
        <v>45855</v>
      </c>
      <c r="E7455" t="s">
        <v>19</v>
      </c>
      <c r="F7455">
        <v>6150</v>
      </c>
      <c r="J7455">
        <v>1244.2</v>
      </c>
      <c r="K7455">
        <v>1048.5999999999999</v>
      </c>
      <c r="L7455">
        <v>0</v>
      </c>
      <c r="M7455" t="s">
        <v>18</v>
      </c>
      <c r="N7455">
        <v>0</v>
      </c>
      <c r="O7455">
        <v>0</v>
      </c>
    </row>
    <row r="7456" spans="1:15" x14ac:dyDescent="0.2">
      <c r="A7456" s="6">
        <v>45777</v>
      </c>
      <c r="B7456" t="s">
        <v>15</v>
      </c>
      <c r="C7456" t="s">
        <v>16</v>
      </c>
      <c r="D7456" s="1">
        <v>45855</v>
      </c>
      <c r="E7456" t="s">
        <v>19</v>
      </c>
      <c r="F7456">
        <v>6550</v>
      </c>
      <c r="J7456">
        <v>1616.3</v>
      </c>
      <c r="K7456">
        <v>1412.5</v>
      </c>
      <c r="L7456">
        <v>0</v>
      </c>
      <c r="M7456" t="s">
        <v>18</v>
      </c>
      <c r="N7456">
        <v>0</v>
      </c>
      <c r="O7456">
        <v>0</v>
      </c>
    </row>
    <row r="7457" spans="1:15" x14ac:dyDescent="0.2">
      <c r="A7457" s="6">
        <v>45777</v>
      </c>
      <c r="B7457" t="s">
        <v>15</v>
      </c>
      <c r="C7457" t="s">
        <v>16</v>
      </c>
      <c r="D7457" s="1">
        <v>45855</v>
      </c>
      <c r="E7457" t="s">
        <v>17</v>
      </c>
      <c r="F7457">
        <v>4750</v>
      </c>
      <c r="J7457">
        <v>415.4</v>
      </c>
      <c r="K7457">
        <v>533.79999999999995</v>
      </c>
      <c r="L7457">
        <v>0</v>
      </c>
      <c r="M7457" t="s">
        <v>18</v>
      </c>
      <c r="N7457">
        <v>0</v>
      </c>
      <c r="O7457">
        <v>0</v>
      </c>
    </row>
    <row r="7458" spans="1:15" x14ac:dyDescent="0.2">
      <c r="A7458" s="6">
        <v>45777</v>
      </c>
      <c r="B7458" t="s">
        <v>15</v>
      </c>
      <c r="C7458" t="s">
        <v>16</v>
      </c>
      <c r="D7458" s="1">
        <v>45855</v>
      </c>
      <c r="E7458" t="s">
        <v>17</v>
      </c>
      <c r="F7458">
        <v>4450</v>
      </c>
      <c r="J7458">
        <v>601.20000000000005</v>
      </c>
      <c r="K7458">
        <v>751.7</v>
      </c>
      <c r="L7458">
        <v>0</v>
      </c>
      <c r="M7458" t="s">
        <v>18</v>
      </c>
      <c r="N7458">
        <v>0</v>
      </c>
      <c r="O7458">
        <v>0</v>
      </c>
    </row>
    <row r="7459" spans="1:15" x14ac:dyDescent="0.2">
      <c r="A7459" s="6">
        <v>45777</v>
      </c>
      <c r="B7459" t="s">
        <v>15</v>
      </c>
      <c r="C7459" t="s">
        <v>16</v>
      </c>
      <c r="D7459" s="1">
        <v>45855</v>
      </c>
      <c r="E7459" t="s">
        <v>19</v>
      </c>
      <c r="F7459">
        <v>5250</v>
      </c>
      <c r="J7459">
        <v>517.6</v>
      </c>
      <c r="K7459">
        <v>374.9</v>
      </c>
      <c r="L7459">
        <v>0</v>
      </c>
      <c r="M7459" t="s">
        <v>18</v>
      </c>
      <c r="N7459">
        <v>0</v>
      </c>
      <c r="O7459">
        <v>0</v>
      </c>
    </row>
    <row r="7460" spans="1:15" x14ac:dyDescent="0.2">
      <c r="A7460" s="6">
        <v>45777</v>
      </c>
      <c r="B7460" t="s">
        <v>15</v>
      </c>
      <c r="C7460" t="s">
        <v>16</v>
      </c>
      <c r="D7460" s="1">
        <v>45855</v>
      </c>
      <c r="E7460" t="s">
        <v>17</v>
      </c>
      <c r="F7460">
        <v>4950</v>
      </c>
      <c r="J7460">
        <v>315.8</v>
      </c>
      <c r="K7460">
        <v>412.3</v>
      </c>
      <c r="L7460">
        <v>0</v>
      </c>
      <c r="M7460" t="s">
        <v>18</v>
      </c>
      <c r="N7460">
        <v>0</v>
      </c>
      <c r="O7460">
        <v>0</v>
      </c>
    </row>
    <row r="7461" spans="1:15" x14ac:dyDescent="0.2">
      <c r="A7461" s="6">
        <v>45777</v>
      </c>
      <c r="B7461" t="s">
        <v>15</v>
      </c>
      <c r="C7461" t="s">
        <v>16</v>
      </c>
      <c r="D7461" s="1">
        <v>45855</v>
      </c>
      <c r="E7461" t="s">
        <v>17</v>
      </c>
      <c r="F7461">
        <v>4900</v>
      </c>
      <c r="J7461">
        <v>338.9</v>
      </c>
      <c r="K7461">
        <v>440.8</v>
      </c>
      <c r="L7461">
        <v>0</v>
      </c>
      <c r="M7461" t="s">
        <v>18</v>
      </c>
      <c r="N7461">
        <v>0</v>
      </c>
      <c r="O7461">
        <v>0</v>
      </c>
    </row>
    <row r="7462" spans="1:15" x14ac:dyDescent="0.2">
      <c r="A7462" s="6">
        <v>45777</v>
      </c>
      <c r="B7462" t="s">
        <v>15</v>
      </c>
      <c r="C7462" t="s">
        <v>16</v>
      </c>
      <c r="D7462" s="1">
        <v>45855</v>
      </c>
      <c r="E7462" t="s">
        <v>17</v>
      </c>
      <c r="F7462">
        <v>4800</v>
      </c>
      <c r="J7462">
        <v>388.7</v>
      </c>
      <c r="K7462">
        <v>501.6</v>
      </c>
      <c r="L7462">
        <v>0</v>
      </c>
      <c r="M7462" t="s">
        <v>18</v>
      </c>
      <c r="N7462">
        <v>0</v>
      </c>
      <c r="O7462">
        <v>0</v>
      </c>
    </row>
    <row r="7463" spans="1:15" x14ac:dyDescent="0.2">
      <c r="A7463" s="6">
        <v>45777</v>
      </c>
      <c r="B7463" t="s">
        <v>15</v>
      </c>
      <c r="C7463" t="s">
        <v>16</v>
      </c>
      <c r="D7463" s="1">
        <v>45855</v>
      </c>
      <c r="E7463" t="s">
        <v>19</v>
      </c>
      <c r="F7463">
        <v>4200</v>
      </c>
      <c r="J7463">
        <v>68.5</v>
      </c>
      <c r="K7463">
        <v>32.700000000000003</v>
      </c>
      <c r="L7463">
        <v>0</v>
      </c>
      <c r="M7463" t="s">
        <v>18</v>
      </c>
      <c r="N7463">
        <v>0</v>
      </c>
      <c r="O7463">
        <v>0</v>
      </c>
    </row>
    <row r="7464" spans="1:15" x14ac:dyDescent="0.2">
      <c r="A7464" s="6">
        <v>45777</v>
      </c>
      <c r="B7464" t="s">
        <v>15</v>
      </c>
      <c r="C7464" t="s">
        <v>16</v>
      </c>
      <c r="D7464" s="1">
        <v>45855</v>
      </c>
      <c r="E7464" t="s">
        <v>17</v>
      </c>
      <c r="F7464">
        <v>5250</v>
      </c>
      <c r="J7464">
        <v>201</v>
      </c>
      <c r="K7464">
        <v>267.39999999999998</v>
      </c>
      <c r="L7464">
        <v>0</v>
      </c>
      <c r="M7464" t="s">
        <v>18</v>
      </c>
      <c r="N7464">
        <v>0</v>
      </c>
      <c r="O7464">
        <v>0</v>
      </c>
    </row>
    <row r="7465" spans="1:15" x14ac:dyDescent="0.2">
      <c r="A7465" s="6">
        <v>45777</v>
      </c>
      <c r="B7465" t="s">
        <v>15</v>
      </c>
      <c r="C7465" t="s">
        <v>16</v>
      </c>
      <c r="D7465" s="1">
        <v>45855</v>
      </c>
      <c r="E7465" t="s">
        <v>19</v>
      </c>
      <c r="F7465">
        <v>6050</v>
      </c>
      <c r="J7465">
        <v>1154.2</v>
      </c>
      <c r="K7465">
        <v>961.8</v>
      </c>
      <c r="L7465">
        <v>0</v>
      </c>
      <c r="M7465" t="s">
        <v>18</v>
      </c>
      <c r="N7465">
        <v>0</v>
      </c>
      <c r="O7465">
        <v>0</v>
      </c>
    </row>
    <row r="7466" spans="1:15" x14ac:dyDescent="0.2">
      <c r="A7466" s="6">
        <v>45777</v>
      </c>
      <c r="B7466" t="s">
        <v>15</v>
      </c>
      <c r="C7466" t="s">
        <v>16</v>
      </c>
      <c r="D7466" s="1">
        <v>45855</v>
      </c>
      <c r="E7466" t="s">
        <v>17</v>
      </c>
      <c r="F7466">
        <v>5700</v>
      </c>
      <c r="J7466">
        <v>93.7</v>
      </c>
      <c r="K7466">
        <v>126.5</v>
      </c>
      <c r="L7466">
        <v>0</v>
      </c>
      <c r="M7466" t="s">
        <v>18</v>
      </c>
      <c r="N7466">
        <v>0</v>
      </c>
      <c r="O7466">
        <v>0</v>
      </c>
    </row>
    <row r="7467" spans="1:15" x14ac:dyDescent="0.2">
      <c r="A7467" s="6">
        <v>45777</v>
      </c>
      <c r="B7467" t="s">
        <v>15</v>
      </c>
      <c r="C7467" t="s">
        <v>16</v>
      </c>
      <c r="D7467" s="1">
        <v>45855</v>
      </c>
      <c r="E7467" t="s">
        <v>19</v>
      </c>
      <c r="F7467">
        <v>6650</v>
      </c>
      <c r="J7467">
        <v>1711.5</v>
      </c>
      <c r="K7467">
        <v>1506.5</v>
      </c>
      <c r="L7467">
        <v>0</v>
      </c>
      <c r="M7467" t="s">
        <v>18</v>
      </c>
      <c r="N7467">
        <v>0</v>
      </c>
      <c r="O7467">
        <v>0</v>
      </c>
    </row>
    <row r="7468" spans="1:15" x14ac:dyDescent="0.2">
      <c r="A7468" s="6">
        <v>45777</v>
      </c>
      <c r="B7468" t="s">
        <v>15</v>
      </c>
      <c r="C7468" t="s">
        <v>16</v>
      </c>
      <c r="D7468" s="1">
        <v>45855</v>
      </c>
      <c r="E7468" t="s">
        <v>17</v>
      </c>
      <c r="F7468">
        <v>4650</v>
      </c>
      <c r="J7468">
        <v>472.5</v>
      </c>
      <c r="K7468">
        <v>601.9</v>
      </c>
      <c r="L7468">
        <v>0</v>
      </c>
      <c r="M7468" t="s">
        <v>18</v>
      </c>
      <c r="N7468">
        <v>0</v>
      </c>
      <c r="O7468">
        <v>0</v>
      </c>
    </row>
    <row r="7469" spans="1:15" x14ac:dyDescent="0.2">
      <c r="A7469" s="6">
        <v>45777</v>
      </c>
      <c r="B7469" t="s">
        <v>15</v>
      </c>
      <c r="C7469" t="s">
        <v>16</v>
      </c>
      <c r="D7469" s="1">
        <v>45855</v>
      </c>
      <c r="E7469" t="s">
        <v>19</v>
      </c>
      <c r="F7469">
        <v>5100</v>
      </c>
      <c r="J7469">
        <v>422.1</v>
      </c>
      <c r="K7469">
        <v>293.89999999999998</v>
      </c>
      <c r="L7469">
        <v>0</v>
      </c>
      <c r="M7469" t="s">
        <v>18</v>
      </c>
      <c r="N7469">
        <v>0</v>
      </c>
      <c r="O7469">
        <v>0</v>
      </c>
    </row>
    <row r="7470" spans="1:15" x14ac:dyDescent="0.2">
      <c r="A7470" s="6">
        <v>45777</v>
      </c>
      <c r="B7470" t="s">
        <v>15</v>
      </c>
      <c r="C7470" t="s">
        <v>16</v>
      </c>
      <c r="D7470" s="1">
        <v>45855</v>
      </c>
      <c r="E7470" t="s">
        <v>17</v>
      </c>
      <c r="F7470">
        <v>4200</v>
      </c>
      <c r="J7470">
        <v>787.5</v>
      </c>
      <c r="K7470">
        <v>960.6</v>
      </c>
      <c r="L7470">
        <v>0</v>
      </c>
      <c r="M7470" t="s">
        <v>18</v>
      </c>
      <c r="N7470">
        <v>0</v>
      </c>
      <c r="O7470">
        <v>0</v>
      </c>
    </row>
    <row r="7471" spans="1:15" x14ac:dyDescent="0.2">
      <c r="A7471" s="6">
        <v>45777</v>
      </c>
      <c r="B7471" t="s">
        <v>15</v>
      </c>
      <c r="C7471" t="s">
        <v>16</v>
      </c>
      <c r="D7471" s="1">
        <v>45855</v>
      </c>
      <c r="E7471" t="s">
        <v>17</v>
      </c>
      <c r="F7471">
        <v>5100</v>
      </c>
      <c r="J7471">
        <v>253.5</v>
      </c>
      <c r="K7471">
        <v>334.3</v>
      </c>
      <c r="L7471">
        <v>0</v>
      </c>
      <c r="M7471" t="s">
        <v>18</v>
      </c>
      <c r="N7471">
        <v>0</v>
      </c>
      <c r="O7471">
        <v>0</v>
      </c>
    </row>
    <row r="7472" spans="1:15" x14ac:dyDescent="0.2">
      <c r="A7472" s="6">
        <v>45777</v>
      </c>
      <c r="B7472" t="s">
        <v>15</v>
      </c>
      <c r="C7472" t="s">
        <v>16</v>
      </c>
      <c r="D7472" s="1">
        <v>45855</v>
      </c>
      <c r="E7472" t="s">
        <v>19</v>
      </c>
      <c r="F7472">
        <v>4700</v>
      </c>
      <c r="J7472">
        <v>217.5</v>
      </c>
      <c r="K7472">
        <v>132.4</v>
      </c>
      <c r="L7472">
        <v>0</v>
      </c>
      <c r="M7472" t="s">
        <v>18</v>
      </c>
      <c r="N7472">
        <v>0</v>
      </c>
      <c r="O7472">
        <v>0</v>
      </c>
    </row>
    <row r="7473" spans="1:15" x14ac:dyDescent="0.2">
      <c r="A7473" s="6">
        <v>45777</v>
      </c>
      <c r="B7473" t="s">
        <v>15</v>
      </c>
      <c r="C7473" t="s">
        <v>16</v>
      </c>
      <c r="D7473" s="1">
        <v>45855</v>
      </c>
      <c r="E7473" t="s">
        <v>19</v>
      </c>
      <c r="F7473">
        <v>6400</v>
      </c>
      <c r="J7473">
        <v>1474.8</v>
      </c>
      <c r="K7473">
        <v>1273.4000000000001</v>
      </c>
      <c r="L7473">
        <v>0</v>
      </c>
      <c r="M7473" t="s">
        <v>18</v>
      </c>
      <c r="N7473">
        <v>0</v>
      </c>
      <c r="O7473">
        <v>0</v>
      </c>
    </row>
    <row r="7474" spans="1:15" x14ac:dyDescent="0.2">
      <c r="A7474" s="6">
        <v>45777</v>
      </c>
      <c r="B7474" t="s">
        <v>15</v>
      </c>
      <c r="C7474" t="s">
        <v>16</v>
      </c>
      <c r="D7474" s="1">
        <v>45855</v>
      </c>
      <c r="E7474" t="s">
        <v>17</v>
      </c>
      <c r="F7474">
        <v>6050</v>
      </c>
      <c r="J7474">
        <v>48.6</v>
      </c>
      <c r="K7474">
        <v>65.400000000000006</v>
      </c>
      <c r="L7474">
        <v>0</v>
      </c>
      <c r="M7474" t="s">
        <v>18</v>
      </c>
      <c r="N7474">
        <v>0</v>
      </c>
      <c r="O7474">
        <v>0</v>
      </c>
    </row>
    <row r="7475" spans="1:15" x14ac:dyDescent="0.2">
      <c r="A7475" s="6">
        <v>45777</v>
      </c>
      <c r="B7475" t="s">
        <v>15</v>
      </c>
      <c r="C7475" t="s">
        <v>16</v>
      </c>
      <c r="D7475" s="1">
        <v>45855</v>
      </c>
      <c r="E7475" t="s">
        <v>19</v>
      </c>
      <c r="F7475">
        <v>5450</v>
      </c>
      <c r="J7475">
        <v>658.8</v>
      </c>
      <c r="K7475">
        <v>499.2</v>
      </c>
      <c r="L7475">
        <v>0</v>
      </c>
      <c r="M7475" t="s">
        <v>18</v>
      </c>
      <c r="N7475">
        <v>0</v>
      </c>
      <c r="O7475">
        <v>0</v>
      </c>
    </row>
    <row r="7476" spans="1:15" x14ac:dyDescent="0.2">
      <c r="A7476" s="6">
        <v>45777</v>
      </c>
      <c r="B7476" t="s">
        <v>15</v>
      </c>
      <c r="C7476" t="s">
        <v>16</v>
      </c>
      <c r="D7476" s="1">
        <v>45855</v>
      </c>
      <c r="E7476" t="s">
        <v>17</v>
      </c>
      <c r="F7476">
        <v>6650</v>
      </c>
      <c r="J7476">
        <v>14.1</v>
      </c>
      <c r="K7476">
        <v>18.5</v>
      </c>
      <c r="L7476">
        <v>0</v>
      </c>
      <c r="M7476" t="s">
        <v>18</v>
      </c>
      <c r="N7476">
        <v>0</v>
      </c>
      <c r="O7476">
        <v>0</v>
      </c>
    </row>
    <row r="7477" spans="1:15" x14ac:dyDescent="0.2">
      <c r="A7477" s="6">
        <v>45777</v>
      </c>
      <c r="B7477" t="s">
        <v>15</v>
      </c>
      <c r="C7477" t="s">
        <v>16</v>
      </c>
      <c r="D7477" s="1">
        <v>45855</v>
      </c>
      <c r="E7477" t="s">
        <v>19</v>
      </c>
      <c r="F7477">
        <v>4550</v>
      </c>
      <c r="J7477">
        <v>160.69999999999999</v>
      </c>
      <c r="K7477">
        <v>91.8</v>
      </c>
      <c r="L7477">
        <v>0</v>
      </c>
      <c r="M7477" t="s">
        <v>18</v>
      </c>
      <c r="N7477">
        <v>0</v>
      </c>
      <c r="O7477">
        <v>0</v>
      </c>
    </row>
    <row r="7478" spans="1:15" x14ac:dyDescent="0.2">
      <c r="A7478" s="6">
        <v>45777</v>
      </c>
      <c r="B7478" t="s">
        <v>15</v>
      </c>
      <c r="C7478" t="s">
        <v>16</v>
      </c>
      <c r="D7478" s="1">
        <v>45855</v>
      </c>
      <c r="E7478" t="s">
        <v>19</v>
      </c>
      <c r="F7478">
        <v>5700</v>
      </c>
      <c r="J7478">
        <v>854.2</v>
      </c>
      <c r="K7478">
        <v>677.7</v>
      </c>
      <c r="L7478">
        <v>0</v>
      </c>
      <c r="M7478" t="s">
        <v>18</v>
      </c>
      <c r="N7478">
        <v>0</v>
      </c>
      <c r="O7478">
        <v>0</v>
      </c>
    </row>
    <row r="7479" spans="1:15" x14ac:dyDescent="0.2">
      <c r="A7479" s="6">
        <v>45777</v>
      </c>
      <c r="B7479" t="s">
        <v>15</v>
      </c>
      <c r="C7479" t="s">
        <v>16</v>
      </c>
      <c r="D7479" s="1">
        <v>45855</v>
      </c>
      <c r="E7479" t="s">
        <v>17</v>
      </c>
      <c r="F7479">
        <v>6550</v>
      </c>
      <c r="J7479">
        <v>17.5</v>
      </c>
      <c r="K7479">
        <v>23</v>
      </c>
      <c r="L7479">
        <v>0</v>
      </c>
      <c r="M7479" t="s">
        <v>18</v>
      </c>
      <c r="N7479">
        <v>0</v>
      </c>
      <c r="O7479">
        <v>0</v>
      </c>
    </row>
    <row r="7480" spans="1:15" x14ac:dyDescent="0.2">
      <c r="A7480" s="6">
        <v>45777</v>
      </c>
      <c r="B7480" t="s">
        <v>15</v>
      </c>
      <c r="C7480" t="s">
        <v>16</v>
      </c>
      <c r="D7480" s="1">
        <v>45855</v>
      </c>
      <c r="E7480" t="s">
        <v>19</v>
      </c>
      <c r="F7480">
        <v>5300</v>
      </c>
      <c r="J7480">
        <v>551.5</v>
      </c>
      <c r="K7480">
        <v>404.3</v>
      </c>
      <c r="L7480">
        <v>0</v>
      </c>
      <c r="M7480" t="s">
        <v>18</v>
      </c>
      <c r="N7480">
        <v>0</v>
      </c>
      <c r="O7480">
        <v>0</v>
      </c>
    </row>
    <row r="7481" spans="1:15" x14ac:dyDescent="0.2">
      <c r="A7481" s="6">
        <v>45777</v>
      </c>
      <c r="B7481" t="s">
        <v>15</v>
      </c>
      <c r="C7481" t="s">
        <v>16</v>
      </c>
      <c r="D7481" s="1">
        <v>45855</v>
      </c>
      <c r="E7481" t="s">
        <v>19</v>
      </c>
      <c r="F7481">
        <v>5400</v>
      </c>
      <c r="J7481">
        <v>622.1</v>
      </c>
      <c r="K7481">
        <v>466.5</v>
      </c>
      <c r="L7481">
        <v>0</v>
      </c>
      <c r="M7481" t="s">
        <v>18</v>
      </c>
      <c r="N7481">
        <v>0</v>
      </c>
      <c r="O7481">
        <v>0</v>
      </c>
    </row>
    <row r="7482" spans="1:15" x14ac:dyDescent="0.2">
      <c r="A7482" s="6">
        <v>45777</v>
      </c>
      <c r="B7482" t="s">
        <v>15</v>
      </c>
      <c r="C7482" t="s">
        <v>16</v>
      </c>
      <c r="D7482" s="1">
        <v>45855</v>
      </c>
      <c r="E7482" t="s">
        <v>19</v>
      </c>
      <c r="F7482">
        <v>5050</v>
      </c>
      <c r="J7482">
        <v>392.4</v>
      </c>
      <c r="K7482">
        <v>269.3</v>
      </c>
      <c r="L7482">
        <v>0</v>
      </c>
      <c r="M7482" t="s">
        <v>18</v>
      </c>
      <c r="N7482">
        <v>0</v>
      </c>
      <c r="O7482">
        <v>0</v>
      </c>
    </row>
    <row r="7483" spans="1:15" x14ac:dyDescent="0.2">
      <c r="A7483" s="6">
        <v>45777</v>
      </c>
      <c r="B7483" t="s">
        <v>15</v>
      </c>
      <c r="C7483" t="s">
        <v>16</v>
      </c>
      <c r="D7483" s="1">
        <v>45855</v>
      </c>
      <c r="E7483" t="s">
        <v>19</v>
      </c>
      <c r="F7483">
        <v>4450</v>
      </c>
      <c r="J7483">
        <v>128.80000000000001</v>
      </c>
      <c r="K7483">
        <v>70.2</v>
      </c>
      <c r="L7483">
        <v>0</v>
      </c>
      <c r="M7483" t="s">
        <v>18</v>
      </c>
      <c r="N7483">
        <v>0</v>
      </c>
      <c r="O7483">
        <v>0</v>
      </c>
    </row>
    <row r="7484" spans="1:15" x14ac:dyDescent="0.2">
      <c r="A7484" s="6">
        <v>45777</v>
      </c>
      <c r="B7484" t="s">
        <v>15</v>
      </c>
      <c r="C7484" t="s">
        <v>16</v>
      </c>
      <c r="D7484" s="1">
        <v>45855</v>
      </c>
      <c r="E7484" t="s">
        <v>17</v>
      </c>
      <c r="F7484">
        <v>5750</v>
      </c>
      <c r="J7484">
        <v>85.6</v>
      </c>
      <c r="K7484">
        <v>115.6</v>
      </c>
      <c r="L7484">
        <v>0</v>
      </c>
      <c r="M7484" t="s">
        <v>18</v>
      </c>
      <c r="N7484">
        <v>0</v>
      </c>
      <c r="O7484">
        <v>0</v>
      </c>
    </row>
    <row r="7485" spans="1:15" x14ac:dyDescent="0.2">
      <c r="A7485" s="6">
        <v>45777</v>
      </c>
      <c r="B7485" t="s">
        <v>15</v>
      </c>
      <c r="C7485" t="s">
        <v>16</v>
      </c>
      <c r="D7485" s="1">
        <v>45855</v>
      </c>
      <c r="E7485" t="s">
        <v>19</v>
      </c>
      <c r="F7485">
        <v>6200</v>
      </c>
      <c r="J7485">
        <v>1289.7</v>
      </c>
      <c r="K7485">
        <v>1092.7</v>
      </c>
      <c r="L7485">
        <v>0</v>
      </c>
      <c r="M7485" t="s">
        <v>18</v>
      </c>
      <c r="N7485">
        <v>0</v>
      </c>
      <c r="O7485">
        <v>0</v>
      </c>
    </row>
    <row r="7486" spans="1:15" x14ac:dyDescent="0.2">
      <c r="A7486" s="6">
        <v>45777</v>
      </c>
      <c r="B7486" t="s">
        <v>15</v>
      </c>
      <c r="C7486" t="s">
        <v>16</v>
      </c>
      <c r="D7486" s="1">
        <v>45855</v>
      </c>
      <c r="E7486" t="s">
        <v>19</v>
      </c>
      <c r="F7486">
        <v>4600</v>
      </c>
      <c r="J7486">
        <v>178.4</v>
      </c>
      <c r="K7486">
        <v>104.2</v>
      </c>
      <c r="L7486">
        <v>0</v>
      </c>
      <c r="M7486" t="s">
        <v>18</v>
      </c>
      <c r="N7486">
        <v>0</v>
      </c>
      <c r="O7486">
        <v>0</v>
      </c>
    </row>
    <row r="7487" spans="1:15" x14ac:dyDescent="0.2">
      <c r="A7487" s="6">
        <v>45777</v>
      </c>
      <c r="B7487" t="s">
        <v>15</v>
      </c>
      <c r="C7487" t="s">
        <v>16</v>
      </c>
      <c r="D7487" s="1">
        <v>45855</v>
      </c>
      <c r="E7487" t="s">
        <v>19</v>
      </c>
      <c r="F7487">
        <v>4950</v>
      </c>
      <c r="J7487">
        <v>336.5</v>
      </c>
      <c r="K7487">
        <v>224</v>
      </c>
      <c r="L7487">
        <v>0</v>
      </c>
      <c r="M7487" t="s">
        <v>18</v>
      </c>
      <c r="N7487">
        <v>0</v>
      </c>
      <c r="O7487">
        <v>0</v>
      </c>
    </row>
    <row r="7488" spans="1:15" x14ac:dyDescent="0.2">
      <c r="A7488" s="6">
        <v>45777</v>
      </c>
      <c r="B7488" t="s">
        <v>15</v>
      </c>
      <c r="C7488" t="s">
        <v>16</v>
      </c>
      <c r="D7488" s="1">
        <v>45855</v>
      </c>
      <c r="E7488" t="s">
        <v>19</v>
      </c>
      <c r="F7488">
        <v>4250</v>
      </c>
      <c r="J7488">
        <v>78.400000000000006</v>
      </c>
      <c r="K7488">
        <v>38.5</v>
      </c>
      <c r="L7488">
        <v>0</v>
      </c>
      <c r="M7488" t="s">
        <v>18</v>
      </c>
      <c r="N7488">
        <v>0</v>
      </c>
      <c r="O7488">
        <v>0</v>
      </c>
    </row>
    <row r="7489" spans="1:15" x14ac:dyDescent="0.2">
      <c r="A7489" s="6">
        <v>45777</v>
      </c>
      <c r="B7489" t="s">
        <v>15</v>
      </c>
      <c r="C7489" t="s">
        <v>16</v>
      </c>
      <c r="D7489" s="1">
        <v>45855</v>
      </c>
      <c r="E7489" t="s">
        <v>17</v>
      </c>
      <c r="F7489">
        <v>5600</v>
      </c>
      <c r="J7489">
        <v>112</v>
      </c>
      <c r="K7489">
        <v>150.9</v>
      </c>
      <c r="L7489">
        <v>0</v>
      </c>
      <c r="M7489" t="s">
        <v>18</v>
      </c>
      <c r="N7489">
        <v>0</v>
      </c>
      <c r="O7489">
        <v>0</v>
      </c>
    </row>
    <row r="7490" spans="1:15" x14ac:dyDescent="0.2">
      <c r="A7490" s="6">
        <v>45777</v>
      </c>
      <c r="B7490" t="s">
        <v>15</v>
      </c>
      <c r="C7490" t="s">
        <v>16</v>
      </c>
      <c r="D7490" s="1">
        <v>45855</v>
      </c>
      <c r="E7490" t="s">
        <v>19</v>
      </c>
      <c r="F7490">
        <v>5900</v>
      </c>
      <c r="J7490">
        <v>1022.5</v>
      </c>
      <c r="K7490">
        <v>835.9</v>
      </c>
      <c r="L7490">
        <v>0</v>
      </c>
      <c r="M7490" t="s">
        <v>18</v>
      </c>
      <c r="N7490">
        <v>0</v>
      </c>
      <c r="O7490">
        <v>0</v>
      </c>
    </row>
    <row r="7491" spans="1:15" x14ac:dyDescent="0.2">
      <c r="A7491" s="6">
        <v>45777</v>
      </c>
      <c r="B7491" t="s">
        <v>15</v>
      </c>
      <c r="C7491" t="s">
        <v>16</v>
      </c>
      <c r="D7491" s="1">
        <v>45855</v>
      </c>
      <c r="E7491" t="s">
        <v>17</v>
      </c>
      <c r="F7491">
        <v>6400</v>
      </c>
      <c r="J7491">
        <v>24</v>
      </c>
      <c r="K7491">
        <v>31.9</v>
      </c>
      <c r="L7491">
        <v>0</v>
      </c>
      <c r="M7491" t="s">
        <v>18</v>
      </c>
      <c r="N7491">
        <v>0</v>
      </c>
      <c r="O7491">
        <v>0</v>
      </c>
    </row>
    <row r="7492" spans="1:15" x14ac:dyDescent="0.2">
      <c r="A7492" s="6">
        <v>45777</v>
      </c>
      <c r="B7492" t="s">
        <v>15</v>
      </c>
      <c r="C7492" t="s">
        <v>16</v>
      </c>
      <c r="D7492" s="1">
        <v>45855</v>
      </c>
      <c r="E7492" t="s">
        <v>17</v>
      </c>
      <c r="F7492">
        <v>6500</v>
      </c>
      <c r="J7492">
        <v>19.399999999999999</v>
      </c>
      <c r="K7492">
        <v>25.7</v>
      </c>
      <c r="L7492">
        <v>0</v>
      </c>
      <c r="M7492" t="s">
        <v>18</v>
      </c>
      <c r="N7492">
        <v>0</v>
      </c>
      <c r="O7492">
        <v>0</v>
      </c>
    </row>
    <row r="7493" spans="1:15" x14ac:dyDescent="0.2">
      <c r="A7493" s="6">
        <v>45777</v>
      </c>
      <c r="B7493" t="s">
        <v>15</v>
      </c>
      <c r="C7493" t="s">
        <v>16</v>
      </c>
      <c r="D7493" s="1">
        <v>45855</v>
      </c>
      <c r="E7493" t="s">
        <v>17</v>
      </c>
      <c r="F7493">
        <v>4850</v>
      </c>
      <c r="J7493">
        <v>363.2</v>
      </c>
      <c r="K7493">
        <v>470.6</v>
      </c>
      <c r="L7493">
        <v>0</v>
      </c>
      <c r="M7493" t="s">
        <v>18</v>
      </c>
      <c r="N7493">
        <v>0</v>
      </c>
      <c r="O7493">
        <v>0</v>
      </c>
    </row>
    <row r="7494" spans="1:15" x14ac:dyDescent="0.2">
      <c r="A7494" s="6">
        <v>45777</v>
      </c>
      <c r="B7494" t="s">
        <v>15</v>
      </c>
      <c r="C7494" t="s">
        <v>16</v>
      </c>
      <c r="D7494" s="1">
        <v>45855</v>
      </c>
      <c r="E7494" t="s">
        <v>19</v>
      </c>
      <c r="F7494">
        <v>5350</v>
      </c>
      <c r="J7494">
        <v>586.4</v>
      </c>
      <c r="K7494">
        <v>434.8</v>
      </c>
      <c r="L7494">
        <v>0</v>
      </c>
      <c r="M7494" t="s">
        <v>18</v>
      </c>
      <c r="N7494">
        <v>0</v>
      </c>
      <c r="O7494">
        <v>0</v>
      </c>
    </row>
    <row r="7495" spans="1:15" x14ac:dyDescent="0.2">
      <c r="A7495" s="6">
        <v>45777</v>
      </c>
      <c r="B7495" t="s">
        <v>15</v>
      </c>
      <c r="C7495" t="s">
        <v>16</v>
      </c>
      <c r="D7495" s="1">
        <v>45855</v>
      </c>
      <c r="E7495" t="s">
        <v>19</v>
      </c>
      <c r="F7495">
        <v>5000</v>
      </c>
      <c r="J7495">
        <v>363.9</v>
      </c>
      <c r="K7495">
        <v>246</v>
      </c>
      <c r="L7495">
        <v>0</v>
      </c>
      <c r="M7495" t="s">
        <v>18</v>
      </c>
      <c r="N7495">
        <v>0</v>
      </c>
      <c r="O7495">
        <v>0</v>
      </c>
    </row>
    <row r="7496" spans="1:15" x14ac:dyDescent="0.2">
      <c r="A7496" s="6">
        <v>45777</v>
      </c>
      <c r="B7496" t="s">
        <v>15</v>
      </c>
      <c r="C7496" t="s">
        <v>16</v>
      </c>
      <c r="D7496" s="1">
        <v>45855</v>
      </c>
      <c r="E7496" t="s">
        <v>17</v>
      </c>
      <c r="F7496">
        <v>4250</v>
      </c>
      <c r="J7496">
        <v>748.2</v>
      </c>
      <c r="K7496">
        <v>917.2</v>
      </c>
      <c r="L7496">
        <v>0</v>
      </c>
      <c r="M7496" t="s">
        <v>18</v>
      </c>
      <c r="N7496">
        <v>0</v>
      </c>
      <c r="O7496">
        <v>0</v>
      </c>
    </row>
    <row r="7497" spans="1:15" x14ac:dyDescent="0.2">
      <c r="A7497" s="6">
        <v>45777</v>
      </c>
      <c r="B7497" t="s">
        <v>15</v>
      </c>
      <c r="C7497" t="s">
        <v>16</v>
      </c>
      <c r="D7497" s="1">
        <v>45855</v>
      </c>
      <c r="E7497" t="s">
        <v>17</v>
      </c>
      <c r="F7497">
        <v>4000</v>
      </c>
      <c r="J7497">
        <v>953.9</v>
      </c>
      <c r="K7497">
        <v>1141</v>
      </c>
      <c r="L7497">
        <v>0</v>
      </c>
      <c r="M7497" t="s">
        <v>18</v>
      </c>
      <c r="N7497">
        <v>0</v>
      </c>
      <c r="O7497">
        <v>0</v>
      </c>
    </row>
    <row r="7498" spans="1:15" x14ac:dyDescent="0.2">
      <c r="A7498" s="6">
        <v>45777</v>
      </c>
      <c r="B7498" t="s">
        <v>15</v>
      </c>
      <c r="C7498" t="s">
        <v>16</v>
      </c>
      <c r="D7498" s="1">
        <v>45855</v>
      </c>
      <c r="E7498" t="s">
        <v>17</v>
      </c>
      <c r="F7498">
        <v>6000</v>
      </c>
      <c r="J7498">
        <v>53.5</v>
      </c>
      <c r="K7498">
        <v>72.2</v>
      </c>
      <c r="L7498">
        <v>0</v>
      </c>
      <c r="M7498" t="s">
        <v>18</v>
      </c>
      <c r="N7498">
        <v>0</v>
      </c>
      <c r="O7498">
        <v>0</v>
      </c>
    </row>
    <row r="7499" spans="1:15" x14ac:dyDescent="0.2">
      <c r="A7499" s="6">
        <v>45777</v>
      </c>
      <c r="B7499" t="s">
        <v>15</v>
      </c>
      <c r="C7499" t="s">
        <v>16</v>
      </c>
      <c r="D7499" s="1">
        <v>45855</v>
      </c>
      <c r="E7499" t="s">
        <v>19</v>
      </c>
      <c r="F7499">
        <v>4100</v>
      </c>
      <c r="J7499">
        <v>51.3</v>
      </c>
      <c r="K7499">
        <v>23</v>
      </c>
      <c r="L7499">
        <v>0</v>
      </c>
      <c r="M7499" t="s">
        <v>18</v>
      </c>
      <c r="N7499">
        <v>0</v>
      </c>
      <c r="O7499">
        <v>0</v>
      </c>
    </row>
    <row r="7500" spans="1:15" x14ac:dyDescent="0.2">
      <c r="A7500" s="6">
        <v>45777</v>
      </c>
      <c r="B7500" t="s">
        <v>15</v>
      </c>
      <c r="C7500" t="s">
        <v>16</v>
      </c>
      <c r="D7500" s="1">
        <v>45855</v>
      </c>
      <c r="E7500" t="s">
        <v>17</v>
      </c>
      <c r="F7500">
        <v>4550</v>
      </c>
      <c r="J7500">
        <v>534.5</v>
      </c>
      <c r="K7500">
        <v>674.6</v>
      </c>
      <c r="L7500">
        <v>0</v>
      </c>
      <c r="M7500" t="s">
        <v>18</v>
      </c>
      <c r="N7500">
        <v>0</v>
      </c>
      <c r="O7500">
        <v>0</v>
      </c>
    </row>
    <row r="7501" spans="1:15" x14ac:dyDescent="0.2">
      <c r="A7501" s="6">
        <v>45777</v>
      </c>
      <c r="B7501" t="s">
        <v>15</v>
      </c>
      <c r="C7501" t="s">
        <v>16</v>
      </c>
      <c r="D7501" s="1">
        <v>45855</v>
      </c>
      <c r="E7501" t="s">
        <v>19</v>
      </c>
      <c r="F7501">
        <v>4050</v>
      </c>
      <c r="J7501">
        <v>44.1</v>
      </c>
      <c r="K7501">
        <v>19.100000000000001</v>
      </c>
      <c r="L7501">
        <v>0</v>
      </c>
      <c r="M7501" t="s">
        <v>18</v>
      </c>
      <c r="N7501">
        <v>0</v>
      </c>
      <c r="O7501">
        <v>0</v>
      </c>
    </row>
    <row r="7502" spans="1:15" x14ac:dyDescent="0.2">
      <c r="A7502" s="6">
        <v>45777</v>
      </c>
      <c r="B7502" t="s">
        <v>15</v>
      </c>
      <c r="C7502" t="s">
        <v>16</v>
      </c>
      <c r="D7502" s="1">
        <v>45855</v>
      </c>
      <c r="E7502" t="s">
        <v>17</v>
      </c>
      <c r="F7502">
        <v>6300</v>
      </c>
      <c r="J7502">
        <v>29.5</v>
      </c>
      <c r="K7502">
        <v>39.4</v>
      </c>
      <c r="L7502">
        <v>0</v>
      </c>
      <c r="M7502" t="s">
        <v>18</v>
      </c>
      <c r="N7502">
        <v>0</v>
      </c>
      <c r="O7502">
        <v>0</v>
      </c>
    </row>
    <row r="7503" spans="1:15" x14ac:dyDescent="0.2">
      <c r="A7503" s="6">
        <v>45777</v>
      </c>
      <c r="B7503" t="s">
        <v>15</v>
      </c>
      <c r="C7503" t="s">
        <v>16</v>
      </c>
      <c r="D7503" s="1">
        <v>45855</v>
      </c>
      <c r="E7503" t="s">
        <v>19</v>
      </c>
      <c r="F7503">
        <v>4500</v>
      </c>
      <c r="J7503">
        <v>144.1</v>
      </c>
      <c r="K7503">
        <v>80.5</v>
      </c>
      <c r="L7503">
        <v>0</v>
      </c>
      <c r="M7503" t="s">
        <v>18</v>
      </c>
      <c r="N7503">
        <v>0</v>
      </c>
      <c r="O7503">
        <v>0</v>
      </c>
    </row>
    <row r="7504" spans="1:15" x14ac:dyDescent="0.2">
      <c r="A7504" s="6">
        <v>45777</v>
      </c>
      <c r="B7504" t="s">
        <v>15</v>
      </c>
      <c r="C7504" t="s">
        <v>16</v>
      </c>
      <c r="D7504" s="1">
        <v>45855</v>
      </c>
      <c r="E7504" t="s">
        <v>19</v>
      </c>
      <c r="F7504">
        <v>4400</v>
      </c>
      <c r="J7504">
        <v>114.6</v>
      </c>
      <c r="K7504">
        <v>61</v>
      </c>
      <c r="L7504">
        <v>0</v>
      </c>
      <c r="M7504" t="s">
        <v>18</v>
      </c>
      <c r="N7504">
        <v>0</v>
      </c>
      <c r="O7504">
        <v>0</v>
      </c>
    </row>
    <row r="7505" spans="1:15" x14ac:dyDescent="0.2">
      <c r="A7505" s="6">
        <v>45777</v>
      </c>
      <c r="B7505" t="s">
        <v>15</v>
      </c>
      <c r="C7505" t="s">
        <v>16</v>
      </c>
      <c r="D7505" s="1">
        <v>45855</v>
      </c>
      <c r="E7505" t="s">
        <v>17</v>
      </c>
      <c r="F7505">
        <v>5800</v>
      </c>
      <c r="J7505">
        <v>78.099999999999994</v>
      </c>
      <c r="K7505">
        <v>105.5</v>
      </c>
      <c r="L7505">
        <v>0</v>
      </c>
      <c r="M7505" t="s">
        <v>18</v>
      </c>
      <c r="N7505">
        <v>0</v>
      </c>
      <c r="O7505">
        <v>0</v>
      </c>
    </row>
    <row r="7506" spans="1:15" x14ac:dyDescent="0.2">
      <c r="A7506" s="6">
        <v>45777</v>
      </c>
      <c r="B7506" t="s">
        <v>15</v>
      </c>
      <c r="C7506" t="s">
        <v>16</v>
      </c>
      <c r="D7506" s="1">
        <v>45855</v>
      </c>
      <c r="E7506" t="s">
        <v>17</v>
      </c>
      <c r="F7506">
        <v>6350</v>
      </c>
      <c r="J7506">
        <v>26.6</v>
      </c>
      <c r="K7506">
        <v>35.5</v>
      </c>
      <c r="L7506">
        <v>0</v>
      </c>
      <c r="M7506" t="s">
        <v>18</v>
      </c>
      <c r="N7506">
        <v>0</v>
      </c>
      <c r="O7506">
        <v>0</v>
      </c>
    </row>
    <row r="7507" spans="1:15" x14ac:dyDescent="0.2">
      <c r="A7507" s="6">
        <v>45777</v>
      </c>
      <c r="B7507" t="s">
        <v>15</v>
      </c>
      <c r="C7507" t="s">
        <v>16</v>
      </c>
      <c r="D7507" s="1">
        <v>45855</v>
      </c>
      <c r="E7507" t="s">
        <v>19</v>
      </c>
      <c r="F7507">
        <v>4650</v>
      </c>
      <c r="J7507">
        <v>197.3</v>
      </c>
      <c r="K7507">
        <v>117.7</v>
      </c>
      <c r="L7507">
        <v>0</v>
      </c>
      <c r="M7507" t="s">
        <v>18</v>
      </c>
      <c r="N7507">
        <v>0</v>
      </c>
      <c r="O7507">
        <v>0</v>
      </c>
    </row>
    <row r="7508" spans="1:15" x14ac:dyDescent="0.2">
      <c r="A7508" s="6">
        <v>45777</v>
      </c>
      <c r="B7508" t="s">
        <v>15</v>
      </c>
      <c r="C7508" t="s">
        <v>16</v>
      </c>
      <c r="D7508" s="1">
        <v>45855</v>
      </c>
      <c r="E7508" t="s">
        <v>17</v>
      </c>
      <c r="F7508">
        <v>4150</v>
      </c>
      <c r="J7508">
        <v>827.8</v>
      </c>
      <c r="K7508">
        <v>1004.8</v>
      </c>
      <c r="L7508">
        <v>0</v>
      </c>
      <c r="M7508" t="s">
        <v>18</v>
      </c>
      <c r="N7508">
        <v>0</v>
      </c>
      <c r="O7508">
        <v>0</v>
      </c>
    </row>
    <row r="7509" spans="1:15" x14ac:dyDescent="0.2">
      <c r="A7509" s="6">
        <v>45777</v>
      </c>
      <c r="B7509" t="s">
        <v>15</v>
      </c>
      <c r="C7509" t="s">
        <v>16</v>
      </c>
      <c r="D7509" s="1">
        <v>45855</v>
      </c>
      <c r="E7509" t="s">
        <v>17</v>
      </c>
      <c r="F7509">
        <v>5450</v>
      </c>
      <c r="J7509">
        <v>145</v>
      </c>
      <c r="K7509">
        <v>194.5</v>
      </c>
      <c r="L7509">
        <v>0</v>
      </c>
      <c r="M7509" t="s">
        <v>18</v>
      </c>
      <c r="N7509">
        <v>0</v>
      </c>
      <c r="O7509">
        <v>0</v>
      </c>
    </row>
    <row r="7510" spans="1:15" x14ac:dyDescent="0.2">
      <c r="A7510" s="6">
        <v>45777</v>
      </c>
      <c r="B7510" t="s">
        <v>15</v>
      </c>
      <c r="C7510" t="s">
        <v>16</v>
      </c>
      <c r="D7510" s="1">
        <v>45855</v>
      </c>
      <c r="E7510" t="s">
        <v>17</v>
      </c>
      <c r="F7510">
        <v>4600</v>
      </c>
      <c r="J7510">
        <v>502.9</v>
      </c>
      <c r="K7510">
        <v>637.70000000000005</v>
      </c>
      <c r="L7510">
        <v>0</v>
      </c>
      <c r="M7510" t="s">
        <v>18</v>
      </c>
      <c r="N7510">
        <v>0</v>
      </c>
      <c r="O7510">
        <v>0</v>
      </c>
    </row>
    <row r="7511" spans="1:15" x14ac:dyDescent="0.2">
      <c r="A7511" s="6">
        <v>45777</v>
      </c>
      <c r="B7511" t="s">
        <v>15</v>
      </c>
      <c r="C7511" t="s">
        <v>16</v>
      </c>
      <c r="D7511" s="1">
        <v>45855</v>
      </c>
      <c r="E7511" t="s">
        <v>19</v>
      </c>
      <c r="F7511">
        <v>5150</v>
      </c>
      <c r="J7511">
        <v>452.9</v>
      </c>
      <c r="K7511">
        <v>319.7</v>
      </c>
      <c r="L7511">
        <v>0</v>
      </c>
      <c r="M7511" t="s">
        <v>18</v>
      </c>
      <c r="N7511">
        <v>0</v>
      </c>
      <c r="O7511">
        <v>0</v>
      </c>
    </row>
    <row r="7512" spans="1:15" x14ac:dyDescent="0.2">
      <c r="A7512" s="6">
        <v>45777</v>
      </c>
      <c r="B7512" t="s">
        <v>15</v>
      </c>
      <c r="C7512" t="s">
        <v>16</v>
      </c>
      <c r="D7512" s="1">
        <v>45855</v>
      </c>
      <c r="E7512" t="s">
        <v>17</v>
      </c>
      <c r="F7512">
        <v>5900</v>
      </c>
      <c r="J7512">
        <v>64.8</v>
      </c>
      <c r="K7512">
        <v>87.5</v>
      </c>
      <c r="L7512">
        <v>0</v>
      </c>
      <c r="M7512" t="s">
        <v>18</v>
      </c>
      <c r="N7512">
        <v>0</v>
      </c>
      <c r="O7512">
        <v>0</v>
      </c>
    </row>
    <row r="7513" spans="1:15" x14ac:dyDescent="0.2">
      <c r="A7513" s="6">
        <v>45777</v>
      </c>
      <c r="B7513" t="s">
        <v>15</v>
      </c>
      <c r="C7513" t="s">
        <v>16</v>
      </c>
      <c r="D7513" s="1">
        <v>45855</v>
      </c>
      <c r="E7513" t="s">
        <v>19</v>
      </c>
      <c r="F7513">
        <v>6250</v>
      </c>
      <c r="J7513">
        <v>1335.5</v>
      </c>
      <c r="K7513">
        <v>1137.3</v>
      </c>
      <c r="L7513">
        <v>0</v>
      </c>
      <c r="M7513" t="s">
        <v>18</v>
      </c>
      <c r="N7513">
        <v>0</v>
      </c>
      <c r="O7513">
        <v>0</v>
      </c>
    </row>
    <row r="7514" spans="1:15" x14ac:dyDescent="0.2">
      <c r="A7514" s="6">
        <v>45777</v>
      </c>
      <c r="B7514" t="s">
        <v>15</v>
      </c>
      <c r="C7514" t="s">
        <v>16</v>
      </c>
      <c r="D7514" s="1">
        <v>45855</v>
      </c>
      <c r="E7514" t="s">
        <v>19</v>
      </c>
      <c r="F7514">
        <v>3900</v>
      </c>
      <c r="J7514">
        <v>26.9</v>
      </c>
      <c r="K7514">
        <v>10.5</v>
      </c>
      <c r="L7514">
        <v>0</v>
      </c>
      <c r="M7514" t="s">
        <v>18</v>
      </c>
      <c r="N7514">
        <v>0</v>
      </c>
      <c r="O7514">
        <v>0</v>
      </c>
    </row>
    <row r="7515" spans="1:15" x14ac:dyDescent="0.2">
      <c r="A7515" s="6">
        <v>45777</v>
      </c>
      <c r="B7515" t="s">
        <v>15</v>
      </c>
      <c r="C7515" t="s">
        <v>16</v>
      </c>
      <c r="D7515" s="1">
        <v>45855</v>
      </c>
      <c r="E7515" t="s">
        <v>17</v>
      </c>
      <c r="F7515">
        <v>5050</v>
      </c>
      <c r="J7515">
        <v>273.10000000000002</v>
      </c>
      <c r="K7515">
        <v>359.1</v>
      </c>
      <c r="L7515">
        <v>0</v>
      </c>
      <c r="M7515" t="s">
        <v>18</v>
      </c>
      <c r="N7515">
        <v>0</v>
      </c>
      <c r="O7515">
        <v>0</v>
      </c>
    </row>
    <row r="7516" spans="1:15" x14ac:dyDescent="0.2">
      <c r="A7516" s="6">
        <v>45777</v>
      </c>
      <c r="B7516" t="s">
        <v>15</v>
      </c>
      <c r="C7516" t="s">
        <v>16</v>
      </c>
      <c r="D7516" s="1">
        <v>45855</v>
      </c>
      <c r="E7516" t="s">
        <v>17</v>
      </c>
      <c r="F7516">
        <v>6250</v>
      </c>
      <c r="J7516">
        <v>32.6</v>
      </c>
      <c r="K7516">
        <v>43.7</v>
      </c>
      <c r="L7516">
        <v>0</v>
      </c>
      <c r="M7516" t="s">
        <v>18</v>
      </c>
      <c r="N7516">
        <v>0</v>
      </c>
      <c r="O7516">
        <v>0</v>
      </c>
    </row>
    <row r="7517" spans="1:15" x14ac:dyDescent="0.2">
      <c r="A7517" s="6">
        <v>45777</v>
      </c>
      <c r="B7517" t="s">
        <v>15</v>
      </c>
      <c r="C7517" t="s">
        <v>16</v>
      </c>
      <c r="D7517" s="1">
        <v>45855</v>
      </c>
      <c r="E7517" t="s">
        <v>17</v>
      </c>
      <c r="F7517">
        <v>6200</v>
      </c>
      <c r="J7517">
        <v>36.1</v>
      </c>
      <c r="K7517">
        <v>48.4</v>
      </c>
      <c r="L7517">
        <v>0</v>
      </c>
      <c r="M7517" t="s">
        <v>18</v>
      </c>
      <c r="N7517">
        <v>0</v>
      </c>
      <c r="O7517">
        <v>0</v>
      </c>
    </row>
    <row r="7518" spans="1:15" x14ac:dyDescent="0.2">
      <c r="A7518" s="6">
        <v>45777</v>
      </c>
      <c r="B7518" t="s">
        <v>15</v>
      </c>
      <c r="C7518" t="s">
        <v>16</v>
      </c>
      <c r="D7518" s="1">
        <v>45855</v>
      </c>
      <c r="E7518" t="s">
        <v>19</v>
      </c>
      <c r="F7518">
        <v>5200</v>
      </c>
      <c r="J7518">
        <v>484.7</v>
      </c>
      <c r="K7518">
        <v>346.7</v>
      </c>
      <c r="L7518">
        <v>0</v>
      </c>
      <c r="M7518" t="s">
        <v>18</v>
      </c>
      <c r="N7518">
        <v>0</v>
      </c>
      <c r="O7518">
        <v>0</v>
      </c>
    </row>
    <row r="7519" spans="1:15" x14ac:dyDescent="0.2">
      <c r="A7519" s="6">
        <v>45777</v>
      </c>
      <c r="B7519" t="s">
        <v>15</v>
      </c>
      <c r="C7519" t="s">
        <v>16</v>
      </c>
      <c r="D7519" s="1">
        <v>45855</v>
      </c>
      <c r="E7519" t="s">
        <v>17</v>
      </c>
      <c r="F7519">
        <v>5500</v>
      </c>
      <c r="J7519">
        <v>133.19999999999999</v>
      </c>
      <c r="K7519">
        <v>178.9</v>
      </c>
      <c r="L7519">
        <v>0</v>
      </c>
      <c r="M7519" t="s">
        <v>18</v>
      </c>
      <c r="N7519">
        <v>0</v>
      </c>
      <c r="O7519">
        <v>0</v>
      </c>
    </row>
    <row r="7520" spans="1:15" x14ac:dyDescent="0.2">
      <c r="A7520" s="6">
        <v>45777</v>
      </c>
      <c r="B7520" t="s">
        <v>15</v>
      </c>
      <c r="C7520" t="s">
        <v>16</v>
      </c>
      <c r="D7520" s="1">
        <v>45855</v>
      </c>
      <c r="E7520" t="s">
        <v>17</v>
      </c>
      <c r="F7520">
        <v>5200</v>
      </c>
      <c r="J7520">
        <v>217.4</v>
      </c>
      <c r="K7520">
        <v>288.5</v>
      </c>
      <c r="L7520">
        <v>0</v>
      </c>
      <c r="M7520" t="s">
        <v>18</v>
      </c>
      <c r="N7520">
        <v>0</v>
      </c>
      <c r="O7520">
        <v>0</v>
      </c>
    </row>
    <row r="7521" spans="1:15" x14ac:dyDescent="0.2">
      <c r="A7521" s="6">
        <v>45777</v>
      </c>
      <c r="B7521" t="s">
        <v>15</v>
      </c>
      <c r="C7521" t="s">
        <v>16</v>
      </c>
      <c r="D7521" s="1">
        <v>45855</v>
      </c>
      <c r="E7521" t="s">
        <v>17</v>
      </c>
      <c r="F7521">
        <v>3950</v>
      </c>
      <c r="J7521">
        <v>997.5</v>
      </c>
      <c r="K7521">
        <v>1187.4000000000001</v>
      </c>
      <c r="L7521">
        <v>0</v>
      </c>
      <c r="M7521" t="s">
        <v>18</v>
      </c>
      <c r="N7521">
        <v>0</v>
      </c>
      <c r="O7521">
        <v>0</v>
      </c>
    </row>
    <row r="7522" spans="1:15" x14ac:dyDescent="0.2">
      <c r="A7522" s="6">
        <v>45777</v>
      </c>
      <c r="B7522" t="s">
        <v>15</v>
      </c>
      <c r="C7522" t="s">
        <v>16</v>
      </c>
      <c r="D7522" s="1">
        <v>45855</v>
      </c>
      <c r="E7522" t="s">
        <v>19</v>
      </c>
      <c r="F7522">
        <v>5650</v>
      </c>
      <c r="J7522">
        <v>813.6</v>
      </c>
      <c r="K7522">
        <v>640.20000000000005</v>
      </c>
      <c r="L7522">
        <v>0</v>
      </c>
      <c r="M7522" t="s">
        <v>18</v>
      </c>
      <c r="N7522">
        <v>0</v>
      </c>
      <c r="O7522">
        <v>0</v>
      </c>
    </row>
    <row r="7523" spans="1:15" x14ac:dyDescent="0.2">
      <c r="A7523" s="6">
        <v>45777</v>
      </c>
      <c r="B7523" t="s">
        <v>15</v>
      </c>
      <c r="C7523" t="s">
        <v>16</v>
      </c>
      <c r="D7523" s="1">
        <v>45855</v>
      </c>
      <c r="E7523" t="s">
        <v>19</v>
      </c>
      <c r="F7523">
        <v>5600</v>
      </c>
      <c r="J7523">
        <v>773.8</v>
      </c>
      <c r="K7523">
        <v>603.5</v>
      </c>
      <c r="L7523">
        <v>0</v>
      </c>
      <c r="M7523" t="s">
        <v>18</v>
      </c>
      <c r="N7523">
        <v>0</v>
      </c>
      <c r="O7523">
        <v>0</v>
      </c>
    </row>
    <row r="7524" spans="1:15" x14ac:dyDescent="0.2">
      <c r="A7524" s="6">
        <v>45777</v>
      </c>
      <c r="B7524" t="s">
        <v>15</v>
      </c>
      <c r="C7524" t="s">
        <v>16</v>
      </c>
      <c r="D7524" s="1">
        <v>45855</v>
      </c>
      <c r="E7524" t="s">
        <v>19</v>
      </c>
      <c r="F7524">
        <v>6350</v>
      </c>
      <c r="J7524">
        <v>1428.1</v>
      </c>
      <c r="K7524">
        <v>1227.7</v>
      </c>
      <c r="L7524">
        <v>0</v>
      </c>
      <c r="M7524" t="s">
        <v>18</v>
      </c>
      <c r="N7524">
        <v>0</v>
      </c>
      <c r="O7524">
        <v>0</v>
      </c>
    </row>
    <row r="7525" spans="1:15" x14ac:dyDescent="0.2">
      <c r="A7525" s="6">
        <v>45777</v>
      </c>
      <c r="B7525" t="s">
        <v>15</v>
      </c>
      <c r="C7525" t="s">
        <v>16</v>
      </c>
      <c r="D7525" s="1">
        <v>45855</v>
      </c>
      <c r="E7525" t="s">
        <v>19</v>
      </c>
      <c r="F7525">
        <v>4000</v>
      </c>
      <c r="J7525">
        <v>37.6</v>
      </c>
      <c r="K7525">
        <v>15.8</v>
      </c>
      <c r="L7525">
        <v>0</v>
      </c>
      <c r="M7525" t="s">
        <v>18</v>
      </c>
      <c r="N7525">
        <v>0</v>
      </c>
      <c r="O7525">
        <v>0</v>
      </c>
    </row>
    <row r="7526" spans="1:15" x14ac:dyDescent="0.2">
      <c r="A7526" s="6">
        <v>45777</v>
      </c>
      <c r="B7526" t="s">
        <v>15</v>
      </c>
      <c r="C7526" t="s">
        <v>16</v>
      </c>
      <c r="D7526" s="1">
        <v>45855</v>
      </c>
      <c r="E7526" t="s">
        <v>19</v>
      </c>
      <c r="F7526">
        <v>4850</v>
      </c>
      <c r="J7526">
        <v>285.3</v>
      </c>
      <c r="K7526">
        <v>183.6</v>
      </c>
      <c r="L7526">
        <v>0</v>
      </c>
      <c r="M7526" t="s">
        <v>18</v>
      </c>
      <c r="N7526">
        <v>0</v>
      </c>
      <c r="O7526">
        <v>0</v>
      </c>
    </row>
    <row r="7527" spans="1:15" x14ac:dyDescent="0.2">
      <c r="A7527" s="6">
        <v>45777</v>
      </c>
      <c r="B7527" t="s">
        <v>15</v>
      </c>
      <c r="C7527" t="s">
        <v>16</v>
      </c>
      <c r="D7527" s="1">
        <v>45855</v>
      </c>
      <c r="E7527" t="s">
        <v>17</v>
      </c>
      <c r="F7527">
        <v>6100</v>
      </c>
      <c r="J7527">
        <v>44</v>
      </c>
      <c r="K7527">
        <v>59.3</v>
      </c>
      <c r="L7527">
        <v>0</v>
      </c>
      <c r="M7527" t="s">
        <v>18</v>
      </c>
      <c r="N7527">
        <v>0</v>
      </c>
      <c r="O7527">
        <v>0</v>
      </c>
    </row>
    <row r="7528" spans="1:15" x14ac:dyDescent="0.2">
      <c r="A7528" s="6">
        <v>45777</v>
      </c>
      <c r="B7528" t="s">
        <v>15</v>
      </c>
      <c r="C7528" t="s">
        <v>16</v>
      </c>
      <c r="D7528" s="1">
        <v>45855</v>
      </c>
      <c r="E7528" t="s">
        <v>17</v>
      </c>
      <c r="F7528">
        <v>5350</v>
      </c>
      <c r="J7528">
        <v>171.1</v>
      </c>
      <c r="K7528">
        <v>228.7</v>
      </c>
      <c r="L7528">
        <v>0</v>
      </c>
      <c r="M7528" t="s">
        <v>18</v>
      </c>
      <c r="N7528">
        <v>0</v>
      </c>
      <c r="O7528">
        <v>0</v>
      </c>
    </row>
    <row r="7529" spans="1:15" x14ac:dyDescent="0.2">
      <c r="A7529" s="6">
        <v>45777</v>
      </c>
      <c r="B7529" t="s">
        <v>15</v>
      </c>
      <c r="C7529" t="s">
        <v>16</v>
      </c>
      <c r="D7529" s="1">
        <v>45855</v>
      </c>
      <c r="E7529" t="s">
        <v>19</v>
      </c>
      <c r="F7529">
        <v>5800</v>
      </c>
      <c r="J7529">
        <v>937.2</v>
      </c>
      <c r="K7529">
        <v>755.3</v>
      </c>
      <c r="L7529">
        <v>0</v>
      </c>
      <c r="M7529" t="s">
        <v>18</v>
      </c>
      <c r="N7529">
        <v>0</v>
      </c>
      <c r="O7529">
        <v>0</v>
      </c>
    </row>
    <row r="7530" spans="1:15" x14ac:dyDescent="0.2">
      <c r="A7530" s="6">
        <v>45777</v>
      </c>
      <c r="B7530" t="s">
        <v>15</v>
      </c>
      <c r="C7530" t="s">
        <v>16</v>
      </c>
      <c r="D7530" s="1">
        <v>45855</v>
      </c>
      <c r="E7530" t="s">
        <v>17</v>
      </c>
      <c r="F7530">
        <v>5550</v>
      </c>
      <c r="J7530">
        <v>122.2</v>
      </c>
      <c r="K7530">
        <v>164.4</v>
      </c>
      <c r="L7530">
        <v>0</v>
      </c>
      <c r="M7530" t="s">
        <v>18</v>
      </c>
      <c r="N7530">
        <v>0</v>
      </c>
      <c r="O7530">
        <v>0</v>
      </c>
    </row>
    <row r="7531" spans="1:15" x14ac:dyDescent="0.2">
      <c r="A7531" s="6">
        <v>45777</v>
      </c>
      <c r="B7531" t="s">
        <v>15</v>
      </c>
      <c r="C7531" t="s">
        <v>16</v>
      </c>
      <c r="D7531" s="1">
        <v>45855</v>
      </c>
      <c r="E7531" t="s">
        <v>19</v>
      </c>
      <c r="F7531">
        <v>6000</v>
      </c>
      <c r="J7531">
        <v>1109.9000000000001</v>
      </c>
      <c r="K7531">
        <v>919.3</v>
      </c>
      <c r="L7531">
        <v>0</v>
      </c>
      <c r="M7531" t="s">
        <v>18</v>
      </c>
      <c r="N7531">
        <v>0</v>
      </c>
      <c r="O7531">
        <v>0</v>
      </c>
    </row>
    <row r="7532" spans="1:15" x14ac:dyDescent="0.2">
      <c r="A7532" s="6">
        <v>45777</v>
      </c>
      <c r="B7532" t="s">
        <v>15</v>
      </c>
      <c r="C7532" t="s">
        <v>16</v>
      </c>
      <c r="D7532" s="1">
        <v>45855</v>
      </c>
      <c r="E7532" t="s">
        <v>19</v>
      </c>
      <c r="F7532">
        <v>4750</v>
      </c>
      <c r="J7532">
        <v>238.9</v>
      </c>
      <c r="K7532">
        <v>148.30000000000001</v>
      </c>
      <c r="L7532">
        <v>0</v>
      </c>
      <c r="M7532" t="s">
        <v>18</v>
      </c>
      <c r="N7532">
        <v>0</v>
      </c>
      <c r="O7532">
        <v>0</v>
      </c>
    </row>
    <row r="7533" spans="1:15" x14ac:dyDescent="0.2">
      <c r="A7533" s="6">
        <v>45777</v>
      </c>
      <c r="B7533" t="s">
        <v>15</v>
      </c>
      <c r="C7533" t="s">
        <v>16</v>
      </c>
      <c r="D7533" s="1">
        <v>45855</v>
      </c>
      <c r="E7533" t="s">
        <v>19</v>
      </c>
      <c r="F7533">
        <v>4300</v>
      </c>
      <c r="J7533">
        <v>89.4</v>
      </c>
      <c r="K7533">
        <v>45.2</v>
      </c>
      <c r="L7533">
        <v>0</v>
      </c>
      <c r="M7533" t="s">
        <v>18</v>
      </c>
      <c r="N7533">
        <v>0</v>
      </c>
      <c r="O7533">
        <v>0</v>
      </c>
    </row>
    <row r="7534" spans="1:15" x14ac:dyDescent="0.2">
      <c r="A7534" s="6">
        <v>45777</v>
      </c>
      <c r="B7534" t="s">
        <v>15</v>
      </c>
      <c r="C7534" t="s">
        <v>16</v>
      </c>
      <c r="D7534" s="1">
        <v>45855</v>
      </c>
      <c r="E7534" t="s">
        <v>19</v>
      </c>
      <c r="F7534">
        <v>6300</v>
      </c>
      <c r="J7534">
        <v>1381.7</v>
      </c>
      <c r="K7534">
        <v>1182.3</v>
      </c>
      <c r="L7534">
        <v>0</v>
      </c>
      <c r="M7534" t="s">
        <v>18</v>
      </c>
      <c r="N7534">
        <v>0</v>
      </c>
      <c r="O7534">
        <v>0</v>
      </c>
    </row>
    <row r="7535" spans="1:15" x14ac:dyDescent="0.2">
      <c r="A7535" s="6">
        <v>45777</v>
      </c>
      <c r="B7535" t="s">
        <v>15</v>
      </c>
      <c r="C7535" t="s">
        <v>16</v>
      </c>
      <c r="D7535" s="1">
        <v>45855</v>
      </c>
      <c r="E7535" t="s">
        <v>19</v>
      </c>
      <c r="F7535">
        <v>4800</v>
      </c>
      <c r="J7535">
        <v>261.5</v>
      </c>
      <c r="K7535">
        <v>165.3</v>
      </c>
      <c r="L7535">
        <v>0</v>
      </c>
      <c r="M7535" t="s">
        <v>18</v>
      </c>
      <c r="N7535">
        <v>0</v>
      </c>
      <c r="O7535">
        <v>0</v>
      </c>
    </row>
    <row r="7536" spans="1:15" x14ac:dyDescent="0.2">
      <c r="A7536" s="6">
        <v>45777</v>
      </c>
      <c r="B7536" t="s">
        <v>15</v>
      </c>
      <c r="C7536" t="s">
        <v>16</v>
      </c>
      <c r="D7536" s="1">
        <v>45855</v>
      </c>
      <c r="E7536" t="s">
        <v>17</v>
      </c>
      <c r="F7536">
        <v>6600</v>
      </c>
      <c r="J7536">
        <v>15.7</v>
      </c>
      <c r="K7536">
        <v>20.6</v>
      </c>
      <c r="L7536">
        <v>0</v>
      </c>
      <c r="M7536" t="s">
        <v>18</v>
      </c>
      <c r="N7536">
        <v>0</v>
      </c>
      <c r="O7536">
        <v>0</v>
      </c>
    </row>
    <row r="7537" spans="1:15" x14ac:dyDescent="0.2">
      <c r="A7537" s="6">
        <v>45777</v>
      </c>
      <c r="B7537" t="s">
        <v>15</v>
      </c>
      <c r="C7537" t="s">
        <v>16</v>
      </c>
      <c r="D7537" s="1">
        <v>45855</v>
      </c>
      <c r="E7537" t="s">
        <v>19</v>
      </c>
      <c r="F7537">
        <v>3950</v>
      </c>
      <c r="J7537">
        <v>31.9</v>
      </c>
      <c r="K7537">
        <v>12.9</v>
      </c>
      <c r="L7537">
        <v>0</v>
      </c>
      <c r="M7537" t="s">
        <v>18</v>
      </c>
      <c r="N7537">
        <v>0</v>
      </c>
      <c r="O7537">
        <v>0</v>
      </c>
    </row>
    <row r="7538" spans="1:15" x14ac:dyDescent="0.2">
      <c r="A7538" s="6">
        <v>45777</v>
      </c>
      <c r="B7538" t="s">
        <v>15</v>
      </c>
      <c r="C7538" t="s">
        <v>16</v>
      </c>
      <c r="D7538" s="1">
        <v>45855</v>
      </c>
      <c r="E7538" t="s">
        <v>19</v>
      </c>
      <c r="F7538">
        <v>6500</v>
      </c>
      <c r="J7538">
        <v>1568.9</v>
      </c>
      <c r="K7538">
        <v>1365.9</v>
      </c>
      <c r="L7538">
        <v>0</v>
      </c>
      <c r="M7538" t="s">
        <v>18</v>
      </c>
      <c r="N7538">
        <v>0</v>
      </c>
      <c r="O7538">
        <v>0</v>
      </c>
    </row>
    <row r="7539" spans="1:15" x14ac:dyDescent="0.2">
      <c r="A7539" s="6">
        <v>45777</v>
      </c>
      <c r="B7539" t="s">
        <v>15</v>
      </c>
      <c r="C7539" t="s">
        <v>16</v>
      </c>
      <c r="D7539" s="1">
        <v>45855</v>
      </c>
      <c r="E7539" t="s">
        <v>19</v>
      </c>
      <c r="F7539">
        <v>5850</v>
      </c>
      <c r="J7539">
        <v>979.6</v>
      </c>
      <c r="K7539">
        <v>795.3</v>
      </c>
      <c r="L7539">
        <v>0</v>
      </c>
      <c r="M7539" t="s">
        <v>18</v>
      </c>
      <c r="N7539">
        <v>0</v>
      </c>
      <c r="O7539">
        <v>0</v>
      </c>
    </row>
    <row r="7540" spans="1:15" x14ac:dyDescent="0.2">
      <c r="A7540" s="6">
        <v>45777</v>
      </c>
      <c r="B7540" t="s">
        <v>15</v>
      </c>
      <c r="C7540" t="s">
        <v>16</v>
      </c>
      <c r="D7540" s="1">
        <v>45855</v>
      </c>
      <c r="E7540" t="s">
        <v>17</v>
      </c>
      <c r="F7540">
        <v>5850</v>
      </c>
      <c r="J7540">
        <v>71.2</v>
      </c>
      <c r="K7540">
        <v>96.1</v>
      </c>
      <c r="L7540">
        <v>0</v>
      </c>
      <c r="M7540" t="s">
        <v>18</v>
      </c>
      <c r="N7540">
        <v>0</v>
      </c>
      <c r="O7540">
        <v>0</v>
      </c>
    </row>
    <row r="7541" spans="1:15" x14ac:dyDescent="0.2">
      <c r="A7541" s="6">
        <v>45777</v>
      </c>
      <c r="B7541" t="s">
        <v>15</v>
      </c>
      <c r="C7541" t="s">
        <v>16</v>
      </c>
      <c r="D7541" s="1">
        <v>45855</v>
      </c>
      <c r="E7541" t="s">
        <v>17</v>
      </c>
      <c r="F7541">
        <v>3900</v>
      </c>
      <c r="J7541">
        <v>1041.8</v>
      </c>
      <c r="K7541">
        <v>1234.3</v>
      </c>
      <c r="L7541">
        <v>0</v>
      </c>
      <c r="M7541" t="s">
        <v>18</v>
      </c>
      <c r="N7541">
        <v>0</v>
      </c>
      <c r="O7541">
        <v>0</v>
      </c>
    </row>
    <row r="7542" spans="1:15" x14ac:dyDescent="0.2">
      <c r="A7542" s="6">
        <v>45777</v>
      </c>
      <c r="B7542" t="s">
        <v>15</v>
      </c>
      <c r="C7542" t="s">
        <v>16</v>
      </c>
      <c r="D7542" s="1">
        <v>45855</v>
      </c>
      <c r="E7542" t="s">
        <v>19</v>
      </c>
      <c r="F7542">
        <v>6450</v>
      </c>
      <c r="J7542">
        <v>1521.8</v>
      </c>
      <c r="K7542">
        <v>1319.5</v>
      </c>
      <c r="L7542">
        <v>0</v>
      </c>
      <c r="M7542" t="s">
        <v>18</v>
      </c>
      <c r="N7542">
        <v>0</v>
      </c>
      <c r="O7542">
        <v>0</v>
      </c>
    </row>
    <row r="7543" spans="1:15" x14ac:dyDescent="0.2">
      <c r="A7543" s="6">
        <v>45777</v>
      </c>
      <c r="B7543" t="s">
        <v>15</v>
      </c>
      <c r="C7543" t="s">
        <v>16</v>
      </c>
      <c r="D7543" s="1">
        <v>45855</v>
      </c>
      <c r="E7543" t="s">
        <v>19</v>
      </c>
      <c r="F7543">
        <v>6600</v>
      </c>
      <c r="J7543">
        <v>1663.8</v>
      </c>
      <c r="K7543">
        <v>1459.4</v>
      </c>
      <c r="L7543">
        <v>0</v>
      </c>
      <c r="M7543" t="s">
        <v>18</v>
      </c>
      <c r="N7543">
        <v>0</v>
      </c>
      <c r="O7543">
        <v>0</v>
      </c>
    </row>
    <row r="7544" spans="1:15" x14ac:dyDescent="0.2">
      <c r="A7544" s="6">
        <v>45777</v>
      </c>
      <c r="B7544" t="s">
        <v>15</v>
      </c>
      <c r="C7544" t="s">
        <v>16</v>
      </c>
      <c r="D7544" s="1">
        <v>45855</v>
      </c>
      <c r="E7544" t="s">
        <v>17</v>
      </c>
      <c r="F7544">
        <v>5400</v>
      </c>
      <c r="J7544">
        <v>157.6</v>
      </c>
      <c r="K7544">
        <v>211</v>
      </c>
      <c r="L7544">
        <v>0</v>
      </c>
      <c r="M7544" t="s">
        <v>18</v>
      </c>
      <c r="N7544">
        <v>0</v>
      </c>
      <c r="O7544">
        <v>0</v>
      </c>
    </row>
    <row r="7545" spans="1:15" x14ac:dyDescent="0.2">
      <c r="A7545" s="6">
        <v>45777</v>
      </c>
      <c r="B7545" t="s">
        <v>15</v>
      </c>
      <c r="C7545" t="s">
        <v>16</v>
      </c>
      <c r="D7545" s="1">
        <v>45855</v>
      </c>
      <c r="E7545" t="s">
        <v>19</v>
      </c>
      <c r="F7545">
        <v>5550</v>
      </c>
      <c r="J7545">
        <v>734.7</v>
      </c>
      <c r="K7545">
        <v>567.70000000000005</v>
      </c>
      <c r="L7545">
        <v>0</v>
      </c>
      <c r="M7545" t="s">
        <v>18</v>
      </c>
      <c r="N7545">
        <v>0</v>
      </c>
      <c r="O7545">
        <v>0</v>
      </c>
    </row>
    <row r="7546" spans="1:15" x14ac:dyDescent="0.2">
      <c r="A7546" s="6">
        <v>45777</v>
      </c>
      <c r="B7546" t="s">
        <v>15</v>
      </c>
      <c r="C7546" t="s">
        <v>16</v>
      </c>
      <c r="D7546" s="1">
        <v>45855</v>
      </c>
      <c r="E7546" t="s">
        <v>17</v>
      </c>
      <c r="F7546">
        <v>6150</v>
      </c>
      <c r="J7546">
        <v>39.9</v>
      </c>
      <c r="K7546">
        <v>53.6</v>
      </c>
      <c r="L7546">
        <v>0</v>
      </c>
      <c r="M7546" t="s">
        <v>18</v>
      </c>
      <c r="N7546">
        <v>0</v>
      </c>
      <c r="O7546">
        <v>0</v>
      </c>
    </row>
    <row r="7547" spans="1:15" x14ac:dyDescent="0.2">
      <c r="A7547" s="6">
        <v>45777</v>
      </c>
      <c r="B7547" t="s">
        <v>15</v>
      </c>
      <c r="C7547" t="s">
        <v>16</v>
      </c>
      <c r="D7547" s="1">
        <v>45855</v>
      </c>
      <c r="E7547" t="s">
        <v>19</v>
      </c>
      <c r="F7547">
        <v>4150</v>
      </c>
      <c r="J7547">
        <v>59.5</v>
      </c>
      <c r="K7547">
        <v>27.5</v>
      </c>
      <c r="L7547">
        <v>0</v>
      </c>
      <c r="M7547" t="s">
        <v>18</v>
      </c>
      <c r="N7547">
        <v>0</v>
      </c>
      <c r="O7547">
        <v>0</v>
      </c>
    </row>
    <row r="7548" spans="1:15" x14ac:dyDescent="0.2">
      <c r="A7548" s="6">
        <v>45777</v>
      </c>
      <c r="B7548" t="s">
        <v>15</v>
      </c>
      <c r="C7548" t="s">
        <v>16</v>
      </c>
      <c r="D7548" s="1">
        <v>45855</v>
      </c>
      <c r="E7548" t="s">
        <v>17</v>
      </c>
      <c r="F7548">
        <v>4050</v>
      </c>
      <c r="J7548">
        <v>911.1</v>
      </c>
      <c r="K7548">
        <v>1095</v>
      </c>
      <c r="L7548">
        <v>0</v>
      </c>
      <c r="M7548" t="s">
        <v>18</v>
      </c>
      <c r="N7548">
        <v>0</v>
      </c>
      <c r="O7548">
        <v>0</v>
      </c>
    </row>
    <row r="7549" spans="1:15" x14ac:dyDescent="0.2">
      <c r="A7549" s="6">
        <v>45777</v>
      </c>
      <c r="B7549" t="s">
        <v>15</v>
      </c>
      <c r="C7549" t="s">
        <v>16</v>
      </c>
      <c r="D7549" s="1">
        <v>45855</v>
      </c>
      <c r="E7549" t="s">
        <v>19</v>
      </c>
      <c r="F7549">
        <v>4350</v>
      </c>
      <c r="J7549">
        <v>101.4</v>
      </c>
      <c r="K7549">
        <v>52.6</v>
      </c>
      <c r="L7549">
        <v>0</v>
      </c>
      <c r="M7549" t="s">
        <v>18</v>
      </c>
      <c r="N7549">
        <v>0</v>
      </c>
      <c r="O7549">
        <v>0</v>
      </c>
    </row>
    <row r="7550" spans="1:15" x14ac:dyDescent="0.2">
      <c r="A7550" s="6">
        <v>45777</v>
      </c>
      <c r="B7550" t="s">
        <v>15</v>
      </c>
      <c r="C7550" t="s">
        <v>16</v>
      </c>
      <c r="D7550" s="1">
        <v>45855</v>
      </c>
      <c r="E7550" t="s">
        <v>17</v>
      </c>
      <c r="F7550">
        <v>6450</v>
      </c>
      <c r="J7550">
        <v>21.6</v>
      </c>
      <c r="K7550">
        <v>28.6</v>
      </c>
      <c r="L7550">
        <v>0</v>
      </c>
      <c r="M7550" t="s">
        <v>18</v>
      </c>
      <c r="N7550">
        <v>0</v>
      </c>
      <c r="O7550">
        <v>0</v>
      </c>
    </row>
    <row r="7551" spans="1:15" x14ac:dyDescent="0.2">
      <c r="A7551" s="6">
        <v>45777</v>
      </c>
      <c r="B7551" t="s">
        <v>15</v>
      </c>
      <c r="C7551" t="s">
        <v>16</v>
      </c>
      <c r="D7551" s="1">
        <v>45855</v>
      </c>
      <c r="E7551" t="s">
        <v>17</v>
      </c>
      <c r="F7551">
        <v>5650</v>
      </c>
      <c r="J7551">
        <v>102.5</v>
      </c>
      <c r="K7551">
        <v>138.19999999999999</v>
      </c>
      <c r="L7551">
        <v>0</v>
      </c>
      <c r="M7551" t="s">
        <v>18</v>
      </c>
      <c r="N7551">
        <v>0</v>
      </c>
      <c r="O7551">
        <v>0</v>
      </c>
    </row>
    <row r="7552" spans="1:15" x14ac:dyDescent="0.2">
      <c r="A7552" s="6">
        <v>45777</v>
      </c>
      <c r="B7552" t="s">
        <v>15</v>
      </c>
      <c r="C7552" t="s">
        <v>16</v>
      </c>
      <c r="D7552" s="1">
        <v>45855</v>
      </c>
      <c r="E7552" t="s">
        <v>19</v>
      </c>
      <c r="F7552">
        <v>5950</v>
      </c>
      <c r="J7552">
        <v>1065.9000000000001</v>
      </c>
      <c r="K7552">
        <v>877.3</v>
      </c>
      <c r="L7552">
        <v>0</v>
      </c>
      <c r="M7552" t="s">
        <v>18</v>
      </c>
      <c r="N7552">
        <v>0</v>
      </c>
      <c r="O7552">
        <v>0</v>
      </c>
    </row>
    <row r="7553" spans="1:15" x14ac:dyDescent="0.2">
      <c r="A7553" s="6">
        <v>45777</v>
      </c>
      <c r="B7553" t="s">
        <v>15</v>
      </c>
      <c r="C7553" t="s">
        <v>16</v>
      </c>
      <c r="D7553" s="1">
        <v>45855</v>
      </c>
      <c r="E7553" t="s">
        <v>17</v>
      </c>
      <c r="F7553">
        <v>4700</v>
      </c>
      <c r="J7553">
        <v>443.4</v>
      </c>
      <c r="K7553">
        <v>567.29999999999995</v>
      </c>
      <c r="L7553">
        <v>0</v>
      </c>
      <c r="M7553" t="s">
        <v>18</v>
      </c>
      <c r="N7553">
        <v>0</v>
      </c>
      <c r="O7553">
        <v>0</v>
      </c>
    </row>
    <row r="7554" spans="1:15" x14ac:dyDescent="0.2">
      <c r="A7554" s="6">
        <v>45777</v>
      </c>
      <c r="B7554" t="s">
        <v>15</v>
      </c>
      <c r="C7554" t="s">
        <v>16</v>
      </c>
      <c r="D7554" s="1">
        <v>45855</v>
      </c>
      <c r="E7554" t="s">
        <v>19</v>
      </c>
      <c r="F7554">
        <v>5500</v>
      </c>
      <c r="J7554">
        <v>696.3</v>
      </c>
      <c r="K7554">
        <v>533</v>
      </c>
      <c r="L7554">
        <v>0</v>
      </c>
      <c r="M7554" t="s">
        <v>18</v>
      </c>
      <c r="N7554">
        <v>0</v>
      </c>
      <c r="O7554">
        <v>0</v>
      </c>
    </row>
    <row r="7555" spans="1:15" x14ac:dyDescent="0.2">
      <c r="A7555" s="6">
        <v>45777</v>
      </c>
      <c r="B7555" t="s">
        <v>15</v>
      </c>
      <c r="C7555" t="s">
        <v>16</v>
      </c>
      <c r="D7555" s="1">
        <v>45855</v>
      </c>
      <c r="E7555" t="s">
        <v>19</v>
      </c>
      <c r="F7555">
        <v>6100</v>
      </c>
      <c r="J7555">
        <v>1199</v>
      </c>
      <c r="K7555">
        <v>1005</v>
      </c>
      <c r="L7555">
        <v>0</v>
      </c>
      <c r="M7555" t="s">
        <v>18</v>
      </c>
      <c r="N7555">
        <v>0</v>
      </c>
      <c r="O7555">
        <v>0</v>
      </c>
    </row>
    <row r="7556" spans="1:15" x14ac:dyDescent="0.2">
      <c r="A7556" s="6">
        <v>45777</v>
      </c>
      <c r="B7556" t="s">
        <v>15</v>
      </c>
      <c r="C7556" t="s">
        <v>16</v>
      </c>
      <c r="D7556" s="1">
        <v>45855</v>
      </c>
      <c r="E7556" t="s">
        <v>19</v>
      </c>
      <c r="F7556">
        <v>5750</v>
      </c>
      <c r="J7556">
        <v>895.4</v>
      </c>
      <c r="K7556">
        <v>716.1</v>
      </c>
      <c r="L7556">
        <v>0</v>
      </c>
      <c r="M7556" t="s">
        <v>18</v>
      </c>
      <c r="N7556">
        <v>0</v>
      </c>
      <c r="O7556">
        <v>0</v>
      </c>
    </row>
    <row r="7557" spans="1:15" x14ac:dyDescent="0.2">
      <c r="A7557" s="6">
        <v>45777</v>
      </c>
      <c r="B7557" t="s">
        <v>15</v>
      </c>
      <c r="C7557" t="s">
        <v>16</v>
      </c>
      <c r="D7557" s="1">
        <v>45855</v>
      </c>
      <c r="E7557" t="s">
        <v>17</v>
      </c>
      <c r="F7557">
        <v>4300</v>
      </c>
      <c r="J7557">
        <v>709.8</v>
      </c>
      <c r="K7557">
        <v>874.5</v>
      </c>
      <c r="L7557">
        <v>0</v>
      </c>
      <c r="M7557" t="s">
        <v>18</v>
      </c>
      <c r="N7557">
        <v>0</v>
      </c>
      <c r="O7557">
        <v>0</v>
      </c>
    </row>
    <row r="7558" spans="1:15" x14ac:dyDescent="0.2">
      <c r="A7558" s="6">
        <v>45776</v>
      </c>
      <c r="B7558" t="s">
        <v>15</v>
      </c>
      <c r="C7558" t="s">
        <v>16</v>
      </c>
      <c r="D7558" s="1">
        <v>45855</v>
      </c>
      <c r="E7558" t="s">
        <v>17</v>
      </c>
      <c r="F7558">
        <v>4650</v>
      </c>
      <c r="J7558">
        <v>601.9</v>
      </c>
      <c r="K7558">
        <v>673.1</v>
      </c>
      <c r="L7558">
        <v>0</v>
      </c>
      <c r="M7558" t="s">
        <v>18</v>
      </c>
      <c r="N7558">
        <v>0</v>
      </c>
      <c r="O7558">
        <v>0</v>
      </c>
    </row>
    <row r="7559" spans="1:15" x14ac:dyDescent="0.2">
      <c r="A7559" s="6">
        <v>45776</v>
      </c>
      <c r="B7559" t="s">
        <v>15</v>
      </c>
      <c r="C7559" t="s">
        <v>16</v>
      </c>
      <c r="D7559" s="1">
        <v>45855</v>
      </c>
      <c r="E7559" t="s">
        <v>19</v>
      </c>
      <c r="F7559">
        <v>6650</v>
      </c>
      <c r="J7559">
        <v>1506.5</v>
      </c>
      <c r="K7559">
        <v>1428.1</v>
      </c>
      <c r="L7559">
        <v>0</v>
      </c>
      <c r="M7559" t="s">
        <v>18</v>
      </c>
      <c r="N7559">
        <v>0</v>
      </c>
      <c r="O7559">
        <v>0</v>
      </c>
    </row>
    <row r="7560" spans="1:15" x14ac:dyDescent="0.2">
      <c r="A7560" s="6">
        <v>45776</v>
      </c>
      <c r="B7560" t="s">
        <v>15</v>
      </c>
      <c r="C7560" t="s">
        <v>16</v>
      </c>
      <c r="D7560" s="1">
        <v>45855</v>
      </c>
      <c r="E7560" t="s">
        <v>17</v>
      </c>
      <c r="F7560">
        <v>4200</v>
      </c>
      <c r="J7560">
        <v>960.6</v>
      </c>
      <c r="K7560">
        <v>1041.7</v>
      </c>
      <c r="L7560">
        <v>0</v>
      </c>
      <c r="M7560" t="s">
        <v>18</v>
      </c>
      <c r="N7560">
        <v>0</v>
      </c>
      <c r="O7560">
        <v>0</v>
      </c>
    </row>
    <row r="7561" spans="1:15" x14ac:dyDescent="0.2">
      <c r="A7561" s="6">
        <v>45776</v>
      </c>
      <c r="B7561" t="s">
        <v>15</v>
      </c>
      <c r="C7561" t="s">
        <v>16</v>
      </c>
      <c r="D7561" s="1">
        <v>45855</v>
      </c>
      <c r="E7561" t="s">
        <v>19</v>
      </c>
      <c r="F7561">
        <v>6050</v>
      </c>
      <c r="J7561">
        <v>961.8</v>
      </c>
      <c r="K7561">
        <v>895.6</v>
      </c>
      <c r="L7561">
        <v>0</v>
      </c>
      <c r="M7561" t="s">
        <v>18</v>
      </c>
      <c r="N7561">
        <v>0</v>
      </c>
      <c r="O7561">
        <v>0</v>
      </c>
    </row>
    <row r="7562" spans="1:15" x14ac:dyDescent="0.2">
      <c r="A7562" s="6">
        <v>45776</v>
      </c>
      <c r="B7562" t="s">
        <v>15</v>
      </c>
      <c r="C7562" t="s">
        <v>16</v>
      </c>
      <c r="D7562" s="1">
        <v>45855</v>
      </c>
      <c r="E7562" t="s">
        <v>19</v>
      </c>
      <c r="F7562">
        <v>5100</v>
      </c>
      <c r="J7562">
        <v>293.89999999999998</v>
      </c>
      <c r="K7562">
        <v>263</v>
      </c>
      <c r="L7562">
        <v>0</v>
      </c>
      <c r="M7562" t="s">
        <v>18</v>
      </c>
      <c r="N7562">
        <v>0</v>
      </c>
      <c r="O7562">
        <v>0</v>
      </c>
    </row>
    <row r="7563" spans="1:15" x14ac:dyDescent="0.2">
      <c r="A7563" s="6">
        <v>45776</v>
      </c>
      <c r="B7563" t="s">
        <v>15</v>
      </c>
      <c r="C7563" t="s">
        <v>16</v>
      </c>
      <c r="D7563" s="1">
        <v>45855</v>
      </c>
      <c r="E7563" t="s">
        <v>17</v>
      </c>
      <c r="F7563">
        <v>5250</v>
      </c>
      <c r="J7563">
        <v>267.39999999999998</v>
      </c>
      <c r="K7563">
        <v>316.10000000000002</v>
      </c>
      <c r="L7563">
        <v>0</v>
      </c>
      <c r="M7563" t="s">
        <v>18</v>
      </c>
      <c r="N7563">
        <v>0</v>
      </c>
      <c r="O7563">
        <v>0</v>
      </c>
    </row>
    <row r="7564" spans="1:15" x14ac:dyDescent="0.2">
      <c r="A7564" s="6">
        <v>45776</v>
      </c>
      <c r="B7564" t="s">
        <v>15</v>
      </c>
      <c r="C7564" t="s">
        <v>16</v>
      </c>
      <c r="D7564" s="1">
        <v>45855</v>
      </c>
      <c r="E7564" t="s">
        <v>17</v>
      </c>
      <c r="F7564">
        <v>5100</v>
      </c>
      <c r="J7564">
        <v>334.3</v>
      </c>
      <c r="K7564">
        <v>389.2</v>
      </c>
      <c r="L7564">
        <v>0</v>
      </c>
      <c r="M7564" t="s">
        <v>18</v>
      </c>
      <c r="N7564">
        <v>0</v>
      </c>
      <c r="O7564">
        <v>0</v>
      </c>
    </row>
    <row r="7565" spans="1:15" x14ac:dyDescent="0.2">
      <c r="A7565" s="6">
        <v>45776</v>
      </c>
      <c r="B7565" t="s">
        <v>15</v>
      </c>
      <c r="C7565" t="s">
        <v>16</v>
      </c>
      <c r="D7565" s="1">
        <v>45855</v>
      </c>
      <c r="E7565" t="s">
        <v>19</v>
      </c>
      <c r="F7565">
        <v>4900</v>
      </c>
      <c r="J7565">
        <v>203.2</v>
      </c>
      <c r="K7565">
        <v>180.1</v>
      </c>
      <c r="L7565">
        <v>0</v>
      </c>
      <c r="M7565" t="s">
        <v>18</v>
      </c>
      <c r="N7565">
        <v>0</v>
      </c>
      <c r="O7565">
        <v>0</v>
      </c>
    </row>
    <row r="7566" spans="1:15" x14ac:dyDescent="0.2">
      <c r="A7566" s="6">
        <v>45776</v>
      </c>
      <c r="B7566" t="s">
        <v>15</v>
      </c>
      <c r="C7566" t="s">
        <v>16</v>
      </c>
      <c r="D7566" s="1">
        <v>45855</v>
      </c>
      <c r="E7566" t="s">
        <v>19</v>
      </c>
      <c r="F7566">
        <v>4200</v>
      </c>
      <c r="J7566">
        <v>32.700000000000003</v>
      </c>
      <c r="K7566">
        <v>28.1</v>
      </c>
      <c r="L7566">
        <v>0</v>
      </c>
      <c r="M7566" t="s">
        <v>18</v>
      </c>
      <c r="N7566">
        <v>0</v>
      </c>
      <c r="O7566">
        <v>0</v>
      </c>
    </row>
    <row r="7567" spans="1:15" x14ac:dyDescent="0.2">
      <c r="A7567" s="6">
        <v>45776</v>
      </c>
      <c r="B7567" t="s">
        <v>15</v>
      </c>
      <c r="C7567" t="s">
        <v>16</v>
      </c>
      <c r="D7567" s="1">
        <v>45855</v>
      </c>
      <c r="E7567" t="s">
        <v>17</v>
      </c>
      <c r="F7567">
        <v>4800</v>
      </c>
      <c r="J7567">
        <v>501.6</v>
      </c>
      <c r="K7567">
        <v>567.9</v>
      </c>
      <c r="L7567">
        <v>0</v>
      </c>
      <c r="M7567" t="s">
        <v>18</v>
      </c>
      <c r="N7567">
        <v>0</v>
      </c>
      <c r="O7567">
        <v>0</v>
      </c>
    </row>
    <row r="7568" spans="1:15" x14ac:dyDescent="0.2">
      <c r="A7568" s="6">
        <v>45776</v>
      </c>
      <c r="B7568" t="s">
        <v>15</v>
      </c>
      <c r="C7568" t="s">
        <v>16</v>
      </c>
      <c r="D7568" s="1">
        <v>45855</v>
      </c>
      <c r="E7568" t="s">
        <v>17</v>
      </c>
      <c r="F7568">
        <v>5950</v>
      </c>
      <c r="J7568">
        <v>79.5</v>
      </c>
      <c r="K7568">
        <v>102</v>
      </c>
      <c r="L7568">
        <v>0</v>
      </c>
      <c r="M7568" t="s">
        <v>18</v>
      </c>
      <c r="N7568">
        <v>0</v>
      </c>
      <c r="O7568">
        <v>0</v>
      </c>
    </row>
    <row r="7569" spans="1:15" x14ac:dyDescent="0.2">
      <c r="A7569" s="6">
        <v>45776</v>
      </c>
      <c r="B7569" t="s">
        <v>15</v>
      </c>
      <c r="C7569" t="s">
        <v>16</v>
      </c>
      <c r="D7569" s="1">
        <v>45855</v>
      </c>
      <c r="E7569" t="s">
        <v>17</v>
      </c>
      <c r="F7569">
        <v>4900</v>
      </c>
      <c r="J7569">
        <v>440.8</v>
      </c>
      <c r="K7569">
        <v>503.5</v>
      </c>
      <c r="L7569">
        <v>0</v>
      </c>
      <c r="M7569" t="s">
        <v>18</v>
      </c>
      <c r="N7569">
        <v>0</v>
      </c>
      <c r="O7569">
        <v>0</v>
      </c>
    </row>
    <row r="7570" spans="1:15" x14ac:dyDescent="0.2">
      <c r="A7570" s="6">
        <v>45776</v>
      </c>
      <c r="B7570" t="s">
        <v>15</v>
      </c>
      <c r="C7570" t="s">
        <v>16</v>
      </c>
      <c r="D7570" s="1">
        <v>45855</v>
      </c>
      <c r="E7570" t="s">
        <v>19</v>
      </c>
      <c r="F7570">
        <v>6550</v>
      </c>
      <c r="J7570">
        <v>1412.5</v>
      </c>
      <c r="K7570">
        <v>1335.5</v>
      </c>
      <c r="L7570">
        <v>0</v>
      </c>
      <c r="M7570" t="s">
        <v>18</v>
      </c>
      <c r="N7570">
        <v>0</v>
      </c>
      <c r="O7570">
        <v>0</v>
      </c>
    </row>
    <row r="7571" spans="1:15" x14ac:dyDescent="0.2">
      <c r="A7571" s="6">
        <v>45776</v>
      </c>
      <c r="B7571" t="s">
        <v>15</v>
      </c>
      <c r="C7571" t="s">
        <v>16</v>
      </c>
      <c r="D7571" s="1">
        <v>45855</v>
      </c>
      <c r="E7571" t="s">
        <v>17</v>
      </c>
      <c r="F7571">
        <v>5700</v>
      </c>
      <c r="J7571">
        <v>126.5</v>
      </c>
      <c r="K7571">
        <v>157.30000000000001</v>
      </c>
      <c r="L7571">
        <v>0</v>
      </c>
      <c r="M7571" t="s">
        <v>18</v>
      </c>
      <c r="N7571">
        <v>0</v>
      </c>
      <c r="O7571">
        <v>0</v>
      </c>
    </row>
    <row r="7572" spans="1:15" x14ac:dyDescent="0.2">
      <c r="A7572" s="6">
        <v>45776</v>
      </c>
      <c r="B7572" t="s">
        <v>15</v>
      </c>
      <c r="C7572" t="s">
        <v>16</v>
      </c>
      <c r="D7572" s="1">
        <v>45855</v>
      </c>
      <c r="E7572" t="s">
        <v>19</v>
      </c>
      <c r="F7572">
        <v>6150</v>
      </c>
      <c r="J7572">
        <v>1048.5999999999999</v>
      </c>
      <c r="K7572">
        <v>979.7</v>
      </c>
      <c r="L7572">
        <v>0</v>
      </c>
      <c r="M7572" t="s">
        <v>18</v>
      </c>
      <c r="N7572">
        <v>0</v>
      </c>
      <c r="O7572">
        <v>0</v>
      </c>
    </row>
    <row r="7573" spans="1:15" x14ac:dyDescent="0.2">
      <c r="A7573" s="6">
        <v>45776</v>
      </c>
      <c r="B7573" t="s">
        <v>15</v>
      </c>
      <c r="C7573" t="s">
        <v>16</v>
      </c>
      <c r="D7573" s="1">
        <v>45855</v>
      </c>
      <c r="E7573" t="s">
        <v>17</v>
      </c>
      <c r="F7573">
        <v>4950</v>
      </c>
      <c r="J7573">
        <v>412.3</v>
      </c>
      <c r="K7573">
        <v>473.1</v>
      </c>
      <c r="L7573">
        <v>0</v>
      </c>
      <c r="M7573" t="s">
        <v>18</v>
      </c>
      <c r="N7573">
        <v>0</v>
      </c>
      <c r="O7573">
        <v>0</v>
      </c>
    </row>
    <row r="7574" spans="1:15" x14ac:dyDescent="0.2">
      <c r="A7574" s="6">
        <v>45776</v>
      </c>
      <c r="B7574" t="s">
        <v>15</v>
      </c>
      <c r="C7574" t="s">
        <v>16</v>
      </c>
      <c r="D7574" s="1">
        <v>45855</v>
      </c>
      <c r="E7574" t="s">
        <v>17</v>
      </c>
      <c r="F7574">
        <v>6200</v>
      </c>
      <c r="J7574">
        <v>48.4</v>
      </c>
      <c r="K7574">
        <v>64.2</v>
      </c>
      <c r="L7574">
        <v>0</v>
      </c>
      <c r="M7574" t="s">
        <v>18</v>
      </c>
      <c r="N7574">
        <v>0</v>
      </c>
      <c r="O7574">
        <v>0</v>
      </c>
    </row>
    <row r="7575" spans="1:15" x14ac:dyDescent="0.2">
      <c r="A7575" s="6">
        <v>45776</v>
      </c>
      <c r="B7575" t="s">
        <v>15</v>
      </c>
      <c r="C7575" t="s">
        <v>16</v>
      </c>
      <c r="D7575" s="1">
        <v>45855</v>
      </c>
      <c r="E7575" t="s">
        <v>17</v>
      </c>
      <c r="F7575">
        <v>4450</v>
      </c>
      <c r="J7575">
        <v>751.7</v>
      </c>
      <c r="K7575">
        <v>828.1</v>
      </c>
      <c r="L7575">
        <v>0</v>
      </c>
      <c r="M7575" t="s">
        <v>18</v>
      </c>
      <c r="N7575">
        <v>0</v>
      </c>
      <c r="O7575">
        <v>0</v>
      </c>
    </row>
    <row r="7576" spans="1:15" x14ac:dyDescent="0.2">
      <c r="A7576" s="6">
        <v>45776</v>
      </c>
      <c r="B7576" t="s">
        <v>15</v>
      </c>
      <c r="C7576" t="s">
        <v>16</v>
      </c>
      <c r="D7576" s="1">
        <v>45855</v>
      </c>
      <c r="E7576" t="s">
        <v>17</v>
      </c>
      <c r="F7576">
        <v>5300</v>
      </c>
      <c r="J7576">
        <v>247.5</v>
      </c>
      <c r="K7576">
        <v>294.10000000000002</v>
      </c>
      <c r="L7576">
        <v>0</v>
      </c>
      <c r="M7576" t="s">
        <v>18</v>
      </c>
      <c r="N7576">
        <v>0</v>
      </c>
      <c r="O7576">
        <v>0</v>
      </c>
    </row>
    <row r="7577" spans="1:15" x14ac:dyDescent="0.2">
      <c r="A7577" s="6">
        <v>45776</v>
      </c>
      <c r="B7577" t="s">
        <v>15</v>
      </c>
      <c r="C7577" t="s">
        <v>16</v>
      </c>
      <c r="D7577" s="1">
        <v>45855</v>
      </c>
      <c r="E7577" t="s">
        <v>17</v>
      </c>
      <c r="F7577">
        <v>4750</v>
      </c>
      <c r="J7577">
        <v>533.79999999999995</v>
      </c>
      <c r="K7577">
        <v>601.79999999999995</v>
      </c>
      <c r="L7577">
        <v>0</v>
      </c>
      <c r="M7577" t="s">
        <v>18</v>
      </c>
      <c r="N7577">
        <v>0</v>
      </c>
      <c r="O7577">
        <v>0</v>
      </c>
    </row>
    <row r="7578" spans="1:15" x14ac:dyDescent="0.2">
      <c r="A7578" s="6">
        <v>45776</v>
      </c>
      <c r="B7578" t="s">
        <v>15</v>
      </c>
      <c r="C7578" t="s">
        <v>16</v>
      </c>
      <c r="D7578" s="1">
        <v>45855</v>
      </c>
      <c r="E7578" t="s">
        <v>17</v>
      </c>
      <c r="F7578">
        <v>4100</v>
      </c>
      <c r="J7578">
        <v>1049.5999999999999</v>
      </c>
      <c r="K7578">
        <v>1131.9000000000001</v>
      </c>
      <c r="L7578">
        <v>0</v>
      </c>
      <c r="M7578" t="s">
        <v>18</v>
      </c>
      <c r="N7578">
        <v>0</v>
      </c>
      <c r="O7578">
        <v>0</v>
      </c>
    </row>
    <row r="7579" spans="1:15" x14ac:dyDescent="0.2">
      <c r="A7579" s="6">
        <v>45776</v>
      </c>
      <c r="B7579" t="s">
        <v>15</v>
      </c>
      <c r="C7579" t="s">
        <v>16</v>
      </c>
      <c r="D7579" s="1">
        <v>45855</v>
      </c>
      <c r="E7579" t="s">
        <v>17</v>
      </c>
      <c r="F7579">
        <v>4400</v>
      </c>
      <c r="J7579">
        <v>791.7</v>
      </c>
      <c r="K7579">
        <v>869.2</v>
      </c>
      <c r="L7579">
        <v>0</v>
      </c>
      <c r="M7579" t="s">
        <v>18</v>
      </c>
      <c r="N7579">
        <v>0</v>
      </c>
      <c r="O7579">
        <v>0</v>
      </c>
    </row>
    <row r="7580" spans="1:15" x14ac:dyDescent="0.2">
      <c r="A7580" s="6">
        <v>45776</v>
      </c>
      <c r="B7580" t="s">
        <v>15</v>
      </c>
      <c r="C7580" t="s">
        <v>16</v>
      </c>
      <c r="D7580" s="1">
        <v>45855</v>
      </c>
      <c r="E7580" t="s">
        <v>17</v>
      </c>
      <c r="F7580">
        <v>5000</v>
      </c>
      <c r="J7580">
        <v>385.1</v>
      </c>
      <c r="K7580">
        <v>443.9</v>
      </c>
      <c r="L7580">
        <v>0</v>
      </c>
      <c r="M7580" t="s">
        <v>18</v>
      </c>
      <c r="N7580">
        <v>0</v>
      </c>
      <c r="O7580">
        <v>0</v>
      </c>
    </row>
    <row r="7581" spans="1:15" x14ac:dyDescent="0.2">
      <c r="A7581" s="6">
        <v>45776</v>
      </c>
      <c r="B7581" t="s">
        <v>15</v>
      </c>
      <c r="C7581" t="s">
        <v>16</v>
      </c>
      <c r="D7581" s="1">
        <v>45855</v>
      </c>
      <c r="E7581" t="s">
        <v>17</v>
      </c>
      <c r="F7581">
        <v>4350</v>
      </c>
      <c r="J7581">
        <v>832.6</v>
      </c>
      <c r="K7581">
        <v>911.2</v>
      </c>
      <c r="L7581">
        <v>0</v>
      </c>
      <c r="M7581" t="s">
        <v>18</v>
      </c>
      <c r="N7581">
        <v>0</v>
      </c>
      <c r="O7581">
        <v>0</v>
      </c>
    </row>
    <row r="7582" spans="1:15" x14ac:dyDescent="0.2">
      <c r="A7582" s="6">
        <v>45776</v>
      </c>
      <c r="B7582" t="s">
        <v>15</v>
      </c>
      <c r="C7582" t="s">
        <v>16</v>
      </c>
      <c r="D7582" s="1">
        <v>45855</v>
      </c>
      <c r="E7582" t="s">
        <v>19</v>
      </c>
      <c r="F7582">
        <v>5200</v>
      </c>
      <c r="J7582">
        <v>346.7</v>
      </c>
      <c r="K7582">
        <v>311.60000000000002</v>
      </c>
      <c r="L7582">
        <v>0</v>
      </c>
      <c r="M7582" t="s">
        <v>18</v>
      </c>
      <c r="N7582">
        <v>0</v>
      </c>
      <c r="O7582">
        <v>0</v>
      </c>
    </row>
    <row r="7583" spans="1:15" x14ac:dyDescent="0.2">
      <c r="A7583" s="6">
        <v>45776</v>
      </c>
      <c r="B7583" t="s">
        <v>15</v>
      </c>
      <c r="C7583" t="s">
        <v>16</v>
      </c>
      <c r="D7583" s="1">
        <v>45855</v>
      </c>
      <c r="E7583" t="s">
        <v>17</v>
      </c>
      <c r="F7583">
        <v>4850</v>
      </c>
      <c r="J7583">
        <v>470.6</v>
      </c>
      <c r="K7583">
        <v>535.1</v>
      </c>
      <c r="L7583">
        <v>0</v>
      </c>
      <c r="M7583" t="s">
        <v>18</v>
      </c>
      <c r="N7583">
        <v>0</v>
      </c>
      <c r="O7583">
        <v>0</v>
      </c>
    </row>
    <row r="7584" spans="1:15" x14ac:dyDescent="0.2">
      <c r="A7584" s="6">
        <v>45776</v>
      </c>
      <c r="B7584" t="s">
        <v>15</v>
      </c>
      <c r="C7584" t="s">
        <v>16</v>
      </c>
      <c r="D7584" s="1">
        <v>45855</v>
      </c>
      <c r="E7584" t="s">
        <v>19</v>
      </c>
      <c r="F7584">
        <v>5250</v>
      </c>
      <c r="J7584">
        <v>374.9</v>
      </c>
      <c r="K7584">
        <v>337.8</v>
      </c>
      <c r="L7584">
        <v>0</v>
      </c>
      <c r="M7584" t="s">
        <v>18</v>
      </c>
      <c r="N7584">
        <v>0</v>
      </c>
      <c r="O7584">
        <v>0</v>
      </c>
    </row>
    <row r="7585" spans="1:15" x14ac:dyDescent="0.2">
      <c r="A7585" s="6">
        <v>45776</v>
      </c>
      <c r="B7585" t="s">
        <v>15</v>
      </c>
      <c r="C7585" t="s">
        <v>16</v>
      </c>
      <c r="D7585" s="1">
        <v>45855</v>
      </c>
      <c r="E7585" t="s">
        <v>17</v>
      </c>
      <c r="F7585">
        <v>5750</v>
      </c>
      <c r="J7585">
        <v>115.6</v>
      </c>
      <c r="K7585">
        <v>144.6</v>
      </c>
      <c r="L7585">
        <v>0</v>
      </c>
      <c r="M7585" t="s">
        <v>18</v>
      </c>
      <c r="N7585">
        <v>0</v>
      </c>
      <c r="O7585">
        <v>0</v>
      </c>
    </row>
    <row r="7586" spans="1:15" x14ac:dyDescent="0.2">
      <c r="A7586" s="6">
        <v>45776</v>
      </c>
      <c r="B7586" t="s">
        <v>15</v>
      </c>
      <c r="C7586" t="s">
        <v>16</v>
      </c>
      <c r="D7586" s="1">
        <v>45855</v>
      </c>
      <c r="E7586" t="s">
        <v>19</v>
      </c>
      <c r="F7586">
        <v>5900</v>
      </c>
      <c r="J7586">
        <v>835.9</v>
      </c>
      <c r="K7586">
        <v>774.1</v>
      </c>
      <c r="L7586">
        <v>0</v>
      </c>
      <c r="M7586" t="s">
        <v>18</v>
      </c>
      <c r="N7586">
        <v>0</v>
      </c>
      <c r="O7586">
        <v>0</v>
      </c>
    </row>
    <row r="7587" spans="1:15" x14ac:dyDescent="0.2">
      <c r="A7587" s="6">
        <v>45776</v>
      </c>
      <c r="B7587" t="s">
        <v>15</v>
      </c>
      <c r="C7587" t="s">
        <v>16</v>
      </c>
      <c r="D7587" s="1">
        <v>45855</v>
      </c>
      <c r="E7587" t="s">
        <v>19</v>
      </c>
      <c r="F7587">
        <v>4800</v>
      </c>
      <c r="J7587">
        <v>165.3</v>
      </c>
      <c r="K7587">
        <v>145.9</v>
      </c>
      <c r="L7587">
        <v>0</v>
      </c>
      <c r="M7587" t="s">
        <v>18</v>
      </c>
      <c r="N7587">
        <v>0</v>
      </c>
      <c r="O7587">
        <v>0</v>
      </c>
    </row>
    <row r="7588" spans="1:15" x14ac:dyDescent="0.2">
      <c r="A7588" s="6">
        <v>45776</v>
      </c>
      <c r="B7588" t="s">
        <v>15</v>
      </c>
      <c r="C7588" t="s">
        <v>16</v>
      </c>
      <c r="D7588" s="1">
        <v>45855</v>
      </c>
      <c r="E7588" t="s">
        <v>17</v>
      </c>
      <c r="F7588">
        <v>5600</v>
      </c>
      <c r="J7588">
        <v>150.9</v>
      </c>
      <c r="K7588">
        <v>185.4</v>
      </c>
      <c r="L7588">
        <v>0</v>
      </c>
      <c r="M7588" t="s">
        <v>18</v>
      </c>
      <c r="N7588">
        <v>0</v>
      </c>
      <c r="O7588">
        <v>0</v>
      </c>
    </row>
    <row r="7589" spans="1:15" x14ac:dyDescent="0.2">
      <c r="A7589" s="6">
        <v>45776</v>
      </c>
      <c r="B7589" t="s">
        <v>15</v>
      </c>
      <c r="C7589" t="s">
        <v>16</v>
      </c>
      <c r="D7589" s="1">
        <v>45855</v>
      </c>
      <c r="E7589" t="s">
        <v>17</v>
      </c>
      <c r="F7589">
        <v>5550</v>
      </c>
      <c r="J7589">
        <v>164.4</v>
      </c>
      <c r="K7589">
        <v>200.9</v>
      </c>
      <c r="L7589">
        <v>0</v>
      </c>
      <c r="M7589" t="s">
        <v>18</v>
      </c>
      <c r="N7589">
        <v>0</v>
      </c>
      <c r="O7589">
        <v>0</v>
      </c>
    </row>
    <row r="7590" spans="1:15" x14ac:dyDescent="0.2">
      <c r="A7590" s="6">
        <v>45776</v>
      </c>
      <c r="B7590" t="s">
        <v>15</v>
      </c>
      <c r="C7590" t="s">
        <v>16</v>
      </c>
      <c r="D7590" s="1">
        <v>45855</v>
      </c>
      <c r="E7590" t="s">
        <v>19</v>
      </c>
      <c r="F7590">
        <v>4600</v>
      </c>
      <c r="J7590">
        <v>104.2</v>
      </c>
      <c r="K7590">
        <v>91.1</v>
      </c>
      <c r="L7590">
        <v>0</v>
      </c>
      <c r="M7590" t="s">
        <v>18</v>
      </c>
      <c r="N7590">
        <v>0</v>
      </c>
      <c r="O7590">
        <v>0</v>
      </c>
    </row>
    <row r="7591" spans="1:15" x14ac:dyDescent="0.2">
      <c r="A7591" s="6">
        <v>45776</v>
      </c>
      <c r="B7591" t="s">
        <v>15</v>
      </c>
      <c r="C7591" t="s">
        <v>16</v>
      </c>
      <c r="D7591" s="1">
        <v>45855</v>
      </c>
      <c r="E7591" t="s">
        <v>19</v>
      </c>
      <c r="F7591">
        <v>6200</v>
      </c>
      <c r="J7591">
        <v>1092.7</v>
      </c>
      <c r="K7591">
        <v>1022.6</v>
      </c>
      <c r="L7591">
        <v>0</v>
      </c>
      <c r="M7591" t="s">
        <v>18</v>
      </c>
      <c r="N7591">
        <v>0</v>
      </c>
      <c r="O7591">
        <v>0</v>
      </c>
    </row>
    <row r="7592" spans="1:15" x14ac:dyDescent="0.2">
      <c r="A7592" s="6">
        <v>45776</v>
      </c>
      <c r="B7592" t="s">
        <v>15</v>
      </c>
      <c r="C7592" t="s">
        <v>16</v>
      </c>
      <c r="D7592" s="1">
        <v>45855</v>
      </c>
      <c r="E7592" t="s">
        <v>19</v>
      </c>
      <c r="F7592">
        <v>4450</v>
      </c>
      <c r="J7592">
        <v>70.2</v>
      </c>
      <c r="K7592">
        <v>61</v>
      </c>
      <c r="L7592">
        <v>0</v>
      </c>
      <c r="M7592" t="s">
        <v>18</v>
      </c>
      <c r="N7592">
        <v>0</v>
      </c>
      <c r="O7592">
        <v>0</v>
      </c>
    </row>
    <row r="7593" spans="1:15" x14ac:dyDescent="0.2">
      <c r="A7593" s="6">
        <v>45776</v>
      </c>
      <c r="B7593" t="s">
        <v>15</v>
      </c>
      <c r="C7593" t="s">
        <v>16</v>
      </c>
      <c r="D7593" s="1">
        <v>45855</v>
      </c>
      <c r="E7593" t="s">
        <v>19</v>
      </c>
      <c r="F7593">
        <v>5050</v>
      </c>
      <c r="J7593">
        <v>269.3</v>
      </c>
      <c r="K7593">
        <v>240.4</v>
      </c>
      <c r="L7593">
        <v>0</v>
      </c>
      <c r="M7593" t="s">
        <v>18</v>
      </c>
      <c r="N7593">
        <v>0</v>
      </c>
      <c r="O7593">
        <v>0</v>
      </c>
    </row>
    <row r="7594" spans="1:15" x14ac:dyDescent="0.2">
      <c r="A7594" s="6">
        <v>45776</v>
      </c>
      <c r="B7594" t="s">
        <v>15</v>
      </c>
      <c r="C7594" t="s">
        <v>16</v>
      </c>
      <c r="D7594" s="1">
        <v>45855</v>
      </c>
      <c r="E7594" t="s">
        <v>19</v>
      </c>
      <c r="F7594">
        <v>5400</v>
      </c>
      <c r="J7594">
        <v>466.5</v>
      </c>
      <c r="K7594">
        <v>423.2</v>
      </c>
      <c r="L7594">
        <v>0</v>
      </c>
      <c r="M7594" t="s">
        <v>18</v>
      </c>
      <c r="N7594">
        <v>0</v>
      </c>
      <c r="O7594">
        <v>0</v>
      </c>
    </row>
    <row r="7595" spans="1:15" x14ac:dyDescent="0.2">
      <c r="A7595" s="6">
        <v>45776</v>
      </c>
      <c r="B7595" t="s">
        <v>15</v>
      </c>
      <c r="C7595" t="s">
        <v>16</v>
      </c>
      <c r="D7595" s="1">
        <v>45855</v>
      </c>
      <c r="E7595" t="s">
        <v>19</v>
      </c>
      <c r="F7595">
        <v>4250</v>
      </c>
      <c r="J7595">
        <v>38.5</v>
      </c>
      <c r="K7595">
        <v>33.200000000000003</v>
      </c>
      <c r="L7595">
        <v>0</v>
      </c>
      <c r="M7595" t="s">
        <v>18</v>
      </c>
      <c r="N7595">
        <v>0</v>
      </c>
      <c r="O7595">
        <v>0</v>
      </c>
    </row>
    <row r="7596" spans="1:15" x14ac:dyDescent="0.2">
      <c r="A7596" s="6">
        <v>45776</v>
      </c>
      <c r="B7596" t="s">
        <v>15</v>
      </c>
      <c r="C7596" t="s">
        <v>16</v>
      </c>
      <c r="D7596" s="1">
        <v>45855</v>
      </c>
      <c r="E7596" t="s">
        <v>17</v>
      </c>
      <c r="F7596">
        <v>6550</v>
      </c>
      <c r="J7596">
        <v>23</v>
      </c>
      <c r="K7596">
        <v>32.1</v>
      </c>
      <c r="L7596">
        <v>0</v>
      </c>
      <c r="M7596" t="s">
        <v>18</v>
      </c>
      <c r="N7596">
        <v>0</v>
      </c>
      <c r="O7596">
        <v>0</v>
      </c>
    </row>
    <row r="7597" spans="1:15" x14ac:dyDescent="0.2">
      <c r="A7597" s="6">
        <v>45776</v>
      </c>
      <c r="B7597" t="s">
        <v>15</v>
      </c>
      <c r="C7597" t="s">
        <v>16</v>
      </c>
      <c r="D7597" s="1">
        <v>45855</v>
      </c>
      <c r="E7597" t="s">
        <v>19</v>
      </c>
      <c r="F7597">
        <v>4950</v>
      </c>
      <c r="J7597">
        <v>224</v>
      </c>
      <c r="K7597">
        <v>199</v>
      </c>
      <c r="L7597">
        <v>0</v>
      </c>
      <c r="M7597" t="s">
        <v>18</v>
      </c>
      <c r="N7597">
        <v>0</v>
      </c>
      <c r="O7597">
        <v>0</v>
      </c>
    </row>
    <row r="7598" spans="1:15" x14ac:dyDescent="0.2">
      <c r="A7598" s="6">
        <v>45776</v>
      </c>
      <c r="B7598" t="s">
        <v>15</v>
      </c>
      <c r="C7598" t="s">
        <v>16</v>
      </c>
      <c r="D7598" s="1">
        <v>45855</v>
      </c>
      <c r="E7598" t="s">
        <v>19</v>
      </c>
      <c r="F7598">
        <v>5700</v>
      </c>
      <c r="J7598">
        <v>677.7</v>
      </c>
      <c r="K7598">
        <v>622.70000000000005</v>
      </c>
      <c r="L7598">
        <v>0</v>
      </c>
      <c r="M7598" t="s">
        <v>18</v>
      </c>
      <c r="N7598">
        <v>0</v>
      </c>
      <c r="O7598">
        <v>0</v>
      </c>
    </row>
    <row r="7599" spans="1:15" x14ac:dyDescent="0.2">
      <c r="A7599" s="6">
        <v>45776</v>
      </c>
      <c r="B7599" t="s">
        <v>15</v>
      </c>
      <c r="C7599" t="s">
        <v>16</v>
      </c>
      <c r="D7599" s="1">
        <v>45855</v>
      </c>
      <c r="E7599" t="s">
        <v>19</v>
      </c>
      <c r="F7599">
        <v>5300</v>
      </c>
      <c r="J7599">
        <v>404.3</v>
      </c>
      <c r="K7599">
        <v>365.1</v>
      </c>
      <c r="L7599">
        <v>0</v>
      </c>
      <c r="M7599" t="s">
        <v>18</v>
      </c>
      <c r="N7599">
        <v>0</v>
      </c>
      <c r="O7599">
        <v>0</v>
      </c>
    </row>
    <row r="7600" spans="1:15" x14ac:dyDescent="0.2">
      <c r="A7600" s="6">
        <v>45776</v>
      </c>
      <c r="B7600" t="s">
        <v>15</v>
      </c>
      <c r="C7600" t="s">
        <v>16</v>
      </c>
      <c r="D7600" s="1">
        <v>45855</v>
      </c>
      <c r="E7600" t="s">
        <v>19</v>
      </c>
      <c r="F7600">
        <v>5450</v>
      </c>
      <c r="J7600">
        <v>499.2</v>
      </c>
      <c r="K7600">
        <v>453.8</v>
      </c>
      <c r="L7600">
        <v>0</v>
      </c>
      <c r="M7600" t="s">
        <v>18</v>
      </c>
      <c r="N7600">
        <v>0</v>
      </c>
      <c r="O7600">
        <v>0</v>
      </c>
    </row>
    <row r="7601" spans="1:15" x14ac:dyDescent="0.2">
      <c r="A7601" s="6">
        <v>45776</v>
      </c>
      <c r="B7601" t="s">
        <v>15</v>
      </c>
      <c r="C7601" t="s">
        <v>16</v>
      </c>
      <c r="D7601" s="1">
        <v>45855</v>
      </c>
      <c r="E7601" t="s">
        <v>19</v>
      </c>
      <c r="F7601">
        <v>5800</v>
      </c>
      <c r="J7601">
        <v>755.3</v>
      </c>
      <c r="K7601">
        <v>696.8</v>
      </c>
      <c r="L7601">
        <v>0</v>
      </c>
      <c r="M7601" t="s">
        <v>18</v>
      </c>
      <c r="N7601">
        <v>0</v>
      </c>
      <c r="O7601">
        <v>0</v>
      </c>
    </row>
    <row r="7602" spans="1:15" x14ac:dyDescent="0.2">
      <c r="A7602" s="6">
        <v>45776</v>
      </c>
      <c r="B7602" t="s">
        <v>15</v>
      </c>
      <c r="C7602" t="s">
        <v>16</v>
      </c>
      <c r="D7602" s="1">
        <v>45855</v>
      </c>
      <c r="E7602" t="s">
        <v>19</v>
      </c>
      <c r="F7602">
        <v>4700</v>
      </c>
      <c r="J7602">
        <v>132.4</v>
      </c>
      <c r="K7602">
        <v>116.3</v>
      </c>
      <c r="L7602">
        <v>0</v>
      </c>
      <c r="M7602" t="s">
        <v>18</v>
      </c>
      <c r="N7602">
        <v>0</v>
      </c>
      <c r="O7602">
        <v>0</v>
      </c>
    </row>
    <row r="7603" spans="1:15" x14ac:dyDescent="0.2">
      <c r="A7603" s="6">
        <v>45776</v>
      </c>
      <c r="B7603" t="s">
        <v>15</v>
      </c>
      <c r="C7603" t="s">
        <v>16</v>
      </c>
      <c r="D7603" s="1">
        <v>45855</v>
      </c>
      <c r="E7603" t="s">
        <v>17</v>
      </c>
      <c r="F7603">
        <v>6050</v>
      </c>
      <c r="J7603">
        <v>65.400000000000006</v>
      </c>
      <c r="K7603">
        <v>85.1</v>
      </c>
      <c r="L7603">
        <v>0</v>
      </c>
      <c r="M7603" t="s">
        <v>18</v>
      </c>
      <c r="N7603">
        <v>0</v>
      </c>
      <c r="O7603">
        <v>0</v>
      </c>
    </row>
    <row r="7604" spans="1:15" x14ac:dyDescent="0.2">
      <c r="A7604" s="6">
        <v>45776</v>
      </c>
      <c r="B7604" t="s">
        <v>15</v>
      </c>
      <c r="C7604" t="s">
        <v>16</v>
      </c>
      <c r="D7604" s="1">
        <v>45855</v>
      </c>
      <c r="E7604" t="s">
        <v>19</v>
      </c>
      <c r="F7604">
        <v>6400</v>
      </c>
      <c r="J7604">
        <v>1273.4000000000001</v>
      </c>
      <c r="K7604">
        <v>1199</v>
      </c>
      <c r="L7604">
        <v>0</v>
      </c>
      <c r="M7604" t="s">
        <v>18</v>
      </c>
      <c r="N7604">
        <v>0</v>
      </c>
      <c r="O7604">
        <v>0</v>
      </c>
    </row>
    <row r="7605" spans="1:15" x14ac:dyDescent="0.2">
      <c r="A7605" s="6">
        <v>45776</v>
      </c>
      <c r="B7605" t="s">
        <v>15</v>
      </c>
      <c r="C7605" t="s">
        <v>16</v>
      </c>
      <c r="D7605" s="1">
        <v>45855</v>
      </c>
      <c r="E7605" t="s">
        <v>19</v>
      </c>
      <c r="F7605">
        <v>4550</v>
      </c>
      <c r="J7605">
        <v>91.8</v>
      </c>
      <c r="K7605">
        <v>80.099999999999994</v>
      </c>
      <c r="L7605">
        <v>0</v>
      </c>
      <c r="M7605" t="s">
        <v>18</v>
      </c>
      <c r="N7605">
        <v>0</v>
      </c>
      <c r="O7605">
        <v>0</v>
      </c>
    </row>
    <row r="7606" spans="1:15" x14ac:dyDescent="0.2">
      <c r="A7606" s="6">
        <v>45776</v>
      </c>
      <c r="B7606" t="s">
        <v>15</v>
      </c>
      <c r="C7606" t="s">
        <v>16</v>
      </c>
      <c r="D7606" s="1">
        <v>45855</v>
      </c>
      <c r="E7606" t="s">
        <v>17</v>
      </c>
      <c r="F7606">
        <v>6650</v>
      </c>
      <c r="J7606">
        <v>18.5</v>
      </c>
      <c r="K7606">
        <v>26.1</v>
      </c>
      <c r="L7606">
        <v>0</v>
      </c>
      <c r="M7606" t="s">
        <v>18</v>
      </c>
      <c r="N7606">
        <v>0</v>
      </c>
      <c r="O7606">
        <v>0</v>
      </c>
    </row>
    <row r="7607" spans="1:15" x14ac:dyDescent="0.2">
      <c r="A7607" s="6">
        <v>45776</v>
      </c>
      <c r="B7607" t="s">
        <v>15</v>
      </c>
      <c r="C7607" t="s">
        <v>16</v>
      </c>
      <c r="D7607" s="1">
        <v>45855</v>
      </c>
      <c r="E7607" t="s">
        <v>17</v>
      </c>
      <c r="F7607">
        <v>5200</v>
      </c>
      <c r="J7607">
        <v>288.5</v>
      </c>
      <c r="K7607">
        <v>339.3</v>
      </c>
      <c r="L7607">
        <v>0</v>
      </c>
      <c r="M7607" t="s">
        <v>18</v>
      </c>
      <c r="N7607">
        <v>0</v>
      </c>
      <c r="O7607">
        <v>0</v>
      </c>
    </row>
    <row r="7608" spans="1:15" x14ac:dyDescent="0.2">
      <c r="A7608" s="6">
        <v>45776</v>
      </c>
      <c r="B7608" t="s">
        <v>15</v>
      </c>
      <c r="C7608" t="s">
        <v>16</v>
      </c>
      <c r="D7608" s="1">
        <v>45855</v>
      </c>
      <c r="E7608" t="s">
        <v>17</v>
      </c>
      <c r="F7608">
        <v>5900</v>
      </c>
      <c r="J7608">
        <v>87.5</v>
      </c>
      <c r="K7608">
        <v>111.6</v>
      </c>
      <c r="L7608">
        <v>0</v>
      </c>
      <c r="M7608" t="s">
        <v>18</v>
      </c>
      <c r="N7608">
        <v>0</v>
      </c>
      <c r="O7608">
        <v>0</v>
      </c>
    </row>
    <row r="7609" spans="1:15" x14ac:dyDescent="0.2">
      <c r="A7609" s="6">
        <v>45776</v>
      </c>
      <c r="B7609" t="s">
        <v>15</v>
      </c>
      <c r="C7609" t="s">
        <v>16</v>
      </c>
      <c r="D7609" s="1">
        <v>45855</v>
      </c>
      <c r="E7609" t="s">
        <v>17</v>
      </c>
      <c r="F7609">
        <v>4150</v>
      </c>
      <c r="J7609">
        <v>1004.8</v>
      </c>
      <c r="K7609">
        <v>1086.5</v>
      </c>
      <c r="L7609">
        <v>0</v>
      </c>
      <c r="M7609" t="s">
        <v>18</v>
      </c>
      <c r="N7609">
        <v>0</v>
      </c>
      <c r="O7609">
        <v>0</v>
      </c>
    </row>
    <row r="7610" spans="1:15" x14ac:dyDescent="0.2">
      <c r="A7610" s="6">
        <v>45776</v>
      </c>
      <c r="B7610" t="s">
        <v>15</v>
      </c>
      <c r="C7610" t="s">
        <v>16</v>
      </c>
      <c r="D7610" s="1">
        <v>45855</v>
      </c>
      <c r="E7610" t="s">
        <v>17</v>
      </c>
      <c r="F7610">
        <v>4250</v>
      </c>
      <c r="J7610">
        <v>917.2</v>
      </c>
      <c r="K7610">
        <v>997.5</v>
      </c>
      <c r="L7610">
        <v>0</v>
      </c>
      <c r="M7610" t="s">
        <v>18</v>
      </c>
      <c r="N7610">
        <v>0</v>
      </c>
      <c r="O7610">
        <v>0</v>
      </c>
    </row>
    <row r="7611" spans="1:15" x14ac:dyDescent="0.2">
      <c r="A7611" s="6">
        <v>45776</v>
      </c>
      <c r="B7611" t="s">
        <v>15</v>
      </c>
      <c r="C7611" t="s">
        <v>16</v>
      </c>
      <c r="D7611" s="1">
        <v>45855</v>
      </c>
      <c r="E7611" t="s">
        <v>17</v>
      </c>
      <c r="F7611">
        <v>5500</v>
      </c>
      <c r="J7611">
        <v>178.9</v>
      </c>
      <c r="K7611">
        <v>217.4</v>
      </c>
      <c r="L7611">
        <v>0</v>
      </c>
      <c r="M7611" t="s">
        <v>18</v>
      </c>
      <c r="N7611">
        <v>0</v>
      </c>
      <c r="O7611">
        <v>0</v>
      </c>
    </row>
    <row r="7612" spans="1:15" x14ac:dyDescent="0.2">
      <c r="A7612" s="6">
        <v>45776</v>
      </c>
      <c r="B7612" t="s">
        <v>15</v>
      </c>
      <c r="C7612" t="s">
        <v>16</v>
      </c>
      <c r="D7612" s="1">
        <v>45855</v>
      </c>
      <c r="E7612" t="s">
        <v>17</v>
      </c>
      <c r="F7612">
        <v>4500</v>
      </c>
      <c r="J7612">
        <v>712.6</v>
      </c>
      <c r="K7612">
        <v>787.9</v>
      </c>
      <c r="L7612">
        <v>0</v>
      </c>
      <c r="M7612" t="s">
        <v>18</v>
      </c>
      <c r="N7612">
        <v>0</v>
      </c>
      <c r="O7612">
        <v>0</v>
      </c>
    </row>
    <row r="7613" spans="1:15" x14ac:dyDescent="0.2">
      <c r="A7613" s="6">
        <v>45776</v>
      </c>
      <c r="B7613" t="s">
        <v>15</v>
      </c>
      <c r="C7613" t="s">
        <v>16</v>
      </c>
      <c r="D7613" s="1">
        <v>45855</v>
      </c>
      <c r="E7613" t="s">
        <v>17</v>
      </c>
      <c r="F7613">
        <v>5050</v>
      </c>
      <c r="J7613">
        <v>359.1</v>
      </c>
      <c r="K7613">
        <v>415.9</v>
      </c>
      <c r="L7613">
        <v>0</v>
      </c>
      <c r="M7613" t="s">
        <v>18</v>
      </c>
      <c r="N7613">
        <v>0</v>
      </c>
      <c r="O7613">
        <v>0</v>
      </c>
    </row>
    <row r="7614" spans="1:15" x14ac:dyDescent="0.2">
      <c r="A7614" s="6">
        <v>45776</v>
      </c>
      <c r="B7614" t="s">
        <v>15</v>
      </c>
      <c r="C7614" t="s">
        <v>16</v>
      </c>
      <c r="D7614" s="1">
        <v>45855</v>
      </c>
      <c r="E7614" t="s">
        <v>19</v>
      </c>
      <c r="F7614">
        <v>5150</v>
      </c>
      <c r="J7614">
        <v>319.7</v>
      </c>
      <c r="K7614">
        <v>286.7</v>
      </c>
      <c r="L7614">
        <v>0</v>
      </c>
      <c r="M7614" t="s">
        <v>18</v>
      </c>
      <c r="N7614">
        <v>0</v>
      </c>
      <c r="O7614">
        <v>0</v>
      </c>
    </row>
    <row r="7615" spans="1:15" x14ac:dyDescent="0.2">
      <c r="A7615" s="6">
        <v>45776</v>
      </c>
      <c r="B7615" t="s">
        <v>15</v>
      </c>
      <c r="C7615" t="s">
        <v>16</v>
      </c>
      <c r="D7615" s="1">
        <v>45855</v>
      </c>
      <c r="E7615" t="s">
        <v>19</v>
      </c>
      <c r="F7615">
        <v>6250</v>
      </c>
      <c r="J7615">
        <v>1137.3</v>
      </c>
      <c r="K7615">
        <v>1066</v>
      </c>
      <c r="L7615">
        <v>0</v>
      </c>
      <c r="M7615" t="s">
        <v>18</v>
      </c>
      <c r="N7615">
        <v>0</v>
      </c>
      <c r="O7615">
        <v>0</v>
      </c>
    </row>
    <row r="7616" spans="1:15" x14ac:dyDescent="0.2">
      <c r="A7616" s="6">
        <v>45776</v>
      </c>
      <c r="B7616" t="s">
        <v>15</v>
      </c>
      <c r="C7616" t="s">
        <v>16</v>
      </c>
      <c r="D7616" s="1">
        <v>45855</v>
      </c>
      <c r="E7616" t="s">
        <v>17</v>
      </c>
      <c r="F7616">
        <v>6350</v>
      </c>
      <c r="J7616">
        <v>35.5</v>
      </c>
      <c r="K7616">
        <v>48</v>
      </c>
      <c r="L7616">
        <v>0</v>
      </c>
      <c r="M7616" t="s">
        <v>18</v>
      </c>
      <c r="N7616">
        <v>0</v>
      </c>
      <c r="O7616">
        <v>0</v>
      </c>
    </row>
    <row r="7617" spans="1:15" x14ac:dyDescent="0.2">
      <c r="A7617" s="6">
        <v>45776</v>
      </c>
      <c r="B7617" t="s">
        <v>15</v>
      </c>
      <c r="C7617" t="s">
        <v>16</v>
      </c>
      <c r="D7617" s="1">
        <v>45855</v>
      </c>
      <c r="E7617" t="s">
        <v>17</v>
      </c>
      <c r="F7617">
        <v>6250</v>
      </c>
      <c r="J7617">
        <v>43.7</v>
      </c>
      <c r="K7617">
        <v>58.3</v>
      </c>
      <c r="L7617">
        <v>0</v>
      </c>
      <c r="M7617" t="s">
        <v>18</v>
      </c>
      <c r="N7617">
        <v>0</v>
      </c>
      <c r="O7617">
        <v>0</v>
      </c>
    </row>
    <row r="7618" spans="1:15" x14ac:dyDescent="0.2">
      <c r="A7618" s="6">
        <v>45776</v>
      </c>
      <c r="B7618" t="s">
        <v>15</v>
      </c>
      <c r="C7618" t="s">
        <v>16</v>
      </c>
      <c r="D7618" s="1">
        <v>45855</v>
      </c>
      <c r="E7618" t="s">
        <v>17</v>
      </c>
      <c r="F7618">
        <v>5150</v>
      </c>
      <c r="J7618">
        <v>310.8</v>
      </c>
      <c r="K7618">
        <v>363.6</v>
      </c>
      <c r="L7618">
        <v>0</v>
      </c>
      <c r="M7618" t="s">
        <v>18</v>
      </c>
      <c r="N7618">
        <v>0</v>
      </c>
      <c r="O7618">
        <v>0</v>
      </c>
    </row>
    <row r="7619" spans="1:15" x14ac:dyDescent="0.2">
      <c r="A7619" s="6">
        <v>45776</v>
      </c>
      <c r="B7619" t="s">
        <v>15</v>
      </c>
      <c r="C7619" t="s">
        <v>16</v>
      </c>
      <c r="D7619" s="1">
        <v>45855</v>
      </c>
      <c r="E7619" t="s">
        <v>17</v>
      </c>
      <c r="F7619">
        <v>4550</v>
      </c>
      <c r="J7619">
        <v>674.6</v>
      </c>
      <c r="K7619">
        <v>748.6</v>
      </c>
      <c r="L7619">
        <v>0</v>
      </c>
      <c r="M7619" t="s">
        <v>18</v>
      </c>
      <c r="N7619">
        <v>0</v>
      </c>
      <c r="O7619">
        <v>0</v>
      </c>
    </row>
    <row r="7620" spans="1:15" x14ac:dyDescent="0.2">
      <c r="A7620" s="6">
        <v>45776</v>
      </c>
      <c r="B7620" t="s">
        <v>15</v>
      </c>
      <c r="C7620" t="s">
        <v>16</v>
      </c>
      <c r="D7620" s="1">
        <v>45855</v>
      </c>
      <c r="E7620" t="s">
        <v>17</v>
      </c>
      <c r="F7620">
        <v>5800</v>
      </c>
      <c r="J7620">
        <v>105.5</v>
      </c>
      <c r="K7620">
        <v>132.80000000000001</v>
      </c>
      <c r="L7620">
        <v>0</v>
      </c>
      <c r="M7620" t="s">
        <v>18</v>
      </c>
      <c r="N7620">
        <v>0</v>
      </c>
      <c r="O7620">
        <v>0</v>
      </c>
    </row>
    <row r="7621" spans="1:15" x14ac:dyDescent="0.2">
      <c r="A7621" s="6">
        <v>45776</v>
      </c>
      <c r="B7621" t="s">
        <v>15</v>
      </c>
      <c r="C7621" t="s">
        <v>16</v>
      </c>
      <c r="D7621" s="1">
        <v>45855</v>
      </c>
      <c r="E7621" t="s">
        <v>17</v>
      </c>
      <c r="F7621">
        <v>5450</v>
      </c>
      <c r="J7621">
        <v>194.5</v>
      </c>
      <c r="K7621">
        <v>235</v>
      </c>
      <c r="L7621">
        <v>0</v>
      </c>
      <c r="M7621" t="s">
        <v>18</v>
      </c>
      <c r="N7621">
        <v>0</v>
      </c>
      <c r="O7621">
        <v>0</v>
      </c>
    </row>
    <row r="7622" spans="1:15" x14ac:dyDescent="0.2">
      <c r="A7622" s="6">
        <v>45776</v>
      </c>
      <c r="B7622" t="s">
        <v>15</v>
      </c>
      <c r="C7622" t="s">
        <v>16</v>
      </c>
      <c r="D7622" s="1">
        <v>45855</v>
      </c>
      <c r="E7622" t="s">
        <v>19</v>
      </c>
      <c r="F7622">
        <v>4650</v>
      </c>
      <c r="J7622">
        <v>117.7</v>
      </c>
      <c r="K7622">
        <v>103.2</v>
      </c>
      <c r="L7622">
        <v>0</v>
      </c>
      <c r="M7622" t="s">
        <v>18</v>
      </c>
      <c r="N7622">
        <v>0</v>
      </c>
      <c r="O7622">
        <v>0</v>
      </c>
    </row>
    <row r="7623" spans="1:15" x14ac:dyDescent="0.2">
      <c r="A7623" s="6">
        <v>45776</v>
      </c>
      <c r="B7623" t="s">
        <v>15</v>
      </c>
      <c r="C7623" t="s">
        <v>16</v>
      </c>
      <c r="D7623" s="1">
        <v>45855</v>
      </c>
      <c r="E7623" t="s">
        <v>19</v>
      </c>
      <c r="F7623">
        <v>4400</v>
      </c>
      <c r="J7623">
        <v>61</v>
      </c>
      <c r="K7623">
        <v>52.8</v>
      </c>
      <c r="L7623">
        <v>0</v>
      </c>
      <c r="M7623" t="s">
        <v>18</v>
      </c>
      <c r="N7623">
        <v>0</v>
      </c>
      <c r="O7623">
        <v>0</v>
      </c>
    </row>
    <row r="7624" spans="1:15" x14ac:dyDescent="0.2">
      <c r="A7624" s="6">
        <v>45776</v>
      </c>
      <c r="B7624" t="s">
        <v>15</v>
      </c>
      <c r="C7624" t="s">
        <v>16</v>
      </c>
      <c r="D7624" s="1">
        <v>45855</v>
      </c>
      <c r="E7624" t="s">
        <v>17</v>
      </c>
      <c r="F7624">
        <v>4050</v>
      </c>
      <c r="J7624">
        <v>1095</v>
      </c>
      <c r="K7624">
        <v>1177.8</v>
      </c>
      <c r="L7624">
        <v>0</v>
      </c>
      <c r="M7624" t="s">
        <v>18</v>
      </c>
      <c r="N7624">
        <v>0</v>
      </c>
      <c r="O7624">
        <v>0</v>
      </c>
    </row>
    <row r="7625" spans="1:15" x14ac:dyDescent="0.2">
      <c r="A7625" s="6">
        <v>45776</v>
      </c>
      <c r="B7625" t="s">
        <v>15</v>
      </c>
      <c r="C7625" t="s">
        <v>16</v>
      </c>
      <c r="D7625" s="1">
        <v>45855</v>
      </c>
      <c r="E7625" t="s">
        <v>17</v>
      </c>
      <c r="F7625">
        <v>4000</v>
      </c>
      <c r="J7625">
        <v>1141</v>
      </c>
      <c r="K7625">
        <v>1224.3</v>
      </c>
      <c r="L7625">
        <v>0</v>
      </c>
      <c r="M7625" t="s">
        <v>18</v>
      </c>
      <c r="N7625">
        <v>0</v>
      </c>
      <c r="O7625">
        <v>0</v>
      </c>
    </row>
    <row r="7626" spans="1:15" x14ac:dyDescent="0.2">
      <c r="A7626" s="6">
        <v>45776</v>
      </c>
      <c r="B7626" t="s">
        <v>15</v>
      </c>
      <c r="C7626" t="s">
        <v>16</v>
      </c>
      <c r="D7626" s="1">
        <v>45855</v>
      </c>
      <c r="E7626" t="s">
        <v>19</v>
      </c>
      <c r="F7626">
        <v>4500</v>
      </c>
      <c r="J7626">
        <v>80.5</v>
      </c>
      <c r="K7626">
        <v>70.099999999999994</v>
      </c>
      <c r="L7626">
        <v>0</v>
      </c>
      <c r="M7626" t="s">
        <v>18</v>
      </c>
      <c r="N7626">
        <v>0</v>
      </c>
      <c r="O7626">
        <v>0</v>
      </c>
    </row>
    <row r="7627" spans="1:15" x14ac:dyDescent="0.2">
      <c r="A7627" s="6">
        <v>45776</v>
      </c>
      <c r="B7627" t="s">
        <v>15</v>
      </c>
      <c r="C7627" t="s">
        <v>16</v>
      </c>
      <c r="D7627" s="1">
        <v>45855</v>
      </c>
      <c r="E7627" t="s">
        <v>19</v>
      </c>
      <c r="F7627">
        <v>5350</v>
      </c>
      <c r="J7627">
        <v>434.8</v>
      </c>
      <c r="K7627">
        <v>393.6</v>
      </c>
      <c r="L7627">
        <v>0</v>
      </c>
      <c r="M7627" t="s">
        <v>18</v>
      </c>
      <c r="N7627">
        <v>0</v>
      </c>
      <c r="O7627">
        <v>0</v>
      </c>
    </row>
    <row r="7628" spans="1:15" x14ac:dyDescent="0.2">
      <c r="A7628" s="6">
        <v>45776</v>
      </c>
      <c r="B7628" t="s">
        <v>15</v>
      </c>
      <c r="C7628" t="s">
        <v>16</v>
      </c>
      <c r="D7628" s="1">
        <v>45855</v>
      </c>
      <c r="E7628" t="s">
        <v>17</v>
      </c>
      <c r="F7628">
        <v>6500</v>
      </c>
      <c r="J7628">
        <v>25.7</v>
      </c>
      <c r="K7628">
        <v>35.5</v>
      </c>
      <c r="L7628">
        <v>0</v>
      </c>
      <c r="M7628" t="s">
        <v>18</v>
      </c>
      <c r="N7628">
        <v>0</v>
      </c>
      <c r="O7628">
        <v>0</v>
      </c>
    </row>
    <row r="7629" spans="1:15" x14ac:dyDescent="0.2">
      <c r="A7629" s="6">
        <v>45776</v>
      </c>
      <c r="B7629" t="s">
        <v>15</v>
      </c>
      <c r="C7629" t="s">
        <v>16</v>
      </c>
      <c r="D7629" s="1">
        <v>45855</v>
      </c>
      <c r="E7629" t="s">
        <v>19</v>
      </c>
      <c r="F7629">
        <v>4100</v>
      </c>
      <c r="J7629">
        <v>23</v>
      </c>
      <c r="K7629">
        <v>19.7</v>
      </c>
      <c r="L7629">
        <v>0</v>
      </c>
      <c r="M7629" t="s">
        <v>18</v>
      </c>
      <c r="N7629">
        <v>0</v>
      </c>
      <c r="O7629">
        <v>0</v>
      </c>
    </row>
    <row r="7630" spans="1:15" x14ac:dyDescent="0.2">
      <c r="A7630" s="6">
        <v>45776</v>
      </c>
      <c r="B7630" t="s">
        <v>15</v>
      </c>
      <c r="C7630" t="s">
        <v>16</v>
      </c>
      <c r="D7630" s="1">
        <v>45855</v>
      </c>
      <c r="E7630" t="s">
        <v>17</v>
      </c>
      <c r="F7630">
        <v>6300</v>
      </c>
      <c r="J7630">
        <v>39.4</v>
      </c>
      <c r="K7630">
        <v>52.9</v>
      </c>
      <c r="L7630">
        <v>0</v>
      </c>
      <c r="M7630" t="s">
        <v>18</v>
      </c>
      <c r="N7630">
        <v>0</v>
      </c>
      <c r="O7630">
        <v>0</v>
      </c>
    </row>
    <row r="7631" spans="1:15" x14ac:dyDescent="0.2">
      <c r="A7631" s="6">
        <v>45776</v>
      </c>
      <c r="B7631" t="s">
        <v>15</v>
      </c>
      <c r="C7631" t="s">
        <v>16</v>
      </c>
      <c r="D7631" s="1">
        <v>45855</v>
      </c>
      <c r="E7631" t="s">
        <v>17</v>
      </c>
      <c r="F7631">
        <v>4600</v>
      </c>
      <c r="J7631">
        <v>637.70000000000005</v>
      </c>
      <c r="K7631">
        <v>710.3</v>
      </c>
      <c r="L7631">
        <v>0</v>
      </c>
      <c r="M7631" t="s">
        <v>18</v>
      </c>
      <c r="N7631">
        <v>0</v>
      </c>
      <c r="O7631">
        <v>0</v>
      </c>
    </row>
    <row r="7632" spans="1:15" x14ac:dyDescent="0.2">
      <c r="A7632" s="6">
        <v>45776</v>
      </c>
      <c r="B7632" t="s">
        <v>15</v>
      </c>
      <c r="C7632" t="s">
        <v>16</v>
      </c>
      <c r="D7632" s="1">
        <v>45855</v>
      </c>
      <c r="E7632" t="s">
        <v>17</v>
      </c>
      <c r="F7632">
        <v>5350</v>
      </c>
      <c r="J7632">
        <v>228.7</v>
      </c>
      <c r="K7632">
        <v>273.3</v>
      </c>
      <c r="L7632">
        <v>0</v>
      </c>
      <c r="M7632" t="s">
        <v>18</v>
      </c>
      <c r="N7632">
        <v>0</v>
      </c>
      <c r="O7632">
        <v>0</v>
      </c>
    </row>
    <row r="7633" spans="1:15" x14ac:dyDescent="0.2">
      <c r="A7633" s="6">
        <v>45776</v>
      </c>
      <c r="B7633" t="s">
        <v>15</v>
      </c>
      <c r="C7633" t="s">
        <v>16</v>
      </c>
      <c r="D7633" s="1">
        <v>45855</v>
      </c>
      <c r="E7633" t="s">
        <v>17</v>
      </c>
      <c r="F7633">
        <v>6100</v>
      </c>
      <c r="J7633">
        <v>59.3</v>
      </c>
      <c r="K7633">
        <v>77.599999999999994</v>
      </c>
      <c r="L7633">
        <v>0</v>
      </c>
      <c r="M7633" t="s">
        <v>18</v>
      </c>
      <c r="N7633">
        <v>0</v>
      </c>
      <c r="O7633">
        <v>0</v>
      </c>
    </row>
    <row r="7634" spans="1:15" x14ac:dyDescent="0.2">
      <c r="A7634" s="6">
        <v>45776</v>
      </c>
      <c r="B7634" t="s">
        <v>15</v>
      </c>
      <c r="C7634" t="s">
        <v>16</v>
      </c>
      <c r="D7634" s="1">
        <v>45855</v>
      </c>
      <c r="E7634" t="s">
        <v>19</v>
      </c>
      <c r="F7634">
        <v>4850</v>
      </c>
      <c r="J7634">
        <v>183.6</v>
      </c>
      <c r="K7634">
        <v>162.4</v>
      </c>
      <c r="L7634">
        <v>0</v>
      </c>
      <c r="M7634" t="s">
        <v>18</v>
      </c>
      <c r="N7634">
        <v>0</v>
      </c>
      <c r="O7634">
        <v>0</v>
      </c>
    </row>
    <row r="7635" spans="1:15" x14ac:dyDescent="0.2">
      <c r="A7635" s="6">
        <v>45776</v>
      </c>
      <c r="B7635" t="s">
        <v>15</v>
      </c>
      <c r="C7635" t="s">
        <v>16</v>
      </c>
      <c r="D7635" s="1">
        <v>45855</v>
      </c>
      <c r="E7635" t="s">
        <v>19</v>
      </c>
      <c r="F7635">
        <v>5600</v>
      </c>
      <c r="J7635">
        <v>603.5</v>
      </c>
      <c r="K7635">
        <v>552.20000000000005</v>
      </c>
      <c r="L7635">
        <v>0</v>
      </c>
      <c r="M7635" t="s">
        <v>18</v>
      </c>
      <c r="N7635">
        <v>0</v>
      </c>
      <c r="O7635">
        <v>0</v>
      </c>
    </row>
    <row r="7636" spans="1:15" x14ac:dyDescent="0.2">
      <c r="A7636" s="6">
        <v>45776</v>
      </c>
      <c r="B7636" t="s">
        <v>15</v>
      </c>
      <c r="C7636" t="s">
        <v>16</v>
      </c>
      <c r="D7636" s="1">
        <v>45855</v>
      </c>
      <c r="E7636" t="s">
        <v>19</v>
      </c>
      <c r="F7636">
        <v>4000</v>
      </c>
      <c r="J7636">
        <v>15.8</v>
      </c>
      <c r="K7636">
        <v>13.5</v>
      </c>
      <c r="L7636">
        <v>0</v>
      </c>
      <c r="M7636" t="s">
        <v>18</v>
      </c>
      <c r="N7636">
        <v>0</v>
      </c>
      <c r="O7636">
        <v>0</v>
      </c>
    </row>
    <row r="7637" spans="1:15" x14ac:dyDescent="0.2">
      <c r="A7637" s="6">
        <v>45776</v>
      </c>
      <c r="B7637" t="s">
        <v>15</v>
      </c>
      <c r="C7637" t="s">
        <v>16</v>
      </c>
      <c r="D7637" s="1">
        <v>45855</v>
      </c>
      <c r="E7637" t="s">
        <v>19</v>
      </c>
      <c r="F7637">
        <v>6350</v>
      </c>
      <c r="J7637">
        <v>1227.7</v>
      </c>
      <c r="K7637">
        <v>1154.2</v>
      </c>
      <c r="L7637">
        <v>0</v>
      </c>
      <c r="M7637" t="s">
        <v>18</v>
      </c>
      <c r="N7637">
        <v>0</v>
      </c>
      <c r="O7637">
        <v>0</v>
      </c>
    </row>
    <row r="7638" spans="1:15" x14ac:dyDescent="0.2">
      <c r="A7638" s="6">
        <v>45776</v>
      </c>
      <c r="B7638" t="s">
        <v>15</v>
      </c>
      <c r="C7638" t="s">
        <v>16</v>
      </c>
      <c r="D7638" s="1">
        <v>45855</v>
      </c>
      <c r="E7638" t="s">
        <v>19</v>
      </c>
      <c r="F7638">
        <v>5650</v>
      </c>
      <c r="J7638">
        <v>640.20000000000005</v>
      </c>
      <c r="K7638">
        <v>587</v>
      </c>
      <c r="L7638">
        <v>0</v>
      </c>
      <c r="M7638" t="s">
        <v>18</v>
      </c>
      <c r="N7638">
        <v>0</v>
      </c>
      <c r="O7638">
        <v>0</v>
      </c>
    </row>
    <row r="7639" spans="1:15" x14ac:dyDescent="0.2">
      <c r="A7639" s="6">
        <v>45776</v>
      </c>
      <c r="B7639" t="s">
        <v>15</v>
      </c>
      <c r="C7639" t="s">
        <v>16</v>
      </c>
      <c r="D7639" s="1">
        <v>45855</v>
      </c>
      <c r="E7639" t="s">
        <v>19</v>
      </c>
      <c r="F7639">
        <v>4150</v>
      </c>
      <c r="J7639">
        <v>27.5</v>
      </c>
      <c r="K7639">
        <v>23.6</v>
      </c>
      <c r="L7639">
        <v>0</v>
      </c>
      <c r="M7639" t="s">
        <v>18</v>
      </c>
      <c r="N7639">
        <v>0</v>
      </c>
      <c r="O7639">
        <v>0</v>
      </c>
    </row>
    <row r="7640" spans="1:15" x14ac:dyDescent="0.2">
      <c r="A7640" s="6">
        <v>45776</v>
      </c>
      <c r="B7640" t="s">
        <v>15</v>
      </c>
      <c r="C7640" t="s">
        <v>16</v>
      </c>
      <c r="D7640" s="1">
        <v>45855</v>
      </c>
      <c r="E7640" t="s">
        <v>17</v>
      </c>
      <c r="F7640">
        <v>6000</v>
      </c>
      <c r="J7640">
        <v>72.2</v>
      </c>
      <c r="K7640">
        <v>93.2</v>
      </c>
      <c r="L7640">
        <v>0</v>
      </c>
      <c r="M7640" t="s">
        <v>18</v>
      </c>
      <c r="N7640">
        <v>0</v>
      </c>
      <c r="O7640">
        <v>0</v>
      </c>
    </row>
    <row r="7641" spans="1:15" x14ac:dyDescent="0.2">
      <c r="A7641" s="6">
        <v>45776</v>
      </c>
      <c r="B7641" t="s">
        <v>15</v>
      </c>
      <c r="C7641" t="s">
        <v>16</v>
      </c>
      <c r="D7641" s="1">
        <v>45855</v>
      </c>
      <c r="E7641" t="s">
        <v>19</v>
      </c>
      <c r="F7641">
        <v>6100</v>
      </c>
      <c r="J7641">
        <v>1005</v>
      </c>
      <c r="K7641">
        <v>937.3</v>
      </c>
      <c r="L7641">
        <v>0</v>
      </c>
      <c r="M7641" t="s">
        <v>18</v>
      </c>
      <c r="N7641">
        <v>0</v>
      </c>
      <c r="O7641">
        <v>0</v>
      </c>
    </row>
    <row r="7642" spans="1:15" x14ac:dyDescent="0.2">
      <c r="A7642" s="6">
        <v>45776</v>
      </c>
      <c r="B7642" t="s">
        <v>15</v>
      </c>
      <c r="C7642" t="s">
        <v>16</v>
      </c>
      <c r="D7642" s="1">
        <v>45855</v>
      </c>
      <c r="E7642" t="s">
        <v>19</v>
      </c>
      <c r="F7642">
        <v>5500</v>
      </c>
      <c r="J7642">
        <v>533</v>
      </c>
      <c r="K7642">
        <v>485.6</v>
      </c>
      <c r="L7642">
        <v>0</v>
      </c>
      <c r="M7642" t="s">
        <v>18</v>
      </c>
      <c r="N7642">
        <v>0</v>
      </c>
      <c r="O7642">
        <v>0</v>
      </c>
    </row>
    <row r="7643" spans="1:15" x14ac:dyDescent="0.2">
      <c r="A7643" s="6">
        <v>45776</v>
      </c>
      <c r="B7643" t="s">
        <v>15</v>
      </c>
      <c r="C7643" t="s">
        <v>16</v>
      </c>
      <c r="D7643" s="1">
        <v>45855</v>
      </c>
      <c r="E7643" t="s">
        <v>19</v>
      </c>
      <c r="F7643">
        <v>5750</v>
      </c>
      <c r="J7643">
        <v>716.1</v>
      </c>
      <c r="K7643">
        <v>659.3</v>
      </c>
      <c r="L7643">
        <v>0</v>
      </c>
      <c r="M7643" t="s">
        <v>18</v>
      </c>
      <c r="N7643">
        <v>0</v>
      </c>
      <c r="O7643">
        <v>0</v>
      </c>
    </row>
    <row r="7644" spans="1:15" x14ac:dyDescent="0.2">
      <c r="A7644" s="6">
        <v>45776</v>
      </c>
      <c r="B7644" t="s">
        <v>15</v>
      </c>
      <c r="C7644" t="s">
        <v>16</v>
      </c>
      <c r="D7644" s="1">
        <v>45855</v>
      </c>
      <c r="E7644" t="s">
        <v>19</v>
      </c>
      <c r="F7644">
        <v>4050</v>
      </c>
      <c r="J7644">
        <v>19.100000000000001</v>
      </c>
      <c r="K7644">
        <v>16.399999999999999</v>
      </c>
      <c r="L7644">
        <v>0</v>
      </c>
      <c r="M7644" t="s">
        <v>18</v>
      </c>
      <c r="N7644">
        <v>0</v>
      </c>
      <c r="O7644">
        <v>0</v>
      </c>
    </row>
    <row r="7645" spans="1:15" x14ac:dyDescent="0.2">
      <c r="A7645" s="6">
        <v>45776</v>
      </c>
      <c r="B7645" t="s">
        <v>15</v>
      </c>
      <c r="C7645" t="s">
        <v>16</v>
      </c>
      <c r="D7645" s="1">
        <v>45855</v>
      </c>
      <c r="E7645" t="s">
        <v>19</v>
      </c>
      <c r="F7645">
        <v>5950</v>
      </c>
      <c r="J7645">
        <v>877.3</v>
      </c>
      <c r="K7645">
        <v>813.9</v>
      </c>
      <c r="L7645">
        <v>0</v>
      </c>
      <c r="M7645" t="s">
        <v>18</v>
      </c>
      <c r="N7645">
        <v>0</v>
      </c>
      <c r="O7645">
        <v>0</v>
      </c>
    </row>
    <row r="7646" spans="1:15" x14ac:dyDescent="0.2">
      <c r="A7646" s="6">
        <v>45776</v>
      </c>
      <c r="B7646" t="s">
        <v>15</v>
      </c>
      <c r="C7646" t="s">
        <v>16</v>
      </c>
      <c r="D7646" s="1">
        <v>45855</v>
      </c>
      <c r="E7646" t="s">
        <v>19</v>
      </c>
      <c r="F7646">
        <v>4750</v>
      </c>
      <c r="J7646">
        <v>148.30000000000001</v>
      </c>
      <c r="K7646">
        <v>130.5</v>
      </c>
      <c r="L7646">
        <v>0</v>
      </c>
      <c r="M7646" t="s">
        <v>18</v>
      </c>
      <c r="N7646">
        <v>0</v>
      </c>
      <c r="O7646">
        <v>0</v>
      </c>
    </row>
    <row r="7647" spans="1:15" x14ac:dyDescent="0.2">
      <c r="A7647" s="6">
        <v>45776</v>
      </c>
      <c r="B7647" t="s">
        <v>15</v>
      </c>
      <c r="C7647" t="s">
        <v>16</v>
      </c>
      <c r="D7647" s="1">
        <v>45855</v>
      </c>
      <c r="E7647" t="s">
        <v>19</v>
      </c>
      <c r="F7647">
        <v>5000</v>
      </c>
      <c r="J7647">
        <v>246</v>
      </c>
      <c r="K7647">
        <v>219.1</v>
      </c>
      <c r="L7647">
        <v>0</v>
      </c>
      <c r="M7647" t="s">
        <v>18</v>
      </c>
      <c r="N7647">
        <v>0</v>
      </c>
      <c r="O7647">
        <v>0</v>
      </c>
    </row>
    <row r="7648" spans="1:15" x14ac:dyDescent="0.2">
      <c r="A7648" s="6">
        <v>45776</v>
      </c>
      <c r="B7648" t="s">
        <v>15</v>
      </c>
      <c r="C7648" t="s">
        <v>16</v>
      </c>
      <c r="D7648" s="1">
        <v>45855</v>
      </c>
      <c r="E7648" t="s">
        <v>17</v>
      </c>
      <c r="F7648">
        <v>6400</v>
      </c>
      <c r="J7648">
        <v>31.9</v>
      </c>
      <c r="K7648">
        <v>43.5</v>
      </c>
      <c r="L7648">
        <v>0</v>
      </c>
      <c r="M7648" t="s">
        <v>18</v>
      </c>
      <c r="N7648">
        <v>0</v>
      </c>
      <c r="O7648">
        <v>0</v>
      </c>
    </row>
    <row r="7649" spans="1:15" x14ac:dyDescent="0.2">
      <c r="A7649" s="6">
        <v>45776</v>
      </c>
      <c r="B7649" t="s">
        <v>15</v>
      </c>
      <c r="C7649" t="s">
        <v>16</v>
      </c>
      <c r="D7649" s="1">
        <v>45855</v>
      </c>
      <c r="E7649" t="s">
        <v>17</v>
      </c>
      <c r="F7649">
        <v>4700</v>
      </c>
      <c r="J7649">
        <v>567.29999999999995</v>
      </c>
      <c r="K7649">
        <v>636.9</v>
      </c>
      <c r="L7649">
        <v>0</v>
      </c>
      <c r="M7649" t="s">
        <v>18</v>
      </c>
      <c r="N7649">
        <v>0</v>
      </c>
      <c r="O7649">
        <v>0</v>
      </c>
    </row>
    <row r="7650" spans="1:15" x14ac:dyDescent="0.2">
      <c r="A7650" s="6">
        <v>45776</v>
      </c>
      <c r="B7650" t="s">
        <v>15</v>
      </c>
      <c r="C7650" t="s">
        <v>16</v>
      </c>
      <c r="D7650" s="1">
        <v>45855</v>
      </c>
      <c r="E7650" t="s">
        <v>17</v>
      </c>
      <c r="F7650">
        <v>6450</v>
      </c>
      <c r="J7650">
        <v>28.6</v>
      </c>
      <c r="K7650">
        <v>39.299999999999997</v>
      </c>
      <c r="L7650">
        <v>0</v>
      </c>
      <c r="M7650" t="s">
        <v>18</v>
      </c>
      <c r="N7650">
        <v>0</v>
      </c>
      <c r="O7650">
        <v>0</v>
      </c>
    </row>
    <row r="7651" spans="1:15" x14ac:dyDescent="0.2">
      <c r="A7651" s="6">
        <v>45776</v>
      </c>
      <c r="B7651" t="s">
        <v>15</v>
      </c>
      <c r="C7651" t="s">
        <v>16</v>
      </c>
      <c r="D7651" s="1">
        <v>45855</v>
      </c>
      <c r="E7651" t="s">
        <v>19</v>
      </c>
      <c r="F7651">
        <v>4300</v>
      </c>
      <c r="J7651">
        <v>45.2</v>
      </c>
      <c r="K7651">
        <v>39</v>
      </c>
      <c r="L7651">
        <v>0</v>
      </c>
      <c r="M7651" t="s">
        <v>18</v>
      </c>
      <c r="N7651">
        <v>0</v>
      </c>
      <c r="O7651">
        <v>0</v>
      </c>
    </row>
    <row r="7652" spans="1:15" x14ac:dyDescent="0.2">
      <c r="A7652" s="6">
        <v>45776</v>
      </c>
      <c r="B7652" t="s">
        <v>15</v>
      </c>
      <c r="C7652" t="s">
        <v>16</v>
      </c>
      <c r="D7652" s="1">
        <v>45855</v>
      </c>
      <c r="E7652" t="s">
        <v>19</v>
      </c>
      <c r="F7652">
        <v>4350</v>
      </c>
      <c r="J7652">
        <v>52.6</v>
      </c>
      <c r="K7652">
        <v>45.5</v>
      </c>
      <c r="L7652">
        <v>0</v>
      </c>
      <c r="M7652" t="s">
        <v>18</v>
      </c>
      <c r="N7652">
        <v>0</v>
      </c>
      <c r="O7652">
        <v>0</v>
      </c>
    </row>
    <row r="7653" spans="1:15" x14ac:dyDescent="0.2">
      <c r="A7653" s="6">
        <v>45776</v>
      </c>
      <c r="B7653" t="s">
        <v>15</v>
      </c>
      <c r="C7653" t="s">
        <v>16</v>
      </c>
      <c r="D7653" s="1">
        <v>45855</v>
      </c>
      <c r="E7653" t="s">
        <v>17</v>
      </c>
      <c r="F7653">
        <v>6150</v>
      </c>
      <c r="J7653">
        <v>53.6</v>
      </c>
      <c r="K7653">
        <v>70.599999999999994</v>
      </c>
      <c r="L7653">
        <v>0</v>
      </c>
      <c r="M7653" t="s">
        <v>18</v>
      </c>
      <c r="N7653">
        <v>0</v>
      </c>
      <c r="O7653">
        <v>0</v>
      </c>
    </row>
    <row r="7654" spans="1:15" x14ac:dyDescent="0.2">
      <c r="A7654" s="6">
        <v>45776</v>
      </c>
      <c r="B7654" t="s">
        <v>15</v>
      </c>
      <c r="C7654" t="s">
        <v>16</v>
      </c>
      <c r="D7654" s="1">
        <v>45855</v>
      </c>
      <c r="E7654" t="s">
        <v>17</v>
      </c>
      <c r="F7654">
        <v>5400</v>
      </c>
      <c r="J7654">
        <v>211</v>
      </c>
      <c r="K7654">
        <v>253.6</v>
      </c>
      <c r="L7654">
        <v>0</v>
      </c>
      <c r="M7654" t="s">
        <v>18</v>
      </c>
      <c r="N7654">
        <v>0</v>
      </c>
      <c r="O7654">
        <v>0</v>
      </c>
    </row>
    <row r="7655" spans="1:15" x14ac:dyDescent="0.2">
      <c r="A7655" s="6">
        <v>45776</v>
      </c>
      <c r="B7655" t="s">
        <v>15</v>
      </c>
      <c r="C7655" t="s">
        <v>16</v>
      </c>
      <c r="D7655" s="1">
        <v>45855</v>
      </c>
      <c r="E7655" t="s">
        <v>19</v>
      </c>
      <c r="F7655">
        <v>6600</v>
      </c>
      <c r="J7655">
        <v>1459.4</v>
      </c>
      <c r="K7655">
        <v>1381.7</v>
      </c>
      <c r="L7655">
        <v>0</v>
      </c>
      <c r="M7655" t="s">
        <v>18</v>
      </c>
      <c r="N7655">
        <v>0</v>
      </c>
      <c r="O7655">
        <v>0</v>
      </c>
    </row>
    <row r="7656" spans="1:15" x14ac:dyDescent="0.2">
      <c r="A7656" s="6">
        <v>45776</v>
      </c>
      <c r="B7656" t="s">
        <v>15</v>
      </c>
      <c r="C7656" t="s">
        <v>16</v>
      </c>
      <c r="D7656" s="1">
        <v>45855</v>
      </c>
      <c r="E7656" t="s">
        <v>17</v>
      </c>
      <c r="F7656">
        <v>5650</v>
      </c>
      <c r="J7656">
        <v>138.19999999999999</v>
      </c>
      <c r="K7656">
        <v>170.9</v>
      </c>
      <c r="L7656">
        <v>0</v>
      </c>
      <c r="M7656" t="s">
        <v>18</v>
      </c>
      <c r="N7656">
        <v>0</v>
      </c>
      <c r="O7656">
        <v>0</v>
      </c>
    </row>
    <row r="7657" spans="1:15" x14ac:dyDescent="0.2">
      <c r="A7657" s="6">
        <v>45776</v>
      </c>
      <c r="B7657" t="s">
        <v>15</v>
      </c>
      <c r="C7657" t="s">
        <v>16</v>
      </c>
      <c r="D7657" s="1">
        <v>45855</v>
      </c>
      <c r="E7657" t="s">
        <v>17</v>
      </c>
      <c r="F7657">
        <v>4300</v>
      </c>
      <c r="J7657">
        <v>874.5</v>
      </c>
      <c r="K7657">
        <v>954</v>
      </c>
      <c r="L7657">
        <v>0</v>
      </c>
      <c r="M7657" t="s">
        <v>18</v>
      </c>
      <c r="N7657">
        <v>0</v>
      </c>
      <c r="O7657">
        <v>0</v>
      </c>
    </row>
    <row r="7658" spans="1:15" x14ac:dyDescent="0.2">
      <c r="A7658" s="6">
        <v>45776</v>
      </c>
      <c r="B7658" t="s">
        <v>15</v>
      </c>
      <c r="C7658" t="s">
        <v>16</v>
      </c>
      <c r="D7658" s="1">
        <v>45855</v>
      </c>
      <c r="E7658" t="s">
        <v>19</v>
      </c>
      <c r="F7658">
        <v>6450</v>
      </c>
      <c r="J7658">
        <v>1319.5</v>
      </c>
      <c r="K7658">
        <v>1244.2</v>
      </c>
      <c r="L7658">
        <v>0</v>
      </c>
      <c r="M7658" t="s">
        <v>18</v>
      </c>
      <c r="N7658">
        <v>0</v>
      </c>
      <c r="O7658">
        <v>0</v>
      </c>
    </row>
    <row r="7659" spans="1:15" x14ac:dyDescent="0.2">
      <c r="A7659" s="6">
        <v>45776</v>
      </c>
      <c r="B7659" t="s">
        <v>15</v>
      </c>
      <c r="C7659" t="s">
        <v>16</v>
      </c>
      <c r="D7659" s="1">
        <v>45855</v>
      </c>
      <c r="E7659" t="s">
        <v>19</v>
      </c>
      <c r="F7659">
        <v>5850</v>
      </c>
      <c r="J7659">
        <v>795.3</v>
      </c>
      <c r="K7659">
        <v>735.1</v>
      </c>
      <c r="L7659">
        <v>0</v>
      </c>
      <c r="M7659" t="s">
        <v>18</v>
      </c>
      <c r="N7659">
        <v>0</v>
      </c>
      <c r="O7659">
        <v>0</v>
      </c>
    </row>
    <row r="7660" spans="1:15" x14ac:dyDescent="0.2">
      <c r="A7660" s="6">
        <v>45776</v>
      </c>
      <c r="B7660" t="s">
        <v>15</v>
      </c>
      <c r="C7660" t="s">
        <v>16</v>
      </c>
      <c r="D7660" s="1">
        <v>45855</v>
      </c>
      <c r="E7660" t="s">
        <v>17</v>
      </c>
      <c r="F7660">
        <v>5850</v>
      </c>
      <c r="J7660">
        <v>96.1</v>
      </c>
      <c r="K7660">
        <v>121.8</v>
      </c>
      <c r="L7660">
        <v>0</v>
      </c>
      <c r="M7660" t="s">
        <v>18</v>
      </c>
      <c r="N7660">
        <v>0</v>
      </c>
      <c r="O7660">
        <v>0</v>
      </c>
    </row>
    <row r="7661" spans="1:15" x14ac:dyDescent="0.2">
      <c r="A7661" s="6">
        <v>45776</v>
      </c>
      <c r="B7661" t="s">
        <v>15</v>
      </c>
      <c r="C7661" t="s">
        <v>16</v>
      </c>
      <c r="D7661" s="1">
        <v>45855</v>
      </c>
      <c r="E7661" t="s">
        <v>19</v>
      </c>
      <c r="F7661">
        <v>6500</v>
      </c>
      <c r="J7661">
        <v>1365.9</v>
      </c>
      <c r="K7661">
        <v>1289.7</v>
      </c>
      <c r="L7661">
        <v>0</v>
      </c>
      <c r="M7661" t="s">
        <v>18</v>
      </c>
      <c r="N7661">
        <v>0</v>
      </c>
      <c r="O7661">
        <v>0</v>
      </c>
    </row>
    <row r="7662" spans="1:15" x14ac:dyDescent="0.2">
      <c r="A7662" s="6">
        <v>45776</v>
      </c>
      <c r="B7662" t="s">
        <v>15</v>
      </c>
      <c r="C7662" t="s">
        <v>16</v>
      </c>
      <c r="D7662" s="1">
        <v>45855</v>
      </c>
      <c r="E7662" t="s">
        <v>19</v>
      </c>
      <c r="F7662">
        <v>6300</v>
      </c>
      <c r="J7662">
        <v>1182.3</v>
      </c>
      <c r="K7662">
        <v>1109.9000000000001</v>
      </c>
      <c r="L7662">
        <v>0</v>
      </c>
      <c r="M7662" t="s">
        <v>18</v>
      </c>
      <c r="N7662">
        <v>0</v>
      </c>
      <c r="O7662">
        <v>0</v>
      </c>
    </row>
    <row r="7663" spans="1:15" x14ac:dyDescent="0.2">
      <c r="A7663" s="6">
        <v>45776</v>
      </c>
      <c r="B7663" t="s">
        <v>15</v>
      </c>
      <c r="C7663" t="s">
        <v>16</v>
      </c>
      <c r="D7663" s="1">
        <v>45855</v>
      </c>
      <c r="E7663" t="s">
        <v>17</v>
      </c>
      <c r="F7663">
        <v>6600</v>
      </c>
      <c r="J7663">
        <v>20.6</v>
      </c>
      <c r="K7663">
        <v>28.9</v>
      </c>
      <c r="L7663">
        <v>0</v>
      </c>
      <c r="M7663" t="s">
        <v>18</v>
      </c>
      <c r="N7663">
        <v>0</v>
      </c>
      <c r="O7663">
        <v>0</v>
      </c>
    </row>
    <row r="7664" spans="1:15" x14ac:dyDescent="0.2">
      <c r="A7664" s="6">
        <v>45776</v>
      </c>
      <c r="B7664" t="s">
        <v>15</v>
      </c>
      <c r="C7664" t="s">
        <v>16</v>
      </c>
      <c r="D7664" s="1">
        <v>45855</v>
      </c>
      <c r="E7664" t="s">
        <v>19</v>
      </c>
      <c r="F7664">
        <v>5550</v>
      </c>
      <c r="J7664">
        <v>567.70000000000005</v>
      </c>
      <c r="K7664">
        <v>518.4</v>
      </c>
      <c r="L7664">
        <v>0</v>
      </c>
      <c r="M7664" t="s">
        <v>18</v>
      </c>
      <c r="N7664">
        <v>0</v>
      </c>
      <c r="O7664">
        <v>0</v>
      </c>
    </row>
    <row r="7665" spans="1:15" x14ac:dyDescent="0.2">
      <c r="A7665" s="6">
        <v>45776</v>
      </c>
      <c r="B7665" t="s">
        <v>15</v>
      </c>
      <c r="C7665" t="s">
        <v>16</v>
      </c>
      <c r="D7665" s="1">
        <v>45855</v>
      </c>
      <c r="E7665" t="s">
        <v>19</v>
      </c>
      <c r="F7665">
        <v>6000</v>
      </c>
      <c r="J7665">
        <v>919.3</v>
      </c>
      <c r="K7665">
        <v>854.4</v>
      </c>
      <c r="L7665">
        <v>0</v>
      </c>
      <c r="M7665" t="s">
        <v>18</v>
      </c>
      <c r="N7665">
        <v>0</v>
      </c>
      <c r="O7665">
        <v>0</v>
      </c>
    </row>
    <row r="7666" spans="1:15" x14ac:dyDescent="0.2">
      <c r="A7666" s="6">
        <v>45775</v>
      </c>
      <c r="B7666" t="s">
        <v>15</v>
      </c>
      <c r="C7666" t="s">
        <v>16</v>
      </c>
      <c r="D7666" s="1">
        <v>45855</v>
      </c>
      <c r="E7666" t="s">
        <v>17</v>
      </c>
      <c r="F7666">
        <v>4350</v>
      </c>
      <c r="J7666">
        <v>911.2</v>
      </c>
      <c r="K7666">
        <v>1001.3</v>
      </c>
      <c r="L7666">
        <v>0</v>
      </c>
      <c r="M7666" t="s">
        <v>18</v>
      </c>
      <c r="N7666">
        <v>0</v>
      </c>
      <c r="O7666">
        <v>0</v>
      </c>
    </row>
    <row r="7667" spans="1:15" x14ac:dyDescent="0.2">
      <c r="A7667" s="6">
        <v>45775</v>
      </c>
      <c r="B7667" t="s">
        <v>15</v>
      </c>
      <c r="C7667" t="s">
        <v>16</v>
      </c>
      <c r="D7667" s="1">
        <v>45855</v>
      </c>
      <c r="E7667" t="s">
        <v>17</v>
      </c>
      <c r="F7667">
        <v>5150</v>
      </c>
      <c r="J7667">
        <v>363.6</v>
      </c>
      <c r="K7667">
        <v>428.9</v>
      </c>
      <c r="L7667">
        <v>0</v>
      </c>
      <c r="M7667" t="s">
        <v>18</v>
      </c>
      <c r="N7667">
        <v>0</v>
      </c>
      <c r="O7667">
        <v>0</v>
      </c>
    </row>
    <row r="7668" spans="1:15" x14ac:dyDescent="0.2">
      <c r="A7668" s="6">
        <v>45775</v>
      </c>
      <c r="B7668" t="s">
        <v>15</v>
      </c>
      <c r="C7668" t="s">
        <v>16</v>
      </c>
      <c r="D7668" s="1">
        <v>45855</v>
      </c>
      <c r="E7668" t="s">
        <v>17</v>
      </c>
      <c r="F7668">
        <v>4500</v>
      </c>
      <c r="J7668">
        <v>787.9</v>
      </c>
      <c r="K7668">
        <v>875.1</v>
      </c>
      <c r="L7668">
        <v>0</v>
      </c>
      <c r="M7668" t="s">
        <v>18</v>
      </c>
      <c r="N7668">
        <v>0</v>
      </c>
      <c r="O7668">
        <v>0</v>
      </c>
    </row>
    <row r="7669" spans="1:15" x14ac:dyDescent="0.2">
      <c r="A7669" s="6">
        <v>45775</v>
      </c>
      <c r="B7669" t="s">
        <v>15</v>
      </c>
      <c r="C7669" t="s">
        <v>16</v>
      </c>
      <c r="D7669" s="1">
        <v>45855</v>
      </c>
      <c r="E7669" t="s">
        <v>17</v>
      </c>
      <c r="F7669">
        <v>5000</v>
      </c>
      <c r="J7669">
        <v>443.9</v>
      </c>
      <c r="K7669">
        <v>515.4</v>
      </c>
      <c r="L7669">
        <v>0</v>
      </c>
      <c r="M7669" t="s">
        <v>18</v>
      </c>
      <c r="N7669">
        <v>0</v>
      </c>
      <c r="O7669">
        <v>0</v>
      </c>
    </row>
    <row r="7670" spans="1:15" x14ac:dyDescent="0.2">
      <c r="A7670" s="6">
        <v>45775</v>
      </c>
      <c r="B7670" t="s">
        <v>15</v>
      </c>
      <c r="C7670" t="s">
        <v>16</v>
      </c>
      <c r="D7670" s="1">
        <v>45855</v>
      </c>
      <c r="E7670" t="s">
        <v>17</v>
      </c>
      <c r="F7670">
        <v>4400</v>
      </c>
      <c r="J7670">
        <v>869.2</v>
      </c>
      <c r="K7670">
        <v>958.5</v>
      </c>
      <c r="L7670">
        <v>0</v>
      </c>
      <c r="M7670" t="s">
        <v>18</v>
      </c>
      <c r="N7670">
        <v>0</v>
      </c>
      <c r="O7670">
        <v>0</v>
      </c>
    </row>
    <row r="7671" spans="1:15" x14ac:dyDescent="0.2">
      <c r="A7671" s="6">
        <v>45775</v>
      </c>
      <c r="B7671" t="s">
        <v>15</v>
      </c>
      <c r="C7671" t="s">
        <v>16</v>
      </c>
      <c r="D7671" s="1">
        <v>45855</v>
      </c>
      <c r="E7671" t="s">
        <v>17</v>
      </c>
      <c r="F7671">
        <v>4100</v>
      </c>
      <c r="J7671">
        <v>1131.9000000000001</v>
      </c>
      <c r="K7671">
        <v>1225.2</v>
      </c>
      <c r="L7671">
        <v>0</v>
      </c>
      <c r="M7671" t="s">
        <v>18</v>
      </c>
      <c r="N7671">
        <v>0</v>
      </c>
      <c r="O7671">
        <v>0</v>
      </c>
    </row>
    <row r="7672" spans="1:15" x14ac:dyDescent="0.2">
      <c r="A7672" s="6">
        <v>45775</v>
      </c>
      <c r="B7672" t="s">
        <v>15</v>
      </c>
      <c r="C7672" t="s">
        <v>16</v>
      </c>
      <c r="D7672" s="1">
        <v>45855</v>
      </c>
      <c r="E7672" t="s">
        <v>19</v>
      </c>
      <c r="F7672">
        <v>4900</v>
      </c>
      <c r="J7672">
        <v>180.1</v>
      </c>
      <c r="K7672">
        <v>159</v>
      </c>
      <c r="L7672">
        <v>0</v>
      </c>
      <c r="M7672" t="s">
        <v>18</v>
      </c>
      <c r="N7672">
        <v>0</v>
      </c>
      <c r="O7672">
        <v>0</v>
      </c>
    </row>
    <row r="7673" spans="1:15" x14ac:dyDescent="0.2">
      <c r="A7673" s="6">
        <v>45775</v>
      </c>
      <c r="B7673" t="s">
        <v>15</v>
      </c>
      <c r="C7673" t="s">
        <v>16</v>
      </c>
      <c r="D7673" s="1">
        <v>45855</v>
      </c>
      <c r="E7673" t="s">
        <v>19</v>
      </c>
      <c r="F7673">
        <v>6150</v>
      </c>
      <c r="J7673">
        <v>979.7</v>
      </c>
      <c r="K7673">
        <v>907</v>
      </c>
      <c r="L7673">
        <v>0</v>
      </c>
      <c r="M7673" t="s">
        <v>18</v>
      </c>
      <c r="N7673">
        <v>0</v>
      </c>
      <c r="O7673">
        <v>0</v>
      </c>
    </row>
    <row r="7674" spans="1:15" x14ac:dyDescent="0.2">
      <c r="A7674" s="6">
        <v>45775</v>
      </c>
      <c r="B7674" t="s">
        <v>15</v>
      </c>
      <c r="C7674" t="s">
        <v>16</v>
      </c>
      <c r="D7674" s="1">
        <v>45855</v>
      </c>
      <c r="E7674" t="s">
        <v>17</v>
      </c>
      <c r="F7674">
        <v>5200</v>
      </c>
      <c r="J7674">
        <v>339.3</v>
      </c>
      <c r="K7674">
        <v>402.4</v>
      </c>
      <c r="L7674">
        <v>0</v>
      </c>
      <c r="M7674" t="s">
        <v>18</v>
      </c>
      <c r="N7674">
        <v>0</v>
      </c>
      <c r="O7674">
        <v>0</v>
      </c>
    </row>
    <row r="7675" spans="1:15" x14ac:dyDescent="0.2">
      <c r="A7675" s="6">
        <v>45775</v>
      </c>
      <c r="B7675" t="s">
        <v>15</v>
      </c>
      <c r="C7675" t="s">
        <v>16</v>
      </c>
      <c r="D7675" s="1">
        <v>45855</v>
      </c>
      <c r="E7675" t="s">
        <v>17</v>
      </c>
      <c r="F7675">
        <v>5950</v>
      </c>
      <c r="J7675">
        <v>102</v>
      </c>
      <c r="K7675">
        <v>133.30000000000001</v>
      </c>
      <c r="L7675">
        <v>0</v>
      </c>
      <c r="M7675" t="s">
        <v>18</v>
      </c>
      <c r="N7675">
        <v>0</v>
      </c>
      <c r="O7675">
        <v>0</v>
      </c>
    </row>
    <row r="7676" spans="1:15" x14ac:dyDescent="0.2">
      <c r="A7676" s="6">
        <v>45775</v>
      </c>
      <c r="B7676" t="s">
        <v>15</v>
      </c>
      <c r="C7676" t="s">
        <v>16</v>
      </c>
      <c r="D7676" s="1">
        <v>45855</v>
      </c>
      <c r="E7676" t="s">
        <v>17</v>
      </c>
      <c r="F7676">
        <v>4750</v>
      </c>
      <c r="J7676">
        <v>601.79999999999995</v>
      </c>
      <c r="K7676">
        <v>682.2</v>
      </c>
      <c r="L7676">
        <v>0</v>
      </c>
      <c r="M7676" t="s">
        <v>18</v>
      </c>
      <c r="N7676">
        <v>0</v>
      </c>
      <c r="O7676">
        <v>0</v>
      </c>
    </row>
    <row r="7677" spans="1:15" x14ac:dyDescent="0.2">
      <c r="A7677" s="6">
        <v>45775</v>
      </c>
      <c r="B7677" t="s">
        <v>15</v>
      </c>
      <c r="C7677" t="s">
        <v>16</v>
      </c>
      <c r="D7677" s="1">
        <v>45855</v>
      </c>
      <c r="E7677" t="s">
        <v>17</v>
      </c>
      <c r="F7677">
        <v>4450</v>
      </c>
      <c r="J7677">
        <v>828.1</v>
      </c>
      <c r="K7677">
        <v>916.4</v>
      </c>
      <c r="L7677">
        <v>0</v>
      </c>
      <c r="M7677" t="s">
        <v>18</v>
      </c>
      <c r="N7677">
        <v>0</v>
      </c>
      <c r="O7677">
        <v>0</v>
      </c>
    </row>
    <row r="7678" spans="1:15" x14ac:dyDescent="0.2">
      <c r="A7678" s="6">
        <v>45775</v>
      </c>
      <c r="B7678" t="s">
        <v>15</v>
      </c>
      <c r="C7678" t="s">
        <v>16</v>
      </c>
      <c r="D7678" s="1">
        <v>45855</v>
      </c>
      <c r="E7678" t="s">
        <v>19</v>
      </c>
      <c r="F7678">
        <v>5250</v>
      </c>
      <c r="J7678">
        <v>337.8</v>
      </c>
      <c r="K7678">
        <v>302.2</v>
      </c>
      <c r="L7678">
        <v>0</v>
      </c>
      <c r="M7678" t="s">
        <v>18</v>
      </c>
      <c r="N7678">
        <v>0</v>
      </c>
      <c r="O7678">
        <v>0</v>
      </c>
    </row>
    <row r="7679" spans="1:15" x14ac:dyDescent="0.2">
      <c r="A7679" s="6">
        <v>45775</v>
      </c>
      <c r="B7679" t="s">
        <v>15</v>
      </c>
      <c r="C7679" t="s">
        <v>16</v>
      </c>
      <c r="D7679" s="1">
        <v>45855</v>
      </c>
      <c r="E7679" t="s">
        <v>17</v>
      </c>
      <c r="F7679">
        <v>5300</v>
      </c>
      <c r="J7679">
        <v>294.10000000000002</v>
      </c>
      <c r="K7679">
        <v>352.9</v>
      </c>
      <c r="L7679">
        <v>0</v>
      </c>
      <c r="M7679" t="s">
        <v>18</v>
      </c>
      <c r="N7679">
        <v>0</v>
      </c>
      <c r="O7679">
        <v>0</v>
      </c>
    </row>
    <row r="7680" spans="1:15" x14ac:dyDescent="0.2">
      <c r="A7680" s="6">
        <v>45775</v>
      </c>
      <c r="B7680" t="s">
        <v>15</v>
      </c>
      <c r="C7680" t="s">
        <v>16</v>
      </c>
      <c r="D7680" s="1">
        <v>45855</v>
      </c>
      <c r="E7680" t="s">
        <v>17</v>
      </c>
      <c r="F7680">
        <v>4950</v>
      </c>
      <c r="J7680">
        <v>473.1</v>
      </c>
      <c r="K7680">
        <v>546.5</v>
      </c>
      <c r="L7680">
        <v>0</v>
      </c>
      <c r="M7680" t="s">
        <v>18</v>
      </c>
      <c r="N7680">
        <v>0</v>
      </c>
      <c r="O7680">
        <v>0</v>
      </c>
    </row>
    <row r="7681" spans="1:15" x14ac:dyDescent="0.2">
      <c r="A7681" s="6">
        <v>45775</v>
      </c>
      <c r="B7681" t="s">
        <v>15</v>
      </c>
      <c r="C7681" t="s">
        <v>16</v>
      </c>
      <c r="D7681" s="1">
        <v>45855</v>
      </c>
      <c r="E7681" t="s">
        <v>19</v>
      </c>
      <c r="F7681">
        <v>4200</v>
      </c>
      <c r="J7681">
        <v>28.1</v>
      </c>
      <c r="K7681">
        <v>24.4</v>
      </c>
      <c r="L7681">
        <v>0</v>
      </c>
      <c r="M7681" t="s">
        <v>18</v>
      </c>
      <c r="N7681">
        <v>0</v>
      </c>
      <c r="O7681">
        <v>0</v>
      </c>
    </row>
    <row r="7682" spans="1:15" x14ac:dyDescent="0.2">
      <c r="A7682" s="6">
        <v>45775</v>
      </c>
      <c r="B7682" t="s">
        <v>15</v>
      </c>
      <c r="C7682" t="s">
        <v>16</v>
      </c>
      <c r="D7682" s="1">
        <v>45855</v>
      </c>
      <c r="E7682" t="s">
        <v>17</v>
      </c>
      <c r="F7682">
        <v>4800</v>
      </c>
      <c r="J7682">
        <v>567.9</v>
      </c>
      <c r="K7682">
        <v>646.70000000000005</v>
      </c>
      <c r="L7682">
        <v>0</v>
      </c>
      <c r="M7682" t="s">
        <v>18</v>
      </c>
      <c r="N7682">
        <v>0</v>
      </c>
      <c r="O7682">
        <v>0</v>
      </c>
    </row>
    <row r="7683" spans="1:15" x14ac:dyDescent="0.2">
      <c r="A7683" s="6">
        <v>45775</v>
      </c>
      <c r="B7683" t="s">
        <v>15</v>
      </c>
      <c r="C7683" t="s">
        <v>16</v>
      </c>
      <c r="D7683" s="1">
        <v>45855</v>
      </c>
      <c r="E7683" t="s">
        <v>17</v>
      </c>
      <c r="F7683">
        <v>4900</v>
      </c>
      <c r="J7683">
        <v>503.5</v>
      </c>
      <c r="K7683">
        <v>578.79999999999995</v>
      </c>
      <c r="L7683">
        <v>0</v>
      </c>
      <c r="M7683" t="s">
        <v>18</v>
      </c>
      <c r="N7683">
        <v>0</v>
      </c>
      <c r="O7683">
        <v>0</v>
      </c>
    </row>
    <row r="7684" spans="1:15" x14ac:dyDescent="0.2">
      <c r="A7684" s="6">
        <v>45775</v>
      </c>
      <c r="B7684" t="s">
        <v>15</v>
      </c>
      <c r="C7684" t="s">
        <v>16</v>
      </c>
      <c r="D7684" s="1">
        <v>45855</v>
      </c>
      <c r="E7684" t="s">
        <v>17</v>
      </c>
      <c r="F7684">
        <v>5700</v>
      </c>
      <c r="J7684">
        <v>157.30000000000001</v>
      </c>
      <c r="K7684">
        <v>198.5</v>
      </c>
      <c r="L7684">
        <v>0</v>
      </c>
      <c r="M7684" t="s">
        <v>18</v>
      </c>
      <c r="N7684">
        <v>0</v>
      </c>
      <c r="O7684">
        <v>0</v>
      </c>
    </row>
    <row r="7685" spans="1:15" x14ac:dyDescent="0.2">
      <c r="A7685" s="6">
        <v>45775</v>
      </c>
      <c r="B7685" t="s">
        <v>15</v>
      </c>
      <c r="C7685" t="s">
        <v>16</v>
      </c>
      <c r="D7685" s="1">
        <v>45855</v>
      </c>
      <c r="E7685" t="s">
        <v>19</v>
      </c>
      <c r="F7685">
        <v>6050</v>
      </c>
      <c r="J7685">
        <v>895.6</v>
      </c>
      <c r="K7685">
        <v>826.2</v>
      </c>
      <c r="L7685">
        <v>0</v>
      </c>
      <c r="M7685" t="s">
        <v>18</v>
      </c>
      <c r="N7685">
        <v>0</v>
      </c>
      <c r="O7685">
        <v>0</v>
      </c>
    </row>
    <row r="7686" spans="1:15" x14ac:dyDescent="0.2">
      <c r="A7686" s="6">
        <v>45775</v>
      </c>
      <c r="B7686" t="s">
        <v>15</v>
      </c>
      <c r="C7686" t="s">
        <v>16</v>
      </c>
      <c r="D7686" s="1">
        <v>45855</v>
      </c>
      <c r="E7686" t="s">
        <v>19</v>
      </c>
      <c r="F7686">
        <v>6650</v>
      </c>
      <c r="J7686">
        <v>1428.1</v>
      </c>
      <c r="K7686">
        <v>1342.5</v>
      </c>
      <c r="L7686">
        <v>0</v>
      </c>
      <c r="M7686" t="s">
        <v>18</v>
      </c>
      <c r="N7686">
        <v>0</v>
      </c>
      <c r="O7686">
        <v>0</v>
      </c>
    </row>
    <row r="7687" spans="1:15" x14ac:dyDescent="0.2">
      <c r="A7687" s="6">
        <v>45775</v>
      </c>
      <c r="B7687" t="s">
        <v>15</v>
      </c>
      <c r="C7687" t="s">
        <v>16</v>
      </c>
      <c r="D7687" s="1">
        <v>45855</v>
      </c>
      <c r="E7687" t="s">
        <v>17</v>
      </c>
      <c r="F7687">
        <v>5100</v>
      </c>
      <c r="J7687">
        <v>389.2</v>
      </c>
      <c r="K7687">
        <v>456.6</v>
      </c>
      <c r="L7687">
        <v>0</v>
      </c>
      <c r="M7687" t="s">
        <v>18</v>
      </c>
      <c r="N7687">
        <v>0</v>
      </c>
      <c r="O7687">
        <v>0</v>
      </c>
    </row>
    <row r="7688" spans="1:15" x14ac:dyDescent="0.2">
      <c r="A7688" s="6">
        <v>45775</v>
      </c>
      <c r="B7688" t="s">
        <v>15</v>
      </c>
      <c r="C7688" t="s">
        <v>16</v>
      </c>
      <c r="D7688" s="1">
        <v>45855</v>
      </c>
      <c r="E7688" t="s">
        <v>17</v>
      </c>
      <c r="F7688">
        <v>4200</v>
      </c>
      <c r="J7688">
        <v>1041.7</v>
      </c>
      <c r="K7688">
        <v>1133.9000000000001</v>
      </c>
      <c r="L7688">
        <v>0</v>
      </c>
      <c r="M7688" t="s">
        <v>18</v>
      </c>
      <c r="N7688">
        <v>0</v>
      </c>
      <c r="O7688">
        <v>0</v>
      </c>
    </row>
    <row r="7689" spans="1:15" x14ac:dyDescent="0.2">
      <c r="A7689" s="6">
        <v>45775</v>
      </c>
      <c r="B7689" t="s">
        <v>15</v>
      </c>
      <c r="C7689" t="s">
        <v>16</v>
      </c>
      <c r="D7689" s="1">
        <v>45855</v>
      </c>
      <c r="E7689" t="s">
        <v>17</v>
      </c>
      <c r="F7689">
        <v>5250</v>
      </c>
      <c r="J7689">
        <v>316.10000000000002</v>
      </c>
      <c r="K7689">
        <v>377.1</v>
      </c>
      <c r="L7689">
        <v>0</v>
      </c>
      <c r="M7689" t="s">
        <v>18</v>
      </c>
      <c r="N7689">
        <v>0</v>
      </c>
      <c r="O7689">
        <v>0</v>
      </c>
    </row>
    <row r="7690" spans="1:15" x14ac:dyDescent="0.2">
      <c r="A7690" s="6">
        <v>45775</v>
      </c>
      <c r="B7690" t="s">
        <v>15</v>
      </c>
      <c r="C7690" t="s">
        <v>16</v>
      </c>
      <c r="D7690" s="1">
        <v>45855</v>
      </c>
      <c r="E7690" t="s">
        <v>19</v>
      </c>
      <c r="F7690">
        <v>5100</v>
      </c>
      <c r="J7690">
        <v>263</v>
      </c>
      <c r="K7690">
        <v>233.9</v>
      </c>
      <c r="L7690">
        <v>0</v>
      </c>
      <c r="M7690" t="s">
        <v>18</v>
      </c>
      <c r="N7690">
        <v>0</v>
      </c>
      <c r="O7690">
        <v>0</v>
      </c>
    </row>
    <row r="7691" spans="1:15" x14ac:dyDescent="0.2">
      <c r="A7691" s="6">
        <v>45775</v>
      </c>
      <c r="B7691" t="s">
        <v>15</v>
      </c>
      <c r="C7691" t="s">
        <v>16</v>
      </c>
      <c r="D7691" s="1">
        <v>45855</v>
      </c>
      <c r="E7691" t="s">
        <v>17</v>
      </c>
      <c r="F7691">
        <v>4650</v>
      </c>
      <c r="J7691">
        <v>673.1</v>
      </c>
      <c r="K7691">
        <v>756.5</v>
      </c>
      <c r="L7691">
        <v>0</v>
      </c>
      <c r="M7691" t="s">
        <v>18</v>
      </c>
      <c r="N7691">
        <v>0</v>
      </c>
      <c r="O7691">
        <v>0</v>
      </c>
    </row>
    <row r="7692" spans="1:15" x14ac:dyDescent="0.2">
      <c r="A7692" s="6">
        <v>45775</v>
      </c>
      <c r="B7692" t="s">
        <v>15</v>
      </c>
      <c r="C7692" t="s">
        <v>16</v>
      </c>
      <c r="D7692" s="1">
        <v>45855</v>
      </c>
      <c r="E7692" t="s">
        <v>19</v>
      </c>
      <c r="F7692">
        <v>4700</v>
      </c>
      <c r="J7692">
        <v>116.3</v>
      </c>
      <c r="K7692">
        <v>102</v>
      </c>
      <c r="L7692">
        <v>0</v>
      </c>
      <c r="M7692" t="s">
        <v>18</v>
      </c>
      <c r="N7692">
        <v>0</v>
      </c>
      <c r="O7692">
        <v>0</v>
      </c>
    </row>
    <row r="7693" spans="1:15" x14ac:dyDescent="0.2">
      <c r="A7693" s="6">
        <v>45775</v>
      </c>
      <c r="B7693" t="s">
        <v>15</v>
      </c>
      <c r="C7693" t="s">
        <v>16</v>
      </c>
      <c r="D7693" s="1">
        <v>45855</v>
      </c>
      <c r="E7693" t="s">
        <v>19</v>
      </c>
      <c r="F7693">
        <v>5700</v>
      </c>
      <c r="J7693">
        <v>622.70000000000005</v>
      </c>
      <c r="K7693">
        <v>567.1</v>
      </c>
      <c r="L7693">
        <v>0</v>
      </c>
      <c r="M7693" t="s">
        <v>18</v>
      </c>
      <c r="N7693">
        <v>0</v>
      </c>
      <c r="O7693">
        <v>0</v>
      </c>
    </row>
    <row r="7694" spans="1:15" x14ac:dyDescent="0.2">
      <c r="A7694" s="6">
        <v>45775</v>
      </c>
      <c r="B7694" t="s">
        <v>15</v>
      </c>
      <c r="C7694" t="s">
        <v>16</v>
      </c>
      <c r="D7694" s="1">
        <v>45855</v>
      </c>
      <c r="E7694" t="s">
        <v>19</v>
      </c>
      <c r="F7694">
        <v>4550</v>
      </c>
      <c r="J7694">
        <v>80.099999999999994</v>
      </c>
      <c r="K7694">
        <v>70</v>
      </c>
      <c r="L7694">
        <v>0</v>
      </c>
      <c r="M7694" t="s">
        <v>18</v>
      </c>
      <c r="N7694">
        <v>0</v>
      </c>
      <c r="O7694">
        <v>0</v>
      </c>
    </row>
    <row r="7695" spans="1:15" x14ac:dyDescent="0.2">
      <c r="A7695" s="6">
        <v>45775</v>
      </c>
      <c r="B7695" t="s">
        <v>15</v>
      </c>
      <c r="C7695" t="s">
        <v>16</v>
      </c>
      <c r="D7695" s="1">
        <v>45855</v>
      </c>
      <c r="E7695" t="s">
        <v>17</v>
      </c>
      <c r="F7695">
        <v>6650</v>
      </c>
      <c r="J7695">
        <v>26.1</v>
      </c>
      <c r="K7695">
        <v>37.9</v>
      </c>
      <c r="L7695">
        <v>0</v>
      </c>
      <c r="M7695" t="s">
        <v>18</v>
      </c>
      <c r="N7695">
        <v>0</v>
      </c>
      <c r="O7695">
        <v>0</v>
      </c>
    </row>
    <row r="7696" spans="1:15" x14ac:dyDescent="0.2">
      <c r="A7696" s="6">
        <v>45775</v>
      </c>
      <c r="B7696" t="s">
        <v>15</v>
      </c>
      <c r="C7696" t="s">
        <v>16</v>
      </c>
      <c r="D7696" s="1">
        <v>45855</v>
      </c>
      <c r="E7696" t="s">
        <v>17</v>
      </c>
      <c r="F7696">
        <v>6550</v>
      </c>
      <c r="J7696">
        <v>32.1</v>
      </c>
      <c r="K7696">
        <v>45.9</v>
      </c>
      <c r="L7696">
        <v>0</v>
      </c>
      <c r="M7696" t="s">
        <v>18</v>
      </c>
      <c r="N7696">
        <v>0</v>
      </c>
      <c r="O7696">
        <v>0</v>
      </c>
    </row>
    <row r="7697" spans="1:15" x14ac:dyDescent="0.2">
      <c r="A7697" s="6">
        <v>45775</v>
      </c>
      <c r="B7697" t="s">
        <v>15</v>
      </c>
      <c r="C7697" t="s">
        <v>16</v>
      </c>
      <c r="D7697" s="1">
        <v>45855</v>
      </c>
      <c r="E7697" t="s">
        <v>19</v>
      </c>
      <c r="F7697">
        <v>5450</v>
      </c>
      <c r="J7697">
        <v>453.8</v>
      </c>
      <c r="K7697">
        <v>409.2</v>
      </c>
      <c r="L7697">
        <v>0</v>
      </c>
      <c r="M7697" t="s">
        <v>18</v>
      </c>
      <c r="N7697">
        <v>0</v>
      </c>
      <c r="O7697">
        <v>0</v>
      </c>
    </row>
    <row r="7698" spans="1:15" x14ac:dyDescent="0.2">
      <c r="A7698" s="6">
        <v>45775</v>
      </c>
      <c r="B7698" t="s">
        <v>15</v>
      </c>
      <c r="C7698" t="s">
        <v>16</v>
      </c>
      <c r="D7698" s="1">
        <v>45855</v>
      </c>
      <c r="E7698" t="s">
        <v>19</v>
      </c>
      <c r="F7698">
        <v>4450</v>
      </c>
      <c r="J7698">
        <v>61</v>
      </c>
      <c r="K7698">
        <v>53.2</v>
      </c>
      <c r="L7698">
        <v>0</v>
      </c>
      <c r="M7698" t="s">
        <v>18</v>
      </c>
      <c r="N7698">
        <v>0</v>
      </c>
      <c r="O7698">
        <v>0</v>
      </c>
    </row>
    <row r="7699" spans="1:15" x14ac:dyDescent="0.2">
      <c r="A7699" s="6">
        <v>45775</v>
      </c>
      <c r="B7699" t="s">
        <v>15</v>
      </c>
      <c r="C7699" t="s">
        <v>16</v>
      </c>
      <c r="D7699" s="1">
        <v>45855</v>
      </c>
      <c r="E7699" t="s">
        <v>19</v>
      </c>
      <c r="F7699">
        <v>5400</v>
      </c>
      <c r="J7699">
        <v>423.2</v>
      </c>
      <c r="K7699">
        <v>380.8</v>
      </c>
      <c r="L7699">
        <v>0</v>
      </c>
      <c r="M7699" t="s">
        <v>18</v>
      </c>
      <c r="N7699">
        <v>0</v>
      </c>
      <c r="O7699">
        <v>0</v>
      </c>
    </row>
    <row r="7700" spans="1:15" x14ac:dyDescent="0.2">
      <c r="A7700" s="6">
        <v>45775</v>
      </c>
      <c r="B7700" t="s">
        <v>15</v>
      </c>
      <c r="C7700" t="s">
        <v>16</v>
      </c>
      <c r="D7700" s="1">
        <v>45855</v>
      </c>
      <c r="E7700" t="s">
        <v>19</v>
      </c>
      <c r="F7700">
        <v>6400</v>
      </c>
      <c r="J7700">
        <v>1199</v>
      </c>
      <c r="K7700">
        <v>1119</v>
      </c>
      <c r="L7700">
        <v>0</v>
      </c>
      <c r="M7700" t="s">
        <v>18</v>
      </c>
      <c r="N7700">
        <v>0</v>
      </c>
      <c r="O7700">
        <v>0</v>
      </c>
    </row>
    <row r="7701" spans="1:15" x14ac:dyDescent="0.2">
      <c r="A7701" s="6">
        <v>45775</v>
      </c>
      <c r="B7701" t="s">
        <v>15</v>
      </c>
      <c r="C7701" t="s">
        <v>16</v>
      </c>
      <c r="D7701" s="1">
        <v>45855</v>
      </c>
      <c r="E7701" t="s">
        <v>17</v>
      </c>
      <c r="F7701">
        <v>6050</v>
      </c>
      <c r="J7701">
        <v>85.1</v>
      </c>
      <c r="K7701">
        <v>112.8</v>
      </c>
      <c r="L7701">
        <v>0</v>
      </c>
      <c r="M7701" t="s">
        <v>18</v>
      </c>
      <c r="N7701">
        <v>0</v>
      </c>
      <c r="O7701">
        <v>0</v>
      </c>
    </row>
    <row r="7702" spans="1:15" x14ac:dyDescent="0.2">
      <c r="A7702" s="6">
        <v>45775</v>
      </c>
      <c r="B7702" t="s">
        <v>15</v>
      </c>
      <c r="C7702" t="s">
        <v>16</v>
      </c>
      <c r="D7702" s="1">
        <v>45855</v>
      </c>
      <c r="E7702" t="s">
        <v>17</v>
      </c>
      <c r="F7702">
        <v>5600</v>
      </c>
      <c r="J7702">
        <v>185.4</v>
      </c>
      <c r="K7702">
        <v>230.9</v>
      </c>
      <c r="L7702">
        <v>0</v>
      </c>
      <c r="M7702" t="s">
        <v>18</v>
      </c>
      <c r="N7702">
        <v>0</v>
      </c>
      <c r="O7702">
        <v>0</v>
      </c>
    </row>
    <row r="7703" spans="1:15" x14ac:dyDescent="0.2">
      <c r="A7703" s="6">
        <v>45775</v>
      </c>
      <c r="B7703" t="s">
        <v>15</v>
      </c>
      <c r="C7703" t="s">
        <v>16</v>
      </c>
      <c r="D7703" s="1">
        <v>45855</v>
      </c>
      <c r="E7703" t="s">
        <v>19</v>
      </c>
      <c r="F7703">
        <v>4600</v>
      </c>
      <c r="J7703">
        <v>91.1</v>
      </c>
      <c r="K7703">
        <v>79.7</v>
      </c>
      <c r="L7703">
        <v>0</v>
      </c>
      <c r="M7703" t="s">
        <v>18</v>
      </c>
      <c r="N7703">
        <v>0</v>
      </c>
      <c r="O7703">
        <v>0</v>
      </c>
    </row>
    <row r="7704" spans="1:15" x14ac:dyDescent="0.2">
      <c r="A7704" s="6">
        <v>45775</v>
      </c>
      <c r="B7704" t="s">
        <v>15</v>
      </c>
      <c r="C7704" t="s">
        <v>16</v>
      </c>
      <c r="D7704" s="1">
        <v>45855</v>
      </c>
      <c r="E7704" t="s">
        <v>19</v>
      </c>
      <c r="F7704">
        <v>5300</v>
      </c>
      <c r="J7704">
        <v>365.1</v>
      </c>
      <c r="K7704">
        <v>327.3</v>
      </c>
      <c r="L7704">
        <v>0</v>
      </c>
      <c r="M7704" t="s">
        <v>18</v>
      </c>
      <c r="N7704">
        <v>0</v>
      </c>
      <c r="O7704">
        <v>0</v>
      </c>
    </row>
    <row r="7705" spans="1:15" x14ac:dyDescent="0.2">
      <c r="A7705" s="6">
        <v>45775</v>
      </c>
      <c r="B7705" t="s">
        <v>15</v>
      </c>
      <c r="C7705" t="s">
        <v>16</v>
      </c>
      <c r="D7705" s="1">
        <v>45855</v>
      </c>
      <c r="E7705" t="s">
        <v>19</v>
      </c>
      <c r="F7705">
        <v>5900</v>
      </c>
      <c r="J7705">
        <v>774.1</v>
      </c>
      <c r="K7705">
        <v>710.3</v>
      </c>
      <c r="L7705">
        <v>0</v>
      </c>
      <c r="M7705" t="s">
        <v>18</v>
      </c>
      <c r="N7705">
        <v>0</v>
      </c>
      <c r="O7705">
        <v>0</v>
      </c>
    </row>
    <row r="7706" spans="1:15" x14ac:dyDescent="0.2">
      <c r="A7706" s="6">
        <v>45775</v>
      </c>
      <c r="B7706" t="s">
        <v>15</v>
      </c>
      <c r="C7706" t="s">
        <v>16</v>
      </c>
      <c r="D7706" s="1">
        <v>45855</v>
      </c>
      <c r="E7706" t="s">
        <v>19</v>
      </c>
      <c r="F7706">
        <v>5050</v>
      </c>
      <c r="J7706">
        <v>240.4</v>
      </c>
      <c r="K7706">
        <v>213.4</v>
      </c>
      <c r="L7706">
        <v>0</v>
      </c>
      <c r="M7706" t="s">
        <v>18</v>
      </c>
      <c r="N7706">
        <v>0</v>
      </c>
      <c r="O7706">
        <v>0</v>
      </c>
    </row>
    <row r="7707" spans="1:15" x14ac:dyDescent="0.2">
      <c r="A7707" s="6">
        <v>45775</v>
      </c>
      <c r="B7707" t="s">
        <v>15</v>
      </c>
      <c r="C7707" t="s">
        <v>16</v>
      </c>
      <c r="D7707" s="1">
        <v>45855</v>
      </c>
      <c r="E7707" t="s">
        <v>19</v>
      </c>
      <c r="F7707">
        <v>4250</v>
      </c>
      <c r="J7707">
        <v>33.200000000000003</v>
      </c>
      <c r="K7707">
        <v>28.9</v>
      </c>
      <c r="L7707">
        <v>0</v>
      </c>
      <c r="M7707" t="s">
        <v>18</v>
      </c>
      <c r="N7707">
        <v>0</v>
      </c>
      <c r="O7707">
        <v>0</v>
      </c>
    </row>
    <row r="7708" spans="1:15" x14ac:dyDescent="0.2">
      <c r="A7708" s="6">
        <v>45775</v>
      </c>
      <c r="B7708" t="s">
        <v>15</v>
      </c>
      <c r="C7708" t="s">
        <v>16</v>
      </c>
      <c r="D7708" s="1">
        <v>45855</v>
      </c>
      <c r="E7708" t="s">
        <v>19</v>
      </c>
      <c r="F7708">
        <v>6200</v>
      </c>
      <c r="J7708">
        <v>1022.6</v>
      </c>
      <c r="K7708">
        <v>948.3</v>
      </c>
      <c r="L7708">
        <v>0</v>
      </c>
      <c r="M7708" t="s">
        <v>18</v>
      </c>
      <c r="N7708">
        <v>0</v>
      </c>
      <c r="O7708">
        <v>0</v>
      </c>
    </row>
    <row r="7709" spans="1:15" x14ac:dyDescent="0.2">
      <c r="A7709" s="6">
        <v>45775</v>
      </c>
      <c r="B7709" t="s">
        <v>15</v>
      </c>
      <c r="C7709" t="s">
        <v>16</v>
      </c>
      <c r="D7709" s="1">
        <v>45855</v>
      </c>
      <c r="E7709" t="s">
        <v>17</v>
      </c>
      <c r="F7709">
        <v>6600</v>
      </c>
      <c r="J7709">
        <v>28.9</v>
      </c>
      <c r="K7709">
        <v>41.8</v>
      </c>
      <c r="L7709">
        <v>0</v>
      </c>
      <c r="M7709" t="s">
        <v>18</v>
      </c>
      <c r="N7709">
        <v>0</v>
      </c>
      <c r="O7709">
        <v>0</v>
      </c>
    </row>
    <row r="7710" spans="1:15" x14ac:dyDescent="0.2">
      <c r="A7710" s="6">
        <v>45775</v>
      </c>
      <c r="B7710" t="s">
        <v>15</v>
      </c>
      <c r="C7710" t="s">
        <v>16</v>
      </c>
      <c r="D7710" s="1">
        <v>45855</v>
      </c>
      <c r="E7710" t="s">
        <v>17</v>
      </c>
      <c r="F7710">
        <v>6400</v>
      </c>
      <c r="J7710">
        <v>43.5</v>
      </c>
      <c r="K7710">
        <v>60.8</v>
      </c>
      <c r="L7710">
        <v>0</v>
      </c>
      <c r="M7710" t="s">
        <v>18</v>
      </c>
      <c r="N7710">
        <v>0</v>
      </c>
      <c r="O7710">
        <v>0</v>
      </c>
    </row>
    <row r="7711" spans="1:15" x14ac:dyDescent="0.2">
      <c r="A7711" s="6">
        <v>45775</v>
      </c>
      <c r="B7711" t="s">
        <v>15</v>
      </c>
      <c r="C7711" t="s">
        <v>16</v>
      </c>
      <c r="D7711" s="1">
        <v>45855</v>
      </c>
      <c r="E7711" t="s">
        <v>19</v>
      </c>
      <c r="F7711">
        <v>4950</v>
      </c>
      <c r="J7711">
        <v>199</v>
      </c>
      <c r="K7711">
        <v>176</v>
      </c>
      <c r="L7711">
        <v>0</v>
      </c>
      <c r="M7711" t="s">
        <v>18</v>
      </c>
      <c r="N7711">
        <v>0</v>
      </c>
      <c r="O7711">
        <v>0</v>
      </c>
    </row>
    <row r="7712" spans="1:15" x14ac:dyDescent="0.2">
      <c r="A7712" s="6">
        <v>45775</v>
      </c>
      <c r="B7712" t="s">
        <v>15</v>
      </c>
      <c r="C7712" t="s">
        <v>16</v>
      </c>
      <c r="D7712" s="1">
        <v>45855</v>
      </c>
      <c r="E7712" t="s">
        <v>17</v>
      </c>
      <c r="F7712">
        <v>5750</v>
      </c>
      <c r="J7712">
        <v>144.6</v>
      </c>
      <c r="K7712">
        <v>183.8</v>
      </c>
      <c r="L7712">
        <v>0</v>
      </c>
      <c r="M7712" t="s">
        <v>18</v>
      </c>
      <c r="N7712">
        <v>0</v>
      </c>
      <c r="O7712">
        <v>0</v>
      </c>
    </row>
    <row r="7713" spans="1:15" x14ac:dyDescent="0.2">
      <c r="A7713" s="6">
        <v>45775</v>
      </c>
      <c r="B7713" t="s">
        <v>15</v>
      </c>
      <c r="C7713" t="s">
        <v>16</v>
      </c>
      <c r="D7713" s="1">
        <v>45855</v>
      </c>
      <c r="E7713" t="s">
        <v>17</v>
      </c>
      <c r="F7713">
        <v>6450</v>
      </c>
      <c r="J7713">
        <v>39.299999999999997</v>
      </c>
      <c r="K7713">
        <v>55.4</v>
      </c>
      <c r="L7713">
        <v>0</v>
      </c>
      <c r="M7713" t="s">
        <v>18</v>
      </c>
      <c r="N7713">
        <v>0</v>
      </c>
      <c r="O7713">
        <v>0</v>
      </c>
    </row>
    <row r="7714" spans="1:15" x14ac:dyDescent="0.2">
      <c r="A7714" s="6">
        <v>45775</v>
      </c>
      <c r="B7714" t="s">
        <v>15</v>
      </c>
      <c r="C7714" t="s">
        <v>16</v>
      </c>
      <c r="D7714" s="1">
        <v>45855</v>
      </c>
      <c r="E7714" t="s">
        <v>17</v>
      </c>
      <c r="F7714">
        <v>5650</v>
      </c>
      <c r="J7714">
        <v>170.9</v>
      </c>
      <c r="K7714">
        <v>214.2</v>
      </c>
      <c r="L7714">
        <v>0</v>
      </c>
      <c r="M7714" t="s">
        <v>18</v>
      </c>
      <c r="N7714">
        <v>0</v>
      </c>
      <c r="O7714">
        <v>0</v>
      </c>
    </row>
    <row r="7715" spans="1:15" x14ac:dyDescent="0.2">
      <c r="A7715" s="6">
        <v>45775</v>
      </c>
      <c r="B7715" t="s">
        <v>15</v>
      </c>
      <c r="C7715" t="s">
        <v>16</v>
      </c>
      <c r="D7715" s="1">
        <v>45855</v>
      </c>
      <c r="E7715" t="s">
        <v>17</v>
      </c>
      <c r="F7715">
        <v>6300</v>
      </c>
      <c r="J7715">
        <v>52.9</v>
      </c>
      <c r="K7715">
        <v>72.900000000000006</v>
      </c>
      <c r="L7715">
        <v>0</v>
      </c>
      <c r="M7715" t="s">
        <v>18</v>
      </c>
      <c r="N7715">
        <v>0</v>
      </c>
      <c r="O7715">
        <v>0</v>
      </c>
    </row>
    <row r="7716" spans="1:15" x14ac:dyDescent="0.2">
      <c r="A7716" s="6">
        <v>45775</v>
      </c>
      <c r="B7716" t="s">
        <v>15</v>
      </c>
      <c r="C7716" t="s">
        <v>16</v>
      </c>
      <c r="D7716" s="1">
        <v>45855</v>
      </c>
      <c r="E7716" t="s">
        <v>19</v>
      </c>
      <c r="F7716">
        <v>4050</v>
      </c>
      <c r="J7716">
        <v>16.399999999999999</v>
      </c>
      <c r="K7716">
        <v>14.2</v>
      </c>
      <c r="L7716">
        <v>0</v>
      </c>
      <c r="M7716" t="s">
        <v>18</v>
      </c>
      <c r="N7716">
        <v>0</v>
      </c>
      <c r="O7716">
        <v>0</v>
      </c>
    </row>
    <row r="7717" spans="1:15" x14ac:dyDescent="0.2">
      <c r="A7717" s="6">
        <v>45775</v>
      </c>
      <c r="B7717" t="s">
        <v>15</v>
      </c>
      <c r="C7717" t="s">
        <v>16</v>
      </c>
      <c r="D7717" s="1">
        <v>45855</v>
      </c>
      <c r="E7717" t="s">
        <v>17</v>
      </c>
      <c r="F7717">
        <v>4850</v>
      </c>
      <c r="J7717">
        <v>535.1</v>
      </c>
      <c r="K7717">
        <v>612.20000000000005</v>
      </c>
      <c r="L7717">
        <v>0</v>
      </c>
      <c r="M7717" t="s">
        <v>18</v>
      </c>
      <c r="N7717">
        <v>0</v>
      </c>
      <c r="O7717">
        <v>0</v>
      </c>
    </row>
    <row r="7718" spans="1:15" x14ac:dyDescent="0.2">
      <c r="A7718" s="6">
        <v>45775</v>
      </c>
      <c r="B7718" t="s">
        <v>15</v>
      </c>
      <c r="C7718" t="s">
        <v>16</v>
      </c>
      <c r="D7718" s="1">
        <v>45855</v>
      </c>
      <c r="E7718" t="s">
        <v>17</v>
      </c>
      <c r="F7718">
        <v>4550</v>
      </c>
      <c r="J7718">
        <v>748.6</v>
      </c>
      <c r="K7718">
        <v>834.6</v>
      </c>
      <c r="L7718">
        <v>0</v>
      </c>
      <c r="M7718" t="s">
        <v>18</v>
      </c>
      <c r="N7718">
        <v>0</v>
      </c>
      <c r="O7718">
        <v>0</v>
      </c>
    </row>
    <row r="7719" spans="1:15" x14ac:dyDescent="0.2">
      <c r="A7719" s="6">
        <v>45775</v>
      </c>
      <c r="B7719" t="s">
        <v>15</v>
      </c>
      <c r="C7719" t="s">
        <v>16</v>
      </c>
      <c r="D7719" s="1">
        <v>45855</v>
      </c>
      <c r="E7719" t="s">
        <v>19</v>
      </c>
      <c r="F7719">
        <v>4100</v>
      </c>
      <c r="J7719">
        <v>19.7</v>
      </c>
      <c r="K7719">
        <v>17.2</v>
      </c>
      <c r="L7719">
        <v>0</v>
      </c>
      <c r="M7719" t="s">
        <v>18</v>
      </c>
      <c r="N7719">
        <v>0</v>
      </c>
      <c r="O7719">
        <v>0</v>
      </c>
    </row>
    <row r="7720" spans="1:15" x14ac:dyDescent="0.2">
      <c r="A7720" s="6">
        <v>45775</v>
      </c>
      <c r="B7720" t="s">
        <v>15</v>
      </c>
      <c r="C7720" t="s">
        <v>16</v>
      </c>
      <c r="D7720" s="1">
        <v>45855</v>
      </c>
      <c r="E7720" t="s">
        <v>17</v>
      </c>
      <c r="F7720">
        <v>5500</v>
      </c>
      <c r="J7720">
        <v>217.4</v>
      </c>
      <c r="K7720">
        <v>267.3</v>
      </c>
      <c r="L7720">
        <v>0</v>
      </c>
      <c r="M7720" t="s">
        <v>18</v>
      </c>
      <c r="N7720">
        <v>0</v>
      </c>
      <c r="O7720">
        <v>0</v>
      </c>
    </row>
    <row r="7721" spans="1:15" x14ac:dyDescent="0.2">
      <c r="A7721" s="6">
        <v>45775</v>
      </c>
      <c r="B7721" t="s">
        <v>15</v>
      </c>
      <c r="C7721" t="s">
        <v>16</v>
      </c>
      <c r="D7721" s="1">
        <v>45855</v>
      </c>
      <c r="E7721" t="s">
        <v>17</v>
      </c>
      <c r="F7721">
        <v>4000</v>
      </c>
      <c r="J7721">
        <v>1224.3</v>
      </c>
      <c r="K7721">
        <v>1318.3</v>
      </c>
      <c r="L7721">
        <v>0</v>
      </c>
      <c r="M7721" t="s">
        <v>18</v>
      </c>
      <c r="N7721">
        <v>0</v>
      </c>
      <c r="O7721">
        <v>0</v>
      </c>
    </row>
    <row r="7722" spans="1:15" x14ac:dyDescent="0.2">
      <c r="A7722" s="6">
        <v>45775</v>
      </c>
      <c r="B7722" t="s">
        <v>15</v>
      </c>
      <c r="C7722" t="s">
        <v>16</v>
      </c>
      <c r="D7722" s="1">
        <v>45855</v>
      </c>
      <c r="E7722" t="s">
        <v>19</v>
      </c>
      <c r="F7722">
        <v>5000</v>
      </c>
      <c r="J7722">
        <v>219.1</v>
      </c>
      <c r="K7722">
        <v>194.2</v>
      </c>
      <c r="L7722">
        <v>0</v>
      </c>
      <c r="M7722" t="s">
        <v>18</v>
      </c>
      <c r="N7722">
        <v>0</v>
      </c>
      <c r="O7722">
        <v>0</v>
      </c>
    </row>
    <row r="7723" spans="1:15" x14ac:dyDescent="0.2">
      <c r="A7723" s="6">
        <v>45775</v>
      </c>
      <c r="B7723" t="s">
        <v>15</v>
      </c>
      <c r="C7723" t="s">
        <v>16</v>
      </c>
      <c r="D7723" s="1">
        <v>45855</v>
      </c>
      <c r="E7723" t="s">
        <v>19</v>
      </c>
      <c r="F7723">
        <v>5350</v>
      </c>
      <c r="J7723">
        <v>393.6</v>
      </c>
      <c r="K7723">
        <v>353.5</v>
      </c>
      <c r="L7723">
        <v>0</v>
      </c>
      <c r="M7723" t="s">
        <v>18</v>
      </c>
      <c r="N7723">
        <v>0</v>
      </c>
      <c r="O7723">
        <v>0</v>
      </c>
    </row>
    <row r="7724" spans="1:15" x14ac:dyDescent="0.2">
      <c r="A7724" s="6">
        <v>45775</v>
      </c>
      <c r="B7724" t="s">
        <v>15</v>
      </c>
      <c r="C7724" t="s">
        <v>16</v>
      </c>
      <c r="D7724" s="1">
        <v>45855</v>
      </c>
      <c r="E7724" t="s">
        <v>19</v>
      </c>
      <c r="F7724">
        <v>5950</v>
      </c>
      <c r="J7724">
        <v>813.9</v>
      </c>
      <c r="K7724">
        <v>748.2</v>
      </c>
      <c r="L7724">
        <v>0</v>
      </c>
      <c r="M7724" t="s">
        <v>18</v>
      </c>
      <c r="N7724">
        <v>0</v>
      </c>
      <c r="O7724">
        <v>0</v>
      </c>
    </row>
    <row r="7725" spans="1:15" x14ac:dyDescent="0.2">
      <c r="A7725" s="6">
        <v>45775</v>
      </c>
      <c r="B7725" t="s">
        <v>15</v>
      </c>
      <c r="C7725" t="s">
        <v>16</v>
      </c>
      <c r="D7725" s="1">
        <v>45855</v>
      </c>
      <c r="E7725" t="s">
        <v>19</v>
      </c>
      <c r="F7725">
        <v>4400</v>
      </c>
      <c r="J7725">
        <v>52.8</v>
      </c>
      <c r="K7725">
        <v>46</v>
      </c>
      <c r="L7725">
        <v>0</v>
      </c>
      <c r="M7725" t="s">
        <v>18</v>
      </c>
      <c r="N7725">
        <v>0</v>
      </c>
      <c r="O7725">
        <v>0</v>
      </c>
    </row>
    <row r="7726" spans="1:15" x14ac:dyDescent="0.2">
      <c r="A7726" s="6">
        <v>45775</v>
      </c>
      <c r="B7726" t="s">
        <v>15</v>
      </c>
      <c r="C7726" t="s">
        <v>16</v>
      </c>
      <c r="D7726" s="1">
        <v>45855</v>
      </c>
      <c r="E7726" t="s">
        <v>19</v>
      </c>
      <c r="F7726">
        <v>6550</v>
      </c>
      <c r="J7726">
        <v>1335.5</v>
      </c>
      <c r="K7726">
        <v>1252</v>
      </c>
      <c r="L7726">
        <v>0</v>
      </c>
      <c r="M7726" t="s">
        <v>18</v>
      </c>
      <c r="N7726">
        <v>0</v>
      </c>
      <c r="O7726">
        <v>0</v>
      </c>
    </row>
    <row r="7727" spans="1:15" x14ac:dyDescent="0.2">
      <c r="A7727" s="6">
        <v>45775</v>
      </c>
      <c r="B7727" t="s">
        <v>15</v>
      </c>
      <c r="C7727" t="s">
        <v>16</v>
      </c>
      <c r="D7727" s="1">
        <v>45855</v>
      </c>
      <c r="E7727" t="s">
        <v>17</v>
      </c>
      <c r="F7727">
        <v>6350</v>
      </c>
      <c r="J7727">
        <v>48</v>
      </c>
      <c r="K7727">
        <v>66.599999999999994</v>
      </c>
      <c r="L7727">
        <v>0</v>
      </c>
      <c r="M7727" t="s">
        <v>18</v>
      </c>
      <c r="N7727">
        <v>0</v>
      </c>
      <c r="O7727">
        <v>0</v>
      </c>
    </row>
    <row r="7728" spans="1:15" x14ac:dyDescent="0.2">
      <c r="A7728" s="6">
        <v>45775</v>
      </c>
      <c r="B7728" t="s">
        <v>15</v>
      </c>
      <c r="C7728" t="s">
        <v>16</v>
      </c>
      <c r="D7728" s="1">
        <v>45855</v>
      </c>
      <c r="E7728" t="s">
        <v>19</v>
      </c>
      <c r="F7728">
        <v>4500</v>
      </c>
      <c r="J7728">
        <v>70.099999999999994</v>
      </c>
      <c r="K7728">
        <v>61.2</v>
      </c>
      <c r="L7728">
        <v>0</v>
      </c>
      <c r="M7728" t="s">
        <v>18</v>
      </c>
      <c r="N7728">
        <v>0</v>
      </c>
      <c r="O7728">
        <v>0</v>
      </c>
    </row>
    <row r="7729" spans="1:15" x14ac:dyDescent="0.2">
      <c r="A7729" s="6">
        <v>45775</v>
      </c>
      <c r="B7729" t="s">
        <v>15</v>
      </c>
      <c r="C7729" t="s">
        <v>16</v>
      </c>
      <c r="D7729" s="1">
        <v>45855</v>
      </c>
      <c r="E7729" t="s">
        <v>17</v>
      </c>
      <c r="F7729">
        <v>5800</v>
      </c>
      <c r="J7729">
        <v>132.80000000000001</v>
      </c>
      <c r="K7729">
        <v>169.9</v>
      </c>
      <c r="L7729">
        <v>0</v>
      </c>
      <c r="M7729" t="s">
        <v>18</v>
      </c>
      <c r="N7729">
        <v>0</v>
      </c>
      <c r="O7729">
        <v>0</v>
      </c>
    </row>
    <row r="7730" spans="1:15" x14ac:dyDescent="0.2">
      <c r="A7730" s="6">
        <v>45775</v>
      </c>
      <c r="B7730" t="s">
        <v>15</v>
      </c>
      <c r="C7730" t="s">
        <v>16</v>
      </c>
      <c r="D7730" s="1">
        <v>45855</v>
      </c>
      <c r="E7730" t="s">
        <v>17</v>
      </c>
      <c r="F7730">
        <v>5450</v>
      </c>
      <c r="J7730">
        <v>235</v>
      </c>
      <c r="K7730">
        <v>287.10000000000002</v>
      </c>
      <c r="L7730">
        <v>0</v>
      </c>
      <c r="M7730" t="s">
        <v>18</v>
      </c>
      <c r="N7730">
        <v>0</v>
      </c>
      <c r="O7730">
        <v>0</v>
      </c>
    </row>
    <row r="7731" spans="1:15" x14ac:dyDescent="0.2">
      <c r="A7731" s="6">
        <v>45775</v>
      </c>
      <c r="B7731" t="s">
        <v>15</v>
      </c>
      <c r="C7731" t="s">
        <v>16</v>
      </c>
      <c r="D7731" s="1">
        <v>45855</v>
      </c>
      <c r="E7731" t="s">
        <v>17</v>
      </c>
      <c r="F7731">
        <v>4150</v>
      </c>
      <c r="J7731">
        <v>1086.5</v>
      </c>
      <c r="K7731">
        <v>1179.3</v>
      </c>
      <c r="L7731">
        <v>0</v>
      </c>
      <c r="M7731" t="s">
        <v>18</v>
      </c>
      <c r="N7731">
        <v>0</v>
      </c>
      <c r="O7731">
        <v>0</v>
      </c>
    </row>
    <row r="7732" spans="1:15" x14ac:dyDescent="0.2">
      <c r="A7732" s="6">
        <v>45775</v>
      </c>
      <c r="B7732" t="s">
        <v>15</v>
      </c>
      <c r="C7732" t="s">
        <v>16</v>
      </c>
      <c r="D7732" s="1">
        <v>45855</v>
      </c>
      <c r="E7732" t="s">
        <v>19</v>
      </c>
      <c r="F7732">
        <v>4650</v>
      </c>
      <c r="J7732">
        <v>103.2</v>
      </c>
      <c r="K7732">
        <v>90.4</v>
      </c>
      <c r="L7732">
        <v>0</v>
      </c>
      <c r="M7732" t="s">
        <v>18</v>
      </c>
      <c r="N7732">
        <v>0</v>
      </c>
      <c r="O7732">
        <v>0</v>
      </c>
    </row>
    <row r="7733" spans="1:15" x14ac:dyDescent="0.2">
      <c r="A7733" s="6">
        <v>45775</v>
      </c>
      <c r="B7733" t="s">
        <v>15</v>
      </c>
      <c r="C7733" t="s">
        <v>16</v>
      </c>
      <c r="D7733" s="1">
        <v>45855</v>
      </c>
      <c r="E7733" t="s">
        <v>19</v>
      </c>
      <c r="F7733">
        <v>5150</v>
      </c>
      <c r="J7733">
        <v>286.7</v>
      </c>
      <c r="K7733">
        <v>255.5</v>
      </c>
      <c r="L7733">
        <v>0</v>
      </c>
      <c r="M7733" t="s">
        <v>18</v>
      </c>
      <c r="N7733">
        <v>0</v>
      </c>
      <c r="O7733">
        <v>0</v>
      </c>
    </row>
    <row r="7734" spans="1:15" x14ac:dyDescent="0.2">
      <c r="A7734" s="6">
        <v>45775</v>
      </c>
      <c r="B7734" t="s">
        <v>15</v>
      </c>
      <c r="C7734" t="s">
        <v>16</v>
      </c>
      <c r="D7734" s="1">
        <v>45855</v>
      </c>
      <c r="E7734" t="s">
        <v>17</v>
      </c>
      <c r="F7734">
        <v>4600</v>
      </c>
      <c r="J7734">
        <v>710.3</v>
      </c>
      <c r="K7734">
        <v>795.1</v>
      </c>
      <c r="L7734">
        <v>0</v>
      </c>
      <c r="M7734" t="s">
        <v>18</v>
      </c>
      <c r="N7734">
        <v>0</v>
      </c>
      <c r="O7734">
        <v>0</v>
      </c>
    </row>
    <row r="7735" spans="1:15" x14ac:dyDescent="0.2">
      <c r="A7735" s="6">
        <v>45775</v>
      </c>
      <c r="B7735" t="s">
        <v>15</v>
      </c>
      <c r="C7735" t="s">
        <v>16</v>
      </c>
      <c r="D7735" s="1">
        <v>45855</v>
      </c>
      <c r="E7735" t="s">
        <v>17</v>
      </c>
      <c r="F7735">
        <v>5900</v>
      </c>
      <c r="J7735">
        <v>111.6</v>
      </c>
      <c r="K7735">
        <v>144.69999999999999</v>
      </c>
      <c r="L7735">
        <v>0</v>
      </c>
      <c r="M7735" t="s">
        <v>18</v>
      </c>
      <c r="N7735">
        <v>0</v>
      </c>
      <c r="O7735">
        <v>0</v>
      </c>
    </row>
    <row r="7736" spans="1:15" x14ac:dyDescent="0.2">
      <c r="A7736" s="6">
        <v>45775</v>
      </c>
      <c r="B7736" t="s">
        <v>15</v>
      </c>
      <c r="C7736" t="s">
        <v>16</v>
      </c>
      <c r="D7736" s="1">
        <v>45855</v>
      </c>
      <c r="E7736" t="s">
        <v>17</v>
      </c>
      <c r="F7736">
        <v>6500</v>
      </c>
      <c r="J7736">
        <v>35.5</v>
      </c>
      <c r="K7736">
        <v>50.5</v>
      </c>
      <c r="L7736">
        <v>0</v>
      </c>
      <c r="M7736" t="s">
        <v>18</v>
      </c>
      <c r="N7736">
        <v>0</v>
      </c>
      <c r="O7736">
        <v>0</v>
      </c>
    </row>
    <row r="7737" spans="1:15" x14ac:dyDescent="0.2">
      <c r="A7737" s="6">
        <v>45775</v>
      </c>
      <c r="B7737" t="s">
        <v>15</v>
      </c>
      <c r="C7737" t="s">
        <v>16</v>
      </c>
      <c r="D7737" s="1">
        <v>45855</v>
      </c>
      <c r="E7737" t="s">
        <v>17</v>
      </c>
      <c r="F7737">
        <v>6200</v>
      </c>
      <c r="J7737">
        <v>64.2</v>
      </c>
      <c r="K7737">
        <v>87.1</v>
      </c>
      <c r="L7737">
        <v>0</v>
      </c>
      <c r="M7737" t="s">
        <v>18</v>
      </c>
      <c r="N7737">
        <v>0</v>
      </c>
      <c r="O7737">
        <v>0</v>
      </c>
    </row>
    <row r="7738" spans="1:15" x14ac:dyDescent="0.2">
      <c r="A7738" s="6">
        <v>45775</v>
      </c>
      <c r="B7738" t="s">
        <v>15</v>
      </c>
      <c r="C7738" t="s">
        <v>16</v>
      </c>
      <c r="D7738" s="1">
        <v>45855</v>
      </c>
      <c r="E7738" t="s">
        <v>17</v>
      </c>
      <c r="F7738">
        <v>5050</v>
      </c>
      <c r="J7738">
        <v>415.9</v>
      </c>
      <c r="K7738">
        <v>485.4</v>
      </c>
      <c r="L7738">
        <v>0</v>
      </c>
      <c r="M7738" t="s">
        <v>18</v>
      </c>
      <c r="N7738">
        <v>0</v>
      </c>
      <c r="O7738">
        <v>0</v>
      </c>
    </row>
    <row r="7739" spans="1:15" x14ac:dyDescent="0.2">
      <c r="A7739" s="6">
        <v>45775</v>
      </c>
      <c r="B7739" t="s">
        <v>15</v>
      </c>
      <c r="C7739" t="s">
        <v>16</v>
      </c>
      <c r="D7739" s="1">
        <v>45855</v>
      </c>
      <c r="E7739" t="s">
        <v>17</v>
      </c>
      <c r="F7739">
        <v>6250</v>
      </c>
      <c r="J7739">
        <v>58.3</v>
      </c>
      <c r="K7739">
        <v>79.7</v>
      </c>
      <c r="L7739">
        <v>0</v>
      </c>
      <c r="M7739" t="s">
        <v>18</v>
      </c>
      <c r="N7739">
        <v>0</v>
      </c>
      <c r="O7739">
        <v>0</v>
      </c>
    </row>
    <row r="7740" spans="1:15" x14ac:dyDescent="0.2">
      <c r="A7740" s="6">
        <v>45775</v>
      </c>
      <c r="B7740" t="s">
        <v>15</v>
      </c>
      <c r="C7740" t="s">
        <v>16</v>
      </c>
      <c r="D7740" s="1">
        <v>45855</v>
      </c>
      <c r="E7740" t="s">
        <v>19</v>
      </c>
      <c r="F7740">
        <v>5200</v>
      </c>
      <c r="J7740">
        <v>311.60000000000002</v>
      </c>
      <c r="K7740">
        <v>278.3</v>
      </c>
      <c r="L7740">
        <v>0</v>
      </c>
      <c r="M7740" t="s">
        <v>18</v>
      </c>
      <c r="N7740">
        <v>0</v>
      </c>
      <c r="O7740">
        <v>0</v>
      </c>
    </row>
    <row r="7741" spans="1:15" x14ac:dyDescent="0.2">
      <c r="A7741" s="6">
        <v>45775</v>
      </c>
      <c r="B7741" t="s">
        <v>15</v>
      </c>
      <c r="C7741" t="s">
        <v>16</v>
      </c>
      <c r="D7741" s="1">
        <v>45855</v>
      </c>
      <c r="E7741" t="s">
        <v>19</v>
      </c>
      <c r="F7741">
        <v>6250</v>
      </c>
      <c r="J7741">
        <v>1066</v>
      </c>
      <c r="K7741">
        <v>990.2</v>
      </c>
      <c r="L7741">
        <v>0</v>
      </c>
      <c r="M7741" t="s">
        <v>18</v>
      </c>
      <c r="N7741">
        <v>0</v>
      </c>
      <c r="O7741">
        <v>0</v>
      </c>
    </row>
    <row r="7742" spans="1:15" x14ac:dyDescent="0.2">
      <c r="A7742" s="6">
        <v>45775</v>
      </c>
      <c r="B7742" t="s">
        <v>15</v>
      </c>
      <c r="C7742" t="s">
        <v>16</v>
      </c>
      <c r="D7742" s="1">
        <v>45855</v>
      </c>
      <c r="E7742" t="s">
        <v>17</v>
      </c>
      <c r="F7742">
        <v>4250</v>
      </c>
      <c r="J7742">
        <v>997.5</v>
      </c>
      <c r="K7742">
        <v>1089.0999999999999</v>
      </c>
      <c r="L7742">
        <v>0</v>
      </c>
      <c r="M7742" t="s">
        <v>18</v>
      </c>
      <c r="N7742">
        <v>0</v>
      </c>
      <c r="O7742">
        <v>0</v>
      </c>
    </row>
    <row r="7743" spans="1:15" x14ac:dyDescent="0.2">
      <c r="A7743" s="6">
        <v>45775</v>
      </c>
      <c r="B7743" t="s">
        <v>15</v>
      </c>
      <c r="C7743" t="s">
        <v>16</v>
      </c>
      <c r="D7743" s="1">
        <v>45855</v>
      </c>
      <c r="E7743" t="s">
        <v>19</v>
      </c>
      <c r="F7743">
        <v>5600</v>
      </c>
      <c r="J7743">
        <v>552.20000000000005</v>
      </c>
      <c r="K7743">
        <v>500.9</v>
      </c>
      <c r="L7743">
        <v>0</v>
      </c>
      <c r="M7743" t="s">
        <v>18</v>
      </c>
      <c r="N7743">
        <v>0</v>
      </c>
      <c r="O7743">
        <v>0</v>
      </c>
    </row>
    <row r="7744" spans="1:15" x14ac:dyDescent="0.2">
      <c r="A7744" s="6">
        <v>45775</v>
      </c>
      <c r="B7744" t="s">
        <v>15</v>
      </c>
      <c r="C7744" t="s">
        <v>16</v>
      </c>
      <c r="D7744" s="1">
        <v>45855</v>
      </c>
      <c r="E7744" t="s">
        <v>19</v>
      </c>
      <c r="F7744">
        <v>5650</v>
      </c>
      <c r="J7744">
        <v>587</v>
      </c>
      <c r="K7744">
        <v>533.5</v>
      </c>
      <c r="L7744">
        <v>0</v>
      </c>
      <c r="M7744" t="s">
        <v>18</v>
      </c>
      <c r="N7744">
        <v>0</v>
      </c>
      <c r="O7744">
        <v>0</v>
      </c>
    </row>
    <row r="7745" spans="1:15" x14ac:dyDescent="0.2">
      <c r="A7745" s="6">
        <v>45775</v>
      </c>
      <c r="B7745" t="s">
        <v>15</v>
      </c>
      <c r="C7745" t="s">
        <v>16</v>
      </c>
      <c r="D7745" s="1">
        <v>45855</v>
      </c>
      <c r="E7745" t="s">
        <v>19</v>
      </c>
      <c r="F7745">
        <v>6350</v>
      </c>
      <c r="J7745">
        <v>1154.2</v>
      </c>
      <c r="K7745">
        <v>1075.5999999999999</v>
      </c>
      <c r="L7745">
        <v>0</v>
      </c>
      <c r="M7745" t="s">
        <v>18</v>
      </c>
      <c r="N7745">
        <v>0</v>
      </c>
      <c r="O7745">
        <v>0</v>
      </c>
    </row>
    <row r="7746" spans="1:15" x14ac:dyDescent="0.2">
      <c r="A7746" s="6">
        <v>45775</v>
      </c>
      <c r="B7746" t="s">
        <v>15</v>
      </c>
      <c r="C7746" t="s">
        <v>16</v>
      </c>
      <c r="D7746" s="1">
        <v>45855</v>
      </c>
      <c r="E7746" t="s">
        <v>19</v>
      </c>
      <c r="F7746">
        <v>4000</v>
      </c>
      <c r="J7746">
        <v>13.5</v>
      </c>
      <c r="K7746">
        <v>11.7</v>
      </c>
      <c r="L7746">
        <v>0</v>
      </c>
      <c r="M7746" t="s">
        <v>18</v>
      </c>
      <c r="N7746">
        <v>0</v>
      </c>
      <c r="O7746">
        <v>0</v>
      </c>
    </row>
    <row r="7747" spans="1:15" x14ac:dyDescent="0.2">
      <c r="A7747" s="6">
        <v>45775</v>
      </c>
      <c r="B7747" t="s">
        <v>15</v>
      </c>
      <c r="C7747" t="s">
        <v>16</v>
      </c>
      <c r="D7747" s="1">
        <v>45855</v>
      </c>
      <c r="E7747" t="s">
        <v>19</v>
      </c>
      <c r="F7747">
        <v>4850</v>
      </c>
      <c r="J7747">
        <v>162.4</v>
      </c>
      <c r="K7747">
        <v>143.19999999999999</v>
      </c>
      <c r="L7747">
        <v>0</v>
      </c>
      <c r="M7747" t="s">
        <v>18</v>
      </c>
      <c r="N7747">
        <v>0</v>
      </c>
      <c r="O7747">
        <v>0</v>
      </c>
    </row>
    <row r="7748" spans="1:15" x14ac:dyDescent="0.2">
      <c r="A7748" s="6">
        <v>45775</v>
      </c>
      <c r="B7748" t="s">
        <v>15</v>
      </c>
      <c r="C7748" t="s">
        <v>16</v>
      </c>
      <c r="D7748" s="1">
        <v>45855</v>
      </c>
      <c r="E7748" t="s">
        <v>17</v>
      </c>
      <c r="F7748">
        <v>6100</v>
      </c>
      <c r="J7748">
        <v>77.599999999999994</v>
      </c>
      <c r="K7748">
        <v>103.6</v>
      </c>
      <c r="L7748">
        <v>0</v>
      </c>
      <c r="M7748" t="s">
        <v>18</v>
      </c>
      <c r="N7748">
        <v>0</v>
      </c>
      <c r="O7748">
        <v>0</v>
      </c>
    </row>
    <row r="7749" spans="1:15" x14ac:dyDescent="0.2">
      <c r="A7749" s="6">
        <v>45775</v>
      </c>
      <c r="B7749" t="s">
        <v>15</v>
      </c>
      <c r="C7749" t="s">
        <v>16</v>
      </c>
      <c r="D7749" s="1">
        <v>45855</v>
      </c>
      <c r="E7749" t="s">
        <v>17</v>
      </c>
      <c r="F7749">
        <v>5350</v>
      </c>
      <c r="J7749">
        <v>273.3</v>
      </c>
      <c r="K7749">
        <v>329.8</v>
      </c>
      <c r="L7749">
        <v>0</v>
      </c>
      <c r="M7749" t="s">
        <v>18</v>
      </c>
      <c r="N7749">
        <v>0</v>
      </c>
      <c r="O7749">
        <v>0</v>
      </c>
    </row>
    <row r="7750" spans="1:15" x14ac:dyDescent="0.2">
      <c r="A7750" s="6">
        <v>45775</v>
      </c>
      <c r="B7750" t="s">
        <v>15</v>
      </c>
      <c r="C7750" t="s">
        <v>16</v>
      </c>
      <c r="D7750" s="1">
        <v>45855</v>
      </c>
      <c r="E7750" t="s">
        <v>19</v>
      </c>
      <c r="F7750">
        <v>5800</v>
      </c>
      <c r="J7750">
        <v>696.8</v>
      </c>
      <c r="K7750">
        <v>636.9</v>
      </c>
      <c r="L7750">
        <v>0</v>
      </c>
      <c r="M7750" t="s">
        <v>18</v>
      </c>
      <c r="N7750">
        <v>0</v>
      </c>
      <c r="O7750">
        <v>0</v>
      </c>
    </row>
    <row r="7751" spans="1:15" x14ac:dyDescent="0.2">
      <c r="A7751" s="6">
        <v>45775</v>
      </c>
      <c r="B7751" t="s">
        <v>15</v>
      </c>
      <c r="C7751" t="s">
        <v>16</v>
      </c>
      <c r="D7751" s="1">
        <v>45855</v>
      </c>
      <c r="E7751" t="s">
        <v>19</v>
      </c>
      <c r="F7751">
        <v>4300</v>
      </c>
      <c r="J7751">
        <v>39</v>
      </c>
      <c r="K7751">
        <v>33.9</v>
      </c>
      <c r="L7751">
        <v>0</v>
      </c>
      <c r="M7751" t="s">
        <v>18</v>
      </c>
      <c r="N7751">
        <v>0</v>
      </c>
      <c r="O7751">
        <v>0</v>
      </c>
    </row>
    <row r="7752" spans="1:15" x14ac:dyDescent="0.2">
      <c r="A7752" s="6">
        <v>45775</v>
      </c>
      <c r="B7752" t="s">
        <v>15</v>
      </c>
      <c r="C7752" t="s">
        <v>16</v>
      </c>
      <c r="D7752" s="1">
        <v>45855</v>
      </c>
      <c r="E7752" t="s">
        <v>19</v>
      </c>
      <c r="F7752">
        <v>4800</v>
      </c>
      <c r="J7752">
        <v>145.9</v>
      </c>
      <c r="K7752">
        <v>128.4</v>
      </c>
      <c r="L7752">
        <v>0</v>
      </c>
      <c r="M7752" t="s">
        <v>18</v>
      </c>
      <c r="N7752">
        <v>0</v>
      </c>
      <c r="O7752">
        <v>0</v>
      </c>
    </row>
    <row r="7753" spans="1:15" x14ac:dyDescent="0.2">
      <c r="A7753" s="6">
        <v>45775</v>
      </c>
      <c r="B7753" t="s">
        <v>15</v>
      </c>
      <c r="C7753" t="s">
        <v>16</v>
      </c>
      <c r="D7753" s="1">
        <v>45855</v>
      </c>
      <c r="E7753" t="s">
        <v>17</v>
      </c>
      <c r="F7753">
        <v>5550</v>
      </c>
      <c r="J7753">
        <v>200.9</v>
      </c>
      <c r="K7753">
        <v>248.6</v>
      </c>
      <c r="L7753">
        <v>0</v>
      </c>
      <c r="M7753" t="s">
        <v>18</v>
      </c>
      <c r="N7753">
        <v>0</v>
      </c>
      <c r="O7753">
        <v>0</v>
      </c>
    </row>
    <row r="7754" spans="1:15" x14ac:dyDescent="0.2">
      <c r="A7754" s="6">
        <v>45775</v>
      </c>
      <c r="B7754" t="s">
        <v>15</v>
      </c>
      <c r="C7754" t="s">
        <v>16</v>
      </c>
      <c r="D7754" s="1">
        <v>45855</v>
      </c>
      <c r="E7754" t="s">
        <v>17</v>
      </c>
      <c r="F7754">
        <v>5400</v>
      </c>
      <c r="J7754">
        <v>253.6</v>
      </c>
      <c r="K7754">
        <v>307.89999999999998</v>
      </c>
      <c r="L7754">
        <v>0</v>
      </c>
      <c r="M7754" t="s">
        <v>18</v>
      </c>
      <c r="N7754">
        <v>0</v>
      </c>
      <c r="O7754">
        <v>0</v>
      </c>
    </row>
    <row r="7755" spans="1:15" x14ac:dyDescent="0.2">
      <c r="A7755" s="6">
        <v>45775</v>
      </c>
      <c r="B7755" t="s">
        <v>15</v>
      </c>
      <c r="C7755" t="s">
        <v>16</v>
      </c>
      <c r="D7755" s="1">
        <v>45855</v>
      </c>
      <c r="E7755" t="s">
        <v>19</v>
      </c>
      <c r="F7755">
        <v>6300</v>
      </c>
      <c r="J7755">
        <v>1109.9000000000001</v>
      </c>
      <c r="K7755">
        <v>1032.5999999999999</v>
      </c>
      <c r="L7755">
        <v>0</v>
      </c>
      <c r="M7755" t="s">
        <v>18</v>
      </c>
      <c r="N7755">
        <v>0</v>
      </c>
      <c r="O7755">
        <v>0</v>
      </c>
    </row>
    <row r="7756" spans="1:15" x14ac:dyDescent="0.2">
      <c r="A7756" s="6">
        <v>45775</v>
      </c>
      <c r="B7756" t="s">
        <v>15</v>
      </c>
      <c r="C7756" t="s">
        <v>16</v>
      </c>
      <c r="D7756" s="1">
        <v>45855</v>
      </c>
      <c r="E7756" t="s">
        <v>19</v>
      </c>
      <c r="F7756">
        <v>6500</v>
      </c>
      <c r="J7756">
        <v>1289.7</v>
      </c>
      <c r="K7756">
        <v>1207.3</v>
      </c>
      <c r="L7756">
        <v>0</v>
      </c>
      <c r="M7756" t="s">
        <v>18</v>
      </c>
      <c r="N7756">
        <v>0</v>
      </c>
      <c r="O7756">
        <v>0</v>
      </c>
    </row>
    <row r="7757" spans="1:15" x14ac:dyDescent="0.2">
      <c r="A7757" s="6">
        <v>45775</v>
      </c>
      <c r="B7757" t="s">
        <v>15</v>
      </c>
      <c r="C7757" t="s">
        <v>16</v>
      </c>
      <c r="D7757" s="1">
        <v>45855</v>
      </c>
      <c r="E7757" t="s">
        <v>17</v>
      </c>
      <c r="F7757">
        <v>5850</v>
      </c>
      <c r="J7757">
        <v>121.8</v>
      </c>
      <c r="K7757">
        <v>156.9</v>
      </c>
      <c r="L7757">
        <v>0</v>
      </c>
      <c r="M7757" t="s">
        <v>18</v>
      </c>
      <c r="N7757">
        <v>0</v>
      </c>
      <c r="O7757">
        <v>0</v>
      </c>
    </row>
    <row r="7758" spans="1:15" x14ac:dyDescent="0.2">
      <c r="A7758" s="6">
        <v>45775</v>
      </c>
      <c r="B7758" t="s">
        <v>15</v>
      </c>
      <c r="C7758" t="s">
        <v>16</v>
      </c>
      <c r="D7758" s="1">
        <v>45855</v>
      </c>
      <c r="E7758" t="s">
        <v>19</v>
      </c>
      <c r="F7758">
        <v>6000</v>
      </c>
      <c r="J7758">
        <v>854.4</v>
      </c>
      <c r="K7758">
        <v>786.8</v>
      </c>
      <c r="L7758">
        <v>0</v>
      </c>
      <c r="M7758" t="s">
        <v>18</v>
      </c>
      <c r="N7758">
        <v>0</v>
      </c>
      <c r="O7758">
        <v>0</v>
      </c>
    </row>
    <row r="7759" spans="1:15" x14ac:dyDescent="0.2">
      <c r="A7759" s="6">
        <v>45775</v>
      </c>
      <c r="B7759" t="s">
        <v>15</v>
      </c>
      <c r="C7759" t="s">
        <v>16</v>
      </c>
      <c r="D7759" s="1">
        <v>45855</v>
      </c>
      <c r="E7759" t="s">
        <v>17</v>
      </c>
      <c r="F7759">
        <v>4300</v>
      </c>
      <c r="J7759">
        <v>954</v>
      </c>
      <c r="K7759">
        <v>1044.9000000000001</v>
      </c>
      <c r="L7759">
        <v>0</v>
      </c>
      <c r="M7759" t="s">
        <v>18</v>
      </c>
      <c r="N7759">
        <v>0</v>
      </c>
      <c r="O7759">
        <v>0</v>
      </c>
    </row>
    <row r="7760" spans="1:15" x14ac:dyDescent="0.2">
      <c r="A7760" s="6">
        <v>45775</v>
      </c>
      <c r="B7760" t="s">
        <v>15</v>
      </c>
      <c r="C7760" t="s">
        <v>16</v>
      </c>
      <c r="D7760" s="1">
        <v>45855</v>
      </c>
      <c r="E7760" t="s">
        <v>19</v>
      </c>
      <c r="F7760">
        <v>6600</v>
      </c>
      <c r="J7760">
        <v>1381.7</v>
      </c>
      <c r="K7760">
        <v>1297.0999999999999</v>
      </c>
      <c r="L7760">
        <v>0</v>
      </c>
      <c r="M7760" t="s">
        <v>18</v>
      </c>
      <c r="N7760">
        <v>0</v>
      </c>
      <c r="O7760">
        <v>0</v>
      </c>
    </row>
    <row r="7761" spans="1:15" x14ac:dyDescent="0.2">
      <c r="A7761" s="6">
        <v>45775</v>
      </c>
      <c r="B7761" t="s">
        <v>15</v>
      </c>
      <c r="C7761" t="s">
        <v>16</v>
      </c>
      <c r="D7761" s="1">
        <v>45855</v>
      </c>
      <c r="E7761" t="s">
        <v>19</v>
      </c>
      <c r="F7761">
        <v>4750</v>
      </c>
      <c r="J7761">
        <v>130.5</v>
      </c>
      <c r="K7761">
        <v>114.7</v>
      </c>
      <c r="L7761">
        <v>0</v>
      </c>
      <c r="M7761" t="s">
        <v>18</v>
      </c>
      <c r="N7761">
        <v>0</v>
      </c>
      <c r="O7761">
        <v>0</v>
      </c>
    </row>
    <row r="7762" spans="1:15" x14ac:dyDescent="0.2">
      <c r="A7762" s="6">
        <v>45775</v>
      </c>
      <c r="B7762" t="s">
        <v>15</v>
      </c>
      <c r="C7762" t="s">
        <v>16</v>
      </c>
      <c r="D7762" s="1">
        <v>45855</v>
      </c>
      <c r="E7762" t="s">
        <v>17</v>
      </c>
      <c r="F7762">
        <v>4050</v>
      </c>
      <c r="J7762">
        <v>1177.8</v>
      </c>
      <c r="K7762">
        <v>1271.5999999999999</v>
      </c>
      <c r="L7762">
        <v>0</v>
      </c>
      <c r="M7762" t="s">
        <v>18</v>
      </c>
      <c r="N7762">
        <v>0</v>
      </c>
      <c r="O7762">
        <v>0</v>
      </c>
    </row>
    <row r="7763" spans="1:15" x14ac:dyDescent="0.2">
      <c r="A7763" s="6">
        <v>45775</v>
      </c>
      <c r="B7763" t="s">
        <v>15</v>
      </c>
      <c r="C7763" t="s">
        <v>16</v>
      </c>
      <c r="D7763" s="1">
        <v>45855</v>
      </c>
      <c r="E7763" t="s">
        <v>19</v>
      </c>
      <c r="F7763">
        <v>5550</v>
      </c>
      <c r="J7763">
        <v>518.4</v>
      </c>
      <c r="K7763">
        <v>469.3</v>
      </c>
      <c r="L7763">
        <v>0</v>
      </c>
      <c r="M7763" t="s">
        <v>18</v>
      </c>
      <c r="N7763">
        <v>0</v>
      </c>
      <c r="O7763">
        <v>0</v>
      </c>
    </row>
    <row r="7764" spans="1:15" x14ac:dyDescent="0.2">
      <c r="A7764" s="6">
        <v>45775</v>
      </c>
      <c r="B7764" t="s">
        <v>15</v>
      </c>
      <c r="C7764" t="s">
        <v>16</v>
      </c>
      <c r="D7764" s="1">
        <v>45855</v>
      </c>
      <c r="E7764" t="s">
        <v>19</v>
      </c>
      <c r="F7764">
        <v>4150</v>
      </c>
      <c r="J7764">
        <v>23.6</v>
      </c>
      <c r="K7764">
        <v>20.5</v>
      </c>
      <c r="L7764">
        <v>0</v>
      </c>
      <c r="M7764" t="s">
        <v>18</v>
      </c>
      <c r="N7764">
        <v>0</v>
      </c>
      <c r="O7764">
        <v>0</v>
      </c>
    </row>
    <row r="7765" spans="1:15" x14ac:dyDescent="0.2">
      <c r="A7765" s="6">
        <v>45775</v>
      </c>
      <c r="B7765" t="s">
        <v>15</v>
      </c>
      <c r="C7765" t="s">
        <v>16</v>
      </c>
      <c r="D7765" s="1">
        <v>45855</v>
      </c>
      <c r="E7765" t="s">
        <v>17</v>
      </c>
      <c r="F7765">
        <v>6150</v>
      </c>
      <c r="J7765">
        <v>70.599999999999994</v>
      </c>
      <c r="K7765">
        <v>95</v>
      </c>
      <c r="L7765">
        <v>0</v>
      </c>
      <c r="M7765" t="s">
        <v>18</v>
      </c>
      <c r="N7765">
        <v>0</v>
      </c>
      <c r="O7765">
        <v>0</v>
      </c>
    </row>
    <row r="7766" spans="1:15" x14ac:dyDescent="0.2">
      <c r="A7766" s="6">
        <v>45775</v>
      </c>
      <c r="B7766" t="s">
        <v>15</v>
      </c>
      <c r="C7766" t="s">
        <v>16</v>
      </c>
      <c r="D7766" s="1">
        <v>45855</v>
      </c>
      <c r="E7766" t="s">
        <v>19</v>
      </c>
      <c r="F7766">
        <v>4350</v>
      </c>
      <c r="J7766">
        <v>45.5</v>
      </c>
      <c r="K7766">
        <v>39.6</v>
      </c>
      <c r="L7766">
        <v>0</v>
      </c>
      <c r="M7766" t="s">
        <v>18</v>
      </c>
      <c r="N7766">
        <v>0</v>
      </c>
      <c r="O7766">
        <v>0</v>
      </c>
    </row>
    <row r="7767" spans="1:15" x14ac:dyDescent="0.2">
      <c r="A7767" s="6">
        <v>45775</v>
      </c>
      <c r="B7767" t="s">
        <v>15</v>
      </c>
      <c r="C7767" t="s">
        <v>16</v>
      </c>
      <c r="D7767" s="1">
        <v>45855</v>
      </c>
      <c r="E7767" t="s">
        <v>19</v>
      </c>
      <c r="F7767">
        <v>6450</v>
      </c>
      <c r="J7767">
        <v>1244.2</v>
      </c>
      <c r="K7767">
        <v>1162.9000000000001</v>
      </c>
      <c r="L7767">
        <v>0</v>
      </c>
      <c r="M7767" t="s">
        <v>18</v>
      </c>
      <c r="N7767">
        <v>0</v>
      </c>
      <c r="O7767">
        <v>0</v>
      </c>
    </row>
    <row r="7768" spans="1:15" x14ac:dyDescent="0.2">
      <c r="A7768" s="6">
        <v>45775</v>
      </c>
      <c r="B7768" t="s">
        <v>15</v>
      </c>
      <c r="C7768" t="s">
        <v>16</v>
      </c>
      <c r="D7768" s="1">
        <v>45855</v>
      </c>
      <c r="E7768" t="s">
        <v>19</v>
      </c>
      <c r="F7768">
        <v>5850</v>
      </c>
      <c r="J7768">
        <v>735.1</v>
      </c>
      <c r="K7768">
        <v>673.2</v>
      </c>
      <c r="L7768">
        <v>0</v>
      </c>
      <c r="M7768" t="s">
        <v>18</v>
      </c>
      <c r="N7768">
        <v>0</v>
      </c>
      <c r="O7768">
        <v>0</v>
      </c>
    </row>
    <row r="7769" spans="1:15" x14ac:dyDescent="0.2">
      <c r="A7769" s="6">
        <v>45775</v>
      </c>
      <c r="B7769" t="s">
        <v>15</v>
      </c>
      <c r="C7769" t="s">
        <v>16</v>
      </c>
      <c r="D7769" s="1">
        <v>45855</v>
      </c>
      <c r="E7769" t="s">
        <v>19</v>
      </c>
      <c r="F7769">
        <v>5500</v>
      </c>
      <c r="J7769">
        <v>485.6</v>
      </c>
      <c r="K7769">
        <v>438.7</v>
      </c>
      <c r="L7769">
        <v>0</v>
      </c>
      <c r="M7769" t="s">
        <v>18</v>
      </c>
      <c r="N7769">
        <v>0</v>
      </c>
      <c r="O7769">
        <v>0</v>
      </c>
    </row>
    <row r="7770" spans="1:15" x14ac:dyDescent="0.2">
      <c r="A7770" s="6">
        <v>45775</v>
      </c>
      <c r="B7770" t="s">
        <v>15</v>
      </c>
      <c r="C7770" t="s">
        <v>16</v>
      </c>
      <c r="D7770" s="1">
        <v>45855</v>
      </c>
      <c r="E7770" t="s">
        <v>17</v>
      </c>
      <c r="F7770">
        <v>4700</v>
      </c>
      <c r="J7770">
        <v>636.9</v>
      </c>
      <c r="K7770">
        <v>718.9</v>
      </c>
      <c r="L7770">
        <v>0</v>
      </c>
      <c r="M7770" t="s">
        <v>18</v>
      </c>
      <c r="N7770">
        <v>0</v>
      </c>
      <c r="O7770">
        <v>0</v>
      </c>
    </row>
    <row r="7771" spans="1:15" x14ac:dyDescent="0.2">
      <c r="A7771" s="6">
        <v>45775</v>
      </c>
      <c r="B7771" t="s">
        <v>15</v>
      </c>
      <c r="C7771" t="s">
        <v>16</v>
      </c>
      <c r="D7771" s="1">
        <v>45855</v>
      </c>
      <c r="E7771" t="s">
        <v>19</v>
      </c>
      <c r="F7771">
        <v>6100</v>
      </c>
      <c r="J7771">
        <v>937.3</v>
      </c>
      <c r="K7771">
        <v>866.2</v>
      </c>
      <c r="L7771">
        <v>0</v>
      </c>
      <c r="M7771" t="s">
        <v>18</v>
      </c>
      <c r="N7771">
        <v>0</v>
      </c>
      <c r="O7771">
        <v>0</v>
      </c>
    </row>
    <row r="7772" spans="1:15" x14ac:dyDescent="0.2">
      <c r="A7772" s="6">
        <v>45775</v>
      </c>
      <c r="B7772" t="s">
        <v>15</v>
      </c>
      <c r="C7772" t="s">
        <v>16</v>
      </c>
      <c r="D7772" s="1">
        <v>45855</v>
      </c>
      <c r="E7772" t="s">
        <v>17</v>
      </c>
      <c r="F7772">
        <v>6000</v>
      </c>
      <c r="J7772">
        <v>93.2</v>
      </c>
      <c r="K7772">
        <v>122.7</v>
      </c>
      <c r="L7772">
        <v>0</v>
      </c>
      <c r="M7772" t="s">
        <v>18</v>
      </c>
      <c r="N7772">
        <v>0</v>
      </c>
      <c r="O7772">
        <v>0</v>
      </c>
    </row>
    <row r="7773" spans="1:15" x14ac:dyDescent="0.2">
      <c r="A7773" s="6">
        <v>45775</v>
      </c>
      <c r="B7773" t="s">
        <v>15</v>
      </c>
      <c r="C7773" t="s">
        <v>16</v>
      </c>
      <c r="D7773" s="1">
        <v>45855</v>
      </c>
      <c r="E7773" t="s">
        <v>19</v>
      </c>
      <c r="F7773">
        <v>5750</v>
      </c>
      <c r="J7773">
        <v>659.3</v>
      </c>
      <c r="K7773">
        <v>601.6</v>
      </c>
      <c r="L7773">
        <v>0</v>
      </c>
      <c r="M7773" t="s">
        <v>18</v>
      </c>
      <c r="N7773">
        <v>0</v>
      </c>
      <c r="O7773">
        <v>0</v>
      </c>
    </row>
    <row r="7774" spans="1:15" x14ac:dyDescent="0.2">
      <c r="A7774" s="6">
        <v>45772</v>
      </c>
      <c r="B7774" t="s">
        <v>15</v>
      </c>
      <c r="C7774" t="s">
        <v>16</v>
      </c>
      <c r="D7774" s="1">
        <v>45855</v>
      </c>
      <c r="E7774" t="s">
        <v>17</v>
      </c>
      <c r="F7774">
        <v>4650</v>
      </c>
      <c r="J7774">
        <v>756.5</v>
      </c>
      <c r="K7774">
        <v>744</v>
      </c>
      <c r="L7774">
        <v>0</v>
      </c>
      <c r="M7774" t="s">
        <v>18</v>
      </c>
      <c r="N7774">
        <v>0</v>
      </c>
      <c r="O7774">
        <v>0</v>
      </c>
    </row>
    <row r="7775" spans="1:15" x14ac:dyDescent="0.2">
      <c r="A7775" s="6">
        <v>45772</v>
      </c>
      <c r="B7775" t="s">
        <v>15</v>
      </c>
      <c r="C7775" t="s">
        <v>16</v>
      </c>
      <c r="D7775" s="1">
        <v>45855</v>
      </c>
      <c r="E7775" t="s">
        <v>19</v>
      </c>
      <c r="F7775">
        <v>5100</v>
      </c>
      <c r="J7775">
        <v>233.9</v>
      </c>
      <c r="K7775">
        <v>255.2</v>
      </c>
      <c r="L7775">
        <v>0</v>
      </c>
      <c r="M7775" t="s">
        <v>18</v>
      </c>
      <c r="N7775">
        <v>0</v>
      </c>
      <c r="O7775">
        <v>0</v>
      </c>
    </row>
    <row r="7776" spans="1:15" x14ac:dyDescent="0.2">
      <c r="A7776" s="6">
        <v>45772</v>
      </c>
      <c r="B7776" t="s">
        <v>15</v>
      </c>
      <c r="C7776" t="s">
        <v>16</v>
      </c>
      <c r="D7776" s="1">
        <v>45855</v>
      </c>
      <c r="E7776" t="s">
        <v>17</v>
      </c>
      <c r="F7776">
        <v>5250</v>
      </c>
      <c r="J7776">
        <v>377.1</v>
      </c>
      <c r="K7776">
        <v>375</v>
      </c>
      <c r="L7776">
        <v>0</v>
      </c>
      <c r="M7776" t="s">
        <v>18</v>
      </c>
      <c r="N7776">
        <v>0</v>
      </c>
      <c r="O7776">
        <v>0</v>
      </c>
    </row>
    <row r="7777" spans="1:15" x14ac:dyDescent="0.2">
      <c r="A7777" s="6">
        <v>45772</v>
      </c>
      <c r="B7777" t="s">
        <v>15</v>
      </c>
      <c r="C7777" t="s">
        <v>16</v>
      </c>
      <c r="D7777" s="1">
        <v>45855</v>
      </c>
      <c r="E7777" t="s">
        <v>17</v>
      </c>
      <c r="F7777">
        <v>4200</v>
      </c>
      <c r="J7777">
        <v>1133.9000000000001</v>
      </c>
      <c r="K7777">
        <v>1113.9000000000001</v>
      </c>
      <c r="L7777">
        <v>0</v>
      </c>
      <c r="M7777" t="s">
        <v>18</v>
      </c>
      <c r="N7777">
        <v>0</v>
      </c>
      <c r="O7777">
        <v>0</v>
      </c>
    </row>
    <row r="7778" spans="1:15" x14ac:dyDescent="0.2">
      <c r="A7778" s="6">
        <v>45772</v>
      </c>
      <c r="B7778" t="s">
        <v>15</v>
      </c>
      <c r="C7778" t="s">
        <v>16</v>
      </c>
      <c r="D7778" s="1">
        <v>45855</v>
      </c>
      <c r="E7778" t="s">
        <v>19</v>
      </c>
      <c r="F7778">
        <v>6050</v>
      </c>
      <c r="J7778">
        <v>826.2</v>
      </c>
      <c r="K7778">
        <v>855.2</v>
      </c>
      <c r="L7778">
        <v>0</v>
      </c>
      <c r="M7778" t="s">
        <v>18</v>
      </c>
      <c r="N7778">
        <v>0</v>
      </c>
      <c r="O7778">
        <v>0</v>
      </c>
    </row>
    <row r="7779" spans="1:15" x14ac:dyDescent="0.2">
      <c r="A7779" s="6">
        <v>45772</v>
      </c>
      <c r="B7779" t="s">
        <v>15</v>
      </c>
      <c r="C7779" t="s">
        <v>16</v>
      </c>
      <c r="D7779" s="1">
        <v>45855</v>
      </c>
      <c r="E7779" t="s">
        <v>19</v>
      </c>
      <c r="F7779">
        <v>6650</v>
      </c>
      <c r="J7779">
        <v>1342.5</v>
      </c>
      <c r="K7779">
        <v>1370.9</v>
      </c>
      <c r="L7779">
        <v>0</v>
      </c>
      <c r="M7779" t="s">
        <v>18</v>
      </c>
      <c r="N7779">
        <v>0</v>
      </c>
      <c r="O7779">
        <v>0</v>
      </c>
    </row>
    <row r="7780" spans="1:15" x14ac:dyDescent="0.2">
      <c r="A7780" s="6">
        <v>45772</v>
      </c>
      <c r="B7780" t="s">
        <v>15</v>
      </c>
      <c r="C7780" t="s">
        <v>16</v>
      </c>
      <c r="D7780" s="1">
        <v>45855</v>
      </c>
      <c r="E7780" t="s">
        <v>17</v>
      </c>
      <c r="F7780">
        <v>5100</v>
      </c>
      <c r="J7780">
        <v>456.6</v>
      </c>
      <c r="K7780">
        <v>452.2</v>
      </c>
      <c r="L7780">
        <v>0</v>
      </c>
      <c r="M7780" t="s">
        <v>18</v>
      </c>
      <c r="N7780">
        <v>0</v>
      </c>
      <c r="O7780">
        <v>0</v>
      </c>
    </row>
    <row r="7781" spans="1:15" x14ac:dyDescent="0.2">
      <c r="A7781" s="6">
        <v>45772</v>
      </c>
      <c r="B7781" t="s">
        <v>15</v>
      </c>
      <c r="C7781" t="s">
        <v>16</v>
      </c>
      <c r="D7781" s="1">
        <v>45855</v>
      </c>
      <c r="E7781" t="s">
        <v>17</v>
      </c>
      <c r="F7781">
        <v>5700</v>
      </c>
      <c r="J7781">
        <v>198.5</v>
      </c>
      <c r="K7781">
        <v>200.9</v>
      </c>
      <c r="L7781">
        <v>0</v>
      </c>
      <c r="M7781" t="s">
        <v>18</v>
      </c>
      <c r="N7781">
        <v>0</v>
      </c>
      <c r="O7781">
        <v>0</v>
      </c>
    </row>
    <row r="7782" spans="1:15" x14ac:dyDescent="0.2">
      <c r="A7782" s="6">
        <v>45772</v>
      </c>
      <c r="B7782" t="s">
        <v>15</v>
      </c>
      <c r="C7782" t="s">
        <v>16</v>
      </c>
      <c r="D7782" s="1">
        <v>45855</v>
      </c>
      <c r="E7782" t="s">
        <v>19</v>
      </c>
      <c r="F7782">
        <v>4200</v>
      </c>
      <c r="J7782">
        <v>24.4</v>
      </c>
      <c r="K7782">
        <v>30.2</v>
      </c>
      <c r="L7782">
        <v>0</v>
      </c>
      <c r="M7782" t="s">
        <v>18</v>
      </c>
      <c r="N7782">
        <v>0</v>
      </c>
      <c r="O7782">
        <v>0</v>
      </c>
    </row>
    <row r="7783" spans="1:15" x14ac:dyDescent="0.2">
      <c r="A7783" s="6">
        <v>45772</v>
      </c>
      <c r="B7783" t="s">
        <v>15</v>
      </c>
      <c r="C7783" t="s">
        <v>16</v>
      </c>
      <c r="D7783" s="1">
        <v>45855</v>
      </c>
      <c r="E7783" t="s">
        <v>17</v>
      </c>
      <c r="F7783">
        <v>4900</v>
      </c>
      <c r="J7783">
        <v>578.79999999999995</v>
      </c>
      <c r="K7783">
        <v>571</v>
      </c>
      <c r="L7783">
        <v>0</v>
      </c>
      <c r="M7783" t="s">
        <v>18</v>
      </c>
      <c r="N7783">
        <v>0</v>
      </c>
      <c r="O7783">
        <v>0</v>
      </c>
    </row>
    <row r="7784" spans="1:15" x14ac:dyDescent="0.2">
      <c r="A7784" s="6">
        <v>45772</v>
      </c>
      <c r="B7784" t="s">
        <v>15</v>
      </c>
      <c r="C7784" t="s">
        <v>16</v>
      </c>
      <c r="D7784" s="1">
        <v>45855</v>
      </c>
      <c r="E7784" t="s">
        <v>17</v>
      </c>
      <c r="F7784">
        <v>4800</v>
      </c>
      <c r="J7784">
        <v>646.70000000000005</v>
      </c>
      <c r="K7784">
        <v>637</v>
      </c>
      <c r="L7784">
        <v>0</v>
      </c>
      <c r="M7784" t="s">
        <v>18</v>
      </c>
      <c r="N7784">
        <v>0</v>
      </c>
      <c r="O7784">
        <v>0</v>
      </c>
    </row>
    <row r="7785" spans="1:15" x14ac:dyDescent="0.2">
      <c r="A7785" s="6">
        <v>45772</v>
      </c>
      <c r="B7785" t="s">
        <v>15</v>
      </c>
      <c r="C7785" t="s">
        <v>16</v>
      </c>
      <c r="D7785" s="1">
        <v>45855</v>
      </c>
      <c r="E7785" t="s">
        <v>17</v>
      </c>
      <c r="F7785">
        <v>4950</v>
      </c>
      <c r="J7785">
        <v>546.5</v>
      </c>
      <c r="K7785">
        <v>539.6</v>
      </c>
      <c r="L7785">
        <v>0</v>
      </c>
      <c r="M7785" t="s">
        <v>18</v>
      </c>
      <c r="N7785">
        <v>0</v>
      </c>
      <c r="O7785">
        <v>0</v>
      </c>
    </row>
    <row r="7786" spans="1:15" x14ac:dyDescent="0.2">
      <c r="A7786" s="6">
        <v>45772</v>
      </c>
      <c r="B7786" t="s">
        <v>15</v>
      </c>
      <c r="C7786" t="s">
        <v>16</v>
      </c>
      <c r="D7786" s="1">
        <v>45855</v>
      </c>
      <c r="E7786" t="s">
        <v>17</v>
      </c>
      <c r="F7786">
        <v>5300</v>
      </c>
      <c r="J7786">
        <v>352.9</v>
      </c>
      <c r="K7786">
        <v>351.5</v>
      </c>
      <c r="L7786">
        <v>0</v>
      </c>
      <c r="M7786" t="s">
        <v>18</v>
      </c>
      <c r="N7786">
        <v>0</v>
      </c>
      <c r="O7786">
        <v>0</v>
      </c>
    </row>
    <row r="7787" spans="1:15" x14ac:dyDescent="0.2">
      <c r="A7787" s="6">
        <v>45772</v>
      </c>
      <c r="B7787" t="s">
        <v>15</v>
      </c>
      <c r="C7787" t="s">
        <v>16</v>
      </c>
      <c r="D7787" s="1">
        <v>45855</v>
      </c>
      <c r="E7787" t="s">
        <v>19</v>
      </c>
      <c r="F7787">
        <v>4900</v>
      </c>
      <c r="J7787">
        <v>159</v>
      </c>
      <c r="K7787">
        <v>176.9</v>
      </c>
      <c r="L7787">
        <v>0</v>
      </c>
      <c r="M7787" t="s">
        <v>18</v>
      </c>
      <c r="N7787">
        <v>0</v>
      </c>
      <c r="O7787">
        <v>0</v>
      </c>
    </row>
    <row r="7788" spans="1:15" x14ac:dyDescent="0.2">
      <c r="A7788" s="6">
        <v>45772</v>
      </c>
      <c r="B7788" t="s">
        <v>15</v>
      </c>
      <c r="C7788" t="s">
        <v>16</v>
      </c>
      <c r="D7788" s="1">
        <v>45855</v>
      </c>
      <c r="E7788" t="s">
        <v>19</v>
      </c>
      <c r="F7788">
        <v>5250</v>
      </c>
      <c r="J7788">
        <v>302.2</v>
      </c>
      <c r="K7788">
        <v>325.7</v>
      </c>
      <c r="L7788">
        <v>0</v>
      </c>
      <c r="M7788" t="s">
        <v>18</v>
      </c>
      <c r="N7788">
        <v>0</v>
      </c>
      <c r="O7788">
        <v>0</v>
      </c>
    </row>
    <row r="7789" spans="1:15" x14ac:dyDescent="0.2">
      <c r="A7789" s="6">
        <v>45772</v>
      </c>
      <c r="B7789" t="s">
        <v>15</v>
      </c>
      <c r="C7789" t="s">
        <v>16</v>
      </c>
      <c r="D7789" s="1">
        <v>45855</v>
      </c>
      <c r="E7789" t="s">
        <v>17</v>
      </c>
      <c r="F7789">
        <v>4450</v>
      </c>
      <c r="J7789">
        <v>916.4</v>
      </c>
      <c r="K7789">
        <v>900.2</v>
      </c>
      <c r="L7789">
        <v>0</v>
      </c>
      <c r="M7789" t="s">
        <v>18</v>
      </c>
      <c r="N7789">
        <v>0</v>
      </c>
      <c r="O7789">
        <v>0</v>
      </c>
    </row>
    <row r="7790" spans="1:15" x14ac:dyDescent="0.2">
      <c r="A7790" s="6">
        <v>45772</v>
      </c>
      <c r="B7790" t="s">
        <v>15</v>
      </c>
      <c r="C7790" t="s">
        <v>16</v>
      </c>
      <c r="D7790" s="1">
        <v>45855</v>
      </c>
      <c r="E7790" t="s">
        <v>17</v>
      </c>
      <c r="F7790">
        <v>4750</v>
      </c>
      <c r="J7790">
        <v>682.2</v>
      </c>
      <c r="K7790">
        <v>671.6</v>
      </c>
      <c r="L7790">
        <v>0</v>
      </c>
      <c r="M7790" t="s">
        <v>18</v>
      </c>
      <c r="N7790">
        <v>0</v>
      </c>
      <c r="O7790">
        <v>0</v>
      </c>
    </row>
    <row r="7791" spans="1:15" x14ac:dyDescent="0.2">
      <c r="A7791" s="6">
        <v>45772</v>
      </c>
      <c r="B7791" t="s">
        <v>15</v>
      </c>
      <c r="C7791" t="s">
        <v>16</v>
      </c>
      <c r="D7791" s="1">
        <v>45855</v>
      </c>
      <c r="E7791" t="s">
        <v>17</v>
      </c>
      <c r="F7791">
        <v>5200</v>
      </c>
      <c r="J7791">
        <v>402.4</v>
      </c>
      <c r="K7791">
        <v>399.6</v>
      </c>
      <c r="L7791">
        <v>0</v>
      </c>
      <c r="M7791" t="s">
        <v>18</v>
      </c>
      <c r="N7791">
        <v>0</v>
      </c>
      <c r="O7791">
        <v>0</v>
      </c>
    </row>
    <row r="7792" spans="1:15" x14ac:dyDescent="0.2">
      <c r="A7792" s="6">
        <v>45772</v>
      </c>
      <c r="B7792" t="s">
        <v>15</v>
      </c>
      <c r="C7792" t="s">
        <v>16</v>
      </c>
      <c r="D7792" s="1">
        <v>45855</v>
      </c>
      <c r="E7792" t="s">
        <v>19</v>
      </c>
      <c r="F7792">
        <v>6550</v>
      </c>
      <c r="J7792">
        <v>1252</v>
      </c>
      <c r="K7792">
        <v>1280.5999999999999</v>
      </c>
      <c r="L7792">
        <v>0</v>
      </c>
      <c r="M7792" t="s">
        <v>18</v>
      </c>
      <c r="N7792">
        <v>0</v>
      </c>
      <c r="O7792">
        <v>0</v>
      </c>
    </row>
    <row r="7793" spans="1:15" x14ac:dyDescent="0.2">
      <c r="A7793" s="6">
        <v>45772</v>
      </c>
      <c r="B7793" t="s">
        <v>15</v>
      </c>
      <c r="C7793" t="s">
        <v>16</v>
      </c>
      <c r="D7793" s="1">
        <v>45855</v>
      </c>
      <c r="E7793" t="s">
        <v>17</v>
      </c>
      <c r="F7793">
        <v>4400</v>
      </c>
      <c r="J7793">
        <v>958.5</v>
      </c>
      <c r="K7793">
        <v>941.5</v>
      </c>
      <c r="L7793">
        <v>0</v>
      </c>
      <c r="M7793" t="s">
        <v>18</v>
      </c>
      <c r="N7793">
        <v>0</v>
      </c>
      <c r="O7793">
        <v>0</v>
      </c>
    </row>
    <row r="7794" spans="1:15" x14ac:dyDescent="0.2">
      <c r="A7794" s="6">
        <v>45772</v>
      </c>
      <c r="B7794" t="s">
        <v>15</v>
      </c>
      <c r="C7794" t="s">
        <v>16</v>
      </c>
      <c r="D7794" s="1">
        <v>45855</v>
      </c>
      <c r="E7794" t="s">
        <v>17</v>
      </c>
      <c r="F7794">
        <v>5000</v>
      </c>
      <c r="J7794">
        <v>515.4</v>
      </c>
      <c r="K7794">
        <v>509.3</v>
      </c>
      <c r="L7794">
        <v>0</v>
      </c>
      <c r="M7794" t="s">
        <v>18</v>
      </c>
      <c r="N7794">
        <v>0</v>
      </c>
      <c r="O7794">
        <v>0</v>
      </c>
    </row>
    <row r="7795" spans="1:15" x14ac:dyDescent="0.2">
      <c r="A7795" s="6">
        <v>45772</v>
      </c>
      <c r="B7795" t="s">
        <v>15</v>
      </c>
      <c r="C7795" t="s">
        <v>16</v>
      </c>
      <c r="D7795" s="1">
        <v>45855</v>
      </c>
      <c r="E7795" t="s">
        <v>17</v>
      </c>
      <c r="F7795">
        <v>4100</v>
      </c>
      <c r="J7795">
        <v>1225.2</v>
      </c>
      <c r="K7795">
        <v>1203.9000000000001</v>
      </c>
      <c r="L7795">
        <v>0</v>
      </c>
      <c r="M7795" t="s">
        <v>18</v>
      </c>
      <c r="N7795">
        <v>0</v>
      </c>
      <c r="O7795">
        <v>0</v>
      </c>
    </row>
    <row r="7796" spans="1:15" x14ac:dyDescent="0.2">
      <c r="A7796" s="6">
        <v>45772</v>
      </c>
      <c r="B7796" t="s">
        <v>15</v>
      </c>
      <c r="C7796" t="s">
        <v>16</v>
      </c>
      <c r="D7796" s="1">
        <v>45855</v>
      </c>
      <c r="E7796" t="s">
        <v>17</v>
      </c>
      <c r="F7796">
        <v>4350</v>
      </c>
      <c r="J7796">
        <v>1001.3</v>
      </c>
      <c r="K7796">
        <v>983.5</v>
      </c>
      <c r="L7796">
        <v>0</v>
      </c>
      <c r="M7796" t="s">
        <v>18</v>
      </c>
      <c r="N7796">
        <v>0</v>
      </c>
      <c r="O7796">
        <v>0</v>
      </c>
    </row>
    <row r="7797" spans="1:15" x14ac:dyDescent="0.2">
      <c r="A7797" s="6">
        <v>45772</v>
      </c>
      <c r="B7797" t="s">
        <v>15</v>
      </c>
      <c r="C7797" t="s">
        <v>16</v>
      </c>
      <c r="D7797" s="1">
        <v>45855</v>
      </c>
      <c r="E7797" t="s">
        <v>17</v>
      </c>
      <c r="F7797">
        <v>5150</v>
      </c>
      <c r="J7797">
        <v>428.9</v>
      </c>
      <c r="K7797">
        <v>425.4</v>
      </c>
      <c r="L7797">
        <v>0</v>
      </c>
      <c r="M7797" t="s">
        <v>18</v>
      </c>
      <c r="N7797">
        <v>0</v>
      </c>
      <c r="O7797">
        <v>0</v>
      </c>
    </row>
    <row r="7798" spans="1:15" x14ac:dyDescent="0.2">
      <c r="A7798" s="6">
        <v>45772</v>
      </c>
      <c r="B7798" t="s">
        <v>15</v>
      </c>
      <c r="C7798" t="s">
        <v>16</v>
      </c>
      <c r="D7798" s="1">
        <v>45855</v>
      </c>
      <c r="E7798" t="s">
        <v>19</v>
      </c>
      <c r="F7798">
        <v>5200</v>
      </c>
      <c r="J7798">
        <v>278.3</v>
      </c>
      <c r="K7798">
        <v>301.10000000000002</v>
      </c>
      <c r="L7798">
        <v>0</v>
      </c>
      <c r="M7798" t="s">
        <v>18</v>
      </c>
      <c r="N7798">
        <v>0</v>
      </c>
      <c r="O7798">
        <v>0</v>
      </c>
    </row>
    <row r="7799" spans="1:15" x14ac:dyDescent="0.2">
      <c r="A7799" s="6">
        <v>45772</v>
      </c>
      <c r="B7799" t="s">
        <v>15</v>
      </c>
      <c r="C7799" t="s">
        <v>16</v>
      </c>
      <c r="D7799" s="1">
        <v>45855</v>
      </c>
      <c r="E7799" t="s">
        <v>17</v>
      </c>
      <c r="F7799">
        <v>5950</v>
      </c>
      <c r="J7799">
        <v>133.30000000000001</v>
      </c>
      <c r="K7799">
        <v>136.69999999999999</v>
      </c>
      <c r="L7799">
        <v>0</v>
      </c>
      <c r="M7799" t="s">
        <v>18</v>
      </c>
      <c r="N7799">
        <v>0</v>
      </c>
      <c r="O7799">
        <v>0</v>
      </c>
    </row>
    <row r="7800" spans="1:15" x14ac:dyDescent="0.2">
      <c r="A7800" s="6">
        <v>45772</v>
      </c>
      <c r="B7800" t="s">
        <v>15</v>
      </c>
      <c r="C7800" t="s">
        <v>16</v>
      </c>
      <c r="D7800" s="1">
        <v>45855</v>
      </c>
      <c r="E7800" t="s">
        <v>19</v>
      </c>
      <c r="F7800">
        <v>6150</v>
      </c>
      <c r="J7800">
        <v>907</v>
      </c>
      <c r="K7800">
        <v>936</v>
      </c>
      <c r="L7800">
        <v>0</v>
      </c>
      <c r="M7800" t="s">
        <v>18</v>
      </c>
      <c r="N7800">
        <v>0</v>
      </c>
      <c r="O7800">
        <v>0</v>
      </c>
    </row>
    <row r="7801" spans="1:15" x14ac:dyDescent="0.2">
      <c r="A7801" s="6">
        <v>45772</v>
      </c>
      <c r="B7801" t="s">
        <v>15</v>
      </c>
      <c r="C7801" t="s">
        <v>16</v>
      </c>
      <c r="D7801" s="1">
        <v>45855</v>
      </c>
      <c r="E7801" t="s">
        <v>17</v>
      </c>
      <c r="F7801">
        <v>4500</v>
      </c>
      <c r="J7801">
        <v>875.1</v>
      </c>
      <c r="K7801">
        <v>859.8</v>
      </c>
      <c r="L7801">
        <v>0</v>
      </c>
      <c r="M7801" t="s">
        <v>18</v>
      </c>
      <c r="N7801">
        <v>0</v>
      </c>
      <c r="O7801">
        <v>0</v>
      </c>
    </row>
    <row r="7802" spans="1:15" x14ac:dyDescent="0.2">
      <c r="A7802" s="6">
        <v>45772</v>
      </c>
      <c r="B7802" t="s">
        <v>15</v>
      </c>
      <c r="C7802" t="s">
        <v>16</v>
      </c>
      <c r="D7802" s="1">
        <v>45855</v>
      </c>
      <c r="E7802" t="s">
        <v>17</v>
      </c>
      <c r="F7802">
        <v>5750</v>
      </c>
      <c r="J7802">
        <v>183.8</v>
      </c>
      <c r="K7802">
        <v>186.4</v>
      </c>
      <c r="L7802">
        <v>0</v>
      </c>
      <c r="M7802" t="s">
        <v>18</v>
      </c>
      <c r="N7802">
        <v>0</v>
      </c>
      <c r="O7802">
        <v>0</v>
      </c>
    </row>
    <row r="7803" spans="1:15" x14ac:dyDescent="0.2">
      <c r="A7803" s="6">
        <v>45772</v>
      </c>
      <c r="B7803" t="s">
        <v>15</v>
      </c>
      <c r="C7803" t="s">
        <v>16</v>
      </c>
      <c r="D7803" s="1">
        <v>45855</v>
      </c>
      <c r="E7803" t="s">
        <v>19</v>
      </c>
      <c r="F7803">
        <v>6200</v>
      </c>
      <c r="J7803">
        <v>948.3</v>
      </c>
      <c r="K7803">
        <v>977.4</v>
      </c>
      <c r="L7803">
        <v>0</v>
      </c>
      <c r="M7803" t="s">
        <v>18</v>
      </c>
      <c r="N7803">
        <v>0</v>
      </c>
      <c r="O7803">
        <v>0</v>
      </c>
    </row>
    <row r="7804" spans="1:15" x14ac:dyDescent="0.2">
      <c r="A7804" s="6">
        <v>45772</v>
      </c>
      <c r="B7804" t="s">
        <v>15</v>
      </c>
      <c r="C7804" t="s">
        <v>16</v>
      </c>
      <c r="D7804" s="1">
        <v>45855</v>
      </c>
      <c r="E7804" t="s">
        <v>19</v>
      </c>
      <c r="F7804">
        <v>4950</v>
      </c>
      <c r="J7804">
        <v>176</v>
      </c>
      <c r="K7804">
        <v>194.8</v>
      </c>
      <c r="L7804">
        <v>0</v>
      </c>
      <c r="M7804" t="s">
        <v>18</v>
      </c>
      <c r="N7804">
        <v>0</v>
      </c>
      <c r="O7804">
        <v>0</v>
      </c>
    </row>
    <row r="7805" spans="1:15" x14ac:dyDescent="0.2">
      <c r="A7805" s="6">
        <v>45772</v>
      </c>
      <c r="B7805" t="s">
        <v>15</v>
      </c>
      <c r="C7805" t="s">
        <v>16</v>
      </c>
      <c r="D7805" s="1">
        <v>45855</v>
      </c>
      <c r="E7805" t="s">
        <v>19</v>
      </c>
      <c r="F7805">
        <v>4250</v>
      </c>
      <c r="J7805">
        <v>28.9</v>
      </c>
      <c r="K7805">
        <v>35.299999999999997</v>
      </c>
      <c r="L7805">
        <v>0</v>
      </c>
      <c r="M7805" t="s">
        <v>18</v>
      </c>
      <c r="N7805">
        <v>0</v>
      </c>
      <c r="O7805">
        <v>0</v>
      </c>
    </row>
    <row r="7806" spans="1:15" x14ac:dyDescent="0.2">
      <c r="A7806" s="6">
        <v>45772</v>
      </c>
      <c r="B7806" t="s">
        <v>15</v>
      </c>
      <c r="C7806" t="s">
        <v>16</v>
      </c>
      <c r="D7806" s="1">
        <v>45855</v>
      </c>
      <c r="E7806" t="s">
        <v>17</v>
      </c>
      <c r="F7806">
        <v>5600</v>
      </c>
      <c r="J7806">
        <v>230.9</v>
      </c>
      <c r="K7806">
        <v>232.6</v>
      </c>
      <c r="L7806">
        <v>0</v>
      </c>
      <c r="M7806" t="s">
        <v>18</v>
      </c>
      <c r="N7806">
        <v>0</v>
      </c>
      <c r="O7806">
        <v>0</v>
      </c>
    </row>
    <row r="7807" spans="1:15" x14ac:dyDescent="0.2">
      <c r="A7807" s="6">
        <v>45772</v>
      </c>
      <c r="B7807" t="s">
        <v>15</v>
      </c>
      <c r="C7807" t="s">
        <v>16</v>
      </c>
      <c r="D7807" s="1">
        <v>45855</v>
      </c>
      <c r="E7807" t="s">
        <v>19</v>
      </c>
      <c r="F7807">
        <v>4600</v>
      </c>
      <c r="J7807">
        <v>79.7</v>
      </c>
      <c r="K7807">
        <v>92</v>
      </c>
      <c r="L7807">
        <v>0</v>
      </c>
      <c r="M7807" t="s">
        <v>18</v>
      </c>
      <c r="N7807">
        <v>0</v>
      </c>
      <c r="O7807">
        <v>0</v>
      </c>
    </row>
    <row r="7808" spans="1:15" x14ac:dyDescent="0.2">
      <c r="A7808" s="6">
        <v>45772</v>
      </c>
      <c r="B7808" t="s">
        <v>15</v>
      </c>
      <c r="C7808" t="s">
        <v>16</v>
      </c>
      <c r="D7808" s="1">
        <v>45855</v>
      </c>
      <c r="E7808" t="s">
        <v>19</v>
      </c>
      <c r="F7808">
        <v>5050</v>
      </c>
      <c r="J7808">
        <v>213.4</v>
      </c>
      <c r="K7808">
        <v>233.9</v>
      </c>
      <c r="L7808">
        <v>0</v>
      </c>
      <c r="M7808" t="s">
        <v>18</v>
      </c>
      <c r="N7808">
        <v>0</v>
      </c>
      <c r="O7808">
        <v>0</v>
      </c>
    </row>
    <row r="7809" spans="1:15" x14ac:dyDescent="0.2">
      <c r="A7809" s="6">
        <v>45772</v>
      </c>
      <c r="B7809" t="s">
        <v>15</v>
      </c>
      <c r="C7809" t="s">
        <v>16</v>
      </c>
      <c r="D7809" s="1">
        <v>45855</v>
      </c>
      <c r="E7809" t="s">
        <v>19</v>
      </c>
      <c r="F7809">
        <v>5900</v>
      </c>
      <c r="J7809">
        <v>710.3</v>
      </c>
      <c r="K7809">
        <v>739.1</v>
      </c>
      <c r="L7809">
        <v>0</v>
      </c>
      <c r="M7809" t="s">
        <v>18</v>
      </c>
      <c r="N7809">
        <v>0</v>
      </c>
      <c r="O7809">
        <v>0</v>
      </c>
    </row>
    <row r="7810" spans="1:15" x14ac:dyDescent="0.2">
      <c r="A7810" s="6">
        <v>45772</v>
      </c>
      <c r="B7810" t="s">
        <v>15</v>
      </c>
      <c r="C7810" t="s">
        <v>16</v>
      </c>
      <c r="D7810" s="1">
        <v>45855</v>
      </c>
      <c r="E7810" t="s">
        <v>19</v>
      </c>
      <c r="F7810">
        <v>4450</v>
      </c>
      <c r="J7810">
        <v>53.2</v>
      </c>
      <c r="K7810">
        <v>62.9</v>
      </c>
      <c r="L7810">
        <v>0</v>
      </c>
      <c r="M7810" t="s">
        <v>18</v>
      </c>
      <c r="N7810">
        <v>0</v>
      </c>
      <c r="O7810">
        <v>0</v>
      </c>
    </row>
    <row r="7811" spans="1:15" x14ac:dyDescent="0.2">
      <c r="A7811" s="6">
        <v>45772</v>
      </c>
      <c r="B7811" t="s">
        <v>15</v>
      </c>
      <c r="C7811" t="s">
        <v>16</v>
      </c>
      <c r="D7811" s="1">
        <v>45855</v>
      </c>
      <c r="E7811" t="s">
        <v>19</v>
      </c>
      <c r="F7811">
        <v>5300</v>
      </c>
      <c r="J7811">
        <v>327.3</v>
      </c>
      <c r="K7811">
        <v>351.5</v>
      </c>
      <c r="L7811">
        <v>0</v>
      </c>
      <c r="M7811" t="s">
        <v>18</v>
      </c>
      <c r="N7811">
        <v>0</v>
      </c>
      <c r="O7811">
        <v>0</v>
      </c>
    </row>
    <row r="7812" spans="1:15" x14ac:dyDescent="0.2">
      <c r="A7812" s="6">
        <v>45772</v>
      </c>
      <c r="B7812" t="s">
        <v>15</v>
      </c>
      <c r="C7812" t="s">
        <v>16</v>
      </c>
      <c r="D7812" s="1">
        <v>45855</v>
      </c>
      <c r="E7812" t="s">
        <v>19</v>
      </c>
      <c r="F7812">
        <v>6400</v>
      </c>
      <c r="J7812">
        <v>1119</v>
      </c>
      <c r="K7812">
        <v>1147.9000000000001</v>
      </c>
      <c r="L7812">
        <v>0</v>
      </c>
      <c r="M7812" t="s">
        <v>18</v>
      </c>
      <c r="N7812">
        <v>0</v>
      </c>
      <c r="O7812">
        <v>0</v>
      </c>
    </row>
    <row r="7813" spans="1:15" x14ac:dyDescent="0.2">
      <c r="A7813" s="6">
        <v>45772</v>
      </c>
      <c r="B7813" t="s">
        <v>15</v>
      </c>
      <c r="C7813" t="s">
        <v>16</v>
      </c>
      <c r="D7813" s="1">
        <v>45855</v>
      </c>
      <c r="E7813" t="s">
        <v>19</v>
      </c>
      <c r="F7813">
        <v>5400</v>
      </c>
      <c r="J7813">
        <v>380.8</v>
      </c>
      <c r="K7813">
        <v>406.2</v>
      </c>
      <c r="L7813">
        <v>0</v>
      </c>
      <c r="M7813" t="s">
        <v>18</v>
      </c>
      <c r="N7813">
        <v>0</v>
      </c>
      <c r="O7813">
        <v>0</v>
      </c>
    </row>
    <row r="7814" spans="1:15" x14ac:dyDescent="0.2">
      <c r="A7814" s="6">
        <v>45772</v>
      </c>
      <c r="B7814" t="s">
        <v>15</v>
      </c>
      <c r="C7814" t="s">
        <v>16</v>
      </c>
      <c r="D7814" s="1">
        <v>45855</v>
      </c>
      <c r="E7814" t="s">
        <v>17</v>
      </c>
      <c r="F7814">
        <v>6550</v>
      </c>
      <c r="J7814">
        <v>45.9</v>
      </c>
      <c r="K7814">
        <v>49.1</v>
      </c>
      <c r="L7814">
        <v>0</v>
      </c>
      <c r="M7814" t="s">
        <v>18</v>
      </c>
      <c r="N7814">
        <v>0</v>
      </c>
      <c r="O7814">
        <v>0</v>
      </c>
    </row>
    <row r="7815" spans="1:15" x14ac:dyDescent="0.2">
      <c r="A7815" s="6">
        <v>45772</v>
      </c>
      <c r="B7815" t="s">
        <v>15</v>
      </c>
      <c r="C7815" t="s">
        <v>16</v>
      </c>
      <c r="D7815" s="1">
        <v>45855</v>
      </c>
      <c r="E7815" t="s">
        <v>19</v>
      </c>
      <c r="F7815">
        <v>5700</v>
      </c>
      <c r="J7815">
        <v>567.1</v>
      </c>
      <c r="K7815">
        <v>595</v>
      </c>
      <c r="L7815">
        <v>0</v>
      </c>
      <c r="M7815" t="s">
        <v>18</v>
      </c>
      <c r="N7815">
        <v>0</v>
      </c>
      <c r="O7815">
        <v>0</v>
      </c>
    </row>
    <row r="7816" spans="1:15" x14ac:dyDescent="0.2">
      <c r="A7816" s="6">
        <v>45772</v>
      </c>
      <c r="B7816" t="s">
        <v>15</v>
      </c>
      <c r="C7816" t="s">
        <v>16</v>
      </c>
      <c r="D7816" s="1">
        <v>45855</v>
      </c>
      <c r="E7816" t="s">
        <v>17</v>
      </c>
      <c r="F7816">
        <v>6650</v>
      </c>
      <c r="J7816">
        <v>37.9</v>
      </c>
      <c r="K7816">
        <v>40.9</v>
      </c>
      <c r="L7816">
        <v>0</v>
      </c>
      <c r="M7816" t="s">
        <v>18</v>
      </c>
      <c r="N7816">
        <v>0</v>
      </c>
      <c r="O7816">
        <v>0</v>
      </c>
    </row>
    <row r="7817" spans="1:15" x14ac:dyDescent="0.2">
      <c r="A7817" s="6">
        <v>45772</v>
      </c>
      <c r="B7817" t="s">
        <v>15</v>
      </c>
      <c r="C7817" t="s">
        <v>16</v>
      </c>
      <c r="D7817" s="1">
        <v>45855</v>
      </c>
      <c r="E7817" t="s">
        <v>19</v>
      </c>
      <c r="F7817">
        <v>5450</v>
      </c>
      <c r="J7817">
        <v>409.2</v>
      </c>
      <c r="K7817">
        <v>435.2</v>
      </c>
      <c r="L7817">
        <v>0</v>
      </c>
      <c r="M7817" t="s">
        <v>18</v>
      </c>
      <c r="N7817">
        <v>0</v>
      </c>
      <c r="O7817">
        <v>0</v>
      </c>
    </row>
    <row r="7818" spans="1:15" x14ac:dyDescent="0.2">
      <c r="A7818" s="6">
        <v>45772</v>
      </c>
      <c r="B7818" t="s">
        <v>15</v>
      </c>
      <c r="C7818" t="s">
        <v>16</v>
      </c>
      <c r="D7818" s="1">
        <v>45855</v>
      </c>
      <c r="E7818" t="s">
        <v>17</v>
      </c>
      <c r="F7818">
        <v>6050</v>
      </c>
      <c r="J7818">
        <v>112.8</v>
      </c>
      <c r="K7818">
        <v>116.4</v>
      </c>
      <c r="L7818">
        <v>0</v>
      </c>
      <c r="M7818" t="s">
        <v>18</v>
      </c>
      <c r="N7818">
        <v>0</v>
      </c>
      <c r="O7818">
        <v>0</v>
      </c>
    </row>
    <row r="7819" spans="1:15" x14ac:dyDescent="0.2">
      <c r="A7819" s="6">
        <v>45772</v>
      </c>
      <c r="B7819" t="s">
        <v>15</v>
      </c>
      <c r="C7819" t="s">
        <v>16</v>
      </c>
      <c r="D7819" s="1">
        <v>45855</v>
      </c>
      <c r="E7819" t="s">
        <v>19</v>
      </c>
      <c r="F7819">
        <v>4550</v>
      </c>
      <c r="J7819">
        <v>70</v>
      </c>
      <c r="K7819">
        <v>81.400000000000006</v>
      </c>
      <c r="L7819">
        <v>0</v>
      </c>
      <c r="M7819" t="s">
        <v>18</v>
      </c>
      <c r="N7819">
        <v>0</v>
      </c>
      <c r="O7819">
        <v>0</v>
      </c>
    </row>
    <row r="7820" spans="1:15" x14ac:dyDescent="0.2">
      <c r="A7820" s="6">
        <v>45772</v>
      </c>
      <c r="B7820" t="s">
        <v>15</v>
      </c>
      <c r="C7820" t="s">
        <v>16</v>
      </c>
      <c r="D7820" s="1">
        <v>45855</v>
      </c>
      <c r="E7820" t="s">
        <v>19</v>
      </c>
      <c r="F7820">
        <v>4700</v>
      </c>
      <c r="J7820">
        <v>102</v>
      </c>
      <c r="K7820">
        <v>116.2</v>
      </c>
      <c r="L7820">
        <v>0</v>
      </c>
      <c r="M7820" t="s">
        <v>18</v>
      </c>
      <c r="N7820">
        <v>0</v>
      </c>
      <c r="O7820">
        <v>0</v>
      </c>
    </row>
    <row r="7821" spans="1:15" x14ac:dyDescent="0.2">
      <c r="A7821" s="6">
        <v>45772</v>
      </c>
      <c r="B7821" t="s">
        <v>15</v>
      </c>
      <c r="C7821" t="s">
        <v>16</v>
      </c>
      <c r="D7821" s="1">
        <v>45855</v>
      </c>
      <c r="E7821" t="s">
        <v>17</v>
      </c>
      <c r="F7821">
        <v>4250</v>
      </c>
      <c r="J7821">
        <v>1089.0999999999999</v>
      </c>
      <c r="K7821">
        <v>1069.8</v>
      </c>
      <c r="L7821">
        <v>0</v>
      </c>
      <c r="M7821" t="s">
        <v>18</v>
      </c>
      <c r="N7821">
        <v>0</v>
      </c>
      <c r="O7821">
        <v>0</v>
      </c>
    </row>
    <row r="7822" spans="1:15" x14ac:dyDescent="0.2">
      <c r="A7822" s="6">
        <v>45772</v>
      </c>
      <c r="B7822" t="s">
        <v>15</v>
      </c>
      <c r="C7822" t="s">
        <v>16</v>
      </c>
      <c r="D7822" s="1">
        <v>45855</v>
      </c>
      <c r="E7822" t="s">
        <v>17</v>
      </c>
      <c r="F7822">
        <v>4150</v>
      </c>
      <c r="J7822">
        <v>1179.3</v>
      </c>
      <c r="K7822">
        <v>1158.5999999999999</v>
      </c>
      <c r="L7822">
        <v>0</v>
      </c>
      <c r="M7822" t="s">
        <v>18</v>
      </c>
      <c r="N7822">
        <v>0</v>
      </c>
      <c r="O7822">
        <v>0</v>
      </c>
    </row>
    <row r="7823" spans="1:15" x14ac:dyDescent="0.2">
      <c r="A7823" s="6">
        <v>45772</v>
      </c>
      <c r="B7823" t="s">
        <v>15</v>
      </c>
      <c r="C7823" t="s">
        <v>16</v>
      </c>
      <c r="D7823" s="1">
        <v>45855</v>
      </c>
      <c r="E7823" t="s">
        <v>17</v>
      </c>
      <c r="F7823">
        <v>5900</v>
      </c>
      <c r="J7823">
        <v>144.69999999999999</v>
      </c>
      <c r="K7823">
        <v>148</v>
      </c>
      <c r="L7823">
        <v>0</v>
      </c>
      <c r="M7823" t="s">
        <v>18</v>
      </c>
      <c r="N7823">
        <v>0</v>
      </c>
      <c r="O7823">
        <v>0</v>
      </c>
    </row>
    <row r="7824" spans="1:15" x14ac:dyDescent="0.2">
      <c r="A7824" s="6">
        <v>45772</v>
      </c>
      <c r="B7824" t="s">
        <v>15</v>
      </c>
      <c r="C7824" t="s">
        <v>16</v>
      </c>
      <c r="D7824" s="1">
        <v>45855</v>
      </c>
      <c r="E7824" t="s">
        <v>19</v>
      </c>
      <c r="F7824">
        <v>6250</v>
      </c>
      <c r="J7824">
        <v>990.2</v>
      </c>
      <c r="K7824">
        <v>1019.2</v>
      </c>
      <c r="L7824">
        <v>0</v>
      </c>
      <c r="M7824" t="s">
        <v>18</v>
      </c>
      <c r="N7824">
        <v>0</v>
      </c>
      <c r="O7824">
        <v>0</v>
      </c>
    </row>
    <row r="7825" spans="1:15" x14ac:dyDescent="0.2">
      <c r="A7825" s="6">
        <v>45772</v>
      </c>
      <c r="B7825" t="s">
        <v>15</v>
      </c>
      <c r="C7825" t="s">
        <v>16</v>
      </c>
      <c r="D7825" s="1">
        <v>45855</v>
      </c>
      <c r="E7825" t="s">
        <v>17</v>
      </c>
      <c r="F7825">
        <v>5500</v>
      </c>
      <c r="J7825">
        <v>267.3</v>
      </c>
      <c r="K7825">
        <v>268.10000000000002</v>
      </c>
      <c r="L7825">
        <v>0</v>
      </c>
      <c r="M7825" t="s">
        <v>18</v>
      </c>
      <c r="N7825">
        <v>0</v>
      </c>
      <c r="O7825">
        <v>0</v>
      </c>
    </row>
    <row r="7826" spans="1:15" x14ac:dyDescent="0.2">
      <c r="A7826" s="6">
        <v>45772</v>
      </c>
      <c r="B7826" t="s">
        <v>15</v>
      </c>
      <c r="C7826" t="s">
        <v>16</v>
      </c>
      <c r="D7826" s="1">
        <v>45855</v>
      </c>
      <c r="E7826" t="s">
        <v>17</v>
      </c>
      <c r="F7826">
        <v>6250</v>
      </c>
      <c r="J7826">
        <v>79.7</v>
      </c>
      <c r="K7826">
        <v>83.3</v>
      </c>
      <c r="L7826">
        <v>0</v>
      </c>
      <c r="M7826" t="s">
        <v>18</v>
      </c>
      <c r="N7826">
        <v>0</v>
      </c>
      <c r="O7826">
        <v>0</v>
      </c>
    </row>
    <row r="7827" spans="1:15" x14ac:dyDescent="0.2">
      <c r="A7827" s="6">
        <v>45772</v>
      </c>
      <c r="B7827" t="s">
        <v>15</v>
      </c>
      <c r="C7827" t="s">
        <v>16</v>
      </c>
      <c r="D7827" s="1">
        <v>45855</v>
      </c>
      <c r="E7827" t="s">
        <v>19</v>
      </c>
      <c r="F7827">
        <v>5150</v>
      </c>
      <c r="J7827">
        <v>255.5</v>
      </c>
      <c r="K7827">
        <v>277.60000000000002</v>
      </c>
      <c r="L7827">
        <v>0</v>
      </c>
      <c r="M7827" t="s">
        <v>18</v>
      </c>
      <c r="N7827">
        <v>0</v>
      </c>
      <c r="O7827">
        <v>0</v>
      </c>
    </row>
    <row r="7828" spans="1:15" x14ac:dyDescent="0.2">
      <c r="A7828" s="6">
        <v>45772</v>
      </c>
      <c r="B7828" t="s">
        <v>15</v>
      </c>
      <c r="C7828" t="s">
        <v>16</v>
      </c>
      <c r="D7828" s="1">
        <v>45855</v>
      </c>
      <c r="E7828" t="s">
        <v>17</v>
      </c>
      <c r="F7828">
        <v>6200</v>
      </c>
      <c r="J7828">
        <v>87.1</v>
      </c>
      <c r="K7828">
        <v>90.7</v>
      </c>
      <c r="L7828">
        <v>0</v>
      </c>
      <c r="M7828" t="s">
        <v>18</v>
      </c>
      <c r="N7828">
        <v>0</v>
      </c>
      <c r="O7828">
        <v>0</v>
      </c>
    </row>
    <row r="7829" spans="1:15" x14ac:dyDescent="0.2">
      <c r="A7829" s="6">
        <v>45772</v>
      </c>
      <c r="B7829" t="s">
        <v>15</v>
      </c>
      <c r="C7829" t="s">
        <v>16</v>
      </c>
      <c r="D7829" s="1">
        <v>45855</v>
      </c>
      <c r="E7829" t="s">
        <v>17</v>
      </c>
      <c r="F7829">
        <v>5050</v>
      </c>
      <c r="J7829">
        <v>485.4</v>
      </c>
      <c r="K7829">
        <v>480.2</v>
      </c>
      <c r="L7829">
        <v>0</v>
      </c>
      <c r="M7829" t="s">
        <v>18</v>
      </c>
      <c r="N7829">
        <v>0</v>
      </c>
      <c r="O7829">
        <v>0</v>
      </c>
    </row>
    <row r="7830" spans="1:15" x14ac:dyDescent="0.2">
      <c r="A7830" s="6">
        <v>45772</v>
      </c>
      <c r="B7830" t="s">
        <v>15</v>
      </c>
      <c r="C7830" t="s">
        <v>16</v>
      </c>
      <c r="D7830" s="1">
        <v>45855</v>
      </c>
      <c r="E7830" t="s">
        <v>17</v>
      </c>
      <c r="F7830">
        <v>6500</v>
      </c>
      <c r="J7830">
        <v>50.5</v>
      </c>
      <c r="K7830">
        <v>53.8</v>
      </c>
      <c r="L7830">
        <v>0</v>
      </c>
      <c r="M7830" t="s">
        <v>18</v>
      </c>
      <c r="N7830">
        <v>0</v>
      </c>
      <c r="O7830">
        <v>0</v>
      </c>
    </row>
    <row r="7831" spans="1:15" x14ac:dyDescent="0.2">
      <c r="A7831" s="6">
        <v>45772</v>
      </c>
      <c r="B7831" t="s">
        <v>15</v>
      </c>
      <c r="C7831" t="s">
        <v>16</v>
      </c>
      <c r="D7831" s="1">
        <v>45855</v>
      </c>
      <c r="E7831" t="s">
        <v>17</v>
      </c>
      <c r="F7831">
        <v>4600</v>
      </c>
      <c r="J7831">
        <v>795.1</v>
      </c>
      <c r="K7831">
        <v>781.7</v>
      </c>
      <c r="L7831">
        <v>0</v>
      </c>
      <c r="M7831" t="s">
        <v>18</v>
      </c>
      <c r="N7831">
        <v>0</v>
      </c>
      <c r="O7831">
        <v>0</v>
      </c>
    </row>
    <row r="7832" spans="1:15" x14ac:dyDescent="0.2">
      <c r="A7832" s="6">
        <v>45772</v>
      </c>
      <c r="B7832" t="s">
        <v>15</v>
      </c>
      <c r="C7832" t="s">
        <v>16</v>
      </c>
      <c r="D7832" s="1">
        <v>45855</v>
      </c>
      <c r="E7832" t="s">
        <v>19</v>
      </c>
      <c r="F7832">
        <v>4650</v>
      </c>
      <c r="J7832">
        <v>90.4</v>
      </c>
      <c r="K7832">
        <v>103.6</v>
      </c>
      <c r="L7832">
        <v>0</v>
      </c>
      <c r="M7832" t="s">
        <v>18</v>
      </c>
      <c r="N7832">
        <v>0</v>
      </c>
      <c r="O7832">
        <v>0</v>
      </c>
    </row>
    <row r="7833" spans="1:15" x14ac:dyDescent="0.2">
      <c r="A7833" s="6">
        <v>45772</v>
      </c>
      <c r="B7833" t="s">
        <v>15</v>
      </c>
      <c r="C7833" t="s">
        <v>16</v>
      </c>
      <c r="D7833" s="1">
        <v>45855</v>
      </c>
      <c r="E7833" t="s">
        <v>17</v>
      </c>
      <c r="F7833">
        <v>5450</v>
      </c>
      <c r="J7833">
        <v>287.10000000000002</v>
      </c>
      <c r="K7833">
        <v>287.39999999999998</v>
      </c>
      <c r="L7833">
        <v>0</v>
      </c>
      <c r="M7833" t="s">
        <v>18</v>
      </c>
      <c r="N7833">
        <v>0</v>
      </c>
      <c r="O7833">
        <v>0</v>
      </c>
    </row>
    <row r="7834" spans="1:15" x14ac:dyDescent="0.2">
      <c r="A7834" s="6">
        <v>45772</v>
      </c>
      <c r="B7834" t="s">
        <v>15</v>
      </c>
      <c r="C7834" t="s">
        <v>16</v>
      </c>
      <c r="D7834" s="1">
        <v>45855</v>
      </c>
      <c r="E7834" t="s">
        <v>17</v>
      </c>
      <c r="F7834">
        <v>5800</v>
      </c>
      <c r="J7834">
        <v>169.9</v>
      </c>
      <c r="K7834">
        <v>172.8</v>
      </c>
      <c r="L7834">
        <v>0</v>
      </c>
      <c r="M7834" t="s">
        <v>18</v>
      </c>
      <c r="N7834">
        <v>0</v>
      </c>
      <c r="O7834">
        <v>0</v>
      </c>
    </row>
    <row r="7835" spans="1:15" x14ac:dyDescent="0.2">
      <c r="A7835" s="6">
        <v>45772</v>
      </c>
      <c r="B7835" t="s">
        <v>15</v>
      </c>
      <c r="C7835" t="s">
        <v>16</v>
      </c>
      <c r="D7835" s="1">
        <v>45855</v>
      </c>
      <c r="E7835" t="s">
        <v>17</v>
      </c>
      <c r="F7835">
        <v>4550</v>
      </c>
      <c r="J7835">
        <v>834.6</v>
      </c>
      <c r="K7835">
        <v>820.3</v>
      </c>
      <c r="L7835">
        <v>0</v>
      </c>
      <c r="M7835" t="s">
        <v>18</v>
      </c>
      <c r="N7835">
        <v>0</v>
      </c>
      <c r="O7835">
        <v>0</v>
      </c>
    </row>
    <row r="7836" spans="1:15" x14ac:dyDescent="0.2">
      <c r="A7836" s="6">
        <v>45772</v>
      </c>
      <c r="B7836" t="s">
        <v>15</v>
      </c>
      <c r="C7836" t="s">
        <v>16</v>
      </c>
      <c r="D7836" s="1">
        <v>45855</v>
      </c>
      <c r="E7836" t="s">
        <v>17</v>
      </c>
      <c r="F7836">
        <v>4050</v>
      </c>
      <c r="J7836">
        <v>1271.5999999999999</v>
      </c>
      <c r="K7836">
        <v>1249.5999999999999</v>
      </c>
      <c r="L7836">
        <v>0</v>
      </c>
      <c r="M7836" t="s">
        <v>18</v>
      </c>
      <c r="N7836">
        <v>0</v>
      </c>
      <c r="O7836">
        <v>0</v>
      </c>
    </row>
    <row r="7837" spans="1:15" x14ac:dyDescent="0.2">
      <c r="A7837" s="6">
        <v>45772</v>
      </c>
      <c r="B7837" t="s">
        <v>15</v>
      </c>
      <c r="C7837" t="s">
        <v>16</v>
      </c>
      <c r="D7837" s="1">
        <v>45855</v>
      </c>
      <c r="E7837" t="s">
        <v>17</v>
      </c>
      <c r="F7837">
        <v>6350</v>
      </c>
      <c r="J7837">
        <v>66.599999999999994</v>
      </c>
      <c r="K7837">
        <v>70.099999999999994</v>
      </c>
      <c r="L7837">
        <v>0</v>
      </c>
      <c r="M7837" t="s">
        <v>18</v>
      </c>
      <c r="N7837">
        <v>0</v>
      </c>
      <c r="O7837">
        <v>0</v>
      </c>
    </row>
    <row r="7838" spans="1:15" x14ac:dyDescent="0.2">
      <c r="A7838" s="6">
        <v>45772</v>
      </c>
      <c r="B7838" t="s">
        <v>15</v>
      </c>
      <c r="C7838" t="s">
        <v>16</v>
      </c>
      <c r="D7838" s="1">
        <v>45855</v>
      </c>
      <c r="E7838" t="s">
        <v>19</v>
      </c>
      <c r="F7838">
        <v>4400</v>
      </c>
      <c r="J7838">
        <v>46</v>
      </c>
      <c r="K7838">
        <v>54.8</v>
      </c>
      <c r="L7838">
        <v>0</v>
      </c>
      <c r="M7838" t="s">
        <v>18</v>
      </c>
      <c r="N7838">
        <v>0</v>
      </c>
      <c r="O7838">
        <v>0</v>
      </c>
    </row>
    <row r="7839" spans="1:15" x14ac:dyDescent="0.2">
      <c r="A7839" s="6">
        <v>45772</v>
      </c>
      <c r="B7839" t="s">
        <v>15</v>
      </c>
      <c r="C7839" t="s">
        <v>16</v>
      </c>
      <c r="D7839" s="1">
        <v>45855</v>
      </c>
      <c r="E7839" t="s">
        <v>19</v>
      </c>
      <c r="F7839">
        <v>4500</v>
      </c>
      <c r="J7839">
        <v>61.2</v>
      </c>
      <c r="K7839">
        <v>71.7</v>
      </c>
      <c r="L7839">
        <v>0</v>
      </c>
      <c r="M7839" t="s">
        <v>18</v>
      </c>
      <c r="N7839">
        <v>0</v>
      </c>
      <c r="O7839">
        <v>0</v>
      </c>
    </row>
    <row r="7840" spans="1:15" x14ac:dyDescent="0.2">
      <c r="A7840" s="6">
        <v>45772</v>
      </c>
      <c r="B7840" t="s">
        <v>15</v>
      </c>
      <c r="C7840" t="s">
        <v>16</v>
      </c>
      <c r="D7840" s="1">
        <v>45855</v>
      </c>
      <c r="E7840" t="s">
        <v>19</v>
      </c>
      <c r="F7840">
        <v>5000</v>
      </c>
      <c r="J7840">
        <v>194.2</v>
      </c>
      <c r="K7840">
        <v>213.8</v>
      </c>
      <c r="L7840">
        <v>0</v>
      </c>
      <c r="M7840" t="s">
        <v>18</v>
      </c>
      <c r="N7840">
        <v>0</v>
      </c>
      <c r="O7840">
        <v>0</v>
      </c>
    </row>
    <row r="7841" spans="1:15" x14ac:dyDescent="0.2">
      <c r="A7841" s="6">
        <v>45772</v>
      </c>
      <c r="B7841" t="s">
        <v>15</v>
      </c>
      <c r="C7841" t="s">
        <v>16</v>
      </c>
      <c r="D7841" s="1">
        <v>45855</v>
      </c>
      <c r="E7841" t="s">
        <v>19</v>
      </c>
      <c r="F7841">
        <v>5350</v>
      </c>
      <c r="J7841">
        <v>353.5</v>
      </c>
      <c r="K7841">
        <v>378.3</v>
      </c>
      <c r="L7841">
        <v>0</v>
      </c>
      <c r="M7841" t="s">
        <v>18</v>
      </c>
      <c r="N7841">
        <v>0</v>
      </c>
      <c r="O7841">
        <v>0</v>
      </c>
    </row>
    <row r="7842" spans="1:15" x14ac:dyDescent="0.2">
      <c r="A7842" s="6">
        <v>45772</v>
      </c>
      <c r="B7842" t="s">
        <v>15</v>
      </c>
      <c r="C7842" t="s">
        <v>16</v>
      </c>
      <c r="D7842" s="1">
        <v>45855</v>
      </c>
      <c r="E7842" t="s">
        <v>17</v>
      </c>
      <c r="F7842">
        <v>4850</v>
      </c>
      <c r="J7842">
        <v>612.20000000000005</v>
      </c>
      <c r="K7842">
        <v>603.4</v>
      </c>
      <c r="L7842">
        <v>0</v>
      </c>
      <c r="M7842" t="s">
        <v>18</v>
      </c>
      <c r="N7842">
        <v>0</v>
      </c>
      <c r="O7842">
        <v>0</v>
      </c>
    </row>
    <row r="7843" spans="1:15" x14ac:dyDescent="0.2">
      <c r="A7843" s="6">
        <v>45772</v>
      </c>
      <c r="B7843" t="s">
        <v>15</v>
      </c>
      <c r="C7843" t="s">
        <v>16</v>
      </c>
      <c r="D7843" s="1">
        <v>45855</v>
      </c>
      <c r="E7843" t="s">
        <v>17</v>
      </c>
      <c r="F7843">
        <v>4000</v>
      </c>
      <c r="J7843">
        <v>1318.3</v>
      </c>
      <c r="K7843">
        <v>1295.9000000000001</v>
      </c>
      <c r="L7843">
        <v>0</v>
      </c>
      <c r="M7843" t="s">
        <v>18</v>
      </c>
      <c r="N7843">
        <v>0</v>
      </c>
      <c r="O7843">
        <v>0</v>
      </c>
    </row>
    <row r="7844" spans="1:15" x14ac:dyDescent="0.2">
      <c r="A7844" s="6">
        <v>45772</v>
      </c>
      <c r="B7844" t="s">
        <v>15</v>
      </c>
      <c r="C7844" t="s">
        <v>16</v>
      </c>
      <c r="D7844" s="1">
        <v>45855</v>
      </c>
      <c r="E7844" t="s">
        <v>19</v>
      </c>
      <c r="F7844">
        <v>4100</v>
      </c>
      <c r="J7844">
        <v>17.2</v>
      </c>
      <c r="K7844">
        <v>21.7</v>
      </c>
      <c r="L7844">
        <v>0</v>
      </c>
      <c r="M7844" t="s">
        <v>18</v>
      </c>
      <c r="N7844">
        <v>0</v>
      </c>
      <c r="O7844">
        <v>0</v>
      </c>
    </row>
    <row r="7845" spans="1:15" x14ac:dyDescent="0.2">
      <c r="A7845" s="6">
        <v>45772</v>
      </c>
      <c r="B7845" t="s">
        <v>15</v>
      </c>
      <c r="C7845" t="s">
        <v>16</v>
      </c>
      <c r="D7845" s="1">
        <v>45855</v>
      </c>
      <c r="E7845" t="s">
        <v>17</v>
      </c>
      <c r="F7845">
        <v>6000</v>
      </c>
      <c r="J7845">
        <v>122.7</v>
      </c>
      <c r="K7845">
        <v>126.2</v>
      </c>
      <c r="L7845">
        <v>0</v>
      </c>
      <c r="M7845" t="s">
        <v>18</v>
      </c>
      <c r="N7845">
        <v>0</v>
      </c>
      <c r="O7845">
        <v>0</v>
      </c>
    </row>
    <row r="7846" spans="1:15" x14ac:dyDescent="0.2">
      <c r="A7846" s="6">
        <v>45772</v>
      </c>
      <c r="B7846" t="s">
        <v>15</v>
      </c>
      <c r="C7846" t="s">
        <v>16</v>
      </c>
      <c r="D7846" s="1">
        <v>45855</v>
      </c>
      <c r="E7846" t="s">
        <v>19</v>
      </c>
      <c r="F7846">
        <v>4050</v>
      </c>
      <c r="J7846">
        <v>14.2</v>
      </c>
      <c r="K7846">
        <v>18.2</v>
      </c>
      <c r="L7846">
        <v>0</v>
      </c>
      <c r="M7846" t="s">
        <v>18</v>
      </c>
      <c r="N7846">
        <v>0</v>
      </c>
      <c r="O7846">
        <v>0</v>
      </c>
    </row>
    <row r="7847" spans="1:15" x14ac:dyDescent="0.2">
      <c r="A7847" s="6">
        <v>45772</v>
      </c>
      <c r="B7847" t="s">
        <v>15</v>
      </c>
      <c r="C7847" t="s">
        <v>16</v>
      </c>
      <c r="D7847" s="1">
        <v>45855</v>
      </c>
      <c r="E7847" t="s">
        <v>17</v>
      </c>
      <c r="F7847">
        <v>6300</v>
      </c>
      <c r="J7847">
        <v>72.900000000000006</v>
      </c>
      <c r="K7847">
        <v>76.5</v>
      </c>
      <c r="L7847">
        <v>0</v>
      </c>
      <c r="M7847" t="s">
        <v>18</v>
      </c>
      <c r="N7847">
        <v>0</v>
      </c>
      <c r="O7847">
        <v>0</v>
      </c>
    </row>
    <row r="7848" spans="1:15" x14ac:dyDescent="0.2">
      <c r="A7848" s="6">
        <v>45772</v>
      </c>
      <c r="B7848" t="s">
        <v>15</v>
      </c>
      <c r="C7848" t="s">
        <v>16</v>
      </c>
      <c r="D7848" s="1">
        <v>45855</v>
      </c>
      <c r="E7848" t="s">
        <v>19</v>
      </c>
      <c r="F7848">
        <v>5950</v>
      </c>
      <c r="J7848">
        <v>748.2</v>
      </c>
      <c r="K7848">
        <v>777.1</v>
      </c>
      <c r="L7848">
        <v>0</v>
      </c>
      <c r="M7848" t="s">
        <v>18</v>
      </c>
      <c r="N7848">
        <v>0</v>
      </c>
      <c r="O7848">
        <v>0</v>
      </c>
    </row>
    <row r="7849" spans="1:15" x14ac:dyDescent="0.2">
      <c r="A7849" s="6">
        <v>45772</v>
      </c>
      <c r="B7849" t="s">
        <v>15</v>
      </c>
      <c r="C7849" t="s">
        <v>16</v>
      </c>
      <c r="D7849" s="1">
        <v>45855</v>
      </c>
      <c r="E7849" t="s">
        <v>17</v>
      </c>
      <c r="F7849">
        <v>6450</v>
      </c>
      <c r="J7849">
        <v>55.4</v>
      </c>
      <c r="K7849">
        <v>58.8</v>
      </c>
      <c r="L7849">
        <v>0</v>
      </c>
      <c r="M7849" t="s">
        <v>18</v>
      </c>
      <c r="N7849">
        <v>0</v>
      </c>
      <c r="O7849">
        <v>0</v>
      </c>
    </row>
    <row r="7850" spans="1:15" x14ac:dyDescent="0.2">
      <c r="A7850" s="6">
        <v>45772</v>
      </c>
      <c r="B7850" t="s">
        <v>15</v>
      </c>
      <c r="C7850" t="s">
        <v>16</v>
      </c>
      <c r="D7850" s="1">
        <v>45855</v>
      </c>
      <c r="E7850" t="s">
        <v>19</v>
      </c>
      <c r="F7850">
        <v>5800</v>
      </c>
      <c r="J7850">
        <v>636.9</v>
      </c>
      <c r="K7850">
        <v>665.4</v>
      </c>
      <c r="L7850">
        <v>0</v>
      </c>
      <c r="M7850" t="s">
        <v>18</v>
      </c>
      <c r="N7850">
        <v>0</v>
      </c>
      <c r="O7850">
        <v>0</v>
      </c>
    </row>
    <row r="7851" spans="1:15" x14ac:dyDescent="0.2">
      <c r="A7851" s="6">
        <v>45772</v>
      </c>
      <c r="B7851" t="s">
        <v>15</v>
      </c>
      <c r="C7851" t="s">
        <v>16</v>
      </c>
      <c r="D7851" s="1">
        <v>45855</v>
      </c>
      <c r="E7851" t="s">
        <v>17</v>
      </c>
      <c r="F7851">
        <v>5350</v>
      </c>
      <c r="J7851">
        <v>329.8</v>
      </c>
      <c r="K7851">
        <v>329</v>
      </c>
      <c r="L7851">
        <v>0</v>
      </c>
      <c r="M7851" t="s">
        <v>18</v>
      </c>
      <c r="N7851">
        <v>0</v>
      </c>
      <c r="O7851">
        <v>0</v>
      </c>
    </row>
    <row r="7852" spans="1:15" x14ac:dyDescent="0.2">
      <c r="A7852" s="6">
        <v>45772</v>
      </c>
      <c r="B7852" t="s">
        <v>15</v>
      </c>
      <c r="C7852" t="s">
        <v>16</v>
      </c>
      <c r="D7852" s="1">
        <v>45855</v>
      </c>
      <c r="E7852" t="s">
        <v>17</v>
      </c>
      <c r="F7852">
        <v>6100</v>
      </c>
      <c r="J7852">
        <v>103.6</v>
      </c>
      <c r="K7852">
        <v>107.2</v>
      </c>
      <c r="L7852">
        <v>0</v>
      </c>
      <c r="M7852" t="s">
        <v>18</v>
      </c>
      <c r="N7852">
        <v>0</v>
      </c>
      <c r="O7852">
        <v>0</v>
      </c>
    </row>
    <row r="7853" spans="1:15" x14ac:dyDescent="0.2">
      <c r="A7853" s="6">
        <v>45772</v>
      </c>
      <c r="B7853" t="s">
        <v>15</v>
      </c>
      <c r="C7853" t="s">
        <v>16</v>
      </c>
      <c r="D7853" s="1">
        <v>45855</v>
      </c>
      <c r="E7853" t="s">
        <v>19</v>
      </c>
      <c r="F7853">
        <v>4000</v>
      </c>
      <c r="J7853">
        <v>11.7</v>
      </c>
      <c r="K7853">
        <v>15.2</v>
      </c>
      <c r="L7853">
        <v>0</v>
      </c>
      <c r="M7853" t="s">
        <v>18</v>
      </c>
      <c r="N7853">
        <v>0</v>
      </c>
      <c r="O7853">
        <v>0</v>
      </c>
    </row>
    <row r="7854" spans="1:15" x14ac:dyDescent="0.2">
      <c r="A7854" s="6">
        <v>45772</v>
      </c>
      <c r="B7854" t="s">
        <v>15</v>
      </c>
      <c r="C7854" t="s">
        <v>16</v>
      </c>
      <c r="D7854" s="1">
        <v>45855</v>
      </c>
      <c r="E7854" t="s">
        <v>19</v>
      </c>
      <c r="F7854">
        <v>4850</v>
      </c>
      <c r="J7854">
        <v>143.19999999999999</v>
      </c>
      <c r="K7854">
        <v>160.1</v>
      </c>
      <c r="L7854">
        <v>0</v>
      </c>
      <c r="M7854" t="s">
        <v>18</v>
      </c>
      <c r="N7854">
        <v>0</v>
      </c>
      <c r="O7854">
        <v>0</v>
      </c>
    </row>
    <row r="7855" spans="1:15" x14ac:dyDescent="0.2">
      <c r="A7855" s="6">
        <v>45772</v>
      </c>
      <c r="B7855" t="s">
        <v>15</v>
      </c>
      <c r="C7855" t="s">
        <v>16</v>
      </c>
      <c r="D7855" s="1">
        <v>45855</v>
      </c>
      <c r="E7855" t="s">
        <v>19</v>
      </c>
      <c r="F7855">
        <v>5600</v>
      </c>
      <c r="J7855">
        <v>500.9</v>
      </c>
      <c r="K7855">
        <v>528.20000000000005</v>
      </c>
      <c r="L7855">
        <v>0</v>
      </c>
      <c r="M7855" t="s">
        <v>18</v>
      </c>
      <c r="N7855">
        <v>0</v>
      </c>
      <c r="O7855">
        <v>0</v>
      </c>
    </row>
    <row r="7856" spans="1:15" x14ac:dyDescent="0.2">
      <c r="A7856" s="6">
        <v>45772</v>
      </c>
      <c r="B7856" t="s">
        <v>15</v>
      </c>
      <c r="C7856" t="s">
        <v>16</v>
      </c>
      <c r="D7856" s="1">
        <v>45855</v>
      </c>
      <c r="E7856" t="s">
        <v>19</v>
      </c>
      <c r="F7856">
        <v>6350</v>
      </c>
      <c r="J7856">
        <v>1075.5999999999999</v>
      </c>
      <c r="K7856">
        <v>1104.5</v>
      </c>
      <c r="L7856">
        <v>0</v>
      </c>
      <c r="M7856" t="s">
        <v>18</v>
      </c>
      <c r="N7856">
        <v>0</v>
      </c>
      <c r="O7856">
        <v>0</v>
      </c>
    </row>
    <row r="7857" spans="1:15" x14ac:dyDescent="0.2">
      <c r="A7857" s="6">
        <v>45772</v>
      </c>
      <c r="B7857" t="s">
        <v>15</v>
      </c>
      <c r="C7857" t="s">
        <v>16</v>
      </c>
      <c r="D7857" s="1">
        <v>45855</v>
      </c>
      <c r="E7857" t="s">
        <v>19</v>
      </c>
      <c r="F7857">
        <v>5650</v>
      </c>
      <c r="J7857">
        <v>533.5</v>
      </c>
      <c r="K7857">
        <v>561.1</v>
      </c>
      <c r="L7857">
        <v>0</v>
      </c>
      <c r="M7857" t="s">
        <v>18</v>
      </c>
      <c r="N7857">
        <v>0</v>
      </c>
      <c r="O7857">
        <v>0</v>
      </c>
    </row>
    <row r="7858" spans="1:15" x14ac:dyDescent="0.2">
      <c r="A7858" s="6">
        <v>45772</v>
      </c>
      <c r="B7858" t="s">
        <v>15</v>
      </c>
      <c r="C7858" t="s">
        <v>16</v>
      </c>
      <c r="D7858" s="1">
        <v>45855</v>
      </c>
      <c r="E7858" t="s">
        <v>17</v>
      </c>
      <c r="F7858">
        <v>4300</v>
      </c>
      <c r="J7858">
        <v>1044.9000000000001</v>
      </c>
      <c r="K7858">
        <v>1026.3</v>
      </c>
      <c r="L7858">
        <v>0</v>
      </c>
      <c r="M7858" t="s">
        <v>18</v>
      </c>
      <c r="N7858">
        <v>0</v>
      </c>
      <c r="O7858">
        <v>0</v>
      </c>
    </row>
    <row r="7859" spans="1:15" x14ac:dyDescent="0.2">
      <c r="A7859" s="6">
        <v>45772</v>
      </c>
      <c r="B7859" t="s">
        <v>15</v>
      </c>
      <c r="C7859" t="s">
        <v>16</v>
      </c>
      <c r="D7859" s="1">
        <v>45855</v>
      </c>
      <c r="E7859" t="s">
        <v>19</v>
      </c>
      <c r="F7859">
        <v>6100</v>
      </c>
      <c r="J7859">
        <v>866.2</v>
      </c>
      <c r="K7859">
        <v>895.3</v>
      </c>
      <c r="L7859">
        <v>0</v>
      </c>
      <c r="M7859" t="s">
        <v>18</v>
      </c>
      <c r="N7859">
        <v>0</v>
      </c>
      <c r="O7859">
        <v>0</v>
      </c>
    </row>
    <row r="7860" spans="1:15" x14ac:dyDescent="0.2">
      <c r="A7860" s="6">
        <v>45772</v>
      </c>
      <c r="B7860" t="s">
        <v>15</v>
      </c>
      <c r="C7860" t="s">
        <v>16</v>
      </c>
      <c r="D7860" s="1">
        <v>45855</v>
      </c>
      <c r="E7860" t="s">
        <v>17</v>
      </c>
      <c r="F7860">
        <v>4700</v>
      </c>
      <c r="J7860">
        <v>718.9</v>
      </c>
      <c r="K7860">
        <v>707.3</v>
      </c>
      <c r="L7860">
        <v>0</v>
      </c>
      <c r="M7860" t="s">
        <v>18</v>
      </c>
      <c r="N7860">
        <v>0</v>
      </c>
      <c r="O7860">
        <v>0</v>
      </c>
    </row>
    <row r="7861" spans="1:15" x14ac:dyDescent="0.2">
      <c r="A7861" s="6">
        <v>45772</v>
      </c>
      <c r="B7861" t="s">
        <v>15</v>
      </c>
      <c r="C7861" t="s">
        <v>16</v>
      </c>
      <c r="D7861" s="1">
        <v>45855</v>
      </c>
      <c r="E7861" t="s">
        <v>17</v>
      </c>
      <c r="F7861">
        <v>5650</v>
      </c>
      <c r="J7861">
        <v>214.2</v>
      </c>
      <c r="K7861">
        <v>216.3</v>
      </c>
      <c r="L7861">
        <v>0</v>
      </c>
      <c r="M7861" t="s">
        <v>18</v>
      </c>
      <c r="N7861">
        <v>0</v>
      </c>
      <c r="O7861">
        <v>0</v>
      </c>
    </row>
    <row r="7862" spans="1:15" x14ac:dyDescent="0.2">
      <c r="A7862" s="6">
        <v>45772</v>
      </c>
      <c r="B7862" t="s">
        <v>15</v>
      </c>
      <c r="C7862" t="s">
        <v>16</v>
      </c>
      <c r="D7862" s="1">
        <v>45855</v>
      </c>
      <c r="E7862" t="s">
        <v>19</v>
      </c>
      <c r="F7862">
        <v>5750</v>
      </c>
      <c r="J7862">
        <v>601.6</v>
      </c>
      <c r="K7862">
        <v>629.70000000000005</v>
      </c>
      <c r="L7862">
        <v>0</v>
      </c>
      <c r="M7862" t="s">
        <v>18</v>
      </c>
      <c r="N7862">
        <v>0</v>
      </c>
      <c r="O7862">
        <v>0</v>
      </c>
    </row>
    <row r="7863" spans="1:15" x14ac:dyDescent="0.2">
      <c r="A7863" s="6">
        <v>45772</v>
      </c>
      <c r="B7863" t="s">
        <v>15</v>
      </c>
      <c r="C7863" t="s">
        <v>16</v>
      </c>
      <c r="D7863" s="1">
        <v>45855</v>
      </c>
      <c r="E7863" t="s">
        <v>19</v>
      </c>
      <c r="F7863">
        <v>5500</v>
      </c>
      <c r="J7863">
        <v>438.7</v>
      </c>
      <c r="K7863">
        <v>465.2</v>
      </c>
      <c r="L7863">
        <v>0</v>
      </c>
      <c r="M7863" t="s">
        <v>18</v>
      </c>
      <c r="N7863">
        <v>0</v>
      </c>
      <c r="O7863">
        <v>0</v>
      </c>
    </row>
    <row r="7864" spans="1:15" x14ac:dyDescent="0.2">
      <c r="A7864" s="6">
        <v>45772</v>
      </c>
      <c r="B7864" t="s">
        <v>15</v>
      </c>
      <c r="C7864" t="s">
        <v>16</v>
      </c>
      <c r="D7864" s="1">
        <v>45855</v>
      </c>
      <c r="E7864" t="s">
        <v>19</v>
      </c>
      <c r="F7864">
        <v>6450</v>
      </c>
      <c r="J7864">
        <v>1162.9000000000001</v>
      </c>
      <c r="K7864">
        <v>1191.7</v>
      </c>
      <c r="L7864">
        <v>0</v>
      </c>
      <c r="M7864" t="s">
        <v>18</v>
      </c>
      <c r="N7864">
        <v>0</v>
      </c>
      <c r="O7864">
        <v>0</v>
      </c>
    </row>
    <row r="7865" spans="1:15" x14ac:dyDescent="0.2">
      <c r="A7865" s="6">
        <v>45772</v>
      </c>
      <c r="B7865" t="s">
        <v>15</v>
      </c>
      <c r="C7865" t="s">
        <v>16</v>
      </c>
      <c r="D7865" s="1">
        <v>45855</v>
      </c>
      <c r="E7865" t="s">
        <v>19</v>
      </c>
      <c r="F7865">
        <v>4150</v>
      </c>
      <c r="J7865">
        <v>20.5</v>
      </c>
      <c r="K7865">
        <v>25.7</v>
      </c>
      <c r="L7865">
        <v>0</v>
      </c>
      <c r="M7865" t="s">
        <v>18</v>
      </c>
      <c r="N7865">
        <v>0</v>
      </c>
      <c r="O7865">
        <v>0</v>
      </c>
    </row>
    <row r="7866" spans="1:15" x14ac:dyDescent="0.2">
      <c r="A7866" s="6">
        <v>45772</v>
      </c>
      <c r="B7866" t="s">
        <v>15</v>
      </c>
      <c r="C7866" t="s">
        <v>16</v>
      </c>
      <c r="D7866" s="1">
        <v>45855</v>
      </c>
      <c r="E7866" t="s">
        <v>19</v>
      </c>
      <c r="F7866">
        <v>5550</v>
      </c>
      <c r="J7866">
        <v>469.3</v>
      </c>
      <c r="K7866">
        <v>496.2</v>
      </c>
      <c r="L7866">
        <v>0</v>
      </c>
      <c r="M7866" t="s">
        <v>18</v>
      </c>
      <c r="N7866">
        <v>0</v>
      </c>
      <c r="O7866">
        <v>0</v>
      </c>
    </row>
    <row r="7867" spans="1:15" x14ac:dyDescent="0.2">
      <c r="A7867" s="6">
        <v>45772</v>
      </c>
      <c r="B7867" t="s">
        <v>15</v>
      </c>
      <c r="C7867" t="s">
        <v>16</v>
      </c>
      <c r="D7867" s="1">
        <v>45855</v>
      </c>
      <c r="E7867" t="s">
        <v>19</v>
      </c>
      <c r="F7867">
        <v>4350</v>
      </c>
      <c r="J7867">
        <v>39.6</v>
      </c>
      <c r="K7867">
        <v>47.6</v>
      </c>
      <c r="L7867">
        <v>0</v>
      </c>
      <c r="M7867" t="s">
        <v>18</v>
      </c>
      <c r="N7867">
        <v>0</v>
      </c>
      <c r="O7867">
        <v>0</v>
      </c>
    </row>
    <row r="7868" spans="1:15" x14ac:dyDescent="0.2">
      <c r="A7868" s="6">
        <v>45772</v>
      </c>
      <c r="B7868" t="s">
        <v>15</v>
      </c>
      <c r="C7868" t="s">
        <v>16</v>
      </c>
      <c r="D7868" s="1">
        <v>45855</v>
      </c>
      <c r="E7868" t="s">
        <v>19</v>
      </c>
      <c r="F7868">
        <v>4750</v>
      </c>
      <c r="J7868">
        <v>114.7</v>
      </c>
      <c r="K7868">
        <v>129.80000000000001</v>
      </c>
      <c r="L7868">
        <v>0</v>
      </c>
      <c r="M7868" t="s">
        <v>18</v>
      </c>
      <c r="N7868">
        <v>0</v>
      </c>
      <c r="O7868">
        <v>0</v>
      </c>
    </row>
    <row r="7869" spans="1:15" x14ac:dyDescent="0.2">
      <c r="A7869" s="6">
        <v>45772</v>
      </c>
      <c r="B7869" t="s">
        <v>15</v>
      </c>
      <c r="C7869" t="s">
        <v>16</v>
      </c>
      <c r="D7869" s="1">
        <v>45855</v>
      </c>
      <c r="E7869" t="s">
        <v>17</v>
      </c>
      <c r="F7869">
        <v>6150</v>
      </c>
      <c r="J7869">
        <v>95</v>
      </c>
      <c r="K7869">
        <v>98.7</v>
      </c>
      <c r="L7869">
        <v>0</v>
      </c>
      <c r="M7869" t="s">
        <v>18</v>
      </c>
      <c r="N7869">
        <v>0</v>
      </c>
      <c r="O7869">
        <v>0</v>
      </c>
    </row>
    <row r="7870" spans="1:15" x14ac:dyDescent="0.2">
      <c r="A7870" s="6">
        <v>45772</v>
      </c>
      <c r="B7870" t="s">
        <v>15</v>
      </c>
      <c r="C7870" t="s">
        <v>16</v>
      </c>
      <c r="D7870" s="1">
        <v>45855</v>
      </c>
      <c r="E7870" t="s">
        <v>19</v>
      </c>
      <c r="F7870">
        <v>6600</v>
      </c>
      <c r="J7870">
        <v>1297.0999999999999</v>
      </c>
      <c r="K7870">
        <v>1325.5</v>
      </c>
      <c r="L7870">
        <v>0</v>
      </c>
      <c r="M7870" t="s">
        <v>18</v>
      </c>
      <c r="N7870">
        <v>0</v>
      </c>
      <c r="O7870">
        <v>0</v>
      </c>
    </row>
    <row r="7871" spans="1:15" x14ac:dyDescent="0.2">
      <c r="A7871" s="6">
        <v>45772</v>
      </c>
      <c r="B7871" t="s">
        <v>15</v>
      </c>
      <c r="C7871" t="s">
        <v>16</v>
      </c>
      <c r="D7871" s="1">
        <v>45855</v>
      </c>
      <c r="E7871" t="s">
        <v>19</v>
      </c>
      <c r="F7871">
        <v>4300</v>
      </c>
      <c r="J7871">
        <v>33.9</v>
      </c>
      <c r="K7871">
        <v>41.1</v>
      </c>
      <c r="L7871">
        <v>0</v>
      </c>
      <c r="M7871" t="s">
        <v>18</v>
      </c>
      <c r="N7871">
        <v>0</v>
      </c>
      <c r="O7871">
        <v>0</v>
      </c>
    </row>
    <row r="7872" spans="1:15" x14ac:dyDescent="0.2">
      <c r="A7872" s="6">
        <v>45772</v>
      </c>
      <c r="B7872" t="s">
        <v>15</v>
      </c>
      <c r="C7872" t="s">
        <v>16</v>
      </c>
      <c r="D7872" s="1">
        <v>45855</v>
      </c>
      <c r="E7872" t="s">
        <v>17</v>
      </c>
      <c r="F7872">
        <v>5400</v>
      </c>
      <c r="J7872">
        <v>307.89999999999998</v>
      </c>
      <c r="K7872">
        <v>307.7</v>
      </c>
      <c r="L7872">
        <v>0</v>
      </c>
      <c r="M7872" t="s">
        <v>18</v>
      </c>
      <c r="N7872">
        <v>0</v>
      </c>
      <c r="O7872">
        <v>0</v>
      </c>
    </row>
    <row r="7873" spans="1:15" x14ac:dyDescent="0.2">
      <c r="A7873" s="6">
        <v>45772</v>
      </c>
      <c r="B7873" t="s">
        <v>15</v>
      </c>
      <c r="C7873" t="s">
        <v>16</v>
      </c>
      <c r="D7873" s="1">
        <v>45855</v>
      </c>
      <c r="E7873" t="s">
        <v>17</v>
      </c>
      <c r="F7873">
        <v>5550</v>
      </c>
      <c r="J7873">
        <v>248.6</v>
      </c>
      <c r="K7873">
        <v>249.9</v>
      </c>
      <c r="L7873">
        <v>0</v>
      </c>
      <c r="M7873" t="s">
        <v>18</v>
      </c>
      <c r="N7873">
        <v>0</v>
      </c>
      <c r="O7873">
        <v>0</v>
      </c>
    </row>
    <row r="7874" spans="1:15" x14ac:dyDescent="0.2">
      <c r="A7874" s="6">
        <v>45772</v>
      </c>
      <c r="B7874" t="s">
        <v>15</v>
      </c>
      <c r="C7874" t="s">
        <v>16</v>
      </c>
      <c r="D7874" s="1">
        <v>45855</v>
      </c>
      <c r="E7874" t="s">
        <v>19</v>
      </c>
      <c r="F7874">
        <v>6000</v>
      </c>
      <c r="J7874">
        <v>786.8</v>
      </c>
      <c r="K7874">
        <v>815.8</v>
      </c>
      <c r="L7874">
        <v>0</v>
      </c>
      <c r="M7874" t="s">
        <v>18</v>
      </c>
      <c r="N7874">
        <v>0</v>
      </c>
      <c r="O7874">
        <v>0</v>
      </c>
    </row>
    <row r="7875" spans="1:15" x14ac:dyDescent="0.2">
      <c r="A7875" s="6">
        <v>45772</v>
      </c>
      <c r="B7875" t="s">
        <v>15</v>
      </c>
      <c r="C7875" t="s">
        <v>16</v>
      </c>
      <c r="D7875" s="1">
        <v>45855</v>
      </c>
      <c r="E7875" t="s">
        <v>17</v>
      </c>
      <c r="F7875">
        <v>6400</v>
      </c>
      <c r="J7875">
        <v>60.8</v>
      </c>
      <c r="K7875">
        <v>64.2</v>
      </c>
      <c r="L7875">
        <v>0</v>
      </c>
      <c r="M7875" t="s">
        <v>18</v>
      </c>
      <c r="N7875">
        <v>0</v>
      </c>
      <c r="O7875">
        <v>0</v>
      </c>
    </row>
    <row r="7876" spans="1:15" x14ac:dyDescent="0.2">
      <c r="A7876" s="6">
        <v>45772</v>
      </c>
      <c r="B7876" t="s">
        <v>15</v>
      </c>
      <c r="C7876" t="s">
        <v>16</v>
      </c>
      <c r="D7876" s="1">
        <v>45855</v>
      </c>
      <c r="E7876" t="s">
        <v>19</v>
      </c>
      <c r="F7876">
        <v>6300</v>
      </c>
      <c r="J7876">
        <v>1032.5999999999999</v>
      </c>
      <c r="K7876">
        <v>1061.5999999999999</v>
      </c>
      <c r="L7876">
        <v>0</v>
      </c>
      <c r="M7876" t="s">
        <v>18</v>
      </c>
      <c r="N7876">
        <v>0</v>
      </c>
      <c r="O7876">
        <v>0</v>
      </c>
    </row>
    <row r="7877" spans="1:15" x14ac:dyDescent="0.2">
      <c r="A7877" s="6">
        <v>45772</v>
      </c>
      <c r="B7877" t="s">
        <v>15</v>
      </c>
      <c r="C7877" t="s">
        <v>16</v>
      </c>
      <c r="D7877" s="1">
        <v>45855</v>
      </c>
      <c r="E7877" t="s">
        <v>19</v>
      </c>
      <c r="F7877">
        <v>6500</v>
      </c>
      <c r="J7877">
        <v>1207.3</v>
      </c>
      <c r="K7877">
        <v>1235.9000000000001</v>
      </c>
      <c r="L7877">
        <v>0</v>
      </c>
      <c r="M7877" t="s">
        <v>18</v>
      </c>
      <c r="N7877">
        <v>0</v>
      </c>
      <c r="O7877">
        <v>0</v>
      </c>
    </row>
    <row r="7878" spans="1:15" x14ac:dyDescent="0.2">
      <c r="A7878" s="6">
        <v>45772</v>
      </c>
      <c r="B7878" t="s">
        <v>15</v>
      </c>
      <c r="C7878" t="s">
        <v>16</v>
      </c>
      <c r="D7878" s="1">
        <v>45855</v>
      </c>
      <c r="E7878" t="s">
        <v>19</v>
      </c>
      <c r="F7878">
        <v>5850</v>
      </c>
      <c r="J7878">
        <v>673.2</v>
      </c>
      <c r="K7878">
        <v>701.8</v>
      </c>
      <c r="L7878">
        <v>0</v>
      </c>
      <c r="M7878" t="s">
        <v>18</v>
      </c>
      <c r="N7878">
        <v>0</v>
      </c>
      <c r="O7878">
        <v>0</v>
      </c>
    </row>
    <row r="7879" spans="1:15" x14ac:dyDescent="0.2">
      <c r="A7879" s="6">
        <v>45772</v>
      </c>
      <c r="B7879" t="s">
        <v>15</v>
      </c>
      <c r="C7879" t="s">
        <v>16</v>
      </c>
      <c r="D7879" s="1">
        <v>45855</v>
      </c>
      <c r="E7879" t="s">
        <v>17</v>
      </c>
      <c r="F7879">
        <v>5850</v>
      </c>
      <c r="J7879">
        <v>156.9</v>
      </c>
      <c r="K7879">
        <v>160</v>
      </c>
      <c r="L7879">
        <v>0</v>
      </c>
      <c r="M7879" t="s">
        <v>18</v>
      </c>
      <c r="N7879">
        <v>0</v>
      </c>
      <c r="O7879">
        <v>0</v>
      </c>
    </row>
    <row r="7880" spans="1:15" x14ac:dyDescent="0.2">
      <c r="A7880" s="6">
        <v>45772</v>
      </c>
      <c r="B7880" t="s">
        <v>15</v>
      </c>
      <c r="C7880" t="s">
        <v>16</v>
      </c>
      <c r="D7880" s="1">
        <v>45855</v>
      </c>
      <c r="E7880" t="s">
        <v>19</v>
      </c>
      <c r="F7880">
        <v>4800</v>
      </c>
      <c r="J7880">
        <v>128.4</v>
      </c>
      <c r="K7880">
        <v>144.4</v>
      </c>
      <c r="L7880">
        <v>0</v>
      </c>
      <c r="M7880" t="s">
        <v>18</v>
      </c>
      <c r="N7880">
        <v>0</v>
      </c>
      <c r="O7880">
        <v>0</v>
      </c>
    </row>
    <row r="7881" spans="1:15" x14ac:dyDescent="0.2">
      <c r="A7881" s="6">
        <v>45772</v>
      </c>
      <c r="B7881" t="s">
        <v>15</v>
      </c>
      <c r="C7881" t="s">
        <v>16</v>
      </c>
      <c r="D7881" s="1">
        <v>45855</v>
      </c>
      <c r="E7881" t="s">
        <v>17</v>
      </c>
      <c r="F7881">
        <v>6600</v>
      </c>
      <c r="J7881">
        <v>41.8</v>
      </c>
      <c r="K7881">
        <v>44.8</v>
      </c>
      <c r="L7881">
        <v>0</v>
      </c>
      <c r="M7881" t="s">
        <v>18</v>
      </c>
      <c r="N7881">
        <v>0</v>
      </c>
      <c r="O7881">
        <v>0</v>
      </c>
    </row>
    <row r="7882" spans="1:15" x14ac:dyDescent="0.2">
      <c r="A7882" s="6">
        <v>45771</v>
      </c>
      <c r="B7882" t="s">
        <v>15</v>
      </c>
      <c r="C7882" t="s">
        <v>16</v>
      </c>
      <c r="D7882" s="1">
        <v>45855</v>
      </c>
      <c r="E7882" t="s">
        <v>17</v>
      </c>
      <c r="F7882">
        <v>4500</v>
      </c>
      <c r="J7882">
        <v>859.8</v>
      </c>
      <c r="K7882">
        <v>833.4</v>
      </c>
      <c r="L7882">
        <v>0</v>
      </c>
      <c r="M7882" t="s">
        <v>18</v>
      </c>
      <c r="N7882">
        <v>0</v>
      </c>
      <c r="O7882">
        <v>0</v>
      </c>
    </row>
    <row r="7883" spans="1:15" x14ac:dyDescent="0.2">
      <c r="A7883" s="6">
        <v>45771</v>
      </c>
      <c r="B7883" t="s">
        <v>15</v>
      </c>
      <c r="C7883" t="s">
        <v>16</v>
      </c>
      <c r="D7883" s="1">
        <v>45855</v>
      </c>
      <c r="E7883" t="s">
        <v>19</v>
      </c>
      <c r="F7883">
        <v>5200</v>
      </c>
      <c r="J7883">
        <v>301.10000000000002</v>
      </c>
      <c r="K7883">
        <v>329.7</v>
      </c>
      <c r="L7883">
        <v>0</v>
      </c>
      <c r="M7883" t="s">
        <v>18</v>
      </c>
      <c r="N7883">
        <v>0</v>
      </c>
      <c r="O7883">
        <v>0</v>
      </c>
    </row>
    <row r="7884" spans="1:15" x14ac:dyDescent="0.2">
      <c r="A7884" s="6">
        <v>45771</v>
      </c>
      <c r="B7884" t="s">
        <v>15</v>
      </c>
      <c r="C7884" t="s">
        <v>16</v>
      </c>
      <c r="D7884" s="1">
        <v>45855</v>
      </c>
      <c r="E7884" t="s">
        <v>19</v>
      </c>
      <c r="F7884">
        <v>5250</v>
      </c>
      <c r="J7884">
        <v>325.7</v>
      </c>
      <c r="K7884">
        <v>355.3</v>
      </c>
      <c r="L7884">
        <v>0</v>
      </c>
      <c r="M7884" t="s">
        <v>18</v>
      </c>
      <c r="N7884">
        <v>0</v>
      </c>
      <c r="O7884">
        <v>0</v>
      </c>
    </row>
    <row r="7885" spans="1:15" x14ac:dyDescent="0.2">
      <c r="A7885" s="6">
        <v>45771</v>
      </c>
      <c r="B7885" t="s">
        <v>15</v>
      </c>
      <c r="C7885" t="s">
        <v>16</v>
      </c>
      <c r="D7885" s="1">
        <v>45855</v>
      </c>
      <c r="E7885" t="s">
        <v>17</v>
      </c>
      <c r="F7885">
        <v>4850</v>
      </c>
      <c r="J7885">
        <v>603.4</v>
      </c>
      <c r="K7885">
        <v>585</v>
      </c>
      <c r="L7885">
        <v>0</v>
      </c>
      <c r="M7885" t="s">
        <v>18</v>
      </c>
      <c r="N7885">
        <v>0</v>
      </c>
      <c r="O7885">
        <v>0</v>
      </c>
    </row>
    <row r="7886" spans="1:15" x14ac:dyDescent="0.2">
      <c r="A7886" s="6">
        <v>45771</v>
      </c>
      <c r="B7886" t="s">
        <v>15</v>
      </c>
      <c r="C7886" t="s">
        <v>16</v>
      </c>
      <c r="D7886" s="1">
        <v>45855</v>
      </c>
      <c r="E7886" t="s">
        <v>17</v>
      </c>
      <c r="F7886">
        <v>5000</v>
      </c>
      <c r="J7886">
        <v>509.3</v>
      </c>
      <c r="K7886">
        <v>494.3</v>
      </c>
      <c r="L7886">
        <v>0</v>
      </c>
      <c r="M7886" t="s">
        <v>18</v>
      </c>
      <c r="N7886">
        <v>0</v>
      </c>
      <c r="O7886">
        <v>0</v>
      </c>
    </row>
    <row r="7887" spans="1:15" x14ac:dyDescent="0.2">
      <c r="A7887" s="6">
        <v>45771</v>
      </c>
      <c r="B7887" t="s">
        <v>15</v>
      </c>
      <c r="C7887" t="s">
        <v>16</v>
      </c>
      <c r="D7887" s="1">
        <v>45855</v>
      </c>
      <c r="E7887" t="s">
        <v>17</v>
      </c>
      <c r="F7887">
        <v>4350</v>
      </c>
      <c r="J7887">
        <v>983.5</v>
      </c>
      <c r="K7887">
        <v>954</v>
      </c>
      <c r="L7887">
        <v>0</v>
      </c>
      <c r="M7887" t="s">
        <v>18</v>
      </c>
      <c r="N7887">
        <v>0</v>
      </c>
      <c r="O7887">
        <v>0</v>
      </c>
    </row>
    <row r="7888" spans="1:15" x14ac:dyDescent="0.2">
      <c r="A7888" s="6">
        <v>45771</v>
      </c>
      <c r="B7888" t="s">
        <v>15</v>
      </c>
      <c r="C7888" t="s">
        <v>16</v>
      </c>
      <c r="D7888" s="1">
        <v>45855</v>
      </c>
      <c r="E7888" t="s">
        <v>17</v>
      </c>
      <c r="F7888">
        <v>4100</v>
      </c>
      <c r="J7888">
        <v>1203.9000000000001</v>
      </c>
      <c r="K7888">
        <v>1170.0999999999999</v>
      </c>
      <c r="L7888">
        <v>0</v>
      </c>
      <c r="M7888" t="s">
        <v>18</v>
      </c>
      <c r="N7888">
        <v>0</v>
      </c>
      <c r="O7888">
        <v>0</v>
      </c>
    </row>
    <row r="7889" spans="1:15" x14ac:dyDescent="0.2">
      <c r="A7889" s="6">
        <v>45771</v>
      </c>
      <c r="B7889" t="s">
        <v>15</v>
      </c>
      <c r="C7889" t="s">
        <v>16</v>
      </c>
      <c r="D7889" s="1">
        <v>45855</v>
      </c>
      <c r="E7889" t="s">
        <v>17</v>
      </c>
      <c r="F7889">
        <v>4400</v>
      </c>
      <c r="J7889">
        <v>941.5</v>
      </c>
      <c r="K7889">
        <v>913</v>
      </c>
      <c r="L7889">
        <v>0</v>
      </c>
      <c r="M7889" t="s">
        <v>18</v>
      </c>
      <c r="N7889">
        <v>0</v>
      </c>
      <c r="O7889">
        <v>0</v>
      </c>
    </row>
    <row r="7890" spans="1:15" x14ac:dyDescent="0.2">
      <c r="A7890" s="6">
        <v>45771</v>
      </c>
      <c r="B7890" t="s">
        <v>15</v>
      </c>
      <c r="C7890" t="s">
        <v>16</v>
      </c>
      <c r="D7890" s="1">
        <v>45855</v>
      </c>
      <c r="E7890" t="s">
        <v>17</v>
      </c>
      <c r="F7890">
        <v>5300</v>
      </c>
      <c r="J7890">
        <v>351.5</v>
      </c>
      <c r="K7890">
        <v>342.6</v>
      </c>
      <c r="L7890">
        <v>0</v>
      </c>
      <c r="M7890" t="s">
        <v>18</v>
      </c>
      <c r="N7890">
        <v>0</v>
      </c>
      <c r="O7890">
        <v>0</v>
      </c>
    </row>
    <row r="7891" spans="1:15" x14ac:dyDescent="0.2">
      <c r="A7891" s="6">
        <v>45771</v>
      </c>
      <c r="B7891" t="s">
        <v>15</v>
      </c>
      <c r="C7891" t="s">
        <v>16</v>
      </c>
      <c r="D7891" s="1">
        <v>45855</v>
      </c>
      <c r="E7891" t="s">
        <v>19</v>
      </c>
      <c r="F7891">
        <v>6150</v>
      </c>
      <c r="J7891">
        <v>936</v>
      </c>
      <c r="K7891">
        <v>975.6</v>
      </c>
      <c r="L7891">
        <v>0</v>
      </c>
      <c r="M7891" t="s">
        <v>18</v>
      </c>
      <c r="N7891">
        <v>0</v>
      </c>
      <c r="O7891">
        <v>0</v>
      </c>
    </row>
    <row r="7892" spans="1:15" x14ac:dyDescent="0.2">
      <c r="A7892" s="6">
        <v>45771</v>
      </c>
      <c r="B7892" t="s">
        <v>15</v>
      </c>
      <c r="C7892" t="s">
        <v>16</v>
      </c>
      <c r="D7892" s="1">
        <v>45855</v>
      </c>
      <c r="E7892" t="s">
        <v>17</v>
      </c>
      <c r="F7892">
        <v>6200</v>
      </c>
      <c r="J7892">
        <v>90.7</v>
      </c>
      <c r="K7892">
        <v>91.2</v>
      </c>
      <c r="L7892">
        <v>0</v>
      </c>
      <c r="M7892" t="s">
        <v>18</v>
      </c>
      <c r="N7892">
        <v>0</v>
      </c>
      <c r="O7892">
        <v>0</v>
      </c>
    </row>
    <row r="7893" spans="1:15" x14ac:dyDescent="0.2">
      <c r="A7893" s="6">
        <v>45771</v>
      </c>
      <c r="B7893" t="s">
        <v>15</v>
      </c>
      <c r="C7893" t="s">
        <v>16</v>
      </c>
      <c r="D7893" s="1">
        <v>45855</v>
      </c>
      <c r="E7893" t="s">
        <v>19</v>
      </c>
      <c r="F7893">
        <v>6550</v>
      </c>
      <c r="J7893">
        <v>1280.5999999999999</v>
      </c>
      <c r="K7893">
        <v>1320.9</v>
      </c>
      <c r="L7893">
        <v>0</v>
      </c>
      <c r="M7893" t="s">
        <v>18</v>
      </c>
      <c r="N7893">
        <v>0</v>
      </c>
      <c r="O7893">
        <v>0</v>
      </c>
    </row>
    <row r="7894" spans="1:15" x14ac:dyDescent="0.2">
      <c r="A7894" s="6">
        <v>45771</v>
      </c>
      <c r="B7894" t="s">
        <v>15</v>
      </c>
      <c r="C7894" t="s">
        <v>16</v>
      </c>
      <c r="D7894" s="1">
        <v>45855</v>
      </c>
      <c r="E7894" t="s">
        <v>17</v>
      </c>
      <c r="F7894">
        <v>4900</v>
      </c>
      <c r="J7894">
        <v>571</v>
      </c>
      <c r="K7894">
        <v>553.70000000000005</v>
      </c>
      <c r="L7894">
        <v>0</v>
      </c>
      <c r="M7894" t="s">
        <v>18</v>
      </c>
      <c r="N7894">
        <v>0</v>
      </c>
      <c r="O7894">
        <v>0</v>
      </c>
    </row>
    <row r="7895" spans="1:15" x14ac:dyDescent="0.2">
      <c r="A7895" s="6">
        <v>45771</v>
      </c>
      <c r="B7895" t="s">
        <v>15</v>
      </c>
      <c r="C7895" t="s">
        <v>16</v>
      </c>
      <c r="D7895" s="1">
        <v>45855</v>
      </c>
      <c r="E7895" t="s">
        <v>17</v>
      </c>
      <c r="F7895">
        <v>4950</v>
      </c>
      <c r="J7895">
        <v>539.6</v>
      </c>
      <c r="K7895">
        <v>523.5</v>
      </c>
      <c r="L7895">
        <v>0</v>
      </c>
      <c r="M7895" t="s">
        <v>18</v>
      </c>
      <c r="N7895">
        <v>0</v>
      </c>
      <c r="O7895">
        <v>0</v>
      </c>
    </row>
    <row r="7896" spans="1:15" x14ac:dyDescent="0.2">
      <c r="A7896" s="6">
        <v>45771</v>
      </c>
      <c r="B7896" t="s">
        <v>15</v>
      </c>
      <c r="C7896" t="s">
        <v>16</v>
      </c>
      <c r="D7896" s="1">
        <v>45855</v>
      </c>
      <c r="E7896" t="s">
        <v>17</v>
      </c>
      <c r="F7896">
        <v>5700</v>
      </c>
      <c r="J7896">
        <v>200.9</v>
      </c>
      <c r="K7896">
        <v>197.9</v>
      </c>
      <c r="L7896">
        <v>0</v>
      </c>
      <c r="M7896" t="s">
        <v>18</v>
      </c>
      <c r="N7896">
        <v>0</v>
      </c>
      <c r="O7896">
        <v>0</v>
      </c>
    </row>
    <row r="7897" spans="1:15" x14ac:dyDescent="0.2">
      <c r="A7897" s="6">
        <v>45771</v>
      </c>
      <c r="B7897" t="s">
        <v>15</v>
      </c>
      <c r="C7897" t="s">
        <v>16</v>
      </c>
      <c r="D7897" s="1">
        <v>45855</v>
      </c>
      <c r="E7897" t="s">
        <v>17</v>
      </c>
      <c r="F7897">
        <v>4450</v>
      </c>
      <c r="J7897">
        <v>900.2</v>
      </c>
      <c r="K7897">
        <v>872.8</v>
      </c>
      <c r="L7897">
        <v>0</v>
      </c>
      <c r="M7897" t="s">
        <v>18</v>
      </c>
      <c r="N7897">
        <v>0</v>
      </c>
      <c r="O7897">
        <v>0</v>
      </c>
    </row>
    <row r="7898" spans="1:15" x14ac:dyDescent="0.2">
      <c r="A7898" s="6">
        <v>45771</v>
      </c>
      <c r="B7898" t="s">
        <v>15</v>
      </c>
      <c r="C7898" t="s">
        <v>16</v>
      </c>
      <c r="D7898" s="1">
        <v>45855</v>
      </c>
      <c r="E7898" t="s">
        <v>17</v>
      </c>
      <c r="F7898">
        <v>4750</v>
      </c>
      <c r="J7898">
        <v>671.6</v>
      </c>
      <c r="K7898">
        <v>650.9</v>
      </c>
      <c r="L7898">
        <v>0</v>
      </c>
      <c r="M7898" t="s">
        <v>18</v>
      </c>
      <c r="N7898">
        <v>0</v>
      </c>
      <c r="O7898">
        <v>0</v>
      </c>
    </row>
    <row r="7899" spans="1:15" x14ac:dyDescent="0.2">
      <c r="A7899" s="6">
        <v>45771</v>
      </c>
      <c r="B7899" t="s">
        <v>15</v>
      </c>
      <c r="C7899" t="s">
        <v>16</v>
      </c>
      <c r="D7899" s="1">
        <v>45855</v>
      </c>
      <c r="E7899" t="s">
        <v>17</v>
      </c>
      <c r="F7899">
        <v>4800</v>
      </c>
      <c r="J7899">
        <v>637</v>
      </c>
      <c r="K7899">
        <v>617.4</v>
      </c>
      <c r="L7899">
        <v>0</v>
      </c>
      <c r="M7899" t="s">
        <v>18</v>
      </c>
      <c r="N7899">
        <v>0</v>
      </c>
      <c r="O7899">
        <v>0</v>
      </c>
    </row>
    <row r="7900" spans="1:15" x14ac:dyDescent="0.2">
      <c r="A7900" s="6">
        <v>45771</v>
      </c>
      <c r="B7900" t="s">
        <v>15</v>
      </c>
      <c r="C7900" t="s">
        <v>16</v>
      </c>
      <c r="D7900" s="1">
        <v>45855</v>
      </c>
      <c r="E7900" t="s">
        <v>17</v>
      </c>
      <c r="F7900">
        <v>5950</v>
      </c>
      <c r="J7900">
        <v>136.69999999999999</v>
      </c>
      <c r="K7900">
        <v>135.9</v>
      </c>
      <c r="L7900">
        <v>0</v>
      </c>
      <c r="M7900" t="s">
        <v>18</v>
      </c>
      <c r="N7900">
        <v>0</v>
      </c>
      <c r="O7900">
        <v>0</v>
      </c>
    </row>
    <row r="7901" spans="1:15" x14ac:dyDescent="0.2">
      <c r="A7901" s="6">
        <v>45771</v>
      </c>
      <c r="B7901" t="s">
        <v>15</v>
      </c>
      <c r="C7901" t="s">
        <v>16</v>
      </c>
      <c r="D7901" s="1">
        <v>45855</v>
      </c>
      <c r="E7901" t="s">
        <v>19</v>
      </c>
      <c r="F7901">
        <v>4200</v>
      </c>
      <c r="J7901">
        <v>30.2</v>
      </c>
      <c r="K7901">
        <v>37.6</v>
      </c>
      <c r="L7901">
        <v>0</v>
      </c>
      <c r="M7901" t="s">
        <v>18</v>
      </c>
      <c r="N7901">
        <v>0</v>
      </c>
      <c r="O7901">
        <v>0</v>
      </c>
    </row>
    <row r="7902" spans="1:15" x14ac:dyDescent="0.2">
      <c r="A7902" s="6">
        <v>45771</v>
      </c>
      <c r="B7902" t="s">
        <v>15</v>
      </c>
      <c r="C7902" t="s">
        <v>16</v>
      </c>
      <c r="D7902" s="1">
        <v>45855</v>
      </c>
      <c r="E7902" t="s">
        <v>19</v>
      </c>
      <c r="F7902">
        <v>4900</v>
      </c>
      <c r="J7902">
        <v>176.9</v>
      </c>
      <c r="K7902">
        <v>199.1</v>
      </c>
      <c r="L7902">
        <v>0</v>
      </c>
      <c r="M7902" t="s">
        <v>18</v>
      </c>
      <c r="N7902">
        <v>0</v>
      </c>
      <c r="O7902">
        <v>0</v>
      </c>
    </row>
    <row r="7903" spans="1:15" x14ac:dyDescent="0.2">
      <c r="A7903" s="6">
        <v>45771</v>
      </c>
      <c r="B7903" t="s">
        <v>15</v>
      </c>
      <c r="C7903" t="s">
        <v>16</v>
      </c>
      <c r="D7903" s="1">
        <v>45855</v>
      </c>
      <c r="E7903" t="s">
        <v>17</v>
      </c>
      <c r="F7903">
        <v>5100</v>
      </c>
      <c r="J7903">
        <v>452.2</v>
      </c>
      <c r="K7903">
        <v>439.4</v>
      </c>
      <c r="L7903">
        <v>0</v>
      </c>
      <c r="M7903" t="s">
        <v>18</v>
      </c>
      <c r="N7903">
        <v>0</v>
      </c>
      <c r="O7903">
        <v>0</v>
      </c>
    </row>
    <row r="7904" spans="1:15" x14ac:dyDescent="0.2">
      <c r="A7904" s="6">
        <v>45771</v>
      </c>
      <c r="B7904" t="s">
        <v>15</v>
      </c>
      <c r="C7904" t="s">
        <v>16</v>
      </c>
      <c r="D7904" s="1">
        <v>45855</v>
      </c>
      <c r="E7904" t="s">
        <v>19</v>
      </c>
      <c r="F7904">
        <v>5100</v>
      </c>
      <c r="J7904">
        <v>255.2</v>
      </c>
      <c r="K7904">
        <v>281.8</v>
      </c>
      <c r="L7904">
        <v>0</v>
      </c>
      <c r="M7904" t="s">
        <v>18</v>
      </c>
      <c r="N7904">
        <v>0</v>
      </c>
      <c r="O7904">
        <v>0</v>
      </c>
    </row>
    <row r="7905" spans="1:15" x14ac:dyDescent="0.2">
      <c r="A7905" s="6">
        <v>45771</v>
      </c>
      <c r="B7905" t="s">
        <v>15</v>
      </c>
      <c r="C7905" t="s">
        <v>16</v>
      </c>
      <c r="D7905" s="1">
        <v>45855</v>
      </c>
      <c r="E7905" t="s">
        <v>17</v>
      </c>
      <c r="F7905">
        <v>5250</v>
      </c>
      <c r="J7905">
        <v>375</v>
      </c>
      <c r="K7905">
        <v>365.1</v>
      </c>
      <c r="L7905">
        <v>0</v>
      </c>
      <c r="M7905" t="s">
        <v>18</v>
      </c>
      <c r="N7905">
        <v>0</v>
      </c>
      <c r="O7905">
        <v>0</v>
      </c>
    </row>
    <row r="7906" spans="1:15" x14ac:dyDescent="0.2">
      <c r="A7906" s="6">
        <v>45771</v>
      </c>
      <c r="B7906" t="s">
        <v>15</v>
      </c>
      <c r="C7906" t="s">
        <v>16</v>
      </c>
      <c r="D7906" s="1">
        <v>45855</v>
      </c>
      <c r="E7906" t="s">
        <v>17</v>
      </c>
      <c r="F7906">
        <v>4200</v>
      </c>
      <c r="J7906">
        <v>1113.9000000000001</v>
      </c>
      <c r="K7906">
        <v>1081.7</v>
      </c>
      <c r="L7906">
        <v>0</v>
      </c>
      <c r="M7906" t="s">
        <v>18</v>
      </c>
      <c r="N7906">
        <v>0</v>
      </c>
      <c r="O7906">
        <v>0</v>
      </c>
    </row>
    <row r="7907" spans="1:15" x14ac:dyDescent="0.2">
      <c r="A7907" s="6">
        <v>45771</v>
      </c>
      <c r="B7907" t="s">
        <v>15</v>
      </c>
      <c r="C7907" t="s">
        <v>16</v>
      </c>
      <c r="D7907" s="1">
        <v>45855</v>
      </c>
      <c r="E7907" t="s">
        <v>19</v>
      </c>
      <c r="F7907">
        <v>6650</v>
      </c>
      <c r="J7907">
        <v>1370.9</v>
      </c>
      <c r="K7907">
        <v>1411.3</v>
      </c>
      <c r="L7907">
        <v>0</v>
      </c>
      <c r="M7907" t="s">
        <v>18</v>
      </c>
      <c r="N7907">
        <v>0</v>
      </c>
      <c r="O7907">
        <v>0</v>
      </c>
    </row>
    <row r="7908" spans="1:15" x14ac:dyDescent="0.2">
      <c r="A7908" s="6">
        <v>45771</v>
      </c>
      <c r="B7908" t="s">
        <v>15</v>
      </c>
      <c r="C7908" t="s">
        <v>16</v>
      </c>
      <c r="D7908" s="1">
        <v>45855</v>
      </c>
      <c r="E7908" t="s">
        <v>19</v>
      </c>
      <c r="F7908">
        <v>6050</v>
      </c>
      <c r="J7908">
        <v>855.2</v>
      </c>
      <c r="K7908">
        <v>894.3</v>
      </c>
      <c r="L7908">
        <v>0</v>
      </c>
      <c r="M7908" t="s">
        <v>18</v>
      </c>
      <c r="N7908">
        <v>0</v>
      </c>
      <c r="O7908">
        <v>0</v>
      </c>
    </row>
    <row r="7909" spans="1:15" x14ac:dyDescent="0.2">
      <c r="A7909" s="6">
        <v>45771</v>
      </c>
      <c r="B7909" t="s">
        <v>15</v>
      </c>
      <c r="C7909" t="s">
        <v>16</v>
      </c>
      <c r="D7909" s="1">
        <v>45855</v>
      </c>
      <c r="E7909" t="s">
        <v>17</v>
      </c>
      <c r="F7909">
        <v>4650</v>
      </c>
      <c r="J7909">
        <v>744</v>
      </c>
      <c r="K7909">
        <v>721</v>
      </c>
      <c r="L7909">
        <v>0</v>
      </c>
      <c r="M7909" t="s">
        <v>18</v>
      </c>
      <c r="N7909">
        <v>0</v>
      </c>
      <c r="O7909">
        <v>0</v>
      </c>
    </row>
    <row r="7910" spans="1:15" x14ac:dyDescent="0.2">
      <c r="A7910" s="6">
        <v>45771</v>
      </c>
      <c r="B7910" t="s">
        <v>15</v>
      </c>
      <c r="C7910" t="s">
        <v>16</v>
      </c>
      <c r="D7910" s="1">
        <v>45855</v>
      </c>
      <c r="E7910" t="s">
        <v>17</v>
      </c>
      <c r="F7910">
        <v>6650</v>
      </c>
      <c r="J7910">
        <v>40.9</v>
      </c>
      <c r="K7910">
        <v>42.2</v>
      </c>
      <c r="L7910">
        <v>0</v>
      </c>
      <c r="M7910" t="s">
        <v>18</v>
      </c>
      <c r="N7910">
        <v>0</v>
      </c>
      <c r="O7910">
        <v>0</v>
      </c>
    </row>
    <row r="7911" spans="1:15" x14ac:dyDescent="0.2">
      <c r="A7911" s="6">
        <v>45771</v>
      </c>
      <c r="B7911" t="s">
        <v>15</v>
      </c>
      <c r="C7911" t="s">
        <v>16</v>
      </c>
      <c r="D7911" s="1">
        <v>45855</v>
      </c>
      <c r="E7911" t="s">
        <v>19</v>
      </c>
      <c r="F7911">
        <v>4550</v>
      </c>
      <c r="J7911">
        <v>81.400000000000006</v>
      </c>
      <c r="K7911">
        <v>95.7</v>
      </c>
      <c r="L7911">
        <v>0</v>
      </c>
      <c r="M7911" t="s">
        <v>18</v>
      </c>
      <c r="N7911">
        <v>0</v>
      </c>
      <c r="O7911">
        <v>0</v>
      </c>
    </row>
    <row r="7912" spans="1:15" x14ac:dyDescent="0.2">
      <c r="A7912" s="6">
        <v>45771</v>
      </c>
      <c r="B7912" t="s">
        <v>15</v>
      </c>
      <c r="C7912" t="s">
        <v>16</v>
      </c>
      <c r="D7912" s="1">
        <v>45855</v>
      </c>
      <c r="E7912" t="s">
        <v>19</v>
      </c>
      <c r="F7912">
        <v>6400</v>
      </c>
      <c r="J7912">
        <v>1147.9000000000001</v>
      </c>
      <c r="K7912">
        <v>1188.0999999999999</v>
      </c>
      <c r="L7912">
        <v>0</v>
      </c>
      <c r="M7912" t="s">
        <v>18</v>
      </c>
      <c r="N7912">
        <v>0</v>
      </c>
      <c r="O7912">
        <v>0</v>
      </c>
    </row>
    <row r="7913" spans="1:15" x14ac:dyDescent="0.2">
      <c r="A7913" s="6">
        <v>45771</v>
      </c>
      <c r="B7913" t="s">
        <v>15</v>
      </c>
      <c r="C7913" t="s">
        <v>16</v>
      </c>
      <c r="D7913" s="1">
        <v>45855</v>
      </c>
      <c r="E7913" t="s">
        <v>17</v>
      </c>
      <c r="F7913">
        <v>6050</v>
      </c>
      <c r="J7913">
        <v>116.4</v>
      </c>
      <c r="K7913">
        <v>116.2</v>
      </c>
      <c r="L7913">
        <v>0</v>
      </c>
      <c r="M7913" t="s">
        <v>18</v>
      </c>
      <c r="N7913">
        <v>0</v>
      </c>
      <c r="O7913">
        <v>0</v>
      </c>
    </row>
    <row r="7914" spans="1:15" x14ac:dyDescent="0.2">
      <c r="A7914" s="6">
        <v>45771</v>
      </c>
      <c r="B7914" t="s">
        <v>15</v>
      </c>
      <c r="C7914" t="s">
        <v>16</v>
      </c>
      <c r="D7914" s="1">
        <v>45855</v>
      </c>
      <c r="E7914" t="s">
        <v>19</v>
      </c>
      <c r="F7914">
        <v>4700</v>
      </c>
      <c r="J7914">
        <v>116.2</v>
      </c>
      <c r="K7914">
        <v>133.80000000000001</v>
      </c>
      <c r="L7914">
        <v>0</v>
      </c>
      <c r="M7914" t="s">
        <v>18</v>
      </c>
      <c r="N7914">
        <v>0</v>
      </c>
      <c r="O7914">
        <v>0</v>
      </c>
    </row>
    <row r="7915" spans="1:15" x14ac:dyDescent="0.2">
      <c r="A7915" s="6">
        <v>45771</v>
      </c>
      <c r="B7915" t="s">
        <v>15</v>
      </c>
      <c r="C7915" t="s">
        <v>16</v>
      </c>
      <c r="D7915" s="1">
        <v>45855</v>
      </c>
      <c r="E7915" t="s">
        <v>19</v>
      </c>
      <c r="F7915">
        <v>5450</v>
      </c>
      <c r="J7915">
        <v>435.2</v>
      </c>
      <c r="K7915">
        <v>468.2</v>
      </c>
      <c r="L7915">
        <v>0</v>
      </c>
      <c r="M7915" t="s">
        <v>18</v>
      </c>
      <c r="N7915">
        <v>0</v>
      </c>
      <c r="O7915">
        <v>0</v>
      </c>
    </row>
    <row r="7916" spans="1:15" x14ac:dyDescent="0.2">
      <c r="A7916" s="6">
        <v>45771</v>
      </c>
      <c r="B7916" t="s">
        <v>15</v>
      </c>
      <c r="C7916" t="s">
        <v>16</v>
      </c>
      <c r="D7916" s="1">
        <v>45855</v>
      </c>
      <c r="E7916" t="s">
        <v>19</v>
      </c>
      <c r="F7916">
        <v>5700</v>
      </c>
      <c r="J7916">
        <v>595</v>
      </c>
      <c r="K7916">
        <v>631.20000000000005</v>
      </c>
      <c r="L7916">
        <v>0</v>
      </c>
      <c r="M7916" t="s">
        <v>18</v>
      </c>
      <c r="N7916">
        <v>0</v>
      </c>
      <c r="O7916">
        <v>0</v>
      </c>
    </row>
    <row r="7917" spans="1:15" x14ac:dyDescent="0.2">
      <c r="A7917" s="6">
        <v>45771</v>
      </c>
      <c r="B7917" t="s">
        <v>15</v>
      </c>
      <c r="C7917" t="s">
        <v>16</v>
      </c>
      <c r="D7917" s="1">
        <v>45855</v>
      </c>
      <c r="E7917" t="s">
        <v>19</v>
      </c>
      <c r="F7917">
        <v>5300</v>
      </c>
      <c r="J7917">
        <v>351.5</v>
      </c>
      <c r="K7917">
        <v>382</v>
      </c>
      <c r="L7917">
        <v>0</v>
      </c>
      <c r="M7917" t="s">
        <v>18</v>
      </c>
      <c r="N7917">
        <v>0</v>
      </c>
      <c r="O7917">
        <v>0</v>
      </c>
    </row>
    <row r="7918" spans="1:15" x14ac:dyDescent="0.2">
      <c r="A7918" s="6">
        <v>45771</v>
      </c>
      <c r="B7918" t="s">
        <v>15</v>
      </c>
      <c r="C7918" t="s">
        <v>16</v>
      </c>
      <c r="D7918" s="1">
        <v>45855</v>
      </c>
      <c r="E7918" t="s">
        <v>17</v>
      </c>
      <c r="F7918">
        <v>6550</v>
      </c>
      <c r="J7918">
        <v>49.1</v>
      </c>
      <c r="K7918">
        <v>50.3</v>
      </c>
      <c r="L7918">
        <v>0</v>
      </c>
      <c r="M7918" t="s">
        <v>18</v>
      </c>
      <c r="N7918">
        <v>0</v>
      </c>
      <c r="O7918">
        <v>0</v>
      </c>
    </row>
    <row r="7919" spans="1:15" x14ac:dyDescent="0.2">
      <c r="A7919" s="6">
        <v>45771</v>
      </c>
      <c r="B7919" t="s">
        <v>15</v>
      </c>
      <c r="C7919" t="s">
        <v>16</v>
      </c>
      <c r="D7919" s="1">
        <v>45855</v>
      </c>
      <c r="E7919" t="s">
        <v>19</v>
      </c>
      <c r="F7919">
        <v>5400</v>
      </c>
      <c r="J7919">
        <v>406.2</v>
      </c>
      <c r="K7919">
        <v>438.4</v>
      </c>
      <c r="L7919">
        <v>0</v>
      </c>
      <c r="M7919" t="s">
        <v>18</v>
      </c>
      <c r="N7919">
        <v>0</v>
      </c>
      <c r="O7919">
        <v>0</v>
      </c>
    </row>
    <row r="7920" spans="1:15" x14ac:dyDescent="0.2">
      <c r="A7920" s="6">
        <v>45771</v>
      </c>
      <c r="B7920" t="s">
        <v>15</v>
      </c>
      <c r="C7920" t="s">
        <v>16</v>
      </c>
      <c r="D7920" s="1">
        <v>45855</v>
      </c>
      <c r="E7920" t="s">
        <v>19</v>
      </c>
      <c r="F7920">
        <v>5050</v>
      </c>
      <c r="J7920">
        <v>233.9</v>
      </c>
      <c r="K7920">
        <v>259.5</v>
      </c>
      <c r="L7920">
        <v>0</v>
      </c>
      <c r="M7920" t="s">
        <v>18</v>
      </c>
      <c r="N7920">
        <v>0</v>
      </c>
      <c r="O7920">
        <v>0</v>
      </c>
    </row>
    <row r="7921" spans="1:15" x14ac:dyDescent="0.2">
      <c r="A7921" s="6">
        <v>45771</v>
      </c>
      <c r="B7921" t="s">
        <v>15</v>
      </c>
      <c r="C7921" t="s">
        <v>16</v>
      </c>
      <c r="D7921" s="1">
        <v>45855</v>
      </c>
      <c r="E7921" t="s">
        <v>19</v>
      </c>
      <c r="F7921">
        <v>4250</v>
      </c>
      <c r="J7921">
        <v>35.299999999999997</v>
      </c>
      <c r="K7921">
        <v>43.6</v>
      </c>
      <c r="L7921">
        <v>0</v>
      </c>
      <c r="M7921" t="s">
        <v>18</v>
      </c>
      <c r="N7921">
        <v>0</v>
      </c>
      <c r="O7921">
        <v>0</v>
      </c>
    </row>
    <row r="7922" spans="1:15" x14ac:dyDescent="0.2">
      <c r="A7922" s="6">
        <v>45771</v>
      </c>
      <c r="B7922" t="s">
        <v>15</v>
      </c>
      <c r="C7922" t="s">
        <v>16</v>
      </c>
      <c r="D7922" s="1">
        <v>45855</v>
      </c>
      <c r="E7922" t="s">
        <v>19</v>
      </c>
      <c r="F7922">
        <v>4450</v>
      </c>
      <c r="J7922">
        <v>62.9</v>
      </c>
      <c r="K7922">
        <v>75</v>
      </c>
      <c r="L7922">
        <v>0</v>
      </c>
      <c r="M7922" t="s">
        <v>18</v>
      </c>
      <c r="N7922">
        <v>0</v>
      </c>
      <c r="O7922">
        <v>0</v>
      </c>
    </row>
    <row r="7923" spans="1:15" x14ac:dyDescent="0.2">
      <c r="A7923" s="6">
        <v>45771</v>
      </c>
      <c r="B7923" t="s">
        <v>15</v>
      </c>
      <c r="C7923" t="s">
        <v>16</v>
      </c>
      <c r="D7923" s="1">
        <v>45855</v>
      </c>
      <c r="E7923" t="s">
        <v>19</v>
      </c>
      <c r="F7923">
        <v>4950</v>
      </c>
      <c r="J7923">
        <v>194.8</v>
      </c>
      <c r="K7923">
        <v>218.1</v>
      </c>
      <c r="L7923">
        <v>0</v>
      </c>
      <c r="M7923" t="s">
        <v>18</v>
      </c>
      <c r="N7923">
        <v>0</v>
      </c>
      <c r="O7923">
        <v>0</v>
      </c>
    </row>
    <row r="7924" spans="1:15" x14ac:dyDescent="0.2">
      <c r="A7924" s="6">
        <v>45771</v>
      </c>
      <c r="B7924" t="s">
        <v>15</v>
      </c>
      <c r="C7924" t="s">
        <v>16</v>
      </c>
      <c r="D7924" s="1">
        <v>45855</v>
      </c>
      <c r="E7924" t="s">
        <v>17</v>
      </c>
      <c r="F7924">
        <v>5550</v>
      </c>
      <c r="J7924">
        <v>249.9</v>
      </c>
      <c r="K7924">
        <v>245</v>
      </c>
      <c r="L7924">
        <v>0</v>
      </c>
      <c r="M7924" t="s">
        <v>18</v>
      </c>
      <c r="N7924">
        <v>0</v>
      </c>
      <c r="O7924">
        <v>0</v>
      </c>
    </row>
    <row r="7925" spans="1:15" x14ac:dyDescent="0.2">
      <c r="A7925" s="6">
        <v>45771</v>
      </c>
      <c r="B7925" t="s">
        <v>15</v>
      </c>
      <c r="C7925" t="s">
        <v>16</v>
      </c>
      <c r="D7925" s="1">
        <v>45855</v>
      </c>
      <c r="E7925" t="s">
        <v>19</v>
      </c>
      <c r="F7925">
        <v>4600</v>
      </c>
      <c r="J7925">
        <v>92</v>
      </c>
      <c r="K7925">
        <v>107.4</v>
      </c>
      <c r="L7925">
        <v>0</v>
      </c>
      <c r="M7925" t="s">
        <v>18</v>
      </c>
      <c r="N7925">
        <v>0</v>
      </c>
      <c r="O7925">
        <v>0</v>
      </c>
    </row>
    <row r="7926" spans="1:15" x14ac:dyDescent="0.2">
      <c r="A7926" s="6">
        <v>45771</v>
      </c>
      <c r="B7926" t="s">
        <v>15</v>
      </c>
      <c r="C7926" t="s">
        <v>16</v>
      </c>
      <c r="D7926" s="1">
        <v>45855</v>
      </c>
      <c r="E7926" t="s">
        <v>17</v>
      </c>
      <c r="F7926">
        <v>5600</v>
      </c>
      <c r="J7926">
        <v>232.6</v>
      </c>
      <c r="K7926">
        <v>228.4</v>
      </c>
      <c r="L7926">
        <v>0</v>
      </c>
      <c r="M7926" t="s">
        <v>18</v>
      </c>
      <c r="N7926">
        <v>0</v>
      </c>
      <c r="O7926">
        <v>0</v>
      </c>
    </row>
    <row r="7927" spans="1:15" x14ac:dyDescent="0.2">
      <c r="A7927" s="6">
        <v>45771</v>
      </c>
      <c r="B7927" t="s">
        <v>15</v>
      </c>
      <c r="C7927" t="s">
        <v>16</v>
      </c>
      <c r="D7927" s="1">
        <v>45855</v>
      </c>
      <c r="E7927" t="s">
        <v>19</v>
      </c>
      <c r="F7927">
        <v>6200</v>
      </c>
      <c r="J7927">
        <v>977.4</v>
      </c>
      <c r="K7927">
        <v>1017.1</v>
      </c>
      <c r="L7927">
        <v>0</v>
      </c>
      <c r="M7927" t="s">
        <v>18</v>
      </c>
      <c r="N7927">
        <v>0</v>
      </c>
      <c r="O7927">
        <v>0</v>
      </c>
    </row>
    <row r="7928" spans="1:15" x14ac:dyDescent="0.2">
      <c r="A7928" s="6">
        <v>45771</v>
      </c>
      <c r="B7928" t="s">
        <v>15</v>
      </c>
      <c r="C7928" t="s">
        <v>16</v>
      </c>
      <c r="D7928" s="1">
        <v>45855</v>
      </c>
      <c r="E7928" t="s">
        <v>19</v>
      </c>
      <c r="F7928">
        <v>4800</v>
      </c>
      <c r="J7928">
        <v>144.4</v>
      </c>
      <c r="K7928">
        <v>164.4</v>
      </c>
      <c r="L7928">
        <v>0</v>
      </c>
      <c r="M7928" t="s">
        <v>18</v>
      </c>
      <c r="N7928">
        <v>0</v>
      </c>
      <c r="O7928">
        <v>0</v>
      </c>
    </row>
    <row r="7929" spans="1:15" x14ac:dyDescent="0.2">
      <c r="A7929" s="6">
        <v>45771</v>
      </c>
      <c r="B7929" t="s">
        <v>15</v>
      </c>
      <c r="C7929" t="s">
        <v>16</v>
      </c>
      <c r="D7929" s="1">
        <v>45855</v>
      </c>
      <c r="E7929" t="s">
        <v>19</v>
      </c>
      <c r="F7929">
        <v>5900</v>
      </c>
      <c r="J7929">
        <v>739.1</v>
      </c>
      <c r="K7929">
        <v>777.1</v>
      </c>
      <c r="L7929">
        <v>0</v>
      </c>
      <c r="M7929" t="s">
        <v>18</v>
      </c>
      <c r="N7929">
        <v>0</v>
      </c>
      <c r="O7929">
        <v>0</v>
      </c>
    </row>
    <row r="7930" spans="1:15" x14ac:dyDescent="0.2">
      <c r="A7930" s="6">
        <v>45771</v>
      </c>
      <c r="B7930" t="s">
        <v>15</v>
      </c>
      <c r="C7930" t="s">
        <v>16</v>
      </c>
      <c r="D7930" s="1">
        <v>45855</v>
      </c>
      <c r="E7930" t="s">
        <v>17</v>
      </c>
      <c r="F7930">
        <v>5750</v>
      </c>
      <c r="J7930">
        <v>186.4</v>
      </c>
      <c r="K7930">
        <v>183.9</v>
      </c>
      <c r="L7930">
        <v>0</v>
      </c>
      <c r="M7930" t="s">
        <v>18</v>
      </c>
      <c r="N7930">
        <v>0</v>
      </c>
      <c r="O7930">
        <v>0</v>
      </c>
    </row>
    <row r="7931" spans="1:15" x14ac:dyDescent="0.2">
      <c r="A7931" s="6">
        <v>45771</v>
      </c>
      <c r="B7931" t="s">
        <v>15</v>
      </c>
      <c r="C7931" t="s">
        <v>16</v>
      </c>
      <c r="D7931" s="1">
        <v>45855</v>
      </c>
      <c r="E7931" t="s">
        <v>17</v>
      </c>
      <c r="F7931">
        <v>6500</v>
      </c>
      <c r="J7931">
        <v>53.8</v>
      </c>
      <c r="K7931">
        <v>54.9</v>
      </c>
      <c r="L7931">
        <v>0</v>
      </c>
      <c r="M7931" t="s">
        <v>18</v>
      </c>
      <c r="N7931">
        <v>0</v>
      </c>
      <c r="O7931">
        <v>0</v>
      </c>
    </row>
    <row r="7932" spans="1:15" x14ac:dyDescent="0.2">
      <c r="A7932" s="6">
        <v>45771</v>
      </c>
      <c r="B7932" t="s">
        <v>15</v>
      </c>
      <c r="C7932" t="s">
        <v>16</v>
      </c>
      <c r="D7932" s="1">
        <v>45855</v>
      </c>
      <c r="E7932" t="s">
        <v>19</v>
      </c>
      <c r="F7932">
        <v>4100</v>
      </c>
      <c r="J7932">
        <v>21.7</v>
      </c>
      <c r="K7932">
        <v>27.6</v>
      </c>
      <c r="L7932">
        <v>0</v>
      </c>
      <c r="M7932" t="s">
        <v>18</v>
      </c>
      <c r="N7932">
        <v>0</v>
      </c>
      <c r="O7932">
        <v>0</v>
      </c>
    </row>
    <row r="7933" spans="1:15" x14ac:dyDescent="0.2">
      <c r="A7933" s="6">
        <v>45771</v>
      </c>
      <c r="B7933" t="s">
        <v>15</v>
      </c>
      <c r="C7933" t="s">
        <v>16</v>
      </c>
      <c r="D7933" s="1">
        <v>45855</v>
      </c>
      <c r="E7933" t="s">
        <v>19</v>
      </c>
      <c r="F7933">
        <v>5950</v>
      </c>
      <c r="J7933">
        <v>777.1</v>
      </c>
      <c r="K7933">
        <v>815.5</v>
      </c>
      <c r="L7933">
        <v>0</v>
      </c>
      <c r="M7933" t="s">
        <v>18</v>
      </c>
      <c r="N7933">
        <v>0</v>
      </c>
      <c r="O7933">
        <v>0</v>
      </c>
    </row>
    <row r="7934" spans="1:15" x14ac:dyDescent="0.2">
      <c r="A7934" s="6">
        <v>45771</v>
      </c>
      <c r="B7934" t="s">
        <v>15</v>
      </c>
      <c r="C7934" t="s">
        <v>16</v>
      </c>
      <c r="D7934" s="1">
        <v>45855</v>
      </c>
      <c r="E7934" t="s">
        <v>19</v>
      </c>
      <c r="F7934">
        <v>5350</v>
      </c>
      <c r="J7934">
        <v>378.3</v>
      </c>
      <c r="K7934">
        <v>409.7</v>
      </c>
      <c r="L7934">
        <v>0</v>
      </c>
      <c r="M7934" t="s">
        <v>18</v>
      </c>
      <c r="N7934">
        <v>0</v>
      </c>
      <c r="O7934">
        <v>0</v>
      </c>
    </row>
    <row r="7935" spans="1:15" x14ac:dyDescent="0.2">
      <c r="A7935" s="6">
        <v>45771</v>
      </c>
      <c r="B7935" t="s">
        <v>15</v>
      </c>
      <c r="C7935" t="s">
        <v>16</v>
      </c>
      <c r="D7935" s="1">
        <v>45855</v>
      </c>
      <c r="E7935" t="s">
        <v>17</v>
      </c>
      <c r="F7935">
        <v>6300</v>
      </c>
      <c r="J7935">
        <v>76.5</v>
      </c>
      <c r="K7935">
        <v>77.3</v>
      </c>
      <c r="L7935">
        <v>0</v>
      </c>
      <c r="M7935" t="s">
        <v>18</v>
      </c>
      <c r="N7935">
        <v>0</v>
      </c>
      <c r="O7935">
        <v>0</v>
      </c>
    </row>
    <row r="7936" spans="1:15" x14ac:dyDescent="0.2">
      <c r="A7936" s="6">
        <v>45771</v>
      </c>
      <c r="B7936" t="s">
        <v>15</v>
      </c>
      <c r="C7936" t="s">
        <v>16</v>
      </c>
      <c r="D7936" s="1">
        <v>45855</v>
      </c>
      <c r="E7936" t="s">
        <v>19</v>
      </c>
      <c r="F7936">
        <v>4500</v>
      </c>
      <c r="J7936">
        <v>71.7</v>
      </c>
      <c r="K7936">
        <v>84.9</v>
      </c>
      <c r="L7936">
        <v>0</v>
      </c>
      <c r="M7936" t="s">
        <v>18</v>
      </c>
      <c r="N7936">
        <v>0</v>
      </c>
      <c r="O7936">
        <v>0</v>
      </c>
    </row>
    <row r="7937" spans="1:15" x14ac:dyDescent="0.2">
      <c r="A7937" s="6">
        <v>45771</v>
      </c>
      <c r="B7937" t="s">
        <v>15</v>
      </c>
      <c r="C7937" t="s">
        <v>16</v>
      </c>
      <c r="D7937" s="1">
        <v>45855</v>
      </c>
      <c r="E7937" t="s">
        <v>19</v>
      </c>
      <c r="F7937">
        <v>4400</v>
      </c>
      <c r="J7937">
        <v>54.8</v>
      </c>
      <c r="K7937">
        <v>65.900000000000006</v>
      </c>
      <c r="L7937">
        <v>0</v>
      </c>
      <c r="M7937" t="s">
        <v>18</v>
      </c>
      <c r="N7937">
        <v>0</v>
      </c>
      <c r="O7937">
        <v>0</v>
      </c>
    </row>
    <row r="7938" spans="1:15" x14ac:dyDescent="0.2">
      <c r="A7938" s="6">
        <v>45771</v>
      </c>
      <c r="B7938" t="s">
        <v>15</v>
      </c>
      <c r="C7938" t="s">
        <v>16</v>
      </c>
      <c r="D7938" s="1">
        <v>45855</v>
      </c>
      <c r="E7938" t="s">
        <v>17</v>
      </c>
      <c r="F7938">
        <v>6350</v>
      </c>
      <c r="J7938">
        <v>70.099999999999994</v>
      </c>
      <c r="K7938">
        <v>71</v>
      </c>
      <c r="L7938">
        <v>0</v>
      </c>
      <c r="M7938" t="s">
        <v>18</v>
      </c>
      <c r="N7938">
        <v>0</v>
      </c>
      <c r="O7938">
        <v>0</v>
      </c>
    </row>
    <row r="7939" spans="1:15" x14ac:dyDescent="0.2">
      <c r="A7939" s="6">
        <v>45771</v>
      </c>
      <c r="B7939" t="s">
        <v>15</v>
      </c>
      <c r="C7939" t="s">
        <v>16</v>
      </c>
      <c r="D7939" s="1">
        <v>45855</v>
      </c>
      <c r="E7939" t="s">
        <v>17</v>
      </c>
      <c r="F7939">
        <v>4050</v>
      </c>
      <c r="J7939">
        <v>1249.5999999999999</v>
      </c>
      <c r="K7939">
        <v>1215.2</v>
      </c>
      <c r="L7939">
        <v>0</v>
      </c>
      <c r="M7939" t="s">
        <v>18</v>
      </c>
      <c r="N7939">
        <v>0</v>
      </c>
      <c r="O7939">
        <v>0</v>
      </c>
    </row>
    <row r="7940" spans="1:15" x14ac:dyDescent="0.2">
      <c r="A7940" s="6">
        <v>45771</v>
      </c>
      <c r="B7940" t="s">
        <v>15</v>
      </c>
      <c r="C7940" t="s">
        <v>16</v>
      </c>
      <c r="D7940" s="1">
        <v>45855</v>
      </c>
      <c r="E7940" t="s">
        <v>17</v>
      </c>
      <c r="F7940">
        <v>4000</v>
      </c>
      <c r="J7940">
        <v>1295.9000000000001</v>
      </c>
      <c r="K7940">
        <v>1260.8</v>
      </c>
      <c r="L7940">
        <v>0</v>
      </c>
      <c r="M7940" t="s">
        <v>18</v>
      </c>
      <c r="N7940">
        <v>0</v>
      </c>
      <c r="O7940">
        <v>0</v>
      </c>
    </row>
    <row r="7941" spans="1:15" x14ac:dyDescent="0.2">
      <c r="A7941" s="6">
        <v>45771</v>
      </c>
      <c r="B7941" t="s">
        <v>15</v>
      </c>
      <c r="C7941" t="s">
        <v>16</v>
      </c>
      <c r="D7941" s="1">
        <v>45855</v>
      </c>
      <c r="E7941" t="s">
        <v>17</v>
      </c>
      <c r="F7941">
        <v>5800</v>
      </c>
      <c r="J7941">
        <v>172.8</v>
      </c>
      <c r="K7941">
        <v>170.7</v>
      </c>
      <c r="L7941">
        <v>0</v>
      </c>
      <c r="M7941" t="s">
        <v>18</v>
      </c>
      <c r="N7941">
        <v>0</v>
      </c>
      <c r="O7941">
        <v>0</v>
      </c>
    </row>
    <row r="7942" spans="1:15" x14ac:dyDescent="0.2">
      <c r="A7942" s="6">
        <v>45771</v>
      </c>
      <c r="B7942" t="s">
        <v>15</v>
      </c>
      <c r="C7942" t="s">
        <v>16</v>
      </c>
      <c r="D7942" s="1">
        <v>45855</v>
      </c>
      <c r="E7942" t="s">
        <v>17</v>
      </c>
      <c r="F7942">
        <v>4550</v>
      </c>
      <c r="J7942">
        <v>820.3</v>
      </c>
      <c r="K7942">
        <v>795</v>
      </c>
      <c r="L7942">
        <v>0</v>
      </c>
      <c r="M7942" t="s">
        <v>18</v>
      </c>
      <c r="N7942">
        <v>0</v>
      </c>
      <c r="O7942">
        <v>0</v>
      </c>
    </row>
    <row r="7943" spans="1:15" x14ac:dyDescent="0.2">
      <c r="A7943" s="6">
        <v>45771</v>
      </c>
      <c r="B7943" t="s">
        <v>15</v>
      </c>
      <c r="C7943" t="s">
        <v>16</v>
      </c>
      <c r="D7943" s="1">
        <v>45855</v>
      </c>
      <c r="E7943" t="s">
        <v>17</v>
      </c>
      <c r="F7943">
        <v>5450</v>
      </c>
      <c r="J7943">
        <v>287.39999999999998</v>
      </c>
      <c r="K7943">
        <v>281</v>
      </c>
      <c r="L7943">
        <v>0</v>
      </c>
      <c r="M7943" t="s">
        <v>18</v>
      </c>
      <c r="N7943">
        <v>0</v>
      </c>
      <c r="O7943">
        <v>0</v>
      </c>
    </row>
    <row r="7944" spans="1:15" x14ac:dyDescent="0.2">
      <c r="A7944" s="6">
        <v>45771</v>
      </c>
      <c r="B7944" t="s">
        <v>15</v>
      </c>
      <c r="C7944" t="s">
        <v>16</v>
      </c>
      <c r="D7944" s="1">
        <v>45855</v>
      </c>
      <c r="E7944" t="s">
        <v>19</v>
      </c>
      <c r="F7944">
        <v>4650</v>
      </c>
      <c r="J7944">
        <v>103.6</v>
      </c>
      <c r="K7944">
        <v>120.1</v>
      </c>
      <c r="L7944">
        <v>0</v>
      </c>
      <c r="M7944" t="s">
        <v>18</v>
      </c>
      <c r="N7944">
        <v>0</v>
      </c>
      <c r="O7944">
        <v>0</v>
      </c>
    </row>
    <row r="7945" spans="1:15" x14ac:dyDescent="0.2">
      <c r="A7945" s="6">
        <v>45771</v>
      </c>
      <c r="B7945" t="s">
        <v>15</v>
      </c>
      <c r="C7945" t="s">
        <v>16</v>
      </c>
      <c r="D7945" s="1">
        <v>45855</v>
      </c>
      <c r="E7945" t="s">
        <v>17</v>
      </c>
      <c r="F7945">
        <v>4600</v>
      </c>
      <c r="J7945">
        <v>781.7</v>
      </c>
      <c r="K7945">
        <v>757.5</v>
      </c>
      <c r="L7945">
        <v>0</v>
      </c>
      <c r="M7945" t="s">
        <v>18</v>
      </c>
      <c r="N7945">
        <v>0</v>
      </c>
      <c r="O7945">
        <v>0</v>
      </c>
    </row>
    <row r="7946" spans="1:15" x14ac:dyDescent="0.2">
      <c r="A7946" s="6">
        <v>45771</v>
      </c>
      <c r="B7946" t="s">
        <v>15</v>
      </c>
      <c r="C7946" t="s">
        <v>16</v>
      </c>
      <c r="D7946" s="1">
        <v>45855</v>
      </c>
      <c r="E7946" t="s">
        <v>17</v>
      </c>
      <c r="F7946">
        <v>5150</v>
      </c>
      <c r="J7946">
        <v>425.4</v>
      </c>
      <c r="K7946">
        <v>413.5</v>
      </c>
      <c r="L7946">
        <v>0</v>
      </c>
      <c r="M7946" t="s">
        <v>18</v>
      </c>
      <c r="N7946">
        <v>0</v>
      </c>
      <c r="O7946">
        <v>0</v>
      </c>
    </row>
    <row r="7947" spans="1:15" x14ac:dyDescent="0.2">
      <c r="A7947" s="6">
        <v>45771</v>
      </c>
      <c r="B7947" t="s">
        <v>15</v>
      </c>
      <c r="C7947" t="s">
        <v>16</v>
      </c>
      <c r="D7947" s="1">
        <v>45855</v>
      </c>
      <c r="E7947" t="s">
        <v>19</v>
      </c>
      <c r="F7947">
        <v>5150</v>
      </c>
      <c r="J7947">
        <v>277.60000000000002</v>
      </c>
      <c r="K7947">
        <v>305.2</v>
      </c>
      <c r="L7947">
        <v>0</v>
      </c>
      <c r="M7947" t="s">
        <v>18</v>
      </c>
      <c r="N7947">
        <v>0</v>
      </c>
      <c r="O7947">
        <v>0</v>
      </c>
    </row>
    <row r="7948" spans="1:15" x14ac:dyDescent="0.2">
      <c r="A7948" s="6">
        <v>45771</v>
      </c>
      <c r="B7948" t="s">
        <v>15</v>
      </c>
      <c r="C7948" t="s">
        <v>16</v>
      </c>
      <c r="D7948" s="1">
        <v>45855</v>
      </c>
      <c r="E7948" t="s">
        <v>17</v>
      </c>
      <c r="F7948">
        <v>6250</v>
      </c>
      <c r="J7948">
        <v>83.3</v>
      </c>
      <c r="K7948">
        <v>84</v>
      </c>
      <c r="L7948">
        <v>0</v>
      </c>
      <c r="M7948" t="s">
        <v>18</v>
      </c>
      <c r="N7948">
        <v>0</v>
      </c>
      <c r="O7948">
        <v>0</v>
      </c>
    </row>
    <row r="7949" spans="1:15" x14ac:dyDescent="0.2">
      <c r="A7949" s="6">
        <v>45771</v>
      </c>
      <c r="B7949" t="s">
        <v>15</v>
      </c>
      <c r="C7949" t="s">
        <v>16</v>
      </c>
      <c r="D7949" s="1">
        <v>45855</v>
      </c>
      <c r="E7949" t="s">
        <v>17</v>
      </c>
      <c r="F7949">
        <v>5500</v>
      </c>
      <c r="J7949">
        <v>268.10000000000002</v>
      </c>
      <c r="K7949">
        <v>262.5</v>
      </c>
      <c r="L7949">
        <v>0</v>
      </c>
      <c r="M7949" t="s">
        <v>18</v>
      </c>
      <c r="N7949">
        <v>0</v>
      </c>
      <c r="O7949">
        <v>0</v>
      </c>
    </row>
    <row r="7950" spans="1:15" x14ac:dyDescent="0.2">
      <c r="A7950" s="6">
        <v>45771</v>
      </c>
      <c r="B7950" t="s">
        <v>15</v>
      </c>
      <c r="C7950" t="s">
        <v>16</v>
      </c>
      <c r="D7950" s="1">
        <v>45855</v>
      </c>
      <c r="E7950" t="s">
        <v>17</v>
      </c>
      <c r="F7950">
        <v>5050</v>
      </c>
      <c r="J7950">
        <v>480.2</v>
      </c>
      <c r="K7950">
        <v>466.3</v>
      </c>
      <c r="L7950">
        <v>0</v>
      </c>
      <c r="M7950" t="s">
        <v>18</v>
      </c>
      <c r="N7950">
        <v>0</v>
      </c>
      <c r="O7950">
        <v>0</v>
      </c>
    </row>
    <row r="7951" spans="1:15" x14ac:dyDescent="0.2">
      <c r="A7951" s="6">
        <v>45771</v>
      </c>
      <c r="B7951" t="s">
        <v>15</v>
      </c>
      <c r="C7951" t="s">
        <v>16</v>
      </c>
      <c r="D7951" s="1">
        <v>45855</v>
      </c>
      <c r="E7951" t="s">
        <v>19</v>
      </c>
      <c r="F7951">
        <v>6250</v>
      </c>
      <c r="J7951">
        <v>1019.2</v>
      </c>
      <c r="K7951">
        <v>1059.0999999999999</v>
      </c>
      <c r="L7951">
        <v>0</v>
      </c>
      <c r="M7951" t="s">
        <v>18</v>
      </c>
      <c r="N7951">
        <v>0</v>
      </c>
      <c r="O7951">
        <v>0</v>
      </c>
    </row>
    <row r="7952" spans="1:15" x14ac:dyDescent="0.2">
      <c r="A7952" s="6">
        <v>45771</v>
      </c>
      <c r="B7952" t="s">
        <v>15</v>
      </c>
      <c r="C7952" t="s">
        <v>16</v>
      </c>
      <c r="D7952" s="1">
        <v>45855</v>
      </c>
      <c r="E7952" t="s">
        <v>17</v>
      </c>
      <c r="F7952">
        <v>5200</v>
      </c>
      <c r="J7952">
        <v>399.6</v>
      </c>
      <c r="K7952">
        <v>388.8</v>
      </c>
      <c r="L7952">
        <v>0</v>
      </c>
      <c r="M7952" t="s">
        <v>18</v>
      </c>
      <c r="N7952">
        <v>0</v>
      </c>
      <c r="O7952">
        <v>0</v>
      </c>
    </row>
    <row r="7953" spans="1:15" x14ac:dyDescent="0.2">
      <c r="A7953" s="6">
        <v>45771</v>
      </c>
      <c r="B7953" t="s">
        <v>15</v>
      </c>
      <c r="C7953" t="s">
        <v>16</v>
      </c>
      <c r="D7953" s="1">
        <v>45855</v>
      </c>
      <c r="E7953" t="s">
        <v>17</v>
      </c>
      <c r="F7953">
        <v>5900</v>
      </c>
      <c r="J7953">
        <v>148</v>
      </c>
      <c r="K7953">
        <v>146.80000000000001</v>
      </c>
      <c r="L7953">
        <v>0</v>
      </c>
      <c r="M7953" t="s">
        <v>18</v>
      </c>
      <c r="N7953">
        <v>0</v>
      </c>
      <c r="O7953">
        <v>0</v>
      </c>
    </row>
    <row r="7954" spans="1:15" x14ac:dyDescent="0.2">
      <c r="A7954" s="6">
        <v>45771</v>
      </c>
      <c r="B7954" t="s">
        <v>15</v>
      </c>
      <c r="C7954" t="s">
        <v>16</v>
      </c>
      <c r="D7954" s="1">
        <v>45855</v>
      </c>
      <c r="E7954" t="s">
        <v>17</v>
      </c>
      <c r="F7954">
        <v>4150</v>
      </c>
      <c r="J7954">
        <v>1158.5999999999999</v>
      </c>
      <c r="K7954">
        <v>1125.5999999999999</v>
      </c>
      <c r="L7954">
        <v>0</v>
      </c>
      <c r="M7954" t="s">
        <v>18</v>
      </c>
      <c r="N7954">
        <v>0</v>
      </c>
      <c r="O7954">
        <v>0</v>
      </c>
    </row>
    <row r="7955" spans="1:15" x14ac:dyDescent="0.2">
      <c r="A7955" s="6">
        <v>45771</v>
      </c>
      <c r="B7955" t="s">
        <v>15</v>
      </c>
      <c r="C7955" t="s">
        <v>16</v>
      </c>
      <c r="D7955" s="1">
        <v>45855</v>
      </c>
      <c r="E7955" t="s">
        <v>17</v>
      </c>
      <c r="F7955">
        <v>4250</v>
      </c>
      <c r="J7955">
        <v>1069.8</v>
      </c>
      <c r="K7955">
        <v>1038.4000000000001</v>
      </c>
      <c r="L7955">
        <v>0</v>
      </c>
      <c r="M7955" t="s">
        <v>18</v>
      </c>
      <c r="N7955">
        <v>0</v>
      </c>
      <c r="O7955">
        <v>0</v>
      </c>
    </row>
    <row r="7956" spans="1:15" x14ac:dyDescent="0.2">
      <c r="A7956" s="6">
        <v>45771</v>
      </c>
      <c r="B7956" t="s">
        <v>15</v>
      </c>
      <c r="C7956" t="s">
        <v>16</v>
      </c>
      <c r="D7956" s="1">
        <v>45855</v>
      </c>
      <c r="E7956" t="s">
        <v>19</v>
      </c>
      <c r="F7956">
        <v>5650</v>
      </c>
      <c r="J7956">
        <v>561.1</v>
      </c>
      <c r="K7956">
        <v>596.79999999999995</v>
      </c>
      <c r="L7956">
        <v>0</v>
      </c>
      <c r="M7956" t="s">
        <v>18</v>
      </c>
      <c r="N7956">
        <v>0</v>
      </c>
      <c r="O7956">
        <v>0</v>
      </c>
    </row>
    <row r="7957" spans="1:15" x14ac:dyDescent="0.2">
      <c r="A7957" s="6">
        <v>45771</v>
      </c>
      <c r="B7957" t="s">
        <v>15</v>
      </c>
      <c r="C7957" t="s">
        <v>16</v>
      </c>
      <c r="D7957" s="1">
        <v>45855</v>
      </c>
      <c r="E7957" t="s">
        <v>19</v>
      </c>
      <c r="F7957">
        <v>6350</v>
      </c>
      <c r="J7957">
        <v>1104.5</v>
      </c>
      <c r="K7957">
        <v>1144.5999999999999</v>
      </c>
      <c r="L7957">
        <v>0</v>
      </c>
      <c r="M7957" t="s">
        <v>18</v>
      </c>
      <c r="N7957">
        <v>0</v>
      </c>
      <c r="O7957">
        <v>0</v>
      </c>
    </row>
    <row r="7958" spans="1:15" x14ac:dyDescent="0.2">
      <c r="A7958" s="6">
        <v>45771</v>
      </c>
      <c r="B7958" t="s">
        <v>15</v>
      </c>
      <c r="C7958" t="s">
        <v>16</v>
      </c>
      <c r="D7958" s="1">
        <v>45855</v>
      </c>
      <c r="E7958" t="s">
        <v>19</v>
      </c>
      <c r="F7958">
        <v>5600</v>
      </c>
      <c r="J7958">
        <v>528.20000000000005</v>
      </c>
      <c r="K7958">
        <v>563.20000000000005</v>
      </c>
      <c r="L7958">
        <v>0</v>
      </c>
      <c r="M7958" t="s">
        <v>18</v>
      </c>
      <c r="N7958">
        <v>0</v>
      </c>
      <c r="O7958">
        <v>0</v>
      </c>
    </row>
    <row r="7959" spans="1:15" x14ac:dyDescent="0.2">
      <c r="A7959" s="6">
        <v>45771</v>
      </c>
      <c r="B7959" t="s">
        <v>15</v>
      </c>
      <c r="C7959" t="s">
        <v>16</v>
      </c>
      <c r="D7959" s="1">
        <v>45855</v>
      </c>
      <c r="E7959" t="s">
        <v>19</v>
      </c>
      <c r="F7959">
        <v>4000</v>
      </c>
      <c r="J7959">
        <v>15.2</v>
      </c>
      <c r="K7959">
        <v>19.7</v>
      </c>
      <c r="L7959">
        <v>0</v>
      </c>
      <c r="M7959" t="s">
        <v>18</v>
      </c>
      <c r="N7959">
        <v>0</v>
      </c>
      <c r="O7959">
        <v>0</v>
      </c>
    </row>
    <row r="7960" spans="1:15" x14ac:dyDescent="0.2">
      <c r="A7960" s="6">
        <v>45771</v>
      </c>
      <c r="B7960" t="s">
        <v>15</v>
      </c>
      <c r="C7960" t="s">
        <v>16</v>
      </c>
      <c r="D7960" s="1">
        <v>45855</v>
      </c>
      <c r="E7960" t="s">
        <v>17</v>
      </c>
      <c r="F7960">
        <v>6100</v>
      </c>
      <c r="J7960">
        <v>107.2</v>
      </c>
      <c r="K7960">
        <v>107.3</v>
      </c>
      <c r="L7960">
        <v>0</v>
      </c>
      <c r="M7960" t="s">
        <v>18</v>
      </c>
      <c r="N7960">
        <v>0</v>
      </c>
      <c r="O7960">
        <v>0</v>
      </c>
    </row>
    <row r="7961" spans="1:15" x14ac:dyDescent="0.2">
      <c r="A7961" s="6">
        <v>45771</v>
      </c>
      <c r="B7961" t="s">
        <v>15</v>
      </c>
      <c r="C7961" t="s">
        <v>16</v>
      </c>
      <c r="D7961" s="1">
        <v>45855</v>
      </c>
      <c r="E7961" t="s">
        <v>19</v>
      </c>
      <c r="F7961">
        <v>4850</v>
      </c>
      <c r="J7961">
        <v>160.1</v>
      </c>
      <c r="K7961">
        <v>181.2</v>
      </c>
      <c r="L7961">
        <v>0</v>
      </c>
      <c r="M7961" t="s">
        <v>18</v>
      </c>
      <c r="N7961">
        <v>0</v>
      </c>
      <c r="O7961">
        <v>0</v>
      </c>
    </row>
    <row r="7962" spans="1:15" x14ac:dyDescent="0.2">
      <c r="A7962" s="6">
        <v>45771</v>
      </c>
      <c r="B7962" t="s">
        <v>15</v>
      </c>
      <c r="C7962" t="s">
        <v>16</v>
      </c>
      <c r="D7962" s="1">
        <v>45855</v>
      </c>
      <c r="E7962" t="s">
        <v>17</v>
      </c>
      <c r="F7962">
        <v>5350</v>
      </c>
      <c r="J7962">
        <v>329</v>
      </c>
      <c r="K7962">
        <v>321</v>
      </c>
      <c r="L7962">
        <v>0</v>
      </c>
      <c r="M7962" t="s">
        <v>18</v>
      </c>
      <c r="N7962">
        <v>0</v>
      </c>
      <c r="O7962">
        <v>0</v>
      </c>
    </row>
    <row r="7963" spans="1:15" x14ac:dyDescent="0.2">
      <c r="A7963" s="6">
        <v>45771</v>
      </c>
      <c r="B7963" t="s">
        <v>15</v>
      </c>
      <c r="C7963" t="s">
        <v>16</v>
      </c>
      <c r="D7963" s="1">
        <v>45855</v>
      </c>
      <c r="E7963" t="s">
        <v>19</v>
      </c>
      <c r="F7963">
        <v>5800</v>
      </c>
      <c r="J7963">
        <v>665.4</v>
      </c>
      <c r="K7963">
        <v>702.6</v>
      </c>
      <c r="L7963">
        <v>0</v>
      </c>
      <c r="M7963" t="s">
        <v>18</v>
      </c>
      <c r="N7963">
        <v>0</v>
      </c>
      <c r="O7963">
        <v>0</v>
      </c>
    </row>
    <row r="7964" spans="1:15" x14ac:dyDescent="0.2">
      <c r="A7964" s="6">
        <v>45771</v>
      </c>
      <c r="B7964" t="s">
        <v>15</v>
      </c>
      <c r="C7964" t="s">
        <v>16</v>
      </c>
      <c r="D7964" s="1">
        <v>45855</v>
      </c>
      <c r="E7964" t="s">
        <v>17</v>
      </c>
      <c r="F7964">
        <v>6600</v>
      </c>
      <c r="J7964">
        <v>44.8</v>
      </c>
      <c r="K7964">
        <v>46.1</v>
      </c>
      <c r="L7964">
        <v>0</v>
      </c>
      <c r="M7964" t="s">
        <v>18</v>
      </c>
      <c r="N7964">
        <v>0</v>
      </c>
      <c r="O7964">
        <v>0</v>
      </c>
    </row>
    <row r="7965" spans="1:15" x14ac:dyDescent="0.2">
      <c r="A7965" s="6">
        <v>45771</v>
      </c>
      <c r="B7965" t="s">
        <v>15</v>
      </c>
      <c r="C7965" t="s">
        <v>16</v>
      </c>
      <c r="D7965" s="1">
        <v>45855</v>
      </c>
      <c r="E7965" t="s">
        <v>19</v>
      </c>
      <c r="F7965">
        <v>6300</v>
      </c>
      <c r="J7965">
        <v>1061.5999999999999</v>
      </c>
      <c r="K7965">
        <v>1101.5999999999999</v>
      </c>
      <c r="L7965">
        <v>0</v>
      </c>
      <c r="M7965" t="s">
        <v>18</v>
      </c>
      <c r="N7965">
        <v>0</v>
      </c>
      <c r="O7965">
        <v>0</v>
      </c>
    </row>
    <row r="7966" spans="1:15" x14ac:dyDescent="0.2">
      <c r="A7966" s="6">
        <v>45771</v>
      </c>
      <c r="B7966" t="s">
        <v>15</v>
      </c>
      <c r="C7966" t="s">
        <v>16</v>
      </c>
      <c r="D7966" s="1">
        <v>45855</v>
      </c>
      <c r="E7966" t="s">
        <v>19</v>
      </c>
      <c r="F7966">
        <v>5550</v>
      </c>
      <c r="J7966">
        <v>496.2</v>
      </c>
      <c r="K7966">
        <v>530.6</v>
      </c>
      <c r="L7966">
        <v>0</v>
      </c>
      <c r="M7966" t="s">
        <v>18</v>
      </c>
      <c r="N7966">
        <v>0</v>
      </c>
      <c r="O7966">
        <v>0</v>
      </c>
    </row>
    <row r="7967" spans="1:15" x14ac:dyDescent="0.2">
      <c r="A7967" s="6">
        <v>45771</v>
      </c>
      <c r="B7967" t="s">
        <v>15</v>
      </c>
      <c r="C7967" t="s">
        <v>16</v>
      </c>
      <c r="D7967" s="1">
        <v>45855</v>
      </c>
      <c r="E7967" t="s">
        <v>19</v>
      </c>
      <c r="F7967">
        <v>6500</v>
      </c>
      <c r="J7967">
        <v>1235.9000000000001</v>
      </c>
      <c r="K7967">
        <v>1276.3</v>
      </c>
      <c r="L7967">
        <v>0</v>
      </c>
      <c r="M7967" t="s">
        <v>18</v>
      </c>
      <c r="N7967">
        <v>0</v>
      </c>
      <c r="O7967">
        <v>0</v>
      </c>
    </row>
    <row r="7968" spans="1:15" x14ac:dyDescent="0.2">
      <c r="A7968" s="6">
        <v>45771</v>
      </c>
      <c r="B7968" t="s">
        <v>15</v>
      </c>
      <c r="C7968" t="s">
        <v>16</v>
      </c>
      <c r="D7968" s="1">
        <v>45855</v>
      </c>
      <c r="E7968" t="s">
        <v>17</v>
      </c>
      <c r="F7968">
        <v>5850</v>
      </c>
      <c r="J7968">
        <v>160</v>
      </c>
      <c r="K7968">
        <v>158.4</v>
      </c>
      <c r="L7968">
        <v>0</v>
      </c>
      <c r="M7968" t="s">
        <v>18</v>
      </c>
      <c r="N7968">
        <v>0</v>
      </c>
      <c r="O7968">
        <v>0</v>
      </c>
    </row>
    <row r="7969" spans="1:15" x14ac:dyDescent="0.2">
      <c r="A7969" s="6">
        <v>45771</v>
      </c>
      <c r="B7969" t="s">
        <v>15</v>
      </c>
      <c r="C7969" t="s">
        <v>16</v>
      </c>
      <c r="D7969" s="1">
        <v>45855</v>
      </c>
      <c r="E7969" t="s">
        <v>19</v>
      </c>
      <c r="F7969">
        <v>5850</v>
      </c>
      <c r="J7969">
        <v>701.8</v>
      </c>
      <c r="K7969">
        <v>739.5</v>
      </c>
      <c r="L7969">
        <v>0</v>
      </c>
      <c r="M7969" t="s">
        <v>18</v>
      </c>
      <c r="N7969">
        <v>0</v>
      </c>
      <c r="O7969">
        <v>0</v>
      </c>
    </row>
    <row r="7970" spans="1:15" x14ac:dyDescent="0.2">
      <c r="A7970" s="6">
        <v>45771</v>
      </c>
      <c r="B7970" t="s">
        <v>15</v>
      </c>
      <c r="C7970" t="s">
        <v>16</v>
      </c>
      <c r="D7970" s="1">
        <v>45855</v>
      </c>
      <c r="E7970" t="s">
        <v>19</v>
      </c>
      <c r="F7970">
        <v>6000</v>
      </c>
      <c r="J7970">
        <v>815.8</v>
      </c>
      <c r="K7970">
        <v>854.6</v>
      </c>
      <c r="L7970">
        <v>0</v>
      </c>
      <c r="M7970" t="s">
        <v>18</v>
      </c>
      <c r="N7970">
        <v>0</v>
      </c>
      <c r="O7970">
        <v>0</v>
      </c>
    </row>
    <row r="7971" spans="1:15" x14ac:dyDescent="0.2">
      <c r="A7971" s="6">
        <v>45771</v>
      </c>
      <c r="B7971" t="s">
        <v>15</v>
      </c>
      <c r="C7971" t="s">
        <v>16</v>
      </c>
      <c r="D7971" s="1">
        <v>45855</v>
      </c>
      <c r="E7971" t="s">
        <v>17</v>
      </c>
      <c r="F7971">
        <v>6400</v>
      </c>
      <c r="J7971">
        <v>64.2</v>
      </c>
      <c r="K7971">
        <v>65.3</v>
      </c>
      <c r="L7971">
        <v>0</v>
      </c>
      <c r="M7971" t="s">
        <v>18</v>
      </c>
      <c r="N7971">
        <v>0</v>
      </c>
      <c r="O7971">
        <v>0</v>
      </c>
    </row>
    <row r="7972" spans="1:15" x14ac:dyDescent="0.2">
      <c r="A7972" s="6">
        <v>45771</v>
      </c>
      <c r="B7972" t="s">
        <v>15</v>
      </c>
      <c r="C7972" t="s">
        <v>16</v>
      </c>
      <c r="D7972" s="1">
        <v>45855</v>
      </c>
      <c r="E7972" t="s">
        <v>17</v>
      </c>
      <c r="F7972">
        <v>5400</v>
      </c>
      <c r="J7972">
        <v>307.7</v>
      </c>
      <c r="K7972">
        <v>300.5</v>
      </c>
      <c r="L7972">
        <v>0</v>
      </c>
      <c r="M7972" t="s">
        <v>18</v>
      </c>
      <c r="N7972">
        <v>0</v>
      </c>
      <c r="O7972">
        <v>0</v>
      </c>
    </row>
    <row r="7973" spans="1:15" x14ac:dyDescent="0.2">
      <c r="A7973" s="6">
        <v>45771</v>
      </c>
      <c r="B7973" t="s">
        <v>15</v>
      </c>
      <c r="C7973" t="s">
        <v>16</v>
      </c>
      <c r="D7973" s="1">
        <v>45855</v>
      </c>
      <c r="E7973" t="s">
        <v>19</v>
      </c>
      <c r="F7973">
        <v>6600</v>
      </c>
      <c r="J7973">
        <v>1325.5</v>
      </c>
      <c r="K7973">
        <v>1365.9</v>
      </c>
      <c r="L7973">
        <v>0</v>
      </c>
      <c r="M7973" t="s">
        <v>18</v>
      </c>
      <c r="N7973">
        <v>0</v>
      </c>
      <c r="O7973">
        <v>0</v>
      </c>
    </row>
    <row r="7974" spans="1:15" x14ac:dyDescent="0.2">
      <c r="A7974" s="6">
        <v>45771</v>
      </c>
      <c r="B7974" t="s">
        <v>15</v>
      </c>
      <c r="C7974" t="s">
        <v>16</v>
      </c>
      <c r="D7974" s="1">
        <v>45855</v>
      </c>
      <c r="E7974" t="s">
        <v>19</v>
      </c>
      <c r="F7974">
        <v>4300</v>
      </c>
      <c r="J7974">
        <v>41.1</v>
      </c>
      <c r="K7974">
        <v>50.3</v>
      </c>
      <c r="L7974">
        <v>0</v>
      </c>
      <c r="M7974" t="s">
        <v>18</v>
      </c>
      <c r="N7974">
        <v>0</v>
      </c>
      <c r="O7974">
        <v>0</v>
      </c>
    </row>
    <row r="7975" spans="1:15" x14ac:dyDescent="0.2">
      <c r="A7975" s="6">
        <v>45771</v>
      </c>
      <c r="B7975" t="s">
        <v>15</v>
      </c>
      <c r="C7975" t="s">
        <v>16</v>
      </c>
      <c r="D7975" s="1">
        <v>45855</v>
      </c>
      <c r="E7975" t="s">
        <v>17</v>
      </c>
      <c r="F7975">
        <v>4300</v>
      </c>
      <c r="J7975">
        <v>1026.3</v>
      </c>
      <c r="K7975">
        <v>995.9</v>
      </c>
      <c r="L7975">
        <v>0</v>
      </c>
      <c r="M7975" t="s">
        <v>18</v>
      </c>
      <c r="N7975">
        <v>0</v>
      </c>
      <c r="O7975">
        <v>0</v>
      </c>
    </row>
    <row r="7976" spans="1:15" x14ac:dyDescent="0.2">
      <c r="A7976" s="6">
        <v>45771</v>
      </c>
      <c r="B7976" t="s">
        <v>15</v>
      </c>
      <c r="C7976" t="s">
        <v>16</v>
      </c>
      <c r="D7976" s="1">
        <v>45855</v>
      </c>
      <c r="E7976" t="s">
        <v>17</v>
      </c>
      <c r="F7976">
        <v>5650</v>
      </c>
      <c r="J7976">
        <v>216.3</v>
      </c>
      <c r="K7976">
        <v>212.7</v>
      </c>
      <c r="L7976">
        <v>0</v>
      </c>
      <c r="M7976" t="s">
        <v>18</v>
      </c>
      <c r="N7976">
        <v>0</v>
      </c>
      <c r="O7976">
        <v>0</v>
      </c>
    </row>
    <row r="7977" spans="1:15" x14ac:dyDescent="0.2">
      <c r="A7977" s="6">
        <v>45771</v>
      </c>
      <c r="B7977" t="s">
        <v>15</v>
      </c>
      <c r="C7977" t="s">
        <v>16</v>
      </c>
      <c r="D7977" s="1">
        <v>45855</v>
      </c>
      <c r="E7977" t="s">
        <v>19</v>
      </c>
      <c r="F7977">
        <v>6450</v>
      </c>
      <c r="J7977">
        <v>1191.7</v>
      </c>
      <c r="K7977">
        <v>1232</v>
      </c>
      <c r="L7977">
        <v>0</v>
      </c>
      <c r="M7977" t="s">
        <v>18</v>
      </c>
      <c r="N7977">
        <v>0</v>
      </c>
      <c r="O7977">
        <v>0</v>
      </c>
    </row>
    <row r="7978" spans="1:15" x14ac:dyDescent="0.2">
      <c r="A7978" s="6">
        <v>45771</v>
      </c>
      <c r="B7978" t="s">
        <v>15</v>
      </c>
      <c r="C7978" t="s">
        <v>16</v>
      </c>
      <c r="D7978" s="1">
        <v>45855</v>
      </c>
      <c r="E7978" t="s">
        <v>19</v>
      </c>
      <c r="F7978">
        <v>4750</v>
      </c>
      <c r="J7978">
        <v>129.80000000000001</v>
      </c>
      <c r="K7978">
        <v>148.6</v>
      </c>
      <c r="L7978">
        <v>0</v>
      </c>
      <c r="M7978" t="s">
        <v>18</v>
      </c>
      <c r="N7978">
        <v>0</v>
      </c>
      <c r="O7978">
        <v>0</v>
      </c>
    </row>
    <row r="7979" spans="1:15" x14ac:dyDescent="0.2">
      <c r="A7979" s="6">
        <v>45771</v>
      </c>
      <c r="B7979" t="s">
        <v>15</v>
      </c>
      <c r="C7979" t="s">
        <v>16</v>
      </c>
      <c r="D7979" s="1">
        <v>45855</v>
      </c>
      <c r="E7979" t="s">
        <v>17</v>
      </c>
      <c r="F7979">
        <v>6150</v>
      </c>
      <c r="J7979">
        <v>98.7</v>
      </c>
      <c r="K7979">
        <v>98.9</v>
      </c>
      <c r="L7979">
        <v>0</v>
      </c>
      <c r="M7979" t="s">
        <v>18</v>
      </c>
      <c r="N7979">
        <v>0</v>
      </c>
      <c r="O7979">
        <v>0</v>
      </c>
    </row>
    <row r="7980" spans="1:15" x14ac:dyDescent="0.2">
      <c r="A7980" s="6">
        <v>45771</v>
      </c>
      <c r="B7980" t="s">
        <v>15</v>
      </c>
      <c r="C7980" t="s">
        <v>16</v>
      </c>
      <c r="D7980" s="1">
        <v>45855</v>
      </c>
      <c r="E7980" t="s">
        <v>19</v>
      </c>
      <c r="F7980">
        <v>4350</v>
      </c>
      <c r="J7980">
        <v>47.6</v>
      </c>
      <c r="K7980">
        <v>57.7</v>
      </c>
      <c r="L7980">
        <v>0</v>
      </c>
      <c r="M7980" t="s">
        <v>18</v>
      </c>
      <c r="N7980">
        <v>0</v>
      </c>
      <c r="O7980">
        <v>0</v>
      </c>
    </row>
    <row r="7981" spans="1:15" x14ac:dyDescent="0.2">
      <c r="A7981" s="6">
        <v>45771</v>
      </c>
      <c r="B7981" t="s">
        <v>15</v>
      </c>
      <c r="C7981" t="s">
        <v>16</v>
      </c>
      <c r="D7981" s="1">
        <v>45855</v>
      </c>
      <c r="E7981" t="s">
        <v>19</v>
      </c>
      <c r="F7981">
        <v>4150</v>
      </c>
      <c r="J7981">
        <v>25.7</v>
      </c>
      <c r="K7981">
        <v>32.299999999999997</v>
      </c>
      <c r="L7981">
        <v>0</v>
      </c>
      <c r="M7981" t="s">
        <v>18</v>
      </c>
      <c r="N7981">
        <v>0</v>
      </c>
      <c r="O7981">
        <v>0</v>
      </c>
    </row>
    <row r="7982" spans="1:15" x14ac:dyDescent="0.2">
      <c r="A7982" s="6">
        <v>45771</v>
      </c>
      <c r="B7982" t="s">
        <v>15</v>
      </c>
      <c r="C7982" t="s">
        <v>16</v>
      </c>
      <c r="D7982" s="1">
        <v>45855</v>
      </c>
      <c r="E7982" t="s">
        <v>19</v>
      </c>
      <c r="F7982">
        <v>5000</v>
      </c>
      <c r="J7982">
        <v>213.8</v>
      </c>
      <c r="K7982">
        <v>238.3</v>
      </c>
      <c r="L7982">
        <v>0</v>
      </c>
      <c r="M7982" t="s">
        <v>18</v>
      </c>
      <c r="N7982">
        <v>0</v>
      </c>
      <c r="O7982">
        <v>0</v>
      </c>
    </row>
    <row r="7983" spans="1:15" x14ac:dyDescent="0.2">
      <c r="A7983" s="6">
        <v>45771</v>
      </c>
      <c r="B7983" t="s">
        <v>15</v>
      </c>
      <c r="C7983" t="s">
        <v>16</v>
      </c>
      <c r="D7983" s="1">
        <v>45855</v>
      </c>
      <c r="E7983" t="s">
        <v>17</v>
      </c>
      <c r="F7983">
        <v>6450</v>
      </c>
      <c r="J7983">
        <v>58.8</v>
      </c>
      <c r="K7983">
        <v>59.9</v>
      </c>
      <c r="L7983">
        <v>0</v>
      </c>
      <c r="M7983" t="s">
        <v>18</v>
      </c>
      <c r="N7983">
        <v>0</v>
      </c>
      <c r="O7983">
        <v>0</v>
      </c>
    </row>
    <row r="7984" spans="1:15" x14ac:dyDescent="0.2">
      <c r="A7984" s="6">
        <v>45771</v>
      </c>
      <c r="B7984" t="s">
        <v>15</v>
      </c>
      <c r="C7984" t="s">
        <v>16</v>
      </c>
      <c r="D7984" s="1">
        <v>45855</v>
      </c>
      <c r="E7984" t="s">
        <v>19</v>
      </c>
      <c r="F7984">
        <v>5500</v>
      </c>
      <c r="J7984">
        <v>465.2</v>
      </c>
      <c r="K7984">
        <v>498.9</v>
      </c>
      <c r="L7984">
        <v>0</v>
      </c>
      <c r="M7984" t="s">
        <v>18</v>
      </c>
      <c r="N7984">
        <v>0</v>
      </c>
      <c r="O7984">
        <v>0</v>
      </c>
    </row>
    <row r="7985" spans="1:15" x14ac:dyDescent="0.2">
      <c r="A7985" s="6">
        <v>45771</v>
      </c>
      <c r="B7985" t="s">
        <v>15</v>
      </c>
      <c r="C7985" t="s">
        <v>16</v>
      </c>
      <c r="D7985" s="1">
        <v>45855</v>
      </c>
      <c r="E7985" t="s">
        <v>19</v>
      </c>
      <c r="F7985">
        <v>5750</v>
      </c>
      <c r="J7985">
        <v>629.70000000000005</v>
      </c>
      <c r="K7985">
        <v>666.5</v>
      </c>
      <c r="L7985">
        <v>0</v>
      </c>
      <c r="M7985" t="s">
        <v>18</v>
      </c>
      <c r="N7985">
        <v>0</v>
      </c>
      <c r="O7985">
        <v>0</v>
      </c>
    </row>
    <row r="7986" spans="1:15" x14ac:dyDescent="0.2">
      <c r="A7986" s="6">
        <v>45771</v>
      </c>
      <c r="B7986" t="s">
        <v>15</v>
      </c>
      <c r="C7986" t="s">
        <v>16</v>
      </c>
      <c r="D7986" s="1">
        <v>45855</v>
      </c>
      <c r="E7986" t="s">
        <v>19</v>
      </c>
      <c r="F7986">
        <v>4050</v>
      </c>
      <c r="J7986">
        <v>18.2</v>
      </c>
      <c r="K7986">
        <v>23.4</v>
      </c>
      <c r="L7986">
        <v>0</v>
      </c>
      <c r="M7986" t="s">
        <v>18</v>
      </c>
      <c r="N7986">
        <v>0</v>
      </c>
      <c r="O7986">
        <v>0</v>
      </c>
    </row>
    <row r="7987" spans="1:15" x14ac:dyDescent="0.2">
      <c r="A7987" s="6">
        <v>45771</v>
      </c>
      <c r="B7987" t="s">
        <v>15</v>
      </c>
      <c r="C7987" t="s">
        <v>16</v>
      </c>
      <c r="D7987" s="1">
        <v>45855</v>
      </c>
      <c r="E7987" t="s">
        <v>17</v>
      </c>
      <c r="F7987">
        <v>4700</v>
      </c>
      <c r="J7987">
        <v>707.3</v>
      </c>
      <c r="K7987">
        <v>685.4</v>
      </c>
      <c r="L7987">
        <v>0</v>
      </c>
      <c r="M7987" t="s">
        <v>18</v>
      </c>
      <c r="N7987">
        <v>0</v>
      </c>
      <c r="O7987">
        <v>0</v>
      </c>
    </row>
    <row r="7988" spans="1:15" x14ac:dyDescent="0.2">
      <c r="A7988" s="6">
        <v>45771</v>
      </c>
      <c r="B7988" t="s">
        <v>15</v>
      </c>
      <c r="C7988" t="s">
        <v>16</v>
      </c>
      <c r="D7988" s="1">
        <v>45855</v>
      </c>
      <c r="E7988" t="s">
        <v>19</v>
      </c>
      <c r="F7988">
        <v>6100</v>
      </c>
      <c r="J7988">
        <v>895.3</v>
      </c>
      <c r="K7988">
        <v>934.6</v>
      </c>
      <c r="L7988">
        <v>0</v>
      </c>
      <c r="M7988" t="s">
        <v>18</v>
      </c>
      <c r="N7988">
        <v>0</v>
      </c>
      <c r="O7988">
        <v>0</v>
      </c>
    </row>
    <row r="7989" spans="1:15" x14ac:dyDescent="0.2">
      <c r="A7989" s="6">
        <v>45771</v>
      </c>
      <c r="B7989" t="s">
        <v>15</v>
      </c>
      <c r="C7989" t="s">
        <v>16</v>
      </c>
      <c r="D7989" s="1">
        <v>45855</v>
      </c>
      <c r="E7989" t="s">
        <v>17</v>
      </c>
      <c r="F7989">
        <v>6000</v>
      </c>
      <c r="J7989">
        <v>126.2</v>
      </c>
      <c r="K7989">
        <v>125.7</v>
      </c>
      <c r="L7989">
        <v>0</v>
      </c>
      <c r="M7989" t="s">
        <v>18</v>
      </c>
      <c r="N7989">
        <v>0</v>
      </c>
      <c r="O7989">
        <v>0</v>
      </c>
    </row>
    <row r="7990" spans="1:15" x14ac:dyDescent="0.2">
      <c r="A7990" s="6">
        <v>45770</v>
      </c>
      <c r="B7990" t="s">
        <v>15</v>
      </c>
      <c r="C7990" t="s">
        <v>16</v>
      </c>
      <c r="D7990" s="1">
        <v>45855</v>
      </c>
      <c r="E7990" t="s">
        <v>17</v>
      </c>
      <c r="F7990">
        <v>4650</v>
      </c>
      <c r="J7990">
        <v>721</v>
      </c>
      <c r="K7990">
        <v>835.2</v>
      </c>
      <c r="L7990">
        <v>0</v>
      </c>
      <c r="M7990" t="s">
        <v>18</v>
      </c>
      <c r="N7990">
        <v>0</v>
      </c>
      <c r="O7990">
        <v>0</v>
      </c>
    </row>
    <row r="7991" spans="1:15" x14ac:dyDescent="0.2">
      <c r="A7991" s="6">
        <v>45770</v>
      </c>
      <c r="B7991" t="s">
        <v>15</v>
      </c>
      <c r="C7991" t="s">
        <v>16</v>
      </c>
      <c r="D7991" s="1">
        <v>45855</v>
      </c>
      <c r="E7991" t="s">
        <v>19</v>
      </c>
      <c r="F7991">
        <v>5100</v>
      </c>
      <c r="J7991">
        <v>281.8</v>
      </c>
      <c r="K7991">
        <v>226.5</v>
      </c>
      <c r="L7991">
        <v>0</v>
      </c>
      <c r="M7991" t="s">
        <v>18</v>
      </c>
      <c r="N7991">
        <v>0</v>
      </c>
      <c r="O7991">
        <v>0</v>
      </c>
    </row>
    <row r="7992" spans="1:15" x14ac:dyDescent="0.2">
      <c r="A7992" s="6">
        <v>45770</v>
      </c>
      <c r="B7992" t="s">
        <v>15</v>
      </c>
      <c r="C7992" t="s">
        <v>16</v>
      </c>
      <c r="D7992" s="1">
        <v>45855</v>
      </c>
      <c r="E7992" t="s">
        <v>19</v>
      </c>
      <c r="F7992">
        <v>6650</v>
      </c>
      <c r="J7992">
        <v>1411.3</v>
      </c>
      <c r="K7992">
        <v>1282.9000000000001</v>
      </c>
      <c r="L7992">
        <v>0</v>
      </c>
      <c r="M7992" t="s">
        <v>18</v>
      </c>
      <c r="N7992">
        <v>0</v>
      </c>
      <c r="O7992">
        <v>0</v>
      </c>
    </row>
    <row r="7993" spans="1:15" x14ac:dyDescent="0.2">
      <c r="A7993" s="6">
        <v>45770</v>
      </c>
      <c r="B7993" t="s">
        <v>15</v>
      </c>
      <c r="C7993" t="s">
        <v>16</v>
      </c>
      <c r="D7993" s="1">
        <v>45855</v>
      </c>
      <c r="E7993" t="s">
        <v>17</v>
      </c>
      <c r="F7993">
        <v>4200</v>
      </c>
      <c r="J7993">
        <v>1081.7</v>
      </c>
      <c r="K7993">
        <v>1213.9000000000001</v>
      </c>
      <c r="L7993">
        <v>0</v>
      </c>
      <c r="M7993" t="s">
        <v>18</v>
      </c>
      <c r="N7993">
        <v>0</v>
      </c>
      <c r="O7993">
        <v>0</v>
      </c>
    </row>
    <row r="7994" spans="1:15" x14ac:dyDescent="0.2">
      <c r="A7994" s="6">
        <v>45770</v>
      </c>
      <c r="B7994" t="s">
        <v>15</v>
      </c>
      <c r="C7994" t="s">
        <v>16</v>
      </c>
      <c r="D7994" s="1">
        <v>45855</v>
      </c>
      <c r="E7994" t="s">
        <v>19</v>
      </c>
      <c r="F7994">
        <v>6050</v>
      </c>
      <c r="J7994">
        <v>894.3</v>
      </c>
      <c r="K7994">
        <v>785.7</v>
      </c>
      <c r="L7994">
        <v>0</v>
      </c>
      <c r="M7994" t="s">
        <v>18</v>
      </c>
      <c r="N7994">
        <v>0</v>
      </c>
      <c r="O7994">
        <v>0</v>
      </c>
    </row>
    <row r="7995" spans="1:15" x14ac:dyDescent="0.2">
      <c r="A7995" s="6">
        <v>45770</v>
      </c>
      <c r="B7995" t="s">
        <v>15</v>
      </c>
      <c r="C7995" t="s">
        <v>16</v>
      </c>
      <c r="D7995" s="1">
        <v>45855</v>
      </c>
      <c r="E7995" t="s">
        <v>17</v>
      </c>
      <c r="F7995">
        <v>5250</v>
      </c>
      <c r="J7995">
        <v>365.1</v>
      </c>
      <c r="K7995">
        <v>444.3</v>
      </c>
      <c r="L7995">
        <v>0</v>
      </c>
      <c r="M7995" t="s">
        <v>18</v>
      </c>
      <c r="N7995">
        <v>0</v>
      </c>
      <c r="O7995">
        <v>0</v>
      </c>
    </row>
    <row r="7996" spans="1:15" x14ac:dyDescent="0.2">
      <c r="A7996" s="6">
        <v>45770</v>
      </c>
      <c r="B7996" t="s">
        <v>15</v>
      </c>
      <c r="C7996" t="s">
        <v>16</v>
      </c>
      <c r="D7996" s="1">
        <v>45855</v>
      </c>
      <c r="E7996" t="s">
        <v>17</v>
      </c>
      <c r="F7996">
        <v>5100</v>
      </c>
      <c r="J7996">
        <v>439.4</v>
      </c>
      <c r="K7996">
        <v>527.9</v>
      </c>
      <c r="L7996">
        <v>0</v>
      </c>
      <c r="M7996" t="s">
        <v>18</v>
      </c>
      <c r="N7996">
        <v>0</v>
      </c>
      <c r="O7996">
        <v>0</v>
      </c>
    </row>
    <row r="7997" spans="1:15" x14ac:dyDescent="0.2">
      <c r="A7997" s="6">
        <v>45770</v>
      </c>
      <c r="B7997" t="s">
        <v>15</v>
      </c>
      <c r="C7997" t="s">
        <v>16</v>
      </c>
      <c r="D7997" s="1">
        <v>45855</v>
      </c>
      <c r="E7997" t="s">
        <v>19</v>
      </c>
      <c r="F7997">
        <v>4900</v>
      </c>
      <c r="J7997">
        <v>199.1</v>
      </c>
      <c r="K7997">
        <v>156</v>
      </c>
      <c r="L7997">
        <v>0</v>
      </c>
      <c r="M7997" t="s">
        <v>18</v>
      </c>
      <c r="N7997">
        <v>0</v>
      </c>
      <c r="O7997">
        <v>0</v>
      </c>
    </row>
    <row r="7998" spans="1:15" x14ac:dyDescent="0.2">
      <c r="A7998" s="6">
        <v>45770</v>
      </c>
      <c r="B7998" t="s">
        <v>15</v>
      </c>
      <c r="C7998" t="s">
        <v>16</v>
      </c>
      <c r="D7998" s="1">
        <v>45855</v>
      </c>
      <c r="E7998" t="s">
        <v>19</v>
      </c>
      <c r="F7998">
        <v>4200</v>
      </c>
      <c r="J7998">
        <v>37.6</v>
      </c>
      <c r="K7998">
        <v>26.2</v>
      </c>
      <c r="L7998">
        <v>0</v>
      </c>
      <c r="M7998" t="s">
        <v>18</v>
      </c>
      <c r="N7998">
        <v>0</v>
      </c>
      <c r="O7998">
        <v>0</v>
      </c>
    </row>
    <row r="7999" spans="1:15" x14ac:dyDescent="0.2">
      <c r="A7999" s="6">
        <v>45770</v>
      </c>
      <c r="B7999" t="s">
        <v>15</v>
      </c>
      <c r="C7999" t="s">
        <v>16</v>
      </c>
      <c r="D7999" s="1">
        <v>45855</v>
      </c>
      <c r="E7999" t="s">
        <v>17</v>
      </c>
      <c r="F7999">
        <v>5950</v>
      </c>
      <c r="J7999">
        <v>135.9</v>
      </c>
      <c r="K7999">
        <v>175.7</v>
      </c>
      <c r="L7999">
        <v>0</v>
      </c>
      <c r="M7999" t="s">
        <v>18</v>
      </c>
      <c r="N7999">
        <v>0</v>
      </c>
      <c r="O7999">
        <v>0</v>
      </c>
    </row>
    <row r="8000" spans="1:15" x14ac:dyDescent="0.2">
      <c r="A8000" s="6">
        <v>45770</v>
      </c>
      <c r="B8000" t="s">
        <v>15</v>
      </c>
      <c r="C8000" t="s">
        <v>16</v>
      </c>
      <c r="D8000" s="1">
        <v>45855</v>
      </c>
      <c r="E8000" t="s">
        <v>17</v>
      </c>
      <c r="F8000">
        <v>4900</v>
      </c>
      <c r="J8000">
        <v>553.70000000000005</v>
      </c>
      <c r="K8000">
        <v>654.29999999999995</v>
      </c>
      <c r="L8000">
        <v>0</v>
      </c>
      <c r="M8000" t="s">
        <v>18</v>
      </c>
      <c r="N8000">
        <v>0</v>
      </c>
      <c r="O8000">
        <v>0</v>
      </c>
    </row>
    <row r="8001" spans="1:15" x14ac:dyDescent="0.2">
      <c r="A8001" s="6">
        <v>45770</v>
      </c>
      <c r="B8001" t="s">
        <v>15</v>
      </c>
      <c r="C8001" t="s">
        <v>16</v>
      </c>
      <c r="D8001" s="1">
        <v>45855</v>
      </c>
      <c r="E8001" t="s">
        <v>17</v>
      </c>
      <c r="F8001">
        <v>4800</v>
      </c>
      <c r="J8001">
        <v>617.4</v>
      </c>
      <c r="K8001">
        <v>723.7</v>
      </c>
      <c r="L8001">
        <v>0</v>
      </c>
      <c r="M8001" t="s">
        <v>18</v>
      </c>
      <c r="N8001">
        <v>0</v>
      </c>
      <c r="O8001">
        <v>0</v>
      </c>
    </row>
    <row r="8002" spans="1:15" x14ac:dyDescent="0.2">
      <c r="A8002" s="6">
        <v>45770</v>
      </c>
      <c r="B8002" t="s">
        <v>15</v>
      </c>
      <c r="C8002" t="s">
        <v>16</v>
      </c>
      <c r="D8002" s="1">
        <v>45855</v>
      </c>
      <c r="E8002" t="s">
        <v>17</v>
      </c>
      <c r="F8002">
        <v>4950</v>
      </c>
      <c r="J8002">
        <v>523.5</v>
      </c>
      <c r="K8002">
        <v>621.1</v>
      </c>
      <c r="L8002">
        <v>0</v>
      </c>
      <c r="M8002" t="s">
        <v>18</v>
      </c>
      <c r="N8002">
        <v>0</v>
      </c>
      <c r="O8002">
        <v>0</v>
      </c>
    </row>
    <row r="8003" spans="1:15" x14ac:dyDescent="0.2">
      <c r="A8003" s="6">
        <v>45770</v>
      </c>
      <c r="B8003" t="s">
        <v>15</v>
      </c>
      <c r="C8003" t="s">
        <v>16</v>
      </c>
      <c r="D8003" s="1">
        <v>45855</v>
      </c>
      <c r="E8003" t="s">
        <v>19</v>
      </c>
      <c r="F8003">
        <v>6550</v>
      </c>
      <c r="J8003">
        <v>1320.9</v>
      </c>
      <c r="K8003">
        <v>1195.0999999999999</v>
      </c>
      <c r="L8003">
        <v>0</v>
      </c>
      <c r="M8003" t="s">
        <v>18</v>
      </c>
      <c r="N8003">
        <v>0</v>
      </c>
      <c r="O8003">
        <v>0</v>
      </c>
    </row>
    <row r="8004" spans="1:15" x14ac:dyDescent="0.2">
      <c r="A8004" s="6">
        <v>45770</v>
      </c>
      <c r="B8004" t="s">
        <v>15</v>
      </c>
      <c r="C8004" t="s">
        <v>16</v>
      </c>
      <c r="D8004" s="1">
        <v>45855</v>
      </c>
      <c r="E8004" t="s">
        <v>17</v>
      </c>
      <c r="F8004">
        <v>5700</v>
      </c>
      <c r="J8004">
        <v>197.9</v>
      </c>
      <c r="K8004">
        <v>250.3</v>
      </c>
      <c r="L8004">
        <v>0</v>
      </c>
      <c r="M8004" t="s">
        <v>18</v>
      </c>
      <c r="N8004">
        <v>0</v>
      </c>
      <c r="O8004">
        <v>0</v>
      </c>
    </row>
    <row r="8005" spans="1:15" x14ac:dyDescent="0.2">
      <c r="A8005" s="6">
        <v>45770</v>
      </c>
      <c r="B8005" t="s">
        <v>15</v>
      </c>
      <c r="C8005" t="s">
        <v>16</v>
      </c>
      <c r="D8005" s="1">
        <v>45855</v>
      </c>
      <c r="E8005" t="s">
        <v>17</v>
      </c>
      <c r="F8005">
        <v>6200</v>
      </c>
      <c r="J8005">
        <v>91.2</v>
      </c>
      <c r="K8005">
        <v>120.5</v>
      </c>
      <c r="L8005">
        <v>0</v>
      </c>
      <c r="M8005" t="s">
        <v>18</v>
      </c>
      <c r="N8005">
        <v>0</v>
      </c>
      <c r="O8005">
        <v>0</v>
      </c>
    </row>
    <row r="8006" spans="1:15" x14ac:dyDescent="0.2">
      <c r="A8006" s="6">
        <v>45770</v>
      </c>
      <c r="B8006" t="s">
        <v>15</v>
      </c>
      <c r="C8006" t="s">
        <v>16</v>
      </c>
      <c r="D8006" s="1">
        <v>45855</v>
      </c>
      <c r="E8006" t="s">
        <v>19</v>
      </c>
      <c r="F8006">
        <v>6150</v>
      </c>
      <c r="J8006">
        <v>975.6</v>
      </c>
      <c r="K8006">
        <v>862.8</v>
      </c>
      <c r="L8006">
        <v>0</v>
      </c>
      <c r="M8006" t="s">
        <v>18</v>
      </c>
      <c r="N8006">
        <v>0</v>
      </c>
      <c r="O8006">
        <v>0</v>
      </c>
    </row>
    <row r="8007" spans="1:15" x14ac:dyDescent="0.2">
      <c r="A8007" s="6">
        <v>45770</v>
      </c>
      <c r="B8007" t="s">
        <v>15</v>
      </c>
      <c r="C8007" t="s">
        <v>16</v>
      </c>
      <c r="D8007" s="1">
        <v>45855</v>
      </c>
      <c r="E8007" t="s">
        <v>17</v>
      </c>
      <c r="F8007">
        <v>5300</v>
      </c>
      <c r="J8007">
        <v>342.6</v>
      </c>
      <c r="K8007">
        <v>418.6</v>
      </c>
      <c r="L8007">
        <v>0</v>
      </c>
      <c r="M8007" t="s">
        <v>18</v>
      </c>
      <c r="N8007">
        <v>0</v>
      </c>
      <c r="O8007">
        <v>0</v>
      </c>
    </row>
    <row r="8008" spans="1:15" x14ac:dyDescent="0.2">
      <c r="A8008" s="6">
        <v>45770</v>
      </c>
      <c r="B8008" t="s">
        <v>15</v>
      </c>
      <c r="C8008" t="s">
        <v>16</v>
      </c>
      <c r="D8008" s="1">
        <v>45855</v>
      </c>
      <c r="E8008" t="s">
        <v>17</v>
      </c>
      <c r="F8008">
        <v>4450</v>
      </c>
      <c r="J8008">
        <v>872.8</v>
      </c>
      <c r="K8008">
        <v>996.2</v>
      </c>
      <c r="L8008">
        <v>0</v>
      </c>
      <c r="M8008" t="s">
        <v>18</v>
      </c>
      <c r="N8008">
        <v>0</v>
      </c>
      <c r="O8008">
        <v>0</v>
      </c>
    </row>
    <row r="8009" spans="1:15" x14ac:dyDescent="0.2">
      <c r="A8009" s="6">
        <v>45770</v>
      </c>
      <c r="B8009" t="s">
        <v>15</v>
      </c>
      <c r="C8009" t="s">
        <v>16</v>
      </c>
      <c r="D8009" s="1">
        <v>45855</v>
      </c>
      <c r="E8009" t="s">
        <v>17</v>
      </c>
      <c r="F8009">
        <v>4100</v>
      </c>
      <c r="J8009">
        <v>1170.0999999999999</v>
      </c>
      <c r="K8009">
        <v>1304.9000000000001</v>
      </c>
      <c r="L8009">
        <v>0</v>
      </c>
      <c r="M8009" t="s">
        <v>18</v>
      </c>
      <c r="N8009">
        <v>0</v>
      </c>
      <c r="O8009">
        <v>0</v>
      </c>
    </row>
    <row r="8010" spans="1:15" x14ac:dyDescent="0.2">
      <c r="A8010" s="6">
        <v>45770</v>
      </c>
      <c r="B8010" t="s">
        <v>15</v>
      </c>
      <c r="C8010" t="s">
        <v>16</v>
      </c>
      <c r="D8010" s="1">
        <v>45855</v>
      </c>
      <c r="E8010" t="s">
        <v>17</v>
      </c>
      <c r="F8010">
        <v>4400</v>
      </c>
      <c r="J8010">
        <v>913</v>
      </c>
      <c r="K8010">
        <v>1038.4000000000001</v>
      </c>
      <c r="L8010">
        <v>0</v>
      </c>
      <c r="M8010" t="s">
        <v>18</v>
      </c>
      <c r="N8010">
        <v>0</v>
      </c>
      <c r="O8010">
        <v>0</v>
      </c>
    </row>
    <row r="8011" spans="1:15" x14ac:dyDescent="0.2">
      <c r="A8011" s="6">
        <v>45770</v>
      </c>
      <c r="B8011" t="s">
        <v>15</v>
      </c>
      <c r="C8011" t="s">
        <v>16</v>
      </c>
      <c r="D8011" s="1">
        <v>45855</v>
      </c>
      <c r="E8011" t="s">
        <v>17</v>
      </c>
      <c r="F8011">
        <v>4750</v>
      </c>
      <c r="J8011">
        <v>650.9</v>
      </c>
      <c r="K8011">
        <v>759.9</v>
      </c>
      <c r="L8011">
        <v>0</v>
      </c>
      <c r="M8011" t="s">
        <v>18</v>
      </c>
      <c r="N8011">
        <v>0</v>
      </c>
      <c r="O8011">
        <v>0</v>
      </c>
    </row>
    <row r="8012" spans="1:15" x14ac:dyDescent="0.2">
      <c r="A8012" s="6">
        <v>45770</v>
      </c>
      <c r="B8012" t="s">
        <v>15</v>
      </c>
      <c r="C8012" t="s">
        <v>16</v>
      </c>
      <c r="D8012" s="1">
        <v>45855</v>
      </c>
      <c r="E8012" t="s">
        <v>17</v>
      </c>
      <c r="F8012">
        <v>5000</v>
      </c>
      <c r="J8012">
        <v>494.3</v>
      </c>
      <c r="K8012">
        <v>588.9</v>
      </c>
      <c r="L8012">
        <v>0</v>
      </c>
      <c r="M8012" t="s">
        <v>18</v>
      </c>
      <c r="N8012">
        <v>0</v>
      </c>
      <c r="O8012">
        <v>0</v>
      </c>
    </row>
    <row r="8013" spans="1:15" x14ac:dyDescent="0.2">
      <c r="A8013" s="6">
        <v>45770</v>
      </c>
      <c r="B8013" t="s">
        <v>15</v>
      </c>
      <c r="C8013" t="s">
        <v>16</v>
      </c>
      <c r="D8013" s="1">
        <v>45855</v>
      </c>
      <c r="E8013" t="s">
        <v>17</v>
      </c>
      <c r="F8013">
        <v>4850</v>
      </c>
      <c r="J8013">
        <v>585</v>
      </c>
      <c r="K8013">
        <v>688.5</v>
      </c>
      <c r="L8013">
        <v>0</v>
      </c>
      <c r="M8013" t="s">
        <v>18</v>
      </c>
      <c r="N8013">
        <v>0</v>
      </c>
      <c r="O8013">
        <v>0</v>
      </c>
    </row>
    <row r="8014" spans="1:15" x14ac:dyDescent="0.2">
      <c r="A8014" s="6">
        <v>45770</v>
      </c>
      <c r="B8014" t="s">
        <v>15</v>
      </c>
      <c r="C8014" t="s">
        <v>16</v>
      </c>
      <c r="D8014" s="1">
        <v>45855</v>
      </c>
      <c r="E8014" t="s">
        <v>19</v>
      </c>
      <c r="F8014">
        <v>5250</v>
      </c>
      <c r="J8014">
        <v>355.3</v>
      </c>
      <c r="K8014">
        <v>290.7</v>
      </c>
      <c r="L8014">
        <v>0</v>
      </c>
      <c r="M8014" t="s">
        <v>18</v>
      </c>
      <c r="N8014">
        <v>0</v>
      </c>
      <c r="O8014">
        <v>0</v>
      </c>
    </row>
    <row r="8015" spans="1:15" x14ac:dyDescent="0.2">
      <c r="A8015" s="6">
        <v>45770</v>
      </c>
      <c r="B8015" t="s">
        <v>15</v>
      </c>
      <c r="C8015" t="s">
        <v>16</v>
      </c>
      <c r="D8015" s="1">
        <v>45855</v>
      </c>
      <c r="E8015" t="s">
        <v>19</v>
      </c>
      <c r="F8015">
        <v>5200</v>
      </c>
      <c r="J8015">
        <v>329.7</v>
      </c>
      <c r="K8015">
        <v>268.2</v>
      </c>
      <c r="L8015">
        <v>0</v>
      </c>
      <c r="M8015" t="s">
        <v>18</v>
      </c>
      <c r="N8015">
        <v>0</v>
      </c>
      <c r="O8015">
        <v>0</v>
      </c>
    </row>
    <row r="8016" spans="1:15" x14ac:dyDescent="0.2">
      <c r="A8016" s="6">
        <v>45770</v>
      </c>
      <c r="B8016" t="s">
        <v>15</v>
      </c>
      <c r="C8016" t="s">
        <v>16</v>
      </c>
      <c r="D8016" s="1">
        <v>45855</v>
      </c>
      <c r="E8016" t="s">
        <v>17</v>
      </c>
      <c r="F8016">
        <v>4350</v>
      </c>
      <c r="J8016">
        <v>954</v>
      </c>
      <c r="K8016">
        <v>1081.3</v>
      </c>
      <c r="L8016">
        <v>0</v>
      </c>
      <c r="M8016" t="s">
        <v>18</v>
      </c>
      <c r="N8016">
        <v>0</v>
      </c>
      <c r="O8016">
        <v>0</v>
      </c>
    </row>
    <row r="8017" spans="1:15" x14ac:dyDescent="0.2">
      <c r="A8017" s="6">
        <v>45770</v>
      </c>
      <c r="B8017" t="s">
        <v>15</v>
      </c>
      <c r="C8017" t="s">
        <v>16</v>
      </c>
      <c r="D8017" s="1">
        <v>45855</v>
      </c>
      <c r="E8017" t="s">
        <v>17</v>
      </c>
      <c r="F8017">
        <v>5750</v>
      </c>
      <c r="J8017">
        <v>183.9</v>
      </c>
      <c r="K8017">
        <v>233.7</v>
      </c>
      <c r="L8017">
        <v>0</v>
      </c>
      <c r="M8017" t="s">
        <v>18</v>
      </c>
      <c r="N8017">
        <v>0</v>
      </c>
      <c r="O8017">
        <v>0</v>
      </c>
    </row>
    <row r="8018" spans="1:15" x14ac:dyDescent="0.2">
      <c r="A8018" s="6">
        <v>45770</v>
      </c>
      <c r="B8018" t="s">
        <v>15</v>
      </c>
      <c r="C8018" t="s">
        <v>16</v>
      </c>
      <c r="D8018" s="1">
        <v>45855</v>
      </c>
      <c r="E8018" t="s">
        <v>19</v>
      </c>
      <c r="F8018">
        <v>6200</v>
      </c>
      <c r="J8018">
        <v>1017.1</v>
      </c>
      <c r="K8018">
        <v>902.4</v>
      </c>
      <c r="L8018">
        <v>0</v>
      </c>
      <c r="M8018" t="s">
        <v>18</v>
      </c>
      <c r="N8018">
        <v>0</v>
      </c>
      <c r="O8018">
        <v>0</v>
      </c>
    </row>
    <row r="8019" spans="1:15" x14ac:dyDescent="0.2">
      <c r="A8019" s="6">
        <v>45770</v>
      </c>
      <c r="B8019" t="s">
        <v>15</v>
      </c>
      <c r="C8019" t="s">
        <v>16</v>
      </c>
      <c r="D8019" s="1">
        <v>45855</v>
      </c>
      <c r="E8019" t="s">
        <v>19</v>
      </c>
      <c r="F8019">
        <v>5900</v>
      </c>
      <c r="J8019">
        <v>777.1</v>
      </c>
      <c r="K8019">
        <v>675.4</v>
      </c>
      <c r="L8019">
        <v>0</v>
      </c>
      <c r="M8019" t="s">
        <v>18</v>
      </c>
      <c r="N8019">
        <v>0</v>
      </c>
      <c r="O8019">
        <v>0</v>
      </c>
    </row>
    <row r="8020" spans="1:15" x14ac:dyDescent="0.2">
      <c r="A8020" s="6">
        <v>45770</v>
      </c>
      <c r="B8020" t="s">
        <v>15</v>
      </c>
      <c r="C8020" t="s">
        <v>16</v>
      </c>
      <c r="D8020" s="1">
        <v>45855</v>
      </c>
      <c r="E8020" t="s">
        <v>17</v>
      </c>
      <c r="F8020">
        <v>5600</v>
      </c>
      <c r="J8020">
        <v>228.4</v>
      </c>
      <c r="K8020">
        <v>286.39999999999998</v>
      </c>
      <c r="L8020">
        <v>0</v>
      </c>
      <c r="M8020" t="s">
        <v>18</v>
      </c>
      <c r="N8020">
        <v>0</v>
      </c>
      <c r="O8020">
        <v>0</v>
      </c>
    </row>
    <row r="8021" spans="1:15" x14ac:dyDescent="0.2">
      <c r="A8021" s="6">
        <v>45770</v>
      </c>
      <c r="B8021" t="s">
        <v>15</v>
      </c>
      <c r="C8021" t="s">
        <v>16</v>
      </c>
      <c r="D8021" s="1">
        <v>45855</v>
      </c>
      <c r="E8021" t="s">
        <v>19</v>
      </c>
      <c r="F8021">
        <v>4250</v>
      </c>
      <c r="J8021">
        <v>43.6</v>
      </c>
      <c r="K8021">
        <v>30.7</v>
      </c>
      <c r="L8021">
        <v>0</v>
      </c>
      <c r="M8021" t="s">
        <v>18</v>
      </c>
      <c r="N8021">
        <v>0</v>
      </c>
      <c r="O8021">
        <v>0</v>
      </c>
    </row>
    <row r="8022" spans="1:15" x14ac:dyDescent="0.2">
      <c r="A8022" s="6">
        <v>45770</v>
      </c>
      <c r="B8022" t="s">
        <v>15</v>
      </c>
      <c r="C8022" t="s">
        <v>16</v>
      </c>
      <c r="D8022" s="1">
        <v>45855</v>
      </c>
      <c r="E8022" t="s">
        <v>19</v>
      </c>
      <c r="F8022">
        <v>4950</v>
      </c>
      <c r="J8022">
        <v>218.1</v>
      </c>
      <c r="K8022">
        <v>172</v>
      </c>
      <c r="L8022">
        <v>0</v>
      </c>
      <c r="M8022" t="s">
        <v>18</v>
      </c>
      <c r="N8022">
        <v>0</v>
      </c>
      <c r="O8022">
        <v>0</v>
      </c>
    </row>
    <row r="8023" spans="1:15" x14ac:dyDescent="0.2">
      <c r="A8023" s="6">
        <v>45770</v>
      </c>
      <c r="B8023" t="s">
        <v>15</v>
      </c>
      <c r="C8023" t="s">
        <v>16</v>
      </c>
      <c r="D8023" s="1">
        <v>45855</v>
      </c>
      <c r="E8023" t="s">
        <v>19</v>
      </c>
      <c r="F8023">
        <v>4600</v>
      </c>
      <c r="J8023">
        <v>107.4</v>
      </c>
      <c r="K8023">
        <v>80.5</v>
      </c>
      <c r="L8023">
        <v>0</v>
      </c>
      <c r="M8023" t="s">
        <v>18</v>
      </c>
      <c r="N8023">
        <v>0</v>
      </c>
      <c r="O8023">
        <v>0</v>
      </c>
    </row>
    <row r="8024" spans="1:15" x14ac:dyDescent="0.2">
      <c r="A8024" s="6">
        <v>45770</v>
      </c>
      <c r="B8024" t="s">
        <v>15</v>
      </c>
      <c r="C8024" t="s">
        <v>16</v>
      </c>
      <c r="D8024" s="1">
        <v>45855</v>
      </c>
      <c r="E8024" t="s">
        <v>19</v>
      </c>
      <c r="F8024">
        <v>5050</v>
      </c>
      <c r="J8024">
        <v>259.5</v>
      </c>
      <c r="K8024">
        <v>207.3</v>
      </c>
      <c r="L8024">
        <v>0</v>
      </c>
      <c r="M8024" t="s">
        <v>18</v>
      </c>
      <c r="N8024">
        <v>0</v>
      </c>
      <c r="O8024">
        <v>0</v>
      </c>
    </row>
    <row r="8025" spans="1:15" x14ac:dyDescent="0.2">
      <c r="A8025" s="6">
        <v>45770</v>
      </c>
      <c r="B8025" t="s">
        <v>15</v>
      </c>
      <c r="C8025" t="s">
        <v>16</v>
      </c>
      <c r="D8025" s="1">
        <v>45855</v>
      </c>
      <c r="E8025" t="s">
        <v>19</v>
      </c>
      <c r="F8025">
        <v>4450</v>
      </c>
      <c r="J8025">
        <v>75</v>
      </c>
      <c r="K8025">
        <v>54.8</v>
      </c>
      <c r="L8025">
        <v>0</v>
      </c>
      <c r="M8025" t="s">
        <v>18</v>
      </c>
      <c r="N8025">
        <v>0</v>
      </c>
      <c r="O8025">
        <v>0</v>
      </c>
    </row>
    <row r="8026" spans="1:15" x14ac:dyDescent="0.2">
      <c r="A8026" s="6">
        <v>45770</v>
      </c>
      <c r="B8026" t="s">
        <v>15</v>
      </c>
      <c r="C8026" t="s">
        <v>16</v>
      </c>
      <c r="D8026" s="1">
        <v>45855</v>
      </c>
      <c r="E8026" t="s">
        <v>19</v>
      </c>
      <c r="F8026">
        <v>5400</v>
      </c>
      <c r="J8026">
        <v>438.4</v>
      </c>
      <c r="K8026">
        <v>364.5</v>
      </c>
      <c r="L8026">
        <v>0</v>
      </c>
      <c r="M8026" t="s">
        <v>18</v>
      </c>
      <c r="N8026">
        <v>0</v>
      </c>
      <c r="O8026">
        <v>0</v>
      </c>
    </row>
    <row r="8027" spans="1:15" x14ac:dyDescent="0.2">
      <c r="A8027" s="6">
        <v>45770</v>
      </c>
      <c r="B8027" t="s">
        <v>15</v>
      </c>
      <c r="C8027" t="s">
        <v>16</v>
      </c>
      <c r="D8027" s="1">
        <v>45855</v>
      </c>
      <c r="E8027" t="s">
        <v>19</v>
      </c>
      <c r="F8027">
        <v>6400</v>
      </c>
      <c r="J8027">
        <v>1188.0999999999999</v>
      </c>
      <c r="K8027">
        <v>1066.5999999999999</v>
      </c>
      <c r="L8027">
        <v>0</v>
      </c>
      <c r="M8027" t="s">
        <v>18</v>
      </c>
      <c r="N8027">
        <v>0</v>
      </c>
      <c r="O8027">
        <v>0</v>
      </c>
    </row>
    <row r="8028" spans="1:15" x14ac:dyDescent="0.2">
      <c r="A8028" s="6">
        <v>45770</v>
      </c>
      <c r="B8028" t="s">
        <v>15</v>
      </c>
      <c r="C8028" t="s">
        <v>16</v>
      </c>
      <c r="D8028" s="1">
        <v>45855</v>
      </c>
      <c r="E8028" t="s">
        <v>19</v>
      </c>
      <c r="F8028">
        <v>5300</v>
      </c>
      <c r="J8028">
        <v>382</v>
      </c>
      <c r="K8028">
        <v>314.2</v>
      </c>
      <c r="L8028">
        <v>0</v>
      </c>
      <c r="M8028" t="s">
        <v>18</v>
      </c>
      <c r="N8028">
        <v>0</v>
      </c>
      <c r="O8028">
        <v>0</v>
      </c>
    </row>
    <row r="8029" spans="1:15" x14ac:dyDescent="0.2">
      <c r="A8029" s="6">
        <v>45770</v>
      </c>
      <c r="B8029" t="s">
        <v>15</v>
      </c>
      <c r="C8029" t="s">
        <v>16</v>
      </c>
      <c r="D8029" s="1">
        <v>45855</v>
      </c>
      <c r="E8029" t="s">
        <v>17</v>
      </c>
      <c r="F8029">
        <v>6550</v>
      </c>
      <c r="J8029">
        <v>50.3</v>
      </c>
      <c r="K8029">
        <v>68.5</v>
      </c>
      <c r="L8029">
        <v>0</v>
      </c>
      <c r="M8029" t="s">
        <v>18</v>
      </c>
      <c r="N8029">
        <v>0</v>
      </c>
      <c r="O8029">
        <v>0</v>
      </c>
    </row>
    <row r="8030" spans="1:15" x14ac:dyDescent="0.2">
      <c r="A8030" s="6">
        <v>45770</v>
      </c>
      <c r="B8030" t="s">
        <v>15</v>
      </c>
      <c r="C8030" t="s">
        <v>16</v>
      </c>
      <c r="D8030" s="1">
        <v>45855</v>
      </c>
      <c r="E8030" t="s">
        <v>19</v>
      </c>
      <c r="F8030">
        <v>5700</v>
      </c>
      <c r="J8030">
        <v>631.20000000000005</v>
      </c>
      <c r="K8030">
        <v>539.9</v>
      </c>
      <c r="L8030">
        <v>0</v>
      </c>
      <c r="M8030" t="s">
        <v>18</v>
      </c>
      <c r="N8030">
        <v>0</v>
      </c>
      <c r="O8030">
        <v>0</v>
      </c>
    </row>
    <row r="8031" spans="1:15" x14ac:dyDescent="0.2">
      <c r="A8031" s="6">
        <v>45770</v>
      </c>
      <c r="B8031" t="s">
        <v>15</v>
      </c>
      <c r="C8031" t="s">
        <v>16</v>
      </c>
      <c r="D8031" s="1">
        <v>45855</v>
      </c>
      <c r="E8031" t="s">
        <v>19</v>
      </c>
      <c r="F8031">
        <v>5800</v>
      </c>
      <c r="J8031">
        <v>702.6</v>
      </c>
      <c r="K8031">
        <v>605.9</v>
      </c>
      <c r="L8031">
        <v>0</v>
      </c>
      <c r="M8031" t="s">
        <v>18</v>
      </c>
      <c r="N8031">
        <v>0</v>
      </c>
      <c r="O8031">
        <v>0</v>
      </c>
    </row>
    <row r="8032" spans="1:15" x14ac:dyDescent="0.2">
      <c r="A8032" s="6">
        <v>45770</v>
      </c>
      <c r="B8032" t="s">
        <v>15</v>
      </c>
      <c r="C8032" t="s">
        <v>16</v>
      </c>
      <c r="D8032" s="1">
        <v>45855</v>
      </c>
      <c r="E8032" t="s">
        <v>19</v>
      </c>
      <c r="F8032">
        <v>5450</v>
      </c>
      <c r="J8032">
        <v>468.2</v>
      </c>
      <c r="K8032">
        <v>391.2</v>
      </c>
      <c r="L8032">
        <v>0</v>
      </c>
      <c r="M8032" t="s">
        <v>18</v>
      </c>
      <c r="N8032">
        <v>0</v>
      </c>
      <c r="O8032">
        <v>0</v>
      </c>
    </row>
    <row r="8033" spans="1:15" x14ac:dyDescent="0.2">
      <c r="A8033" s="6">
        <v>45770</v>
      </c>
      <c r="B8033" t="s">
        <v>15</v>
      </c>
      <c r="C8033" t="s">
        <v>16</v>
      </c>
      <c r="D8033" s="1">
        <v>45855</v>
      </c>
      <c r="E8033" t="s">
        <v>17</v>
      </c>
      <c r="F8033">
        <v>6650</v>
      </c>
      <c r="J8033">
        <v>42.2</v>
      </c>
      <c r="K8033">
        <v>57.9</v>
      </c>
      <c r="L8033">
        <v>0</v>
      </c>
      <c r="M8033" t="s">
        <v>18</v>
      </c>
      <c r="N8033">
        <v>0</v>
      </c>
      <c r="O8033">
        <v>0</v>
      </c>
    </row>
    <row r="8034" spans="1:15" x14ac:dyDescent="0.2">
      <c r="A8034" s="6">
        <v>45770</v>
      </c>
      <c r="B8034" t="s">
        <v>15</v>
      </c>
      <c r="C8034" t="s">
        <v>16</v>
      </c>
      <c r="D8034" s="1">
        <v>45855</v>
      </c>
      <c r="E8034" t="s">
        <v>17</v>
      </c>
      <c r="F8034">
        <v>6050</v>
      </c>
      <c r="J8034">
        <v>116.2</v>
      </c>
      <c r="K8034">
        <v>151.5</v>
      </c>
      <c r="L8034">
        <v>0</v>
      </c>
      <c r="M8034" t="s">
        <v>18</v>
      </c>
      <c r="N8034">
        <v>0</v>
      </c>
      <c r="O8034">
        <v>0</v>
      </c>
    </row>
    <row r="8035" spans="1:15" x14ac:dyDescent="0.2">
      <c r="A8035" s="6">
        <v>45770</v>
      </c>
      <c r="B8035" t="s">
        <v>15</v>
      </c>
      <c r="C8035" t="s">
        <v>16</v>
      </c>
      <c r="D8035" s="1">
        <v>45855</v>
      </c>
      <c r="E8035" t="s">
        <v>19</v>
      </c>
      <c r="F8035">
        <v>4550</v>
      </c>
      <c r="J8035">
        <v>95.7</v>
      </c>
      <c r="K8035">
        <v>71.099999999999994</v>
      </c>
      <c r="L8035">
        <v>0</v>
      </c>
      <c r="M8035" t="s">
        <v>18</v>
      </c>
      <c r="N8035">
        <v>0</v>
      </c>
      <c r="O8035">
        <v>0</v>
      </c>
    </row>
    <row r="8036" spans="1:15" x14ac:dyDescent="0.2">
      <c r="A8036" s="6">
        <v>45770</v>
      </c>
      <c r="B8036" t="s">
        <v>15</v>
      </c>
      <c r="C8036" t="s">
        <v>16</v>
      </c>
      <c r="D8036" s="1">
        <v>45855</v>
      </c>
      <c r="E8036" t="s">
        <v>19</v>
      </c>
      <c r="F8036">
        <v>4700</v>
      </c>
      <c r="J8036">
        <v>133.80000000000001</v>
      </c>
      <c r="K8036">
        <v>101.8</v>
      </c>
      <c r="L8036">
        <v>0</v>
      </c>
      <c r="M8036" t="s">
        <v>18</v>
      </c>
      <c r="N8036">
        <v>0</v>
      </c>
      <c r="O8036">
        <v>0</v>
      </c>
    </row>
    <row r="8037" spans="1:15" x14ac:dyDescent="0.2">
      <c r="A8037" s="6">
        <v>45770</v>
      </c>
      <c r="B8037" t="s">
        <v>15</v>
      </c>
      <c r="C8037" t="s">
        <v>16</v>
      </c>
      <c r="D8037" s="1">
        <v>45855</v>
      </c>
      <c r="E8037" t="s">
        <v>17</v>
      </c>
      <c r="F8037">
        <v>4150</v>
      </c>
      <c r="J8037">
        <v>1125.5999999999999</v>
      </c>
      <c r="K8037">
        <v>1259.2</v>
      </c>
      <c r="L8037">
        <v>0</v>
      </c>
      <c r="M8037" t="s">
        <v>18</v>
      </c>
      <c r="N8037">
        <v>0</v>
      </c>
      <c r="O8037">
        <v>0</v>
      </c>
    </row>
    <row r="8038" spans="1:15" x14ac:dyDescent="0.2">
      <c r="A8038" s="6">
        <v>45770</v>
      </c>
      <c r="B8038" t="s">
        <v>15</v>
      </c>
      <c r="C8038" t="s">
        <v>16</v>
      </c>
      <c r="D8038" s="1">
        <v>45855</v>
      </c>
      <c r="E8038" t="s">
        <v>17</v>
      </c>
      <c r="F8038">
        <v>4250</v>
      </c>
      <c r="J8038">
        <v>1038.4000000000001</v>
      </c>
      <c r="K8038">
        <v>1169.0999999999999</v>
      </c>
      <c r="L8038">
        <v>0</v>
      </c>
      <c r="M8038" t="s">
        <v>18</v>
      </c>
      <c r="N8038">
        <v>0</v>
      </c>
      <c r="O8038">
        <v>0</v>
      </c>
    </row>
    <row r="8039" spans="1:15" x14ac:dyDescent="0.2">
      <c r="A8039" s="6">
        <v>45770</v>
      </c>
      <c r="B8039" t="s">
        <v>15</v>
      </c>
      <c r="C8039" t="s">
        <v>16</v>
      </c>
      <c r="D8039" s="1">
        <v>45855</v>
      </c>
      <c r="E8039" t="s">
        <v>17</v>
      </c>
      <c r="F8039">
        <v>5900</v>
      </c>
      <c r="J8039">
        <v>146.80000000000001</v>
      </c>
      <c r="K8039">
        <v>189</v>
      </c>
      <c r="L8039">
        <v>0</v>
      </c>
      <c r="M8039" t="s">
        <v>18</v>
      </c>
      <c r="N8039">
        <v>0</v>
      </c>
      <c r="O8039">
        <v>0</v>
      </c>
    </row>
    <row r="8040" spans="1:15" x14ac:dyDescent="0.2">
      <c r="A8040" s="6">
        <v>45770</v>
      </c>
      <c r="B8040" t="s">
        <v>15</v>
      </c>
      <c r="C8040" t="s">
        <v>16</v>
      </c>
      <c r="D8040" s="1">
        <v>45855</v>
      </c>
      <c r="E8040" t="s">
        <v>17</v>
      </c>
      <c r="F8040">
        <v>5200</v>
      </c>
      <c r="J8040">
        <v>388.8</v>
      </c>
      <c r="K8040">
        <v>471.1</v>
      </c>
      <c r="L8040">
        <v>0</v>
      </c>
      <c r="M8040" t="s">
        <v>18</v>
      </c>
      <c r="N8040">
        <v>0</v>
      </c>
      <c r="O8040">
        <v>0</v>
      </c>
    </row>
    <row r="8041" spans="1:15" x14ac:dyDescent="0.2">
      <c r="A8041" s="6">
        <v>45770</v>
      </c>
      <c r="B8041" t="s">
        <v>15</v>
      </c>
      <c r="C8041" t="s">
        <v>16</v>
      </c>
      <c r="D8041" s="1">
        <v>45855</v>
      </c>
      <c r="E8041" t="s">
        <v>17</v>
      </c>
      <c r="F8041">
        <v>5500</v>
      </c>
      <c r="J8041">
        <v>262.5</v>
      </c>
      <c r="K8041">
        <v>326.39999999999998</v>
      </c>
      <c r="L8041">
        <v>0</v>
      </c>
      <c r="M8041" t="s">
        <v>18</v>
      </c>
      <c r="N8041">
        <v>0</v>
      </c>
      <c r="O8041">
        <v>0</v>
      </c>
    </row>
    <row r="8042" spans="1:15" x14ac:dyDescent="0.2">
      <c r="A8042" s="6">
        <v>45770</v>
      </c>
      <c r="B8042" t="s">
        <v>15</v>
      </c>
      <c r="C8042" t="s">
        <v>16</v>
      </c>
      <c r="D8042" s="1">
        <v>45855</v>
      </c>
      <c r="E8042" t="s">
        <v>17</v>
      </c>
      <c r="F8042">
        <v>4500</v>
      </c>
      <c r="J8042">
        <v>833.4</v>
      </c>
      <c r="K8042">
        <v>954.7</v>
      </c>
      <c r="L8042">
        <v>0</v>
      </c>
      <c r="M8042" t="s">
        <v>18</v>
      </c>
      <c r="N8042">
        <v>0</v>
      </c>
      <c r="O8042">
        <v>0</v>
      </c>
    </row>
    <row r="8043" spans="1:15" x14ac:dyDescent="0.2">
      <c r="A8043" s="6">
        <v>45770</v>
      </c>
      <c r="B8043" t="s">
        <v>15</v>
      </c>
      <c r="C8043" t="s">
        <v>16</v>
      </c>
      <c r="D8043" s="1">
        <v>45855</v>
      </c>
      <c r="E8043" t="s">
        <v>19</v>
      </c>
      <c r="F8043">
        <v>5150</v>
      </c>
      <c r="J8043">
        <v>305.2</v>
      </c>
      <c r="K8043">
        <v>246.8</v>
      </c>
      <c r="L8043">
        <v>0</v>
      </c>
      <c r="M8043" t="s">
        <v>18</v>
      </c>
      <c r="N8043">
        <v>0</v>
      </c>
      <c r="O8043">
        <v>0</v>
      </c>
    </row>
    <row r="8044" spans="1:15" x14ac:dyDescent="0.2">
      <c r="A8044" s="6">
        <v>45770</v>
      </c>
      <c r="B8044" t="s">
        <v>15</v>
      </c>
      <c r="C8044" t="s">
        <v>16</v>
      </c>
      <c r="D8044" s="1">
        <v>45855</v>
      </c>
      <c r="E8044" t="s">
        <v>19</v>
      </c>
      <c r="F8044">
        <v>6250</v>
      </c>
      <c r="J8044">
        <v>1059.0999999999999</v>
      </c>
      <c r="K8044">
        <v>942.6</v>
      </c>
      <c r="L8044">
        <v>0</v>
      </c>
      <c r="M8044" t="s">
        <v>18</v>
      </c>
      <c r="N8044">
        <v>0</v>
      </c>
      <c r="O8044">
        <v>0</v>
      </c>
    </row>
    <row r="8045" spans="1:15" x14ac:dyDescent="0.2">
      <c r="A8045" s="6">
        <v>45770</v>
      </c>
      <c r="B8045" t="s">
        <v>15</v>
      </c>
      <c r="C8045" t="s">
        <v>16</v>
      </c>
      <c r="D8045" s="1">
        <v>45855</v>
      </c>
      <c r="E8045" t="s">
        <v>17</v>
      </c>
      <c r="F8045">
        <v>5050</v>
      </c>
      <c r="J8045">
        <v>466.3</v>
      </c>
      <c r="K8045">
        <v>557.9</v>
      </c>
      <c r="L8045">
        <v>0</v>
      </c>
      <c r="M8045" t="s">
        <v>18</v>
      </c>
      <c r="N8045">
        <v>0</v>
      </c>
      <c r="O8045">
        <v>0</v>
      </c>
    </row>
    <row r="8046" spans="1:15" x14ac:dyDescent="0.2">
      <c r="A8046" s="6">
        <v>45770</v>
      </c>
      <c r="B8046" t="s">
        <v>15</v>
      </c>
      <c r="C8046" t="s">
        <v>16</v>
      </c>
      <c r="D8046" s="1">
        <v>45855</v>
      </c>
      <c r="E8046" t="s">
        <v>17</v>
      </c>
      <c r="F8046">
        <v>5150</v>
      </c>
      <c r="J8046">
        <v>413.5</v>
      </c>
      <c r="K8046">
        <v>498.9</v>
      </c>
      <c r="L8046">
        <v>0</v>
      </c>
      <c r="M8046" t="s">
        <v>18</v>
      </c>
      <c r="N8046">
        <v>0</v>
      </c>
      <c r="O8046">
        <v>0</v>
      </c>
    </row>
    <row r="8047" spans="1:15" x14ac:dyDescent="0.2">
      <c r="A8047" s="6">
        <v>45770</v>
      </c>
      <c r="B8047" t="s">
        <v>15</v>
      </c>
      <c r="C8047" t="s">
        <v>16</v>
      </c>
      <c r="D8047" s="1">
        <v>45855</v>
      </c>
      <c r="E8047" t="s">
        <v>17</v>
      </c>
      <c r="F8047">
        <v>6250</v>
      </c>
      <c r="J8047">
        <v>84</v>
      </c>
      <c r="K8047">
        <v>111.4</v>
      </c>
      <c r="L8047">
        <v>0</v>
      </c>
      <c r="M8047" t="s">
        <v>18</v>
      </c>
      <c r="N8047">
        <v>0</v>
      </c>
      <c r="O8047">
        <v>0</v>
      </c>
    </row>
    <row r="8048" spans="1:15" x14ac:dyDescent="0.2">
      <c r="A8048" s="6">
        <v>45770</v>
      </c>
      <c r="B8048" t="s">
        <v>15</v>
      </c>
      <c r="C8048" t="s">
        <v>16</v>
      </c>
      <c r="D8048" s="1">
        <v>45855</v>
      </c>
      <c r="E8048" t="s">
        <v>17</v>
      </c>
      <c r="F8048">
        <v>5450</v>
      </c>
      <c r="J8048">
        <v>281</v>
      </c>
      <c r="K8048">
        <v>347.9</v>
      </c>
      <c r="L8048">
        <v>0</v>
      </c>
      <c r="M8048" t="s">
        <v>18</v>
      </c>
      <c r="N8048">
        <v>0</v>
      </c>
      <c r="O8048">
        <v>0</v>
      </c>
    </row>
    <row r="8049" spans="1:15" x14ac:dyDescent="0.2">
      <c r="A8049" s="6">
        <v>45770</v>
      </c>
      <c r="B8049" t="s">
        <v>15</v>
      </c>
      <c r="C8049" t="s">
        <v>16</v>
      </c>
      <c r="D8049" s="1">
        <v>45855</v>
      </c>
      <c r="E8049" t="s">
        <v>17</v>
      </c>
      <c r="F8049">
        <v>4550</v>
      </c>
      <c r="J8049">
        <v>795</v>
      </c>
      <c r="K8049">
        <v>914.1</v>
      </c>
      <c r="L8049">
        <v>0</v>
      </c>
      <c r="M8049" t="s">
        <v>18</v>
      </c>
      <c r="N8049">
        <v>0</v>
      </c>
      <c r="O8049">
        <v>0</v>
      </c>
    </row>
    <row r="8050" spans="1:15" x14ac:dyDescent="0.2">
      <c r="A8050" s="6">
        <v>45770</v>
      </c>
      <c r="B8050" t="s">
        <v>15</v>
      </c>
      <c r="C8050" t="s">
        <v>16</v>
      </c>
      <c r="D8050" s="1">
        <v>45855</v>
      </c>
      <c r="E8050" t="s">
        <v>17</v>
      </c>
      <c r="F8050">
        <v>5800</v>
      </c>
      <c r="J8050">
        <v>170.7</v>
      </c>
      <c r="K8050">
        <v>217.9</v>
      </c>
      <c r="L8050">
        <v>0</v>
      </c>
      <c r="M8050" t="s">
        <v>18</v>
      </c>
      <c r="N8050">
        <v>0</v>
      </c>
      <c r="O8050">
        <v>0</v>
      </c>
    </row>
    <row r="8051" spans="1:15" x14ac:dyDescent="0.2">
      <c r="A8051" s="6">
        <v>45770</v>
      </c>
      <c r="B8051" t="s">
        <v>15</v>
      </c>
      <c r="C8051" t="s">
        <v>16</v>
      </c>
      <c r="D8051" s="1">
        <v>45855</v>
      </c>
      <c r="E8051" t="s">
        <v>17</v>
      </c>
      <c r="F8051">
        <v>4000</v>
      </c>
      <c r="J8051">
        <v>1260.8</v>
      </c>
      <c r="K8051">
        <v>1397.8</v>
      </c>
      <c r="L8051">
        <v>0</v>
      </c>
      <c r="M8051" t="s">
        <v>18</v>
      </c>
      <c r="N8051">
        <v>0</v>
      </c>
      <c r="O8051">
        <v>0</v>
      </c>
    </row>
    <row r="8052" spans="1:15" x14ac:dyDescent="0.2">
      <c r="A8052" s="6">
        <v>45770</v>
      </c>
      <c r="B8052" t="s">
        <v>15</v>
      </c>
      <c r="C8052" t="s">
        <v>16</v>
      </c>
      <c r="D8052" s="1">
        <v>45855</v>
      </c>
      <c r="E8052" t="s">
        <v>17</v>
      </c>
      <c r="F8052">
        <v>4050</v>
      </c>
      <c r="J8052">
        <v>1215.2</v>
      </c>
      <c r="K8052">
        <v>1351.2</v>
      </c>
      <c r="L8052">
        <v>0</v>
      </c>
      <c r="M8052" t="s">
        <v>18</v>
      </c>
      <c r="N8052">
        <v>0</v>
      </c>
      <c r="O8052">
        <v>0</v>
      </c>
    </row>
    <row r="8053" spans="1:15" x14ac:dyDescent="0.2">
      <c r="A8053" s="6">
        <v>45770</v>
      </c>
      <c r="B8053" t="s">
        <v>15</v>
      </c>
      <c r="C8053" t="s">
        <v>16</v>
      </c>
      <c r="D8053" s="1">
        <v>45855</v>
      </c>
      <c r="E8053" t="s">
        <v>17</v>
      </c>
      <c r="F8053">
        <v>6350</v>
      </c>
      <c r="J8053">
        <v>71</v>
      </c>
      <c r="K8053">
        <v>95.1</v>
      </c>
      <c r="L8053">
        <v>0</v>
      </c>
      <c r="M8053" t="s">
        <v>18</v>
      </c>
      <c r="N8053">
        <v>0</v>
      </c>
      <c r="O8053">
        <v>0</v>
      </c>
    </row>
    <row r="8054" spans="1:15" x14ac:dyDescent="0.2">
      <c r="A8054" s="6">
        <v>45770</v>
      </c>
      <c r="B8054" t="s">
        <v>15</v>
      </c>
      <c r="C8054" t="s">
        <v>16</v>
      </c>
      <c r="D8054" s="1">
        <v>45855</v>
      </c>
      <c r="E8054" t="s">
        <v>19</v>
      </c>
      <c r="F8054">
        <v>4400</v>
      </c>
      <c r="J8054">
        <v>65.900000000000006</v>
      </c>
      <c r="K8054">
        <v>47.7</v>
      </c>
      <c r="L8054">
        <v>0</v>
      </c>
      <c r="M8054" t="s">
        <v>18</v>
      </c>
      <c r="N8054">
        <v>0</v>
      </c>
      <c r="O8054">
        <v>0</v>
      </c>
    </row>
    <row r="8055" spans="1:15" x14ac:dyDescent="0.2">
      <c r="A8055" s="6">
        <v>45770</v>
      </c>
      <c r="B8055" t="s">
        <v>15</v>
      </c>
      <c r="C8055" t="s">
        <v>16</v>
      </c>
      <c r="D8055" s="1">
        <v>45855</v>
      </c>
      <c r="E8055" t="s">
        <v>19</v>
      </c>
      <c r="F8055">
        <v>4650</v>
      </c>
      <c r="J8055">
        <v>120.1</v>
      </c>
      <c r="K8055">
        <v>90.7</v>
      </c>
      <c r="L8055">
        <v>0</v>
      </c>
      <c r="M8055" t="s">
        <v>18</v>
      </c>
      <c r="N8055">
        <v>0</v>
      </c>
      <c r="O8055">
        <v>0</v>
      </c>
    </row>
    <row r="8056" spans="1:15" x14ac:dyDescent="0.2">
      <c r="A8056" s="6">
        <v>45770</v>
      </c>
      <c r="B8056" t="s">
        <v>15</v>
      </c>
      <c r="C8056" t="s">
        <v>16</v>
      </c>
      <c r="D8056" s="1">
        <v>45855</v>
      </c>
      <c r="E8056" t="s">
        <v>19</v>
      </c>
      <c r="F8056">
        <v>4500</v>
      </c>
      <c r="J8056">
        <v>84.9</v>
      </c>
      <c r="K8056">
        <v>62.5</v>
      </c>
      <c r="L8056">
        <v>0</v>
      </c>
      <c r="M8056" t="s">
        <v>18</v>
      </c>
      <c r="N8056">
        <v>0</v>
      </c>
      <c r="O8056">
        <v>0</v>
      </c>
    </row>
    <row r="8057" spans="1:15" x14ac:dyDescent="0.2">
      <c r="A8057" s="6">
        <v>45770</v>
      </c>
      <c r="B8057" t="s">
        <v>15</v>
      </c>
      <c r="C8057" t="s">
        <v>16</v>
      </c>
      <c r="D8057" s="1">
        <v>45855</v>
      </c>
      <c r="E8057" t="s">
        <v>19</v>
      </c>
      <c r="F8057">
        <v>5350</v>
      </c>
      <c r="J8057">
        <v>409.7</v>
      </c>
      <c r="K8057">
        <v>338.8</v>
      </c>
      <c r="L8057">
        <v>0</v>
      </c>
      <c r="M8057" t="s">
        <v>18</v>
      </c>
      <c r="N8057">
        <v>0</v>
      </c>
      <c r="O8057">
        <v>0</v>
      </c>
    </row>
    <row r="8058" spans="1:15" x14ac:dyDescent="0.2">
      <c r="A8058" s="6">
        <v>45770</v>
      </c>
      <c r="B8058" t="s">
        <v>15</v>
      </c>
      <c r="C8058" t="s">
        <v>16</v>
      </c>
      <c r="D8058" s="1">
        <v>45855</v>
      </c>
      <c r="E8058" t="s">
        <v>19</v>
      </c>
      <c r="F8058">
        <v>5950</v>
      </c>
      <c r="J8058">
        <v>815.5</v>
      </c>
      <c r="K8058">
        <v>711.4</v>
      </c>
      <c r="L8058">
        <v>0</v>
      </c>
      <c r="M8058" t="s">
        <v>18</v>
      </c>
      <c r="N8058">
        <v>0</v>
      </c>
      <c r="O8058">
        <v>0</v>
      </c>
    </row>
    <row r="8059" spans="1:15" x14ac:dyDescent="0.2">
      <c r="A8059" s="6">
        <v>45770</v>
      </c>
      <c r="B8059" t="s">
        <v>15</v>
      </c>
      <c r="C8059" t="s">
        <v>16</v>
      </c>
      <c r="D8059" s="1">
        <v>45855</v>
      </c>
      <c r="E8059" t="s">
        <v>19</v>
      </c>
      <c r="F8059">
        <v>4100</v>
      </c>
      <c r="J8059">
        <v>27.6</v>
      </c>
      <c r="K8059">
        <v>18.8</v>
      </c>
      <c r="L8059">
        <v>0</v>
      </c>
      <c r="M8059" t="s">
        <v>18</v>
      </c>
      <c r="N8059">
        <v>0</v>
      </c>
      <c r="O8059">
        <v>0</v>
      </c>
    </row>
    <row r="8060" spans="1:15" x14ac:dyDescent="0.2">
      <c r="A8060" s="6">
        <v>45770</v>
      </c>
      <c r="B8060" t="s">
        <v>15</v>
      </c>
      <c r="C8060" t="s">
        <v>16</v>
      </c>
      <c r="D8060" s="1">
        <v>45855</v>
      </c>
      <c r="E8060" t="s">
        <v>17</v>
      </c>
      <c r="F8060">
        <v>6300</v>
      </c>
      <c r="J8060">
        <v>77.3</v>
      </c>
      <c r="K8060">
        <v>103</v>
      </c>
      <c r="L8060">
        <v>0</v>
      </c>
      <c r="M8060" t="s">
        <v>18</v>
      </c>
      <c r="N8060">
        <v>0</v>
      </c>
      <c r="O8060">
        <v>0</v>
      </c>
    </row>
    <row r="8061" spans="1:15" x14ac:dyDescent="0.2">
      <c r="A8061" s="6">
        <v>45770</v>
      </c>
      <c r="B8061" t="s">
        <v>15</v>
      </c>
      <c r="C8061" t="s">
        <v>16</v>
      </c>
      <c r="D8061" s="1">
        <v>45855</v>
      </c>
      <c r="E8061" t="s">
        <v>17</v>
      </c>
      <c r="F8061">
        <v>6500</v>
      </c>
      <c r="J8061">
        <v>54.9</v>
      </c>
      <c r="K8061">
        <v>74.400000000000006</v>
      </c>
      <c r="L8061">
        <v>0</v>
      </c>
      <c r="M8061" t="s">
        <v>18</v>
      </c>
      <c r="N8061">
        <v>0</v>
      </c>
      <c r="O8061">
        <v>0</v>
      </c>
    </row>
    <row r="8062" spans="1:15" x14ac:dyDescent="0.2">
      <c r="A8062" s="6">
        <v>45770</v>
      </c>
      <c r="B8062" t="s">
        <v>15</v>
      </c>
      <c r="C8062" t="s">
        <v>16</v>
      </c>
      <c r="D8062" s="1">
        <v>45855</v>
      </c>
      <c r="E8062" t="s">
        <v>17</v>
      </c>
      <c r="F8062">
        <v>6450</v>
      </c>
      <c r="J8062">
        <v>59.9</v>
      </c>
      <c r="K8062">
        <v>80.8</v>
      </c>
      <c r="L8062">
        <v>0</v>
      </c>
      <c r="M8062" t="s">
        <v>18</v>
      </c>
      <c r="N8062">
        <v>0</v>
      </c>
      <c r="O8062">
        <v>0</v>
      </c>
    </row>
    <row r="8063" spans="1:15" x14ac:dyDescent="0.2">
      <c r="A8063" s="6">
        <v>45770</v>
      </c>
      <c r="B8063" t="s">
        <v>15</v>
      </c>
      <c r="C8063" t="s">
        <v>16</v>
      </c>
      <c r="D8063" s="1">
        <v>45855</v>
      </c>
      <c r="E8063" t="s">
        <v>17</v>
      </c>
      <c r="F8063">
        <v>4600</v>
      </c>
      <c r="J8063">
        <v>757.5</v>
      </c>
      <c r="K8063">
        <v>874.2</v>
      </c>
      <c r="L8063">
        <v>0</v>
      </c>
      <c r="M8063" t="s">
        <v>18</v>
      </c>
      <c r="N8063">
        <v>0</v>
      </c>
      <c r="O8063">
        <v>0</v>
      </c>
    </row>
    <row r="8064" spans="1:15" x14ac:dyDescent="0.2">
      <c r="A8064" s="6">
        <v>45770</v>
      </c>
      <c r="B8064" t="s">
        <v>15</v>
      </c>
      <c r="C8064" t="s">
        <v>16</v>
      </c>
      <c r="D8064" s="1">
        <v>45855</v>
      </c>
      <c r="E8064" t="s">
        <v>17</v>
      </c>
      <c r="F8064">
        <v>5350</v>
      </c>
      <c r="J8064">
        <v>321</v>
      </c>
      <c r="K8064">
        <v>394</v>
      </c>
      <c r="L8064">
        <v>0</v>
      </c>
      <c r="M8064" t="s">
        <v>18</v>
      </c>
      <c r="N8064">
        <v>0</v>
      </c>
      <c r="O8064">
        <v>0</v>
      </c>
    </row>
    <row r="8065" spans="1:15" x14ac:dyDescent="0.2">
      <c r="A8065" s="6">
        <v>45770</v>
      </c>
      <c r="B8065" t="s">
        <v>15</v>
      </c>
      <c r="C8065" t="s">
        <v>16</v>
      </c>
      <c r="D8065" s="1">
        <v>45855</v>
      </c>
      <c r="E8065" t="s">
        <v>17</v>
      </c>
      <c r="F8065">
        <v>6100</v>
      </c>
      <c r="J8065">
        <v>107.3</v>
      </c>
      <c r="K8065">
        <v>140.5</v>
      </c>
      <c r="L8065">
        <v>0</v>
      </c>
      <c r="M8065" t="s">
        <v>18</v>
      </c>
      <c r="N8065">
        <v>0</v>
      </c>
      <c r="O8065">
        <v>0</v>
      </c>
    </row>
    <row r="8066" spans="1:15" x14ac:dyDescent="0.2">
      <c r="A8066" s="6">
        <v>45770</v>
      </c>
      <c r="B8066" t="s">
        <v>15</v>
      </c>
      <c r="C8066" t="s">
        <v>16</v>
      </c>
      <c r="D8066" s="1">
        <v>45855</v>
      </c>
      <c r="E8066" t="s">
        <v>19</v>
      </c>
      <c r="F8066">
        <v>4000</v>
      </c>
      <c r="J8066">
        <v>19.7</v>
      </c>
      <c r="K8066">
        <v>13.2</v>
      </c>
      <c r="L8066">
        <v>0</v>
      </c>
      <c r="M8066" t="s">
        <v>18</v>
      </c>
      <c r="N8066">
        <v>0</v>
      </c>
      <c r="O8066">
        <v>0</v>
      </c>
    </row>
    <row r="8067" spans="1:15" x14ac:dyDescent="0.2">
      <c r="A8067" s="6">
        <v>45770</v>
      </c>
      <c r="B8067" t="s">
        <v>15</v>
      </c>
      <c r="C8067" t="s">
        <v>16</v>
      </c>
      <c r="D8067" s="1">
        <v>45855</v>
      </c>
      <c r="E8067" t="s">
        <v>19</v>
      </c>
      <c r="F8067">
        <v>5600</v>
      </c>
      <c r="J8067">
        <v>563.20000000000005</v>
      </c>
      <c r="K8067">
        <v>477.5</v>
      </c>
      <c r="L8067">
        <v>0</v>
      </c>
      <c r="M8067" t="s">
        <v>18</v>
      </c>
      <c r="N8067">
        <v>0</v>
      </c>
      <c r="O8067">
        <v>0</v>
      </c>
    </row>
    <row r="8068" spans="1:15" x14ac:dyDescent="0.2">
      <c r="A8068" s="6">
        <v>45770</v>
      </c>
      <c r="B8068" t="s">
        <v>15</v>
      </c>
      <c r="C8068" t="s">
        <v>16</v>
      </c>
      <c r="D8068" s="1">
        <v>45855</v>
      </c>
      <c r="E8068" t="s">
        <v>19</v>
      </c>
      <c r="F8068">
        <v>4850</v>
      </c>
      <c r="J8068">
        <v>181.2</v>
      </c>
      <c r="K8068">
        <v>141</v>
      </c>
      <c r="L8068">
        <v>0</v>
      </c>
      <c r="M8068" t="s">
        <v>18</v>
      </c>
      <c r="N8068">
        <v>0</v>
      </c>
      <c r="O8068">
        <v>0</v>
      </c>
    </row>
    <row r="8069" spans="1:15" x14ac:dyDescent="0.2">
      <c r="A8069" s="6">
        <v>45770</v>
      </c>
      <c r="B8069" t="s">
        <v>15</v>
      </c>
      <c r="C8069" t="s">
        <v>16</v>
      </c>
      <c r="D8069" s="1">
        <v>45855</v>
      </c>
      <c r="E8069" t="s">
        <v>19</v>
      </c>
      <c r="F8069">
        <v>6350</v>
      </c>
      <c r="J8069">
        <v>1144.5999999999999</v>
      </c>
      <c r="K8069">
        <v>1024.7</v>
      </c>
      <c r="L8069">
        <v>0</v>
      </c>
      <c r="M8069" t="s">
        <v>18</v>
      </c>
      <c r="N8069">
        <v>0</v>
      </c>
      <c r="O8069">
        <v>0</v>
      </c>
    </row>
    <row r="8070" spans="1:15" x14ac:dyDescent="0.2">
      <c r="A8070" s="6">
        <v>45770</v>
      </c>
      <c r="B8070" t="s">
        <v>15</v>
      </c>
      <c r="C8070" t="s">
        <v>16</v>
      </c>
      <c r="D8070" s="1">
        <v>45855</v>
      </c>
      <c r="E8070" t="s">
        <v>19</v>
      </c>
      <c r="F8070">
        <v>5650</v>
      </c>
      <c r="J8070">
        <v>596.79999999999995</v>
      </c>
      <c r="K8070">
        <v>508.2</v>
      </c>
      <c r="L8070">
        <v>0</v>
      </c>
      <c r="M8070" t="s">
        <v>18</v>
      </c>
      <c r="N8070">
        <v>0</v>
      </c>
      <c r="O8070">
        <v>0</v>
      </c>
    </row>
    <row r="8071" spans="1:15" x14ac:dyDescent="0.2">
      <c r="A8071" s="6">
        <v>45770</v>
      </c>
      <c r="B8071" t="s">
        <v>15</v>
      </c>
      <c r="C8071" t="s">
        <v>16</v>
      </c>
      <c r="D8071" s="1">
        <v>45855</v>
      </c>
      <c r="E8071" t="s">
        <v>17</v>
      </c>
      <c r="F8071">
        <v>6000</v>
      </c>
      <c r="J8071">
        <v>125.7</v>
      </c>
      <c r="K8071">
        <v>163.19999999999999</v>
      </c>
      <c r="L8071">
        <v>0</v>
      </c>
      <c r="M8071" t="s">
        <v>18</v>
      </c>
      <c r="N8071">
        <v>0</v>
      </c>
      <c r="O8071">
        <v>0</v>
      </c>
    </row>
    <row r="8072" spans="1:15" x14ac:dyDescent="0.2">
      <c r="A8072" s="6">
        <v>45770</v>
      </c>
      <c r="B8072" t="s">
        <v>15</v>
      </c>
      <c r="C8072" t="s">
        <v>16</v>
      </c>
      <c r="D8072" s="1">
        <v>45855</v>
      </c>
      <c r="E8072" t="s">
        <v>19</v>
      </c>
      <c r="F8072">
        <v>6100</v>
      </c>
      <c r="J8072">
        <v>934.6</v>
      </c>
      <c r="K8072">
        <v>823.9</v>
      </c>
      <c r="L8072">
        <v>0</v>
      </c>
      <c r="M8072" t="s">
        <v>18</v>
      </c>
      <c r="N8072">
        <v>0</v>
      </c>
      <c r="O8072">
        <v>0</v>
      </c>
    </row>
    <row r="8073" spans="1:15" x14ac:dyDescent="0.2">
      <c r="A8073" s="6">
        <v>45770</v>
      </c>
      <c r="B8073" t="s">
        <v>15</v>
      </c>
      <c r="C8073" t="s">
        <v>16</v>
      </c>
      <c r="D8073" s="1">
        <v>45855</v>
      </c>
      <c r="E8073" t="s">
        <v>17</v>
      </c>
      <c r="F8073">
        <v>4700</v>
      </c>
      <c r="J8073">
        <v>685.4</v>
      </c>
      <c r="K8073">
        <v>797.1</v>
      </c>
      <c r="L8073">
        <v>0</v>
      </c>
      <c r="M8073" t="s">
        <v>18</v>
      </c>
      <c r="N8073">
        <v>0</v>
      </c>
      <c r="O8073">
        <v>0</v>
      </c>
    </row>
    <row r="8074" spans="1:15" x14ac:dyDescent="0.2">
      <c r="A8074" s="6">
        <v>45770</v>
      </c>
      <c r="B8074" t="s">
        <v>15</v>
      </c>
      <c r="C8074" t="s">
        <v>16</v>
      </c>
      <c r="D8074" s="1">
        <v>45855</v>
      </c>
      <c r="E8074" t="s">
        <v>19</v>
      </c>
      <c r="F8074">
        <v>4050</v>
      </c>
      <c r="J8074">
        <v>23.4</v>
      </c>
      <c r="K8074">
        <v>15.8</v>
      </c>
      <c r="L8074">
        <v>0</v>
      </c>
      <c r="M8074" t="s">
        <v>18</v>
      </c>
      <c r="N8074">
        <v>0</v>
      </c>
      <c r="O8074">
        <v>0</v>
      </c>
    </row>
    <row r="8075" spans="1:15" x14ac:dyDescent="0.2">
      <c r="A8075" s="6">
        <v>45770</v>
      </c>
      <c r="B8075" t="s">
        <v>15</v>
      </c>
      <c r="C8075" t="s">
        <v>16</v>
      </c>
      <c r="D8075" s="1">
        <v>45855</v>
      </c>
      <c r="E8075" t="s">
        <v>19</v>
      </c>
      <c r="F8075">
        <v>5750</v>
      </c>
      <c r="J8075">
        <v>666.5</v>
      </c>
      <c r="K8075">
        <v>572.4</v>
      </c>
      <c r="L8075">
        <v>0</v>
      </c>
      <c r="M8075" t="s">
        <v>18</v>
      </c>
      <c r="N8075">
        <v>0</v>
      </c>
      <c r="O8075">
        <v>0</v>
      </c>
    </row>
    <row r="8076" spans="1:15" x14ac:dyDescent="0.2">
      <c r="A8076" s="6">
        <v>45770</v>
      </c>
      <c r="B8076" t="s">
        <v>15</v>
      </c>
      <c r="C8076" t="s">
        <v>16</v>
      </c>
      <c r="D8076" s="1">
        <v>45855</v>
      </c>
      <c r="E8076" t="s">
        <v>19</v>
      </c>
      <c r="F8076">
        <v>5500</v>
      </c>
      <c r="J8076">
        <v>498.9</v>
      </c>
      <c r="K8076">
        <v>419</v>
      </c>
      <c r="L8076">
        <v>0</v>
      </c>
      <c r="M8076" t="s">
        <v>18</v>
      </c>
      <c r="N8076">
        <v>0</v>
      </c>
      <c r="O8076">
        <v>0</v>
      </c>
    </row>
    <row r="8077" spans="1:15" x14ac:dyDescent="0.2">
      <c r="A8077" s="6">
        <v>45770</v>
      </c>
      <c r="B8077" t="s">
        <v>15</v>
      </c>
      <c r="C8077" t="s">
        <v>16</v>
      </c>
      <c r="D8077" s="1">
        <v>45855</v>
      </c>
      <c r="E8077" t="s">
        <v>19</v>
      </c>
      <c r="F8077">
        <v>6450</v>
      </c>
      <c r="J8077">
        <v>1232</v>
      </c>
      <c r="K8077">
        <v>1108.9000000000001</v>
      </c>
      <c r="L8077">
        <v>0</v>
      </c>
      <c r="M8077" t="s">
        <v>18</v>
      </c>
      <c r="N8077">
        <v>0</v>
      </c>
      <c r="O8077">
        <v>0</v>
      </c>
    </row>
    <row r="8078" spans="1:15" x14ac:dyDescent="0.2">
      <c r="A8078" s="6">
        <v>45770</v>
      </c>
      <c r="B8078" t="s">
        <v>15</v>
      </c>
      <c r="C8078" t="s">
        <v>16</v>
      </c>
      <c r="D8078" s="1">
        <v>45855</v>
      </c>
      <c r="E8078" t="s">
        <v>17</v>
      </c>
      <c r="F8078">
        <v>5650</v>
      </c>
      <c r="J8078">
        <v>212.7</v>
      </c>
      <c r="K8078">
        <v>267.89999999999998</v>
      </c>
      <c r="L8078">
        <v>0</v>
      </c>
      <c r="M8078" t="s">
        <v>18</v>
      </c>
      <c r="N8078">
        <v>0</v>
      </c>
      <c r="O8078">
        <v>0</v>
      </c>
    </row>
    <row r="8079" spans="1:15" x14ac:dyDescent="0.2">
      <c r="A8079" s="6">
        <v>45770</v>
      </c>
      <c r="B8079" t="s">
        <v>15</v>
      </c>
      <c r="C8079" t="s">
        <v>16</v>
      </c>
      <c r="D8079" s="1">
        <v>45855</v>
      </c>
      <c r="E8079" t="s">
        <v>19</v>
      </c>
      <c r="F8079">
        <v>5000</v>
      </c>
      <c r="J8079">
        <v>238.3</v>
      </c>
      <c r="K8079">
        <v>189.1</v>
      </c>
      <c r="L8079">
        <v>0</v>
      </c>
      <c r="M8079" t="s">
        <v>18</v>
      </c>
      <c r="N8079">
        <v>0</v>
      </c>
      <c r="O8079">
        <v>0</v>
      </c>
    </row>
    <row r="8080" spans="1:15" x14ac:dyDescent="0.2">
      <c r="A8080" s="6">
        <v>45770</v>
      </c>
      <c r="B8080" t="s">
        <v>15</v>
      </c>
      <c r="C8080" t="s">
        <v>16</v>
      </c>
      <c r="D8080" s="1">
        <v>45855</v>
      </c>
      <c r="E8080" t="s">
        <v>19</v>
      </c>
      <c r="F8080">
        <v>4150</v>
      </c>
      <c r="J8080">
        <v>32.299999999999997</v>
      </c>
      <c r="K8080">
        <v>22.3</v>
      </c>
      <c r="L8080">
        <v>0</v>
      </c>
      <c r="M8080" t="s">
        <v>18</v>
      </c>
      <c r="N8080">
        <v>0</v>
      </c>
      <c r="O8080">
        <v>0</v>
      </c>
    </row>
    <row r="8081" spans="1:15" x14ac:dyDescent="0.2">
      <c r="A8081" s="6">
        <v>45770</v>
      </c>
      <c r="B8081" t="s">
        <v>15</v>
      </c>
      <c r="C8081" t="s">
        <v>16</v>
      </c>
      <c r="D8081" s="1">
        <v>45855</v>
      </c>
      <c r="E8081" t="s">
        <v>19</v>
      </c>
      <c r="F8081">
        <v>4350</v>
      </c>
      <c r="J8081">
        <v>57.7</v>
      </c>
      <c r="K8081">
        <v>41.4</v>
      </c>
      <c r="L8081">
        <v>0</v>
      </c>
      <c r="M8081" t="s">
        <v>18</v>
      </c>
      <c r="N8081">
        <v>0</v>
      </c>
      <c r="O8081">
        <v>0</v>
      </c>
    </row>
    <row r="8082" spans="1:15" x14ac:dyDescent="0.2">
      <c r="A8082" s="6">
        <v>45770</v>
      </c>
      <c r="B8082" t="s">
        <v>15</v>
      </c>
      <c r="C8082" t="s">
        <v>16</v>
      </c>
      <c r="D8082" s="1">
        <v>45855</v>
      </c>
      <c r="E8082" t="s">
        <v>19</v>
      </c>
      <c r="F8082">
        <v>4750</v>
      </c>
      <c r="J8082">
        <v>148.6</v>
      </c>
      <c r="K8082">
        <v>113.9</v>
      </c>
      <c r="L8082">
        <v>0</v>
      </c>
      <c r="M8082" t="s">
        <v>18</v>
      </c>
      <c r="N8082">
        <v>0</v>
      </c>
      <c r="O8082">
        <v>0</v>
      </c>
    </row>
    <row r="8083" spans="1:15" x14ac:dyDescent="0.2">
      <c r="A8083" s="6">
        <v>45770</v>
      </c>
      <c r="B8083" t="s">
        <v>15</v>
      </c>
      <c r="C8083" t="s">
        <v>16</v>
      </c>
      <c r="D8083" s="1">
        <v>45855</v>
      </c>
      <c r="E8083" t="s">
        <v>17</v>
      </c>
      <c r="F8083">
        <v>6150</v>
      </c>
      <c r="J8083">
        <v>98.9</v>
      </c>
      <c r="K8083">
        <v>130.19999999999999</v>
      </c>
      <c r="L8083">
        <v>0</v>
      </c>
      <c r="M8083" t="s">
        <v>18</v>
      </c>
      <c r="N8083">
        <v>0</v>
      </c>
      <c r="O8083">
        <v>0</v>
      </c>
    </row>
    <row r="8084" spans="1:15" x14ac:dyDescent="0.2">
      <c r="A8084" s="6">
        <v>45770</v>
      </c>
      <c r="B8084" t="s">
        <v>15</v>
      </c>
      <c r="C8084" t="s">
        <v>16</v>
      </c>
      <c r="D8084" s="1">
        <v>45855</v>
      </c>
      <c r="E8084" t="s">
        <v>19</v>
      </c>
      <c r="F8084">
        <v>5550</v>
      </c>
      <c r="J8084">
        <v>530.6</v>
      </c>
      <c r="K8084">
        <v>447.7</v>
      </c>
      <c r="L8084">
        <v>0</v>
      </c>
      <c r="M8084" t="s">
        <v>18</v>
      </c>
      <c r="N8084">
        <v>0</v>
      </c>
      <c r="O8084">
        <v>0</v>
      </c>
    </row>
    <row r="8085" spans="1:15" x14ac:dyDescent="0.2">
      <c r="A8085" s="6">
        <v>45770</v>
      </c>
      <c r="B8085" t="s">
        <v>15</v>
      </c>
      <c r="C8085" t="s">
        <v>16</v>
      </c>
      <c r="D8085" s="1">
        <v>45855</v>
      </c>
      <c r="E8085" t="s">
        <v>17</v>
      </c>
      <c r="F8085">
        <v>4300</v>
      </c>
      <c r="J8085">
        <v>995.9</v>
      </c>
      <c r="K8085">
        <v>1124.9000000000001</v>
      </c>
      <c r="L8085">
        <v>0</v>
      </c>
      <c r="M8085" t="s">
        <v>18</v>
      </c>
      <c r="N8085">
        <v>0</v>
      </c>
      <c r="O8085">
        <v>0</v>
      </c>
    </row>
    <row r="8086" spans="1:15" x14ac:dyDescent="0.2">
      <c r="A8086" s="6">
        <v>45770</v>
      </c>
      <c r="B8086" t="s">
        <v>15</v>
      </c>
      <c r="C8086" t="s">
        <v>16</v>
      </c>
      <c r="D8086" s="1">
        <v>45855</v>
      </c>
      <c r="E8086" t="s">
        <v>19</v>
      </c>
      <c r="F8086">
        <v>4300</v>
      </c>
      <c r="J8086">
        <v>50.3</v>
      </c>
      <c r="K8086">
        <v>35.799999999999997</v>
      </c>
      <c r="L8086">
        <v>0</v>
      </c>
      <c r="M8086" t="s">
        <v>18</v>
      </c>
      <c r="N8086">
        <v>0</v>
      </c>
      <c r="O8086">
        <v>0</v>
      </c>
    </row>
    <row r="8087" spans="1:15" x14ac:dyDescent="0.2">
      <c r="A8087" s="6">
        <v>45770</v>
      </c>
      <c r="B8087" t="s">
        <v>15</v>
      </c>
      <c r="C8087" t="s">
        <v>16</v>
      </c>
      <c r="D8087" s="1">
        <v>45855</v>
      </c>
      <c r="E8087" t="s">
        <v>19</v>
      </c>
      <c r="F8087">
        <v>6600</v>
      </c>
      <c r="J8087">
        <v>1365.9</v>
      </c>
      <c r="K8087">
        <v>1238.8</v>
      </c>
      <c r="L8087">
        <v>0</v>
      </c>
      <c r="M8087" t="s">
        <v>18</v>
      </c>
      <c r="N8087">
        <v>0</v>
      </c>
      <c r="O8087">
        <v>0</v>
      </c>
    </row>
    <row r="8088" spans="1:15" x14ac:dyDescent="0.2">
      <c r="A8088" s="6">
        <v>45770</v>
      </c>
      <c r="B8088" t="s">
        <v>15</v>
      </c>
      <c r="C8088" t="s">
        <v>16</v>
      </c>
      <c r="D8088" s="1">
        <v>45855</v>
      </c>
      <c r="E8088" t="s">
        <v>17</v>
      </c>
      <c r="F8088">
        <v>5400</v>
      </c>
      <c r="J8088">
        <v>300.5</v>
      </c>
      <c r="K8088">
        <v>370.4</v>
      </c>
      <c r="L8088">
        <v>0</v>
      </c>
      <c r="M8088" t="s">
        <v>18</v>
      </c>
      <c r="N8088">
        <v>0</v>
      </c>
      <c r="O8088">
        <v>0</v>
      </c>
    </row>
    <row r="8089" spans="1:15" x14ac:dyDescent="0.2">
      <c r="A8089" s="6">
        <v>45770</v>
      </c>
      <c r="B8089" t="s">
        <v>15</v>
      </c>
      <c r="C8089" t="s">
        <v>16</v>
      </c>
      <c r="D8089" s="1">
        <v>45855</v>
      </c>
      <c r="E8089" t="s">
        <v>17</v>
      </c>
      <c r="F8089">
        <v>6400</v>
      </c>
      <c r="J8089">
        <v>65.3</v>
      </c>
      <c r="K8089">
        <v>87.7</v>
      </c>
      <c r="L8089">
        <v>0</v>
      </c>
      <c r="M8089" t="s">
        <v>18</v>
      </c>
      <c r="N8089">
        <v>0</v>
      </c>
      <c r="O8089">
        <v>0</v>
      </c>
    </row>
    <row r="8090" spans="1:15" x14ac:dyDescent="0.2">
      <c r="A8090" s="6">
        <v>45770</v>
      </c>
      <c r="B8090" t="s">
        <v>15</v>
      </c>
      <c r="C8090" t="s">
        <v>16</v>
      </c>
      <c r="D8090" s="1">
        <v>45855</v>
      </c>
      <c r="E8090" t="s">
        <v>17</v>
      </c>
      <c r="F8090">
        <v>5550</v>
      </c>
      <c r="J8090">
        <v>245</v>
      </c>
      <c r="K8090">
        <v>305.89999999999998</v>
      </c>
      <c r="L8090">
        <v>0</v>
      </c>
      <c r="M8090" t="s">
        <v>18</v>
      </c>
      <c r="N8090">
        <v>0</v>
      </c>
      <c r="O8090">
        <v>0</v>
      </c>
    </row>
    <row r="8091" spans="1:15" x14ac:dyDescent="0.2">
      <c r="A8091" s="6">
        <v>45770</v>
      </c>
      <c r="B8091" t="s">
        <v>15</v>
      </c>
      <c r="C8091" t="s">
        <v>16</v>
      </c>
      <c r="D8091" s="1">
        <v>45855</v>
      </c>
      <c r="E8091" t="s">
        <v>19</v>
      </c>
      <c r="F8091">
        <v>5850</v>
      </c>
      <c r="J8091">
        <v>739.5</v>
      </c>
      <c r="K8091">
        <v>640.29999999999995</v>
      </c>
      <c r="L8091">
        <v>0</v>
      </c>
      <c r="M8091" t="s">
        <v>18</v>
      </c>
      <c r="N8091">
        <v>0</v>
      </c>
      <c r="O8091">
        <v>0</v>
      </c>
    </row>
    <row r="8092" spans="1:15" x14ac:dyDescent="0.2">
      <c r="A8092" s="6">
        <v>45770</v>
      </c>
      <c r="B8092" t="s">
        <v>15</v>
      </c>
      <c r="C8092" t="s">
        <v>16</v>
      </c>
      <c r="D8092" s="1">
        <v>45855</v>
      </c>
      <c r="E8092" t="s">
        <v>19</v>
      </c>
      <c r="F8092">
        <v>6300</v>
      </c>
      <c r="J8092">
        <v>1101.5999999999999</v>
      </c>
      <c r="K8092">
        <v>983.4</v>
      </c>
      <c r="L8092">
        <v>0</v>
      </c>
      <c r="M8092" t="s">
        <v>18</v>
      </c>
      <c r="N8092">
        <v>0</v>
      </c>
      <c r="O8092">
        <v>0</v>
      </c>
    </row>
    <row r="8093" spans="1:15" x14ac:dyDescent="0.2">
      <c r="A8093" s="6">
        <v>45770</v>
      </c>
      <c r="B8093" t="s">
        <v>15</v>
      </c>
      <c r="C8093" t="s">
        <v>16</v>
      </c>
      <c r="D8093" s="1">
        <v>45855</v>
      </c>
      <c r="E8093" t="s">
        <v>17</v>
      </c>
      <c r="F8093">
        <v>5850</v>
      </c>
      <c r="J8093">
        <v>158.4</v>
      </c>
      <c r="K8093">
        <v>203</v>
      </c>
      <c r="L8093">
        <v>0</v>
      </c>
      <c r="M8093" t="s">
        <v>18</v>
      </c>
      <c r="N8093">
        <v>0</v>
      </c>
      <c r="O8093">
        <v>0</v>
      </c>
    </row>
    <row r="8094" spans="1:15" x14ac:dyDescent="0.2">
      <c r="A8094" s="6">
        <v>45770</v>
      </c>
      <c r="B8094" t="s">
        <v>15</v>
      </c>
      <c r="C8094" t="s">
        <v>16</v>
      </c>
      <c r="D8094" s="1">
        <v>45855</v>
      </c>
      <c r="E8094" t="s">
        <v>19</v>
      </c>
      <c r="F8094">
        <v>6500</v>
      </c>
      <c r="J8094">
        <v>1276.3</v>
      </c>
      <c r="K8094">
        <v>1151.8</v>
      </c>
      <c r="L8094">
        <v>0</v>
      </c>
      <c r="M8094" t="s">
        <v>18</v>
      </c>
      <c r="N8094">
        <v>0</v>
      </c>
      <c r="O8094">
        <v>0</v>
      </c>
    </row>
    <row r="8095" spans="1:15" x14ac:dyDescent="0.2">
      <c r="A8095" s="6">
        <v>45770</v>
      </c>
      <c r="B8095" t="s">
        <v>15</v>
      </c>
      <c r="C8095" t="s">
        <v>16</v>
      </c>
      <c r="D8095" s="1">
        <v>45855</v>
      </c>
      <c r="E8095" t="s">
        <v>19</v>
      </c>
      <c r="F8095">
        <v>6000</v>
      </c>
      <c r="J8095">
        <v>854.6</v>
      </c>
      <c r="K8095">
        <v>748.2</v>
      </c>
      <c r="L8095">
        <v>0</v>
      </c>
      <c r="M8095" t="s">
        <v>18</v>
      </c>
      <c r="N8095">
        <v>0</v>
      </c>
      <c r="O8095">
        <v>0</v>
      </c>
    </row>
    <row r="8096" spans="1:15" x14ac:dyDescent="0.2">
      <c r="A8096" s="6">
        <v>45770</v>
      </c>
      <c r="B8096" t="s">
        <v>15</v>
      </c>
      <c r="C8096" t="s">
        <v>16</v>
      </c>
      <c r="D8096" s="1">
        <v>45855</v>
      </c>
      <c r="E8096" t="s">
        <v>19</v>
      </c>
      <c r="F8096">
        <v>4800</v>
      </c>
      <c r="J8096">
        <v>164.4</v>
      </c>
      <c r="K8096">
        <v>126.9</v>
      </c>
      <c r="L8096">
        <v>0</v>
      </c>
      <c r="M8096" t="s">
        <v>18</v>
      </c>
      <c r="N8096">
        <v>0</v>
      </c>
      <c r="O8096">
        <v>0</v>
      </c>
    </row>
    <row r="8097" spans="1:15" x14ac:dyDescent="0.2">
      <c r="A8097" s="6">
        <v>45770</v>
      </c>
      <c r="B8097" t="s">
        <v>15</v>
      </c>
      <c r="C8097" t="s">
        <v>16</v>
      </c>
      <c r="D8097" s="1">
        <v>45855</v>
      </c>
      <c r="E8097" t="s">
        <v>17</v>
      </c>
      <c r="F8097">
        <v>6600</v>
      </c>
      <c r="J8097">
        <v>46.1</v>
      </c>
      <c r="K8097">
        <v>63</v>
      </c>
      <c r="L8097">
        <v>0</v>
      </c>
      <c r="M8097" t="s">
        <v>18</v>
      </c>
      <c r="N8097">
        <v>0</v>
      </c>
      <c r="O8097">
        <v>0</v>
      </c>
    </row>
    <row r="8098" spans="1:15" x14ac:dyDescent="0.2">
      <c r="A8098" s="6">
        <v>45769</v>
      </c>
      <c r="B8098" t="s">
        <v>15</v>
      </c>
      <c r="C8098" t="s">
        <v>16</v>
      </c>
      <c r="D8098" s="1">
        <v>45855</v>
      </c>
      <c r="E8098" t="s">
        <v>17</v>
      </c>
      <c r="F8098">
        <v>4350</v>
      </c>
      <c r="J8098">
        <v>1081.3</v>
      </c>
      <c r="K8098">
        <v>959.2</v>
      </c>
      <c r="L8098">
        <v>0</v>
      </c>
      <c r="M8098" t="s">
        <v>18</v>
      </c>
      <c r="N8098">
        <v>0</v>
      </c>
      <c r="O8098">
        <v>0</v>
      </c>
    </row>
    <row r="8099" spans="1:15" x14ac:dyDescent="0.2">
      <c r="A8099" s="6">
        <v>45769</v>
      </c>
      <c r="B8099" t="s">
        <v>15</v>
      </c>
      <c r="C8099" t="s">
        <v>16</v>
      </c>
      <c r="D8099" s="1">
        <v>45855</v>
      </c>
      <c r="E8099" t="s">
        <v>19</v>
      </c>
      <c r="F8099">
        <v>5200</v>
      </c>
      <c r="J8099">
        <v>268.2</v>
      </c>
      <c r="K8099">
        <v>336</v>
      </c>
      <c r="L8099">
        <v>0</v>
      </c>
      <c r="M8099" t="s">
        <v>18</v>
      </c>
      <c r="N8099">
        <v>0</v>
      </c>
      <c r="O8099">
        <v>0</v>
      </c>
    </row>
    <row r="8100" spans="1:15" x14ac:dyDescent="0.2">
      <c r="A8100" s="6">
        <v>45769</v>
      </c>
      <c r="B8100" t="s">
        <v>15</v>
      </c>
      <c r="C8100" t="s">
        <v>16</v>
      </c>
      <c r="D8100" s="1">
        <v>45855</v>
      </c>
      <c r="E8100" t="s">
        <v>17</v>
      </c>
      <c r="F8100">
        <v>4850</v>
      </c>
      <c r="J8100">
        <v>688.5</v>
      </c>
      <c r="K8100">
        <v>592.6</v>
      </c>
      <c r="L8100">
        <v>0</v>
      </c>
      <c r="M8100" t="s">
        <v>18</v>
      </c>
      <c r="N8100">
        <v>0</v>
      </c>
      <c r="O8100">
        <v>0</v>
      </c>
    </row>
    <row r="8101" spans="1:15" x14ac:dyDescent="0.2">
      <c r="A8101" s="6">
        <v>45769</v>
      </c>
      <c r="B8101" t="s">
        <v>15</v>
      </c>
      <c r="C8101" t="s">
        <v>16</v>
      </c>
      <c r="D8101" s="1">
        <v>45855</v>
      </c>
      <c r="E8101" t="s">
        <v>17</v>
      </c>
      <c r="F8101">
        <v>5150</v>
      </c>
      <c r="J8101">
        <v>498.9</v>
      </c>
      <c r="K8101">
        <v>421.7</v>
      </c>
      <c r="L8101">
        <v>0</v>
      </c>
      <c r="M8101" t="s">
        <v>18</v>
      </c>
      <c r="N8101">
        <v>0</v>
      </c>
      <c r="O8101">
        <v>0</v>
      </c>
    </row>
    <row r="8102" spans="1:15" x14ac:dyDescent="0.2">
      <c r="A8102" s="6">
        <v>45769</v>
      </c>
      <c r="B8102" t="s">
        <v>15</v>
      </c>
      <c r="C8102" t="s">
        <v>16</v>
      </c>
      <c r="D8102" s="1">
        <v>45855</v>
      </c>
      <c r="E8102" t="s">
        <v>17</v>
      </c>
      <c r="F8102">
        <v>5000</v>
      </c>
      <c r="J8102">
        <v>588.9</v>
      </c>
      <c r="K8102">
        <v>502.3</v>
      </c>
      <c r="L8102">
        <v>0</v>
      </c>
      <c r="M8102" t="s">
        <v>18</v>
      </c>
      <c r="N8102">
        <v>0</v>
      </c>
      <c r="O8102">
        <v>0</v>
      </c>
    </row>
    <row r="8103" spans="1:15" x14ac:dyDescent="0.2">
      <c r="A8103" s="6">
        <v>45769</v>
      </c>
      <c r="B8103" t="s">
        <v>15</v>
      </c>
      <c r="C8103" t="s">
        <v>16</v>
      </c>
      <c r="D8103" s="1">
        <v>45855</v>
      </c>
      <c r="E8103" t="s">
        <v>17</v>
      </c>
      <c r="F8103">
        <v>4750</v>
      </c>
      <c r="J8103">
        <v>759.9</v>
      </c>
      <c r="K8103">
        <v>658</v>
      </c>
      <c r="L8103">
        <v>0</v>
      </c>
      <c r="M8103" t="s">
        <v>18</v>
      </c>
      <c r="N8103">
        <v>0</v>
      </c>
      <c r="O8103">
        <v>0</v>
      </c>
    </row>
    <row r="8104" spans="1:15" x14ac:dyDescent="0.2">
      <c r="A8104" s="6">
        <v>45769</v>
      </c>
      <c r="B8104" t="s">
        <v>15</v>
      </c>
      <c r="C8104" t="s">
        <v>16</v>
      </c>
      <c r="D8104" s="1">
        <v>45855</v>
      </c>
      <c r="E8104" t="s">
        <v>17</v>
      </c>
      <c r="F8104">
        <v>4400</v>
      </c>
      <c r="J8104">
        <v>1038.4000000000001</v>
      </c>
      <c r="K8104">
        <v>918.4</v>
      </c>
      <c r="L8104">
        <v>0</v>
      </c>
      <c r="M8104" t="s">
        <v>18</v>
      </c>
      <c r="N8104">
        <v>0</v>
      </c>
      <c r="O8104">
        <v>0</v>
      </c>
    </row>
    <row r="8105" spans="1:15" x14ac:dyDescent="0.2">
      <c r="A8105" s="6">
        <v>45769</v>
      </c>
      <c r="B8105" t="s">
        <v>15</v>
      </c>
      <c r="C8105" t="s">
        <v>16</v>
      </c>
      <c r="D8105" s="1">
        <v>45855</v>
      </c>
      <c r="E8105" t="s">
        <v>17</v>
      </c>
      <c r="F8105">
        <v>4100</v>
      </c>
      <c r="J8105">
        <v>1304.9000000000001</v>
      </c>
      <c r="K8105">
        <v>1173.9000000000001</v>
      </c>
      <c r="L8105">
        <v>0</v>
      </c>
      <c r="M8105" t="s">
        <v>18</v>
      </c>
      <c r="N8105">
        <v>0</v>
      </c>
      <c r="O8105">
        <v>0</v>
      </c>
    </row>
    <row r="8106" spans="1:15" x14ac:dyDescent="0.2">
      <c r="A8106" s="6">
        <v>45769</v>
      </c>
      <c r="B8106" t="s">
        <v>15</v>
      </c>
      <c r="C8106" t="s">
        <v>16</v>
      </c>
      <c r="D8106" s="1">
        <v>45855</v>
      </c>
      <c r="E8106" t="s">
        <v>17</v>
      </c>
      <c r="F8106">
        <v>4450</v>
      </c>
      <c r="J8106">
        <v>996.2</v>
      </c>
      <c r="K8106">
        <v>878.5</v>
      </c>
      <c r="L8106">
        <v>0</v>
      </c>
      <c r="M8106" t="s">
        <v>18</v>
      </c>
      <c r="N8106">
        <v>0</v>
      </c>
      <c r="O8106">
        <v>0</v>
      </c>
    </row>
    <row r="8107" spans="1:15" x14ac:dyDescent="0.2">
      <c r="A8107" s="6">
        <v>45769</v>
      </c>
      <c r="B8107" t="s">
        <v>15</v>
      </c>
      <c r="C8107" t="s">
        <v>16</v>
      </c>
      <c r="D8107" s="1">
        <v>45855</v>
      </c>
      <c r="E8107" t="s">
        <v>19</v>
      </c>
      <c r="F8107">
        <v>6150</v>
      </c>
      <c r="J8107">
        <v>862.8</v>
      </c>
      <c r="K8107">
        <v>979</v>
      </c>
      <c r="L8107">
        <v>0</v>
      </c>
      <c r="M8107" t="s">
        <v>18</v>
      </c>
      <c r="N8107">
        <v>0</v>
      </c>
      <c r="O8107">
        <v>0</v>
      </c>
    </row>
    <row r="8108" spans="1:15" x14ac:dyDescent="0.2">
      <c r="A8108" s="6">
        <v>45769</v>
      </c>
      <c r="B8108" t="s">
        <v>15</v>
      </c>
      <c r="C8108" t="s">
        <v>16</v>
      </c>
      <c r="D8108" s="1">
        <v>45855</v>
      </c>
      <c r="E8108" t="s">
        <v>17</v>
      </c>
      <c r="F8108">
        <v>6200</v>
      </c>
      <c r="J8108">
        <v>120.5</v>
      </c>
      <c r="K8108">
        <v>96.7</v>
      </c>
      <c r="L8108">
        <v>0</v>
      </c>
      <c r="M8108" t="s">
        <v>18</v>
      </c>
      <c r="N8108">
        <v>0</v>
      </c>
      <c r="O8108">
        <v>0</v>
      </c>
    </row>
    <row r="8109" spans="1:15" x14ac:dyDescent="0.2">
      <c r="A8109" s="6">
        <v>45769</v>
      </c>
      <c r="B8109" t="s">
        <v>15</v>
      </c>
      <c r="C8109" t="s">
        <v>16</v>
      </c>
      <c r="D8109" s="1">
        <v>45855</v>
      </c>
      <c r="E8109" t="s">
        <v>17</v>
      </c>
      <c r="F8109">
        <v>5700</v>
      </c>
      <c r="J8109">
        <v>250.3</v>
      </c>
      <c r="K8109">
        <v>205.4</v>
      </c>
      <c r="L8109">
        <v>0</v>
      </c>
      <c r="M8109" t="s">
        <v>18</v>
      </c>
      <c r="N8109">
        <v>0</v>
      </c>
      <c r="O8109">
        <v>0</v>
      </c>
    </row>
    <row r="8110" spans="1:15" x14ac:dyDescent="0.2">
      <c r="A8110" s="6">
        <v>45769</v>
      </c>
      <c r="B8110" t="s">
        <v>15</v>
      </c>
      <c r="C8110" t="s">
        <v>16</v>
      </c>
      <c r="D8110" s="1">
        <v>45855</v>
      </c>
      <c r="E8110" t="s">
        <v>17</v>
      </c>
      <c r="F8110">
        <v>4900</v>
      </c>
      <c r="J8110">
        <v>654.29999999999995</v>
      </c>
      <c r="K8110">
        <v>561.4</v>
      </c>
      <c r="L8110">
        <v>0</v>
      </c>
      <c r="M8110" t="s">
        <v>18</v>
      </c>
      <c r="N8110">
        <v>0</v>
      </c>
      <c r="O8110">
        <v>0</v>
      </c>
    </row>
    <row r="8111" spans="1:15" x14ac:dyDescent="0.2">
      <c r="A8111" s="6">
        <v>45769</v>
      </c>
      <c r="B8111" t="s">
        <v>15</v>
      </c>
      <c r="C8111" t="s">
        <v>16</v>
      </c>
      <c r="D8111" s="1">
        <v>45855</v>
      </c>
      <c r="E8111" t="s">
        <v>17</v>
      </c>
      <c r="F8111">
        <v>4950</v>
      </c>
      <c r="J8111">
        <v>621.1</v>
      </c>
      <c r="K8111">
        <v>531.29999999999995</v>
      </c>
      <c r="L8111">
        <v>0</v>
      </c>
      <c r="M8111" t="s">
        <v>18</v>
      </c>
      <c r="N8111">
        <v>0</v>
      </c>
      <c r="O8111">
        <v>0</v>
      </c>
    </row>
    <row r="8112" spans="1:15" x14ac:dyDescent="0.2">
      <c r="A8112" s="6">
        <v>45769</v>
      </c>
      <c r="B8112" t="s">
        <v>15</v>
      </c>
      <c r="C8112" t="s">
        <v>16</v>
      </c>
      <c r="D8112" s="1">
        <v>45855</v>
      </c>
      <c r="E8112" t="s">
        <v>17</v>
      </c>
      <c r="F8112">
        <v>5200</v>
      </c>
      <c r="J8112">
        <v>471.1</v>
      </c>
      <c r="K8112">
        <v>397</v>
      </c>
      <c r="L8112">
        <v>0</v>
      </c>
      <c r="M8112" t="s">
        <v>18</v>
      </c>
      <c r="N8112">
        <v>0</v>
      </c>
      <c r="O8112">
        <v>0</v>
      </c>
    </row>
    <row r="8113" spans="1:15" x14ac:dyDescent="0.2">
      <c r="A8113" s="6">
        <v>45769</v>
      </c>
      <c r="B8113" t="s">
        <v>15</v>
      </c>
      <c r="C8113" t="s">
        <v>16</v>
      </c>
      <c r="D8113" s="1">
        <v>45855</v>
      </c>
      <c r="E8113" t="s">
        <v>17</v>
      </c>
      <c r="F8113">
        <v>4800</v>
      </c>
      <c r="J8113">
        <v>723.7</v>
      </c>
      <c r="K8113">
        <v>624.79999999999995</v>
      </c>
      <c r="L8113">
        <v>0</v>
      </c>
      <c r="M8113" t="s">
        <v>18</v>
      </c>
      <c r="N8113">
        <v>0</v>
      </c>
      <c r="O8113">
        <v>0</v>
      </c>
    </row>
    <row r="8114" spans="1:15" x14ac:dyDescent="0.2">
      <c r="A8114" s="6">
        <v>45769</v>
      </c>
      <c r="B8114" t="s">
        <v>15</v>
      </c>
      <c r="C8114" t="s">
        <v>16</v>
      </c>
      <c r="D8114" s="1">
        <v>45855</v>
      </c>
      <c r="E8114" t="s">
        <v>17</v>
      </c>
      <c r="F8114">
        <v>5950</v>
      </c>
      <c r="J8114">
        <v>175.7</v>
      </c>
      <c r="K8114">
        <v>142.5</v>
      </c>
      <c r="L8114">
        <v>0</v>
      </c>
      <c r="M8114" t="s">
        <v>18</v>
      </c>
      <c r="N8114">
        <v>0</v>
      </c>
      <c r="O8114">
        <v>0</v>
      </c>
    </row>
    <row r="8115" spans="1:15" x14ac:dyDescent="0.2">
      <c r="A8115" s="6">
        <v>45769</v>
      </c>
      <c r="B8115" t="s">
        <v>15</v>
      </c>
      <c r="C8115" t="s">
        <v>16</v>
      </c>
      <c r="D8115" s="1">
        <v>45855</v>
      </c>
      <c r="E8115" t="s">
        <v>19</v>
      </c>
      <c r="F8115">
        <v>5250</v>
      </c>
      <c r="J8115">
        <v>290.7</v>
      </c>
      <c r="K8115">
        <v>361.6</v>
      </c>
      <c r="L8115">
        <v>0</v>
      </c>
      <c r="M8115" t="s">
        <v>18</v>
      </c>
      <c r="N8115">
        <v>0</v>
      </c>
      <c r="O8115">
        <v>0</v>
      </c>
    </row>
    <row r="8116" spans="1:15" x14ac:dyDescent="0.2">
      <c r="A8116" s="6">
        <v>45769</v>
      </c>
      <c r="B8116" t="s">
        <v>15</v>
      </c>
      <c r="C8116" t="s">
        <v>16</v>
      </c>
      <c r="D8116" s="1">
        <v>45855</v>
      </c>
      <c r="E8116" t="s">
        <v>19</v>
      </c>
      <c r="F8116">
        <v>4900</v>
      </c>
      <c r="J8116">
        <v>156</v>
      </c>
      <c r="K8116">
        <v>205</v>
      </c>
      <c r="L8116">
        <v>0</v>
      </c>
      <c r="M8116" t="s">
        <v>18</v>
      </c>
      <c r="N8116">
        <v>0</v>
      </c>
      <c r="O8116">
        <v>0</v>
      </c>
    </row>
    <row r="8117" spans="1:15" x14ac:dyDescent="0.2">
      <c r="A8117" s="6">
        <v>45769</v>
      </c>
      <c r="B8117" t="s">
        <v>15</v>
      </c>
      <c r="C8117" t="s">
        <v>16</v>
      </c>
      <c r="D8117" s="1">
        <v>45855</v>
      </c>
      <c r="E8117" t="s">
        <v>17</v>
      </c>
      <c r="F8117">
        <v>5300</v>
      </c>
      <c r="J8117">
        <v>418.6</v>
      </c>
      <c r="K8117">
        <v>350.8</v>
      </c>
      <c r="L8117">
        <v>0</v>
      </c>
      <c r="M8117" t="s">
        <v>18</v>
      </c>
      <c r="N8117">
        <v>0</v>
      </c>
      <c r="O8117">
        <v>0</v>
      </c>
    </row>
    <row r="8118" spans="1:15" x14ac:dyDescent="0.2">
      <c r="A8118" s="6">
        <v>45769</v>
      </c>
      <c r="B8118" t="s">
        <v>15</v>
      </c>
      <c r="C8118" t="s">
        <v>16</v>
      </c>
      <c r="D8118" s="1">
        <v>45855</v>
      </c>
      <c r="E8118" t="s">
        <v>19</v>
      </c>
      <c r="F8118">
        <v>4200</v>
      </c>
      <c r="J8118">
        <v>26.2</v>
      </c>
      <c r="K8118">
        <v>40.299999999999997</v>
      </c>
      <c r="L8118">
        <v>0</v>
      </c>
      <c r="M8118" t="s">
        <v>18</v>
      </c>
      <c r="N8118">
        <v>0</v>
      </c>
      <c r="O8118">
        <v>0</v>
      </c>
    </row>
    <row r="8119" spans="1:15" x14ac:dyDescent="0.2">
      <c r="A8119" s="6">
        <v>45769</v>
      </c>
      <c r="B8119" t="s">
        <v>15</v>
      </c>
      <c r="C8119" t="s">
        <v>16</v>
      </c>
      <c r="D8119" s="1">
        <v>45855</v>
      </c>
      <c r="E8119" t="s">
        <v>19</v>
      </c>
      <c r="F8119">
        <v>6050</v>
      </c>
      <c r="J8119">
        <v>785.7</v>
      </c>
      <c r="K8119">
        <v>898.2</v>
      </c>
      <c r="L8119">
        <v>0</v>
      </c>
      <c r="M8119" t="s">
        <v>18</v>
      </c>
      <c r="N8119">
        <v>0</v>
      </c>
      <c r="O8119">
        <v>0</v>
      </c>
    </row>
    <row r="8120" spans="1:15" x14ac:dyDescent="0.2">
      <c r="A8120" s="6">
        <v>45769</v>
      </c>
      <c r="B8120" t="s">
        <v>15</v>
      </c>
      <c r="C8120" t="s">
        <v>16</v>
      </c>
      <c r="D8120" s="1">
        <v>45855</v>
      </c>
      <c r="E8120" t="s">
        <v>17</v>
      </c>
      <c r="F8120">
        <v>4200</v>
      </c>
      <c r="J8120">
        <v>1213.9000000000001</v>
      </c>
      <c r="K8120">
        <v>1086</v>
      </c>
      <c r="L8120">
        <v>0</v>
      </c>
      <c r="M8120" t="s">
        <v>18</v>
      </c>
      <c r="N8120">
        <v>0</v>
      </c>
      <c r="O8120">
        <v>0</v>
      </c>
    </row>
    <row r="8121" spans="1:15" x14ac:dyDescent="0.2">
      <c r="A8121" s="6">
        <v>45769</v>
      </c>
      <c r="B8121" t="s">
        <v>15</v>
      </c>
      <c r="C8121" t="s">
        <v>16</v>
      </c>
      <c r="D8121" s="1">
        <v>45855</v>
      </c>
      <c r="E8121" t="s">
        <v>17</v>
      </c>
      <c r="F8121">
        <v>5100</v>
      </c>
      <c r="J8121">
        <v>527.9</v>
      </c>
      <c r="K8121">
        <v>447.5</v>
      </c>
      <c r="L8121">
        <v>0</v>
      </c>
      <c r="M8121" t="s">
        <v>18</v>
      </c>
      <c r="N8121">
        <v>0</v>
      </c>
      <c r="O8121">
        <v>0</v>
      </c>
    </row>
    <row r="8122" spans="1:15" x14ac:dyDescent="0.2">
      <c r="A8122" s="6">
        <v>45769</v>
      </c>
      <c r="B8122" t="s">
        <v>15</v>
      </c>
      <c r="C8122" t="s">
        <v>16</v>
      </c>
      <c r="D8122" s="1">
        <v>45855</v>
      </c>
      <c r="E8122" t="s">
        <v>17</v>
      </c>
      <c r="F8122">
        <v>4650</v>
      </c>
      <c r="J8122">
        <v>835.2</v>
      </c>
      <c r="K8122">
        <v>727.6</v>
      </c>
      <c r="L8122">
        <v>0</v>
      </c>
      <c r="M8122" t="s">
        <v>18</v>
      </c>
      <c r="N8122">
        <v>0</v>
      </c>
      <c r="O8122">
        <v>0</v>
      </c>
    </row>
    <row r="8123" spans="1:15" x14ac:dyDescent="0.2">
      <c r="A8123" s="6">
        <v>45769</v>
      </c>
      <c r="B8123" t="s">
        <v>15</v>
      </c>
      <c r="C8123" t="s">
        <v>16</v>
      </c>
      <c r="D8123" s="1">
        <v>45855</v>
      </c>
      <c r="E8123" t="s">
        <v>19</v>
      </c>
      <c r="F8123">
        <v>5100</v>
      </c>
      <c r="J8123">
        <v>226.5</v>
      </c>
      <c r="K8123">
        <v>288</v>
      </c>
      <c r="L8123">
        <v>0</v>
      </c>
      <c r="M8123" t="s">
        <v>18</v>
      </c>
      <c r="N8123">
        <v>0</v>
      </c>
      <c r="O8123">
        <v>0</v>
      </c>
    </row>
    <row r="8124" spans="1:15" x14ac:dyDescent="0.2">
      <c r="A8124" s="6">
        <v>45769</v>
      </c>
      <c r="B8124" t="s">
        <v>15</v>
      </c>
      <c r="C8124" t="s">
        <v>16</v>
      </c>
      <c r="D8124" s="1">
        <v>45855</v>
      </c>
      <c r="E8124" t="s">
        <v>17</v>
      </c>
      <c r="F8124">
        <v>5250</v>
      </c>
      <c r="J8124">
        <v>444.3</v>
      </c>
      <c r="K8124">
        <v>373.4</v>
      </c>
      <c r="L8124">
        <v>0</v>
      </c>
      <c r="M8124" t="s">
        <v>18</v>
      </c>
      <c r="N8124">
        <v>0</v>
      </c>
      <c r="O8124">
        <v>0</v>
      </c>
    </row>
    <row r="8125" spans="1:15" x14ac:dyDescent="0.2">
      <c r="A8125" s="6">
        <v>45769</v>
      </c>
      <c r="B8125" t="s">
        <v>15</v>
      </c>
      <c r="C8125" t="s">
        <v>16</v>
      </c>
      <c r="D8125" s="1">
        <v>45855</v>
      </c>
      <c r="E8125" t="s">
        <v>19</v>
      </c>
      <c r="F8125">
        <v>4700</v>
      </c>
      <c r="J8125">
        <v>101.8</v>
      </c>
      <c r="K8125">
        <v>139</v>
      </c>
      <c r="L8125">
        <v>0</v>
      </c>
      <c r="M8125" t="s">
        <v>18</v>
      </c>
      <c r="N8125">
        <v>0</v>
      </c>
      <c r="O8125">
        <v>0</v>
      </c>
    </row>
    <row r="8126" spans="1:15" x14ac:dyDescent="0.2">
      <c r="A8126" s="6">
        <v>45769</v>
      </c>
      <c r="B8126" t="s">
        <v>15</v>
      </c>
      <c r="C8126" t="s">
        <v>16</v>
      </c>
      <c r="D8126" s="1">
        <v>45855</v>
      </c>
      <c r="E8126" t="s">
        <v>19</v>
      </c>
      <c r="F8126">
        <v>4550</v>
      </c>
      <c r="J8126">
        <v>71.099999999999994</v>
      </c>
      <c r="K8126">
        <v>100.1</v>
      </c>
      <c r="L8126">
        <v>0</v>
      </c>
      <c r="M8126" t="s">
        <v>18</v>
      </c>
      <c r="N8126">
        <v>0</v>
      </c>
      <c r="O8126">
        <v>0</v>
      </c>
    </row>
    <row r="8127" spans="1:15" x14ac:dyDescent="0.2">
      <c r="A8127" s="6">
        <v>45769</v>
      </c>
      <c r="B8127" t="s">
        <v>15</v>
      </c>
      <c r="C8127" t="s">
        <v>16</v>
      </c>
      <c r="D8127" s="1">
        <v>45855</v>
      </c>
      <c r="E8127" t="s">
        <v>17</v>
      </c>
      <c r="F8127">
        <v>6050</v>
      </c>
      <c r="J8127">
        <v>151.5</v>
      </c>
      <c r="K8127">
        <v>122.3</v>
      </c>
      <c r="L8127">
        <v>0</v>
      </c>
      <c r="M8127" t="s">
        <v>18</v>
      </c>
      <c r="N8127">
        <v>0</v>
      </c>
      <c r="O8127">
        <v>0</v>
      </c>
    </row>
    <row r="8128" spans="1:15" x14ac:dyDescent="0.2">
      <c r="A8128" s="6">
        <v>45769</v>
      </c>
      <c r="B8128" t="s">
        <v>15</v>
      </c>
      <c r="C8128" t="s">
        <v>16</v>
      </c>
      <c r="D8128" s="1">
        <v>45855</v>
      </c>
      <c r="E8128" t="s">
        <v>19</v>
      </c>
      <c r="F8128">
        <v>5450</v>
      </c>
      <c r="J8128">
        <v>391.2</v>
      </c>
      <c r="K8128">
        <v>474.2</v>
      </c>
      <c r="L8128">
        <v>0</v>
      </c>
      <c r="M8128" t="s">
        <v>18</v>
      </c>
      <c r="N8128">
        <v>0</v>
      </c>
      <c r="O8128">
        <v>0</v>
      </c>
    </row>
    <row r="8129" spans="1:15" x14ac:dyDescent="0.2">
      <c r="A8129" s="6">
        <v>45769</v>
      </c>
      <c r="B8129" t="s">
        <v>15</v>
      </c>
      <c r="C8129" t="s">
        <v>16</v>
      </c>
      <c r="D8129" s="1">
        <v>45855</v>
      </c>
      <c r="E8129" t="s">
        <v>19</v>
      </c>
      <c r="F8129">
        <v>5800</v>
      </c>
      <c r="J8129">
        <v>605.9</v>
      </c>
      <c r="K8129">
        <v>707.6</v>
      </c>
      <c r="L8129">
        <v>0</v>
      </c>
      <c r="M8129" t="s">
        <v>18</v>
      </c>
      <c r="N8129">
        <v>0</v>
      </c>
      <c r="O8129">
        <v>0</v>
      </c>
    </row>
    <row r="8130" spans="1:15" x14ac:dyDescent="0.2">
      <c r="A8130" s="6">
        <v>45769</v>
      </c>
      <c r="B8130" t="s">
        <v>15</v>
      </c>
      <c r="C8130" t="s">
        <v>16</v>
      </c>
      <c r="D8130" s="1">
        <v>45855</v>
      </c>
      <c r="E8130" t="s">
        <v>19</v>
      </c>
      <c r="F8130">
        <v>5700</v>
      </c>
      <c r="J8130">
        <v>539.9</v>
      </c>
      <c r="K8130">
        <v>636.6</v>
      </c>
      <c r="L8130">
        <v>0</v>
      </c>
      <c r="M8130" t="s">
        <v>18</v>
      </c>
      <c r="N8130">
        <v>0</v>
      </c>
      <c r="O8130">
        <v>0</v>
      </c>
    </row>
    <row r="8131" spans="1:15" x14ac:dyDescent="0.2">
      <c r="A8131" s="6">
        <v>45769</v>
      </c>
      <c r="B8131" t="s">
        <v>15</v>
      </c>
      <c r="C8131" t="s">
        <v>16</v>
      </c>
      <c r="D8131" s="1">
        <v>45855</v>
      </c>
      <c r="E8131" t="s">
        <v>19</v>
      </c>
      <c r="F8131">
        <v>5300</v>
      </c>
      <c r="J8131">
        <v>314.2</v>
      </c>
      <c r="K8131">
        <v>388.2</v>
      </c>
      <c r="L8131">
        <v>0</v>
      </c>
      <c r="M8131" t="s">
        <v>18</v>
      </c>
      <c r="N8131">
        <v>0</v>
      </c>
      <c r="O8131">
        <v>0</v>
      </c>
    </row>
    <row r="8132" spans="1:15" x14ac:dyDescent="0.2">
      <c r="A8132" s="6">
        <v>45769</v>
      </c>
      <c r="B8132" t="s">
        <v>15</v>
      </c>
      <c r="C8132" t="s">
        <v>16</v>
      </c>
      <c r="D8132" s="1">
        <v>45855</v>
      </c>
      <c r="E8132" t="s">
        <v>19</v>
      </c>
      <c r="F8132">
        <v>6400</v>
      </c>
      <c r="J8132">
        <v>1066.5999999999999</v>
      </c>
      <c r="K8132">
        <v>1190.4000000000001</v>
      </c>
      <c r="L8132">
        <v>0</v>
      </c>
      <c r="M8132" t="s">
        <v>18</v>
      </c>
      <c r="N8132">
        <v>0</v>
      </c>
      <c r="O8132">
        <v>0</v>
      </c>
    </row>
    <row r="8133" spans="1:15" x14ac:dyDescent="0.2">
      <c r="A8133" s="6">
        <v>45769</v>
      </c>
      <c r="B8133" t="s">
        <v>15</v>
      </c>
      <c r="C8133" t="s">
        <v>16</v>
      </c>
      <c r="D8133" s="1">
        <v>45855</v>
      </c>
      <c r="E8133" t="s">
        <v>19</v>
      </c>
      <c r="F8133">
        <v>5400</v>
      </c>
      <c r="J8133">
        <v>364.5</v>
      </c>
      <c r="K8133">
        <v>444.6</v>
      </c>
      <c r="L8133">
        <v>0</v>
      </c>
      <c r="M8133" t="s">
        <v>18</v>
      </c>
      <c r="N8133">
        <v>0</v>
      </c>
      <c r="O8133">
        <v>0</v>
      </c>
    </row>
    <row r="8134" spans="1:15" x14ac:dyDescent="0.2">
      <c r="A8134" s="6">
        <v>45769</v>
      </c>
      <c r="B8134" t="s">
        <v>15</v>
      </c>
      <c r="C8134" t="s">
        <v>16</v>
      </c>
      <c r="D8134" s="1">
        <v>45855</v>
      </c>
      <c r="E8134" t="s">
        <v>19</v>
      </c>
      <c r="F8134">
        <v>4450</v>
      </c>
      <c r="J8134">
        <v>54.8</v>
      </c>
      <c r="K8134">
        <v>78.900000000000006</v>
      </c>
      <c r="L8134">
        <v>0</v>
      </c>
      <c r="M8134" t="s">
        <v>18</v>
      </c>
      <c r="N8134">
        <v>0</v>
      </c>
      <c r="O8134">
        <v>0</v>
      </c>
    </row>
    <row r="8135" spans="1:15" x14ac:dyDescent="0.2">
      <c r="A8135" s="6">
        <v>45769</v>
      </c>
      <c r="B8135" t="s">
        <v>15</v>
      </c>
      <c r="C8135" t="s">
        <v>16</v>
      </c>
      <c r="D8135" s="1">
        <v>45855</v>
      </c>
      <c r="E8135" t="s">
        <v>19</v>
      </c>
      <c r="F8135">
        <v>5050</v>
      </c>
      <c r="J8135">
        <v>207.3</v>
      </c>
      <c r="K8135">
        <v>265.60000000000002</v>
      </c>
      <c r="L8135">
        <v>0</v>
      </c>
      <c r="M8135" t="s">
        <v>18</v>
      </c>
      <c r="N8135">
        <v>0</v>
      </c>
      <c r="O8135">
        <v>0</v>
      </c>
    </row>
    <row r="8136" spans="1:15" x14ac:dyDescent="0.2">
      <c r="A8136" s="6">
        <v>45769</v>
      </c>
      <c r="B8136" t="s">
        <v>15</v>
      </c>
      <c r="C8136" t="s">
        <v>16</v>
      </c>
      <c r="D8136" s="1">
        <v>45855</v>
      </c>
      <c r="E8136" t="s">
        <v>19</v>
      </c>
      <c r="F8136">
        <v>4600</v>
      </c>
      <c r="J8136">
        <v>80.5</v>
      </c>
      <c r="K8136">
        <v>112.1</v>
      </c>
      <c r="L8136">
        <v>0</v>
      </c>
      <c r="M8136" t="s">
        <v>18</v>
      </c>
      <c r="N8136">
        <v>0</v>
      </c>
      <c r="O8136">
        <v>0</v>
      </c>
    </row>
    <row r="8137" spans="1:15" x14ac:dyDescent="0.2">
      <c r="A8137" s="6">
        <v>45769</v>
      </c>
      <c r="B8137" t="s">
        <v>15</v>
      </c>
      <c r="C8137" t="s">
        <v>16</v>
      </c>
      <c r="D8137" s="1">
        <v>45855</v>
      </c>
      <c r="E8137" t="s">
        <v>19</v>
      </c>
      <c r="F8137">
        <v>4950</v>
      </c>
      <c r="J8137">
        <v>172</v>
      </c>
      <c r="K8137">
        <v>224.1</v>
      </c>
      <c r="L8137">
        <v>0</v>
      </c>
      <c r="M8137" t="s">
        <v>18</v>
      </c>
      <c r="N8137">
        <v>0</v>
      </c>
      <c r="O8137">
        <v>0</v>
      </c>
    </row>
    <row r="8138" spans="1:15" x14ac:dyDescent="0.2">
      <c r="A8138" s="6">
        <v>45769</v>
      </c>
      <c r="B8138" t="s">
        <v>15</v>
      </c>
      <c r="C8138" t="s">
        <v>16</v>
      </c>
      <c r="D8138" s="1">
        <v>45855</v>
      </c>
      <c r="E8138" t="s">
        <v>19</v>
      </c>
      <c r="F8138">
        <v>4250</v>
      </c>
      <c r="J8138">
        <v>30.7</v>
      </c>
      <c r="K8138">
        <v>46.6</v>
      </c>
      <c r="L8138">
        <v>0</v>
      </c>
      <c r="M8138" t="s">
        <v>18</v>
      </c>
      <c r="N8138">
        <v>0</v>
      </c>
      <c r="O8138">
        <v>0</v>
      </c>
    </row>
    <row r="8139" spans="1:15" x14ac:dyDescent="0.2">
      <c r="A8139" s="6">
        <v>45769</v>
      </c>
      <c r="B8139" t="s">
        <v>15</v>
      </c>
      <c r="C8139" t="s">
        <v>16</v>
      </c>
      <c r="D8139" s="1">
        <v>45855</v>
      </c>
      <c r="E8139" t="s">
        <v>17</v>
      </c>
      <c r="F8139">
        <v>5600</v>
      </c>
      <c r="J8139">
        <v>286.39999999999998</v>
      </c>
      <c r="K8139">
        <v>236.2</v>
      </c>
      <c r="L8139">
        <v>0</v>
      </c>
      <c r="M8139" t="s">
        <v>18</v>
      </c>
      <c r="N8139">
        <v>0</v>
      </c>
      <c r="O8139">
        <v>0</v>
      </c>
    </row>
    <row r="8140" spans="1:15" x14ac:dyDescent="0.2">
      <c r="A8140" s="6">
        <v>45769</v>
      </c>
      <c r="B8140" t="s">
        <v>15</v>
      </c>
      <c r="C8140" t="s">
        <v>16</v>
      </c>
      <c r="D8140" s="1">
        <v>45855</v>
      </c>
      <c r="E8140" t="s">
        <v>19</v>
      </c>
      <c r="F8140">
        <v>5900</v>
      </c>
      <c r="J8140">
        <v>675.4</v>
      </c>
      <c r="K8140">
        <v>781.8</v>
      </c>
      <c r="L8140">
        <v>0</v>
      </c>
      <c r="M8140" t="s">
        <v>18</v>
      </c>
      <c r="N8140">
        <v>0</v>
      </c>
      <c r="O8140">
        <v>0</v>
      </c>
    </row>
    <row r="8141" spans="1:15" x14ac:dyDescent="0.2">
      <c r="A8141" s="6">
        <v>45769</v>
      </c>
      <c r="B8141" t="s">
        <v>15</v>
      </c>
      <c r="C8141" t="s">
        <v>16</v>
      </c>
      <c r="D8141" s="1">
        <v>45855</v>
      </c>
      <c r="E8141" t="s">
        <v>19</v>
      </c>
      <c r="F8141">
        <v>6200</v>
      </c>
      <c r="J8141">
        <v>902.4</v>
      </c>
      <c r="K8141">
        <v>1020.3</v>
      </c>
      <c r="L8141">
        <v>0</v>
      </c>
      <c r="M8141" t="s">
        <v>18</v>
      </c>
      <c r="N8141">
        <v>0</v>
      </c>
      <c r="O8141">
        <v>0</v>
      </c>
    </row>
    <row r="8142" spans="1:15" x14ac:dyDescent="0.2">
      <c r="A8142" s="6">
        <v>45769</v>
      </c>
      <c r="B8142" t="s">
        <v>15</v>
      </c>
      <c r="C8142" t="s">
        <v>16</v>
      </c>
      <c r="D8142" s="1">
        <v>45855</v>
      </c>
      <c r="E8142" t="s">
        <v>17</v>
      </c>
      <c r="F8142">
        <v>5750</v>
      </c>
      <c r="J8142">
        <v>233.7</v>
      </c>
      <c r="K8142">
        <v>191.2</v>
      </c>
      <c r="L8142">
        <v>0</v>
      </c>
      <c r="M8142" t="s">
        <v>18</v>
      </c>
      <c r="N8142">
        <v>0</v>
      </c>
      <c r="O8142">
        <v>0</v>
      </c>
    </row>
    <row r="8143" spans="1:15" x14ac:dyDescent="0.2">
      <c r="A8143" s="6">
        <v>45769</v>
      </c>
      <c r="B8143" t="s">
        <v>15</v>
      </c>
      <c r="C8143" t="s">
        <v>16</v>
      </c>
      <c r="D8143" s="1">
        <v>45855</v>
      </c>
      <c r="E8143" t="s">
        <v>17</v>
      </c>
      <c r="F8143">
        <v>6500</v>
      </c>
      <c r="J8143">
        <v>74.400000000000006</v>
      </c>
      <c r="K8143">
        <v>59.1</v>
      </c>
      <c r="L8143">
        <v>0</v>
      </c>
      <c r="M8143" t="s">
        <v>18</v>
      </c>
      <c r="N8143">
        <v>0</v>
      </c>
      <c r="O8143">
        <v>0</v>
      </c>
    </row>
    <row r="8144" spans="1:15" x14ac:dyDescent="0.2">
      <c r="A8144" s="6">
        <v>45769</v>
      </c>
      <c r="B8144" t="s">
        <v>15</v>
      </c>
      <c r="C8144" t="s">
        <v>16</v>
      </c>
      <c r="D8144" s="1">
        <v>45855</v>
      </c>
      <c r="E8144" t="s">
        <v>17</v>
      </c>
      <c r="F8144">
        <v>6300</v>
      </c>
      <c r="J8144">
        <v>103</v>
      </c>
      <c r="K8144">
        <v>82.3</v>
      </c>
      <c r="L8144">
        <v>0</v>
      </c>
      <c r="M8144" t="s">
        <v>18</v>
      </c>
      <c r="N8144">
        <v>0</v>
      </c>
      <c r="O8144">
        <v>0</v>
      </c>
    </row>
    <row r="8145" spans="1:15" x14ac:dyDescent="0.2">
      <c r="A8145" s="6">
        <v>45769</v>
      </c>
      <c r="B8145" t="s">
        <v>15</v>
      </c>
      <c r="C8145" t="s">
        <v>16</v>
      </c>
      <c r="D8145" s="1">
        <v>45855</v>
      </c>
      <c r="E8145" t="s">
        <v>17</v>
      </c>
      <c r="F8145">
        <v>6000</v>
      </c>
      <c r="J8145">
        <v>163.19999999999999</v>
      </c>
      <c r="K8145">
        <v>132.1</v>
      </c>
      <c r="L8145">
        <v>0</v>
      </c>
      <c r="M8145" t="s">
        <v>18</v>
      </c>
      <c r="N8145">
        <v>0</v>
      </c>
      <c r="O8145">
        <v>0</v>
      </c>
    </row>
    <row r="8146" spans="1:15" x14ac:dyDescent="0.2">
      <c r="A8146" s="6">
        <v>45769</v>
      </c>
      <c r="B8146" t="s">
        <v>15</v>
      </c>
      <c r="C8146" t="s">
        <v>16</v>
      </c>
      <c r="D8146" s="1">
        <v>45855</v>
      </c>
      <c r="E8146" t="s">
        <v>19</v>
      </c>
      <c r="F8146">
        <v>4050</v>
      </c>
      <c r="J8146">
        <v>15.8</v>
      </c>
      <c r="K8146">
        <v>25.4</v>
      </c>
      <c r="L8146">
        <v>0</v>
      </c>
      <c r="M8146" t="s">
        <v>18</v>
      </c>
      <c r="N8146">
        <v>0</v>
      </c>
      <c r="O8146">
        <v>0</v>
      </c>
    </row>
    <row r="8147" spans="1:15" x14ac:dyDescent="0.2">
      <c r="A8147" s="6">
        <v>45769</v>
      </c>
      <c r="B8147" t="s">
        <v>15</v>
      </c>
      <c r="C8147" t="s">
        <v>16</v>
      </c>
      <c r="D8147" s="1">
        <v>45855</v>
      </c>
      <c r="E8147" t="s">
        <v>19</v>
      </c>
      <c r="F8147">
        <v>4100</v>
      </c>
      <c r="J8147">
        <v>18.8</v>
      </c>
      <c r="K8147">
        <v>29.8</v>
      </c>
      <c r="L8147">
        <v>0</v>
      </c>
      <c r="M8147" t="s">
        <v>18</v>
      </c>
      <c r="N8147">
        <v>0</v>
      </c>
      <c r="O8147">
        <v>0</v>
      </c>
    </row>
    <row r="8148" spans="1:15" x14ac:dyDescent="0.2">
      <c r="A8148" s="6">
        <v>45769</v>
      </c>
      <c r="B8148" t="s">
        <v>15</v>
      </c>
      <c r="C8148" t="s">
        <v>16</v>
      </c>
      <c r="D8148" s="1">
        <v>45855</v>
      </c>
      <c r="E8148" t="s">
        <v>19</v>
      </c>
      <c r="F8148">
        <v>4500</v>
      </c>
      <c r="J8148">
        <v>62.5</v>
      </c>
      <c r="K8148">
        <v>89.1</v>
      </c>
      <c r="L8148">
        <v>0</v>
      </c>
      <c r="M8148" t="s">
        <v>18</v>
      </c>
      <c r="N8148">
        <v>0</v>
      </c>
      <c r="O8148">
        <v>0</v>
      </c>
    </row>
    <row r="8149" spans="1:15" x14ac:dyDescent="0.2">
      <c r="A8149" s="6">
        <v>45769</v>
      </c>
      <c r="B8149" t="s">
        <v>15</v>
      </c>
      <c r="C8149" t="s">
        <v>16</v>
      </c>
      <c r="D8149" s="1">
        <v>45855</v>
      </c>
      <c r="E8149" t="s">
        <v>19</v>
      </c>
      <c r="F8149">
        <v>5350</v>
      </c>
      <c r="J8149">
        <v>338.8</v>
      </c>
      <c r="K8149">
        <v>415.9</v>
      </c>
      <c r="L8149">
        <v>0</v>
      </c>
      <c r="M8149" t="s">
        <v>18</v>
      </c>
      <c r="N8149">
        <v>0</v>
      </c>
      <c r="O8149">
        <v>0</v>
      </c>
    </row>
    <row r="8150" spans="1:15" x14ac:dyDescent="0.2">
      <c r="A8150" s="6">
        <v>45769</v>
      </c>
      <c r="B8150" t="s">
        <v>15</v>
      </c>
      <c r="C8150" t="s">
        <v>16</v>
      </c>
      <c r="D8150" s="1">
        <v>45855</v>
      </c>
      <c r="E8150" t="s">
        <v>19</v>
      </c>
      <c r="F8150">
        <v>5000</v>
      </c>
      <c r="J8150">
        <v>189.1</v>
      </c>
      <c r="K8150">
        <v>244.3</v>
      </c>
      <c r="L8150">
        <v>0</v>
      </c>
      <c r="M8150" t="s">
        <v>18</v>
      </c>
      <c r="N8150">
        <v>0</v>
      </c>
      <c r="O8150">
        <v>0</v>
      </c>
    </row>
    <row r="8151" spans="1:15" x14ac:dyDescent="0.2">
      <c r="A8151" s="6">
        <v>45769</v>
      </c>
      <c r="B8151" t="s">
        <v>15</v>
      </c>
      <c r="C8151" t="s">
        <v>16</v>
      </c>
      <c r="D8151" s="1">
        <v>45855</v>
      </c>
      <c r="E8151" t="s">
        <v>19</v>
      </c>
      <c r="F8151">
        <v>4650</v>
      </c>
      <c r="J8151">
        <v>90.7</v>
      </c>
      <c r="K8151">
        <v>125.1</v>
      </c>
      <c r="L8151">
        <v>0</v>
      </c>
      <c r="M8151" t="s">
        <v>18</v>
      </c>
      <c r="N8151">
        <v>0</v>
      </c>
      <c r="O8151">
        <v>0</v>
      </c>
    </row>
    <row r="8152" spans="1:15" x14ac:dyDescent="0.2">
      <c r="A8152" s="6">
        <v>45769</v>
      </c>
      <c r="B8152" t="s">
        <v>15</v>
      </c>
      <c r="C8152" t="s">
        <v>16</v>
      </c>
      <c r="D8152" s="1">
        <v>45855</v>
      </c>
      <c r="E8152" t="s">
        <v>17</v>
      </c>
      <c r="F8152">
        <v>6350</v>
      </c>
      <c r="J8152">
        <v>95.1</v>
      </c>
      <c r="K8152">
        <v>75.900000000000006</v>
      </c>
      <c r="L8152">
        <v>0</v>
      </c>
      <c r="M8152" t="s">
        <v>18</v>
      </c>
      <c r="N8152">
        <v>0</v>
      </c>
      <c r="O8152">
        <v>0</v>
      </c>
    </row>
    <row r="8153" spans="1:15" x14ac:dyDescent="0.2">
      <c r="A8153" s="6">
        <v>45769</v>
      </c>
      <c r="B8153" t="s">
        <v>15</v>
      </c>
      <c r="C8153" t="s">
        <v>16</v>
      </c>
      <c r="D8153" s="1">
        <v>45855</v>
      </c>
      <c r="E8153" t="s">
        <v>19</v>
      </c>
      <c r="F8153">
        <v>4400</v>
      </c>
      <c r="J8153">
        <v>47.7</v>
      </c>
      <c r="K8153">
        <v>69.7</v>
      </c>
      <c r="L8153">
        <v>0</v>
      </c>
      <c r="M8153" t="s">
        <v>18</v>
      </c>
      <c r="N8153">
        <v>0</v>
      </c>
      <c r="O8153">
        <v>0</v>
      </c>
    </row>
    <row r="8154" spans="1:15" x14ac:dyDescent="0.2">
      <c r="A8154" s="6">
        <v>45769</v>
      </c>
      <c r="B8154" t="s">
        <v>15</v>
      </c>
      <c r="C8154" t="s">
        <v>16</v>
      </c>
      <c r="D8154" s="1">
        <v>45855</v>
      </c>
      <c r="E8154" t="s">
        <v>17</v>
      </c>
      <c r="F8154">
        <v>4000</v>
      </c>
      <c r="J8154">
        <v>1397.8</v>
      </c>
      <c r="K8154">
        <v>1264.0999999999999</v>
      </c>
      <c r="L8154">
        <v>0</v>
      </c>
      <c r="M8154" t="s">
        <v>18</v>
      </c>
      <c r="N8154">
        <v>0</v>
      </c>
      <c r="O8154">
        <v>0</v>
      </c>
    </row>
    <row r="8155" spans="1:15" x14ac:dyDescent="0.2">
      <c r="A8155" s="6">
        <v>45769</v>
      </c>
      <c r="B8155" t="s">
        <v>15</v>
      </c>
      <c r="C8155" t="s">
        <v>16</v>
      </c>
      <c r="D8155" s="1">
        <v>45855</v>
      </c>
      <c r="E8155" t="s">
        <v>17</v>
      </c>
      <c r="F8155">
        <v>5800</v>
      </c>
      <c r="J8155">
        <v>217.9</v>
      </c>
      <c r="K8155">
        <v>177.9</v>
      </c>
      <c r="L8155">
        <v>0</v>
      </c>
      <c r="M8155" t="s">
        <v>18</v>
      </c>
      <c r="N8155">
        <v>0</v>
      </c>
      <c r="O8155">
        <v>0</v>
      </c>
    </row>
    <row r="8156" spans="1:15" x14ac:dyDescent="0.2">
      <c r="A8156" s="6">
        <v>45769</v>
      </c>
      <c r="B8156" t="s">
        <v>15</v>
      </c>
      <c r="C8156" t="s">
        <v>16</v>
      </c>
      <c r="D8156" s="1">
        <v>45855</v>
      </c>
      <c r="E8156" t="s">
        <v>17</v>
      </c>
      <c r="F8156">
        <v>4550</v>
      </c>
      <c r="J8156">
        <v>914.1</v>
      </c>
      <c r="K8156">
        <v>801.2</v>
      </c>
      <c r="L8156">
        <v>0</v>
      </c>
      <c r="M8156" t="s">
        <v>18</v>
      </c>
      <c r="N8156">
        <v>0</v>
      </c>
      <c r="O8156">
        <v>0</v>
      </c>
    </row>
    <row r="8157" spans="1:15" x14ac:dyDescent="0.2">
      <c r="A8157" s="6">
        <v>45769</v>
      </c>
      <c r="B8157" t="s">
        <v>15</v>
      </c>
      <c r="C8157" t="s">
        <v>16</v>
      </c>
      <c r="D8157" s="1">
        <v>45855</v>
      </c>
      <c r="E8157" t="s">
        <v>17</v>
      </c>
      <c r="F8157">
        <v>5450</v>
      </c>
      <c r="J8157">
        <v>347.9</v>
      </c>
      <c r="K8157">
        <v>289.10000000000002</v>
      </c>
      <c r="L8157">
        <v>0</v>
      </c>
      <c r="M8157" t="s">
        <v>18</v>
      </c>
      <c r="N8157">
        <v>0</v>
      </c>
      <c r="O8157">
        <v>0</v>
      </c>
    </row>
    <row r="8158" spans="1:15" x14ac:dyDescent="0.2">
      <c r="A8158" s="6">
        <v>45769</v>
      </c>
      <c r="B8158" t="s">
        <v>15</v>
      </c>
      <c r="C8158" t="s">
        <v>16</v>
      </c>
      <c r="D8158" s="1">
        <v>45855</v>
      </c>
      <c r="E8158" t="s">
        <v>17</v>
      </c>
      <c r="F8158">
        <v>5050</v>
      </c>
      <c r="J8158">
        <v>557.9</v>
      </c>
      <c r="K8158">
        <v>474.4</v>
      </c>
      <c r="L8158">
        <v>0</v>
      </c>
      <c r="M8158" t="s">
        <v>18</v>
      </c>
      <c r="N8158">
        <v>0</v>
      </c>
      <c r="O8158">
        <v>0</v>
      </c>
    </row>
    <row r="8159" spans="1:15" x14ac:dyDescent="0.2">
      <c r="A8159" s="6">
        <v>45769</v>
      </c>
      <c r="B8159" t="s">
        <v>15</v>
      </c>
      <c r="C8159" t="s">
        <v>16</v>
      </c>
      <c r="D8159" s="1">
        <v>45855</v>
      </c>
      <c r="E8159" t="s">
        <v>19</v>
      </c>
      <c r="F8159">
        <v>6250</v>
      </c>
      <c r="J8159">
        <v>942.6</v>
      </c>
      <c r="K8159">
        <v>1062.0999999999999</v>
      </c>
      <c r="L8159">
        <v>0</v>
      </c>
      <c r="M8159" t="s">
        <v>18</v>
      </c>
      <c r="N8159">
        <v>0</v>
      </c>
      <c r="O8159">
        <v>0</v>
      </c>
    </row>
    <row r="8160" spans="1:15" x14ac:dyDescent="0.2">
      <c r="A8160" s="6">
        <v>45769</v>
      </c>
      <c r="B8160" t="s">
        <v>15</v>
      </c>
      <c r="C8160" t="s">
        <v>16</v>
      </c>
      <c r="D8160" s="1">
        <v>45855</v>
      </c>
      <c r="E8160" t="s">
        <v>19</v>
      </c>
      <c r="F8160">
        <v>5150</v>
      </c>
      <c r="J8160">
        <v>246.8</v>
      </c>
      <c r="K8160">
        <v>311.5</v>
      </c>
      <c r="L8160">
        <v>0</v>
      </c>
      <c r="M8160" t="s">
        <v>18</v>
      </c>
      <c r="N8160">
        <v>0</v>
      </c>
      <c r="O8160">
        <v>0</v>
      </c>
    </row>
    <row r="8161" spans="1:15" x14ac:dyDescent="0.2">
      <c r="A8161" s="6">
        <v>45769</v>
      </c>
      <c r="B8161" t="s">
        <v>15</v>
      </c>
      <c r="C8161" t="s">
        <v>16</v>
      </c>
      <c r="D8161" s="1">
        <v>45855</v>
      </c>
      <c r="E8161" t="s">
        <v>17</v>
      </c>
      <c r="F8161">
        <v>6250</v>
      </c>
      <c r="J8161">
        <v>111.4</v>
      </c>
      <c r="K8161">
        <v>89.3</v>
      </c>
      <c r="L8161">
        <v>0</v>
      </c>
      <c r="M8161" t="s">
        <v>18</v>
      </c>
      <c r="N8161">
        <v>0</v>
      </c>
      <c r="O8161">
        <v>0</v>
      </c>
    </row>
    <row r="8162" spans="1:15" x14ac:dyDescent="0.2">
      <c r="A8162" s="6">
        <v>45769</v>
      </c>
      <c r="B8162" t="s">
        <v>15</v>
      </c>
      <c r="C8162" t="s">
        <v>16</v>
      </c>
      <c r="D8162" s="1">
        <v>45855</v>
      </c>
      <c r="E8162" t="s">
        <v>17</v>
      </c>
      <c r="F8162">
        <v>5500</v>
      </c>
      <c r="J8162">
        <v>326.39999999999998</v>
      </c>
      <c r="K8162">
        <v>270.5</v>
      </c>
      <c r="L8162">
        <v>0</v>
      </c>
      <c r="M8162" t="s">
        <v>18</v>
      </c>
      <c r="N8162">
        <v>0</v>
      </c>
      <c r="O8162">
        <v>0</v>
      </c>
    </row>
    <row r="8163" spans="1:15" x14ac:dyDescent="0.2">
      <c r="A8163" s="6">
        <v>45769</v>
      </c>
      <c r="B8163" t="s">
        <v>15</v>
      </c>
      <c r="C8163" t="s">
        <v>16</v>
      </c>
      <c r="D8163" s="1">
        <v>45855</v>
      </c>
      <c r="E8163" t="s">
        <v>17</v>
      </c>
      <c r="F8163">
        <v>4500</v>
      </c>
      <c r="J8163">
        <v>954.7</v>
      </c>
      <c r="K8163">
        <v>839.4</v>
      </c>
      <c r="L8163">
        <v>0</v>
      </c>
      <c r="M8163" t="s">
        <v>18</v>
      </c>
      <c r="N8163">
        <v>0</v>
      </c>
      <c r="O8163">
        <v>0</v>
      </c>
    </row>
    <row r="8164" spans="1:15" x14ac:dyDescent="0.2">
      <c r="A8164" s="6">
        <v>45769</v>
      </c>
      <c r="B8164" t="s">
        <v>15</v>
      </c>
      <c r="C8164" t="s">
        <v>16</v>
      </c>
      <c r="D8164" s="1">
        <v>45855</v>
      </c>
      <c r="E8164" t="s">
        <v>17</v>
      </c>
      <c r="F8164">
        <v>5900</v>
      </c>
      <c r="J8164">
        <v>189</v>
      </c>
      <c r="K8164">
        <v>153.6</v>
      </c>
      <c r="L8164">
        <v>0</v>
      </c>
      <c r="M8164" t="s">
        <v>18</v>
      </c>
      <c r="N8164">
        <v>0</v>
      </c>
      <c r="O8164">
        <v>0</v>
      </c>
    </row>
    <row r="8165" spans="1:15" x14ac:dyDescent="0.2">
      <c r="A8165" s="6">
        <v>45769</v>
      </c>
      <c r="B8165" t="s">
        <v>15</v>
      </c>
      <c r="C8165" t="s">
        <v>16</v>
      </c>
      <c r="D8165" s="1">
        <v>45855</v>
      </c>
      <c r="E8165" t="s">
        <v>17</v>
      </c>
      <c r="F8165">
        <v>4150</v>
      </c>
      <c r="J8165">
        <v>1259.2</v>
      </c>
      <c r="K8165">
        <v>1129.7</v>
      </c>
      <c r="L8165">
        <v>0</v>
      </c>
      <c r="M8165" t="s">
        <v>18</v>
      </c>
      <c r="N8165">
        <v>0</v>
      </c>
      <c r="O8165">
        <v>0</v>
      </c>
    </row>
    <row r="8166" spans="1:15" x14ac:dyDescent="0.2">
      <c r="A8166" s="6">
        <v>45769</v>
      </c>
      <c r="B8166" t="s">
        <v>15</v>
      </c>
      <c r="C8166" t="s">
        <v>16</v>
      </c>
      <c r="D8166" s="1">
        <v>45855</v>
      </c>
      <c r="E8166" t="s">
        <v>17</v>
      </c>
      <c r="F8166">
        <v>4250</v>
      </c>
      <c r="J8166">
        <v>1169.0999999999999</v>
      </c>
      <c r="K8166">
        <v>1043</v>
      </c>
      <c r="L8166">
        <v>0</v>
      </c>
      <c r="M8166" t="s">
        <v>18</v>
      </c>
      <c r="N8166">
        <v>0</v>
      </c>
      <c r="O8166">
        <v>0</v>
      </c>
    </row>
    <row r="8167" spans="1:15" x14ac:dyDescent="0.2">
      <c r="A8167" s="6">
        <v>45769</v>
      </c>
      <c r="B8167" t="s">
        <v>15</v>
      </c>
      <c r="C8167" t="s">
        <v>16</v>
      </c>
      <c r="D8167" s="1">
        <v>45855</v>
      </c>
      <c r="E8167" t="s">
        <v>19</v>
      </c>
      <c r="F8167">
        <v>5650</v>
      </c>
      <c r="J8167">
        <v>508.2</v>
      </c>
      <c r="K8167">
        <v>602.4</v>
      </c>
      <c r="L8167">
        <v>0</v>
      </c>
      <c r="M8167" t="s">
        <v>18</v>
      </c>
      <c r="N8167">
        <v>0</v>
      </c>
      <c r="O8167">
        <v>0</v>
      </c>
    </row>
    <row r="8168" spans="1:15" x14ac:dyDescent="0.2">
      <c r="A8168" s="6">
        <v>45769</v>
      </c>
      <c r="B8168" t="s">
        <v>15</v>
      </c>
      <c r="C8168" t="s">
        <v>16</v>
      </c>
      <c r="D8168" s="1">
        <v>45855</v>
      </c>
      <c r="E8168" t="s">
        <v>19</v>
      </c>
      <c r="F8168">
        <v>6350</v>
      </c>
      <c r="J8168">
        <v>1024.7</v>
      </c>
      <c r="K8168">
        <v>1147.2</v>
      </c>
      <c r="L8168">
        <v>0</v>
      </c>
      <c r="M8168" t="s">
        <v>18</v>
      </c>
      <c r="N8168">
        <v>0</v>
      </c>
      <c r="O8168">
        <v>0</v>
      </c>
    </row>
    <row r="8169" spans="1:15" x14ac:dyDescent="0.2">
      <c r="A8169" s="6">
        <v>45769</v>
      </c>
      <c r="B8169" t="s">
        <v>15</v>
      </c>
      <c r="C8169" t="s">
        <v>16</v>
      </c>
      <c r="D8169" s="1">
        <v>45855</v>
      </c>
      <c r="E8169" t="s">
        <v>19</v>
      </c>
      <c r="F8169">
        <v>4850</v>
      </c>
      <c r="J8169">
        <v>141</v>
      </c>
      <c r="K8169">
        <v>186.9</v>
      </c>
      <c r="L8169">
        <v>0</v>
      </c>
      <c r="M8169" t="s">
        <v>18</v>
      </c>
      <c r="N8169">
        <v>0</v>
      </c>
      <c r="O8169">
        <v>0</v>
      </c>
    </row>
    <row r="8170" spans="1:15" x14ac:dyDescent="0.2">
      <c r="A8170" s="6">
        <v>45769</v>
      </c>
      <c r="B8170" t="s">
        <v>15</v>
      </c>
      <c r="C8170" t="s">
        <v>16</v>
      </c>
      <c r="D8170" s="1">
        <v>45855</v>
      </c>
      <c r="E8170" t="s">
        <v>19</v>
      </c>
      <c r="F8170">
        <v>4000</v>
      </c>
      <c r="J8170">
        <v>13.2</v>
      </c>
      <c r="K8170">
        <v>21.5</v>
      </c>
      <c r="L8170">
        <v>0</v>
      </c>
      <c r="M8170" t="s">
        <v>18</v>
      </c>
      <c r="N8170">
        <v>0</v>
      </c>
      <c r="O8170">
        <v>0</v>
      </c>
    </row>
    <row r="8171" spans="1:15" x14ac:dyDescent="0.2">
      <c r="A8171" s="6">
        <v>45769</v>
      </c>
      <c r="B8171" t="s">
        <v>15</v>
      </c>
      <c r="C8171" t="s">
        <v>16</v>
      </c>
      <c r="D8171" s="1">
        <v>45855</v>
      </c>
      <c r="E8171" t="s">
        <v>19</v>
      </c>
      <c r="F8171">
        <v>5600</v>
      </c>
      <c r="J8171">
        <v>477.5</v>
      </c>
      <c r="K8171">
        <v>569</v>
      </c>
      <c r="L8171">
        <v>0</v>
      </c>
      <c r="M8171" t="s">
        <v>18</v>
      </c>
      <c r="N8171">
        <v>0</v>
      </c>
      <c r="O8171">
        <v>0</v>
      </c>
    </row>
    <row r="8172" spans="1:15" x14ac:dyDescent="0.2">
      <c r="A8172" s="6">
        <v>45769</v>
      </c>
      <c r="B8172" t="s">
        <v>15</v>
      </c>
      <c r="C8172" t="s">
        <v>16</v>
      </c>
      <c r="D8172" s="1">
        <v>45855</v>
      </c>
      <c r="E8172" t="s">
        <v>17</v>
      </c>
      <c r="F8172">
        <v>6100</v>
      </c>
      <c r="J8172">
        <v>140.5</v>
      </c>
      <c r="K8172">
        <v>113.2</v>
      </c>
      <c r="L8172">
        <v>0</v>
      </c>
      <c r="M8172" t="s">
        <v>18</v>
      </c>
      <c r="N8172">
        <v>0</v>
      </c>
      <c r="O8172">
        <v>0</v>
      </c>
    </row>
    <row r="8173" spans="1:15" x14ac:dyDescent="0.2">
      <c r="A8173" s="6">
        <v>45769</v>
      </c>
      <c r="B8173" t="s">
        <v>15</v>
      </c>
      <c r="C8173" t="s">
        <v>16</v>
      </c>
      <c r="D8173" s="1">
        <v>45855</v>
      </c>
      <c r="E8173" t="s">
        <v>17</v>
      </c>
      <c r="F8173">
        <v>5350</v>
      </c>
      <c r="J8173">
        <v>394</v>
      </c>
      <c r="K8173">
        <v>329.2</v>
      </c>
      <c r="L8173">
        <v>0</v>
      </c>
      <c r="M8173" t="s">
        <v>18</v>
      </c>
      <c r="N8173">
        <v>0</v>
      </c>
      <c r="O8173">
        <v>0</v>
      </c>
    </row>
    <row r="8174" spans="1:15" x14ac:dyDescent="0.2">
      <c r="A8174" s="6">
        <v>45769</v>
      </c>
      <c r="B8174" t="s">
        <v>15</v>
      </c>
      <c r="C8174" t="s">
        <v>16</v>
      </c>
      <c r="D8174" s="1">
        <v>45855</v>
      </c>
      <c r="E8174" t="s">
        <v>17</v>
      </c>
      <c r="F8174">
        <v>4600</v>
      </c>
      <c r="J8174">
        <v>874.2</v>
      </c>
      <c r="K8174">
        <v>763.9</v>
      </c>
      <c r="L8174">
        <v>0</v>
      </c>
      <c r="M8174" t="s">
        <v>18</v>
      </c>
      <c r="N8174">
        <v>0</v>
      </c>
      <c r="O8174">
        <v>0</v>
      </c>
    </row>
    <row r="8175" spans="1:15" x14ac:dyDescent="0.2">
      <c r="A8175" s="6">
        <v>45769</v>
      </c>
      <c r="B8175" t="s">
        <v>15</v>
      </c>
      <c r="C8175" t="s">
        <v>16</v>
      </c>
      <c r="D8175" s="1">
        <v>45855</v>
      </c>
      <c r="E8175" t="s">
        <v>19</v>
      </c>
      <c r="F8175">
        <v>4800</v>
      </c>
      <c r="J8175">
        <v>126.9</v>
      </c>
      <c r="K8175">
        <v>169.9</v>
      </c>
      <c r="L8175">
        <v>0</v>
      </c>
      <c r="M8175" t="s">
        <v>18</v>
      </c>
      <c r="N8175">
        <v>0</v>
      </c>
      <c r="O8175">
        <v>0</v>
      </c>
    </row>
    <row r="8176" spans="1:15" x14ac:dyDescent="0.2">
      <c r="A8176" s="6">
        <v>45769</v>
      </c>
      <c r="B8176" t="s">
        <v>15</v>
      </c>
      <c r="C8176" t="s">
        <v>16</v>
      </c>
      <c r="D8176" s="1">
        <v>45855</v>
      </c>
      <c r="E8176" t="s">
        <v>19</v>
      </c>
      <c r="F8176">
        <v>6000</v>
      </c>
      <c r="J8176">
        <v>748.2</v>
      </c>
      <c r="K8176">
        <v>858.7</v>
      </c>
      <c r="L8176">
        <v>0</v>
      </c>
      <c r="M8176" t="s">
        <v>18</v>
      </c>
      <c r="N8176">
        <v>0</v>
      </c>
      <c r="O8176">
        <v>0</v>
      </c>
    </row>
    <row r="8177" spans="1:15" x14ac:dyDescent="0.2">
      <c r="A8177" s="6">
        <v>45769</v>
      </c>
      <c r="B8177" t="s">
        <v>15</v>
      </c>
      <c r="C8177" t="s">
        <v>16</v>
      </c>
      <c r="D8177" s="1">
        <v>45855</v>
      </c>
      <c r="E8177" t="s">
        <v>17</v>
      </c>
      <c r="F8177">
        <v>5850</v>
      </c>
      <c r="J8177">
        <v>203</v>
      </c>
      <c r="K8177">
        <v>165.4</v>
      </c>
      <c r="L8177">
        <v>0</v>
      </c>
      <c r="M8177" t="s">
        <v>18</v>
      </c>
      <c r="N8177">
        <v>0</v>
      </c>
      <c r="O8177">
        <v>0</v>
      </c>
    </row>
    <row r="8178" spans="1:15" x14ac:dyDescent="0.2">
      <c r="A8178" s="6">
        <v>45769</v>
      </c>
      <c r="B8178" t="s">
        <v>15</v>
      </c>
      <c r="C8178" t="s">
        <v>16</v>
      </c>
      <c r="D8178" s="1">
        <v>45855</v>
      </c>
      <c r="E8178" t="s">
        <v>19</v>
      </c>
      <c r="F8178">
        <v>6300</v>
      </c>
      <c r="J8178">
        <v>983.4</v>
      </c>
      <c r="K8178">
        <v>1104.4000000000001</v>
      </c>
      <c r="L8178">
        <v>0</v>
      </c>
      <c r="M8178" t="s">
        <v>18</v>
      </c>
      <c r="N8178">
        <v>0</v>
      </c>
      <c r="O8178">
        <v>0</v>
      </c>
    </row>
    <row r="8179" spans="1:15" x14ac:dyDescent="0.2">
      <c r="A8179" s="6">
        <v>45769</v>
      </c>
      <c r="B8179" t="s">
        <v>15</v>
      </c>
      <c r="C8179" t="s">
        <v>16</v>
      </c>
      <c r="D8179" s="1">
        <v>45855</v>
      </c>
      <c r="E8179" t="s">
        <v>19</v>
      </c>
      <c r="F8179">
        <v>5850</v>
      </c>
      <c r="J8179">
        <v>640.29999999999995</v>
      </c>
      <c r="K8179">
        <v>744.3</v>
      </c>
      <c r="L8179">
        <v>0</v>
      </c>
      <c r="M8179" t="s">
        <v>18</v>
      </c>
      <c r="N8179">
        <v>0</v>
      </c>
      <c r="O8179">
        <v>0</v>
      </c>
    </row>
    <row r="8180" spans="1:15" x14ac:dyDescent="0.2">
      <c r="A8180" s="6">
        <v>45769</v>
      </c>
      <c r="B8180" t="s">
        <v>15</v>
      </c>
      <c r="C8180" t="s">
        <v>16</v>
      </c>
      <c r="D8180" s="1">
        <v>45855</v>
      </c>
      <c r="E8180" t="s">
        <v>19</v>
      </c>
      <c r="F8180">
        <v>6500</v>
      </c>
      <c r="J8180">
        <v>1151.8</v>
      </c>
      <c r="K8180">
        <v>1278.0999999999999</v>
      </c>
      <c r="L8180">
        <v>0</v>
      </c>
      <c r="M8180" t="s">
        <v>18</v>
      </c>
      <c r="N8180">
        <v>0</v>
      </c>
      <c r="O8180">
        <v>0</v>
      </c>
    </row>
    <row r="8181" spans="1:15" x14ac:dyDescent="0.2">
      <c r="A8181" s="6">
        <v>45769</v>
      </c>
      <c r="B8181" t="s">
        <v>15</v>
      </c>
      <c r="C8181" t="s">
        <v>16</v>
      </c>
      <c r="D8181" s="1">
        <v>45855</v>
      </c>
      <c r="E8181" t="s">
        <v>17</v>
      </c>
      <c r="F8181">
        <v>5550</v>
      </c>
      <c r="J8181">
        <v>305.89999999999998</v>
      </c>
      <c r="K8181">
        <v>252.9</v>
      </c>
      <c r="L8181">
        <v>0</v>
      </c>
      <c r="M8181" t="s">
        <v>18</v>
      </c>
      <c r="N8181">
        <v>0</v>
      </c>
      <c r="O8181">
        <v>0</v>
      </c>
    </row>
    <row r="8182" spans="1:15" x14ac:dyDescent="0.2">
      <c r="A8182" s="6">
        <v>45769</v>
      </c>
      <c r="B8182" t="s">
        <v>15</v>
      </c>
      <c r="C8182" t="s">
        <v>16</v>
      </c>
      <c r="D8182" s="1">
        <v>45855</v>
      </c>
      <c r="E8182" t="s">
        <v>17</v>
      </c>
      <c r="F8182">
        <v>6400</v>
      </c>
      <c r="J8182">
        <v>87.7</v>
      </c>
      <c r="K8182">
        <v>69.900000000000006</v>
      </c>
      <c r="L8182">
        <v>0</v>
      </c>
      <c r="M8182" t="s">
        <v>18</v>
      </c>
      <c r="N8182">
        <v>0</v>
      </c>
      <c r="O8182">
        <v>0</v>
      </c>
    </row>
    <row r="8183" spans="1:15" x14ac:dyDescent="0.2">
      <c r="A8183" s="6">
        <v>45769</v>
      </c>
      <c r="B8183" t="s">
        <v>15</v>
      </c>
      <c r="C8183" t="s">
        <v>16</v>
      </c>
      <c r="D8183" s="1">
        <v>45855</v>
      </c>
      <c r="E8183" t="s">
        <v>17</v>
      </c>
      <c r="F8183">
        <v>5400</v>
      </c>
      <c r="J8183">
        <v>370.4</v>
      </c>
      <c r="K8183">
        <v>308.7</v>
      </c>
      <c r="L8183">
        <v>0</v>
      </c>
      <c r="M8183" t="s">
        <v>18</v>
      </c>
      <c r="N8183">
        <v>0</v>
      </c>
      <c r="O8183">
        <v>0</v>
      </c>
    </row>
    <row r="8184" spans="1:15" x14ac:dyDescent="0.2">
      <c r="A8184" s="6">
        <v>45769</v>
      </c>
      <c r="B8184" t="s">
        <v>15</v>
      </c>
      <c r="C8184" t="s">
        <v>16</v>
      </c>
      <c r="D8184" s="1">
        <v>45855</v>
      </c>
      <c r="E8184" t="s">
        <v>19</v>
      </c>
      <c r="F8184">
        <v>4300</v>
      </c>
      <c r="J8184">
        <v>35.799999999999997</v>
      </c>
      <c r="K8184">
        <v>53.5</v>
      </c>
      <c r="L8184">
        <v>0</v>
      </c>
      <c r="M8184" t="s">
        <v>18</v>
      </c>
      <c r="N8184">
        <v>0</v>
      </c>
      <c r="O8184">
        <v>0</v>
      </c>
    </row>
    <row r="8185" spans="1:15" x14ac:dyDescent="0.2">
      <c r="A8185" s="6">
        <v>45769</v>
      </c>
      <c r="B8185" t="s">
        <v>15</v>
      </c>
      <c r="C8185" t="s">
        <v>16</v>
      </c>
      <c r="D8185" s="1">
        <v>45855</v>
      </c>
      <c r="E8185" t="s">
        <v>19</v>
      </c>
      <c r="F8185">
        <v>5550</v>
      </c>
      <c r="J8185">
        <v>447.7</v>
      </c>
      <c r="K8185">
        <v>536.5</v>
      </c>
      <c r="L8185">
        <v>0</v>
      </c>
      <c r="M8185" t="s">
        <v>18</v>
      </c>
      <c r="N8185">
        <v>0</v>
      </c>
      <c r="O8185">
        <v>0</v>
      </c>
    </row>
    <row r="8186" spans="1:15" x14ac:dyDescent="0.2">
      <c r="A8186" s="6">
        <v>45769</v>
      </c>
      <c r="B8186" t="s">
        <v>15</v>
      </c>
      <c r="C8186" t="s">
        <v>16</v>
      </c>
      <c r="D8186" s="1">
        <v>45855</v>
      </c>
      <c r="E8186" t="s">
        <v>17</v>
      </c>
      <c r="F8186">
        <v>6150</v>
      </c>
      <c r="J8186">
        <v>130.19999999999999</v>
      </c>
      <c r="K8186">
        <v>104.7</v>
      </c>
      <c r="L8186">
        <v>0</v>
      </c>
      <c r="M8186" t="s">
        <v>18</v>
      </c>
      <c r="N8186">
        <v>0</v>
      </c>
      <c r="O8186">
        <v>0</v>
      </c>
    </row>
    <row r="8187" spans="1:15" x14ac:dyDescent="0.2">
      <c r="A8187" s="6">
        <v>45769</v>
      </c>
      <c r="B8187" t="s">
        <v>15</v>
      </c>
      <c r="C8187" t="s">
        <v>16</v>
      </c>
      <c r="D8187" s="1">
        <v>45855</v>
      </c>
      <c r="E8187" t="s">
        <v>19</v>
      </c>
      <c r="F8187">
        <v>4750</v>
      </c>
      <c r="J8187">
        <v>113.9</v>
      </c>
      <c r="K8187">
        <v>153.9</v>
      </c>
      <c r="L8187">
        <v>0</v>
      </c>
      <c r="M8187" t="s">
        <v>18</v>
      </c>
      <c r="N8187">
        <v>0</v>
      </c>
      <c r="O8187">
        <v>0</v>
      </c>
    </row>
    <row r="8188" spans="1:15" x14ac:dyDescent="0.2">
      <c r="A8188" s="6">
        <v>45769</v>
      </c>
      <c r="B8188" t="s">
        <v>15</v>
      </c>
      <c r="C8188" t="s">
        <v>16</v>
      </c>
      <c r="D8188" s="1">
        <v>45855</v>
      </c>
      <c r="E8188" t="s">
        <v>19</v>
      </c>
      <c r="F8188">
        <v>4350</v>
      </c>
      <c r="J8188">
        <v>41.4</v>
      </c>
      <c r="K8188">
        <v>61.2</v>
      </c>
      <c r="L8188">
        <v>0</v>
      </c>
      <c r="M8188" t="s">
        <v>18</v>
      </c>
      <c r="N8188">
        <v>0</v>
      </c>
      <c r="O8188">
        <v>0</v>
      </c>
    </row>
    <row r="8189" spans="1:15" x14ac:dyDescent="0.2">
      <c r="A8189" s="6">
        <v>45769</v>
      </c>
      <c r="B8189" t="s">
        <v>15</v>
      </c>
      <c r="C8189" t="s">
        <v>16</v>
      </c>
      <c r="D8189" s="1">
        <v>45855</v>
      </c>
      <c r="E8189" t="s">
        <v>17</v>
      </c>
      <c r="F8189">
        <v>4050</v>
      </c>
      <c r="J8189">
        <v>1351.2</v>
      </c>
      <c r="K8189">
        <v>1218.8</v>
      </c>
      <c r="L8189">
        <v>0</v>
      </c>
      <c r="M8189" t="s">
        <v>18</v>
      </c>
      <c r="N8189">
        <v>0</v>
      </c>
      <c r="O8189">
        <v>0</v>
      </c>
    </row>
    <row r="8190" spans="1:15" x14ac:dyDescent="0.2">
      <c r="A8190" s="6">
        <v>45769</v>
      </c>
      <c r="B8190" t="s">
        <v>15</v>
      </c>
      <c r="C8190" t="s">
        <v>16</v>
      </c>
      <c r="D8190" s="1">
        <v>45855</v>
      </c>
      <c r="E8190" t="s">
        <v>19</v>
      </c>
      <c r="F8190">
        <v>4150</v>
      </c>
      <c r="J8190">
        <v>22.3</v>
      </c>
      <c r="K8190">
        <v>34.799999999999997</v>
      </c>
      <c r="L8190">
        <v>0</v>
      </c>
      <c r="M8190" t="s">
        <v>18</v>
      </c>
      <c r="N8190">
        <v>0</v>
      </c>
      <c r="O8190">
        <v>0</v>
      </c>
    </row>
    <row r="8191" spans="1:15" x14ac:dyDescent="0.2">
      <c r="A8191" s="6">
        <v>45769</v>
      </c>
      <c r="B8191" t="s">
        <v>15</v>
      </c>
      <c r="C8191" t="s">
        <v>16</v>
      </c>
      <c r="D8191" s="1">
        <v>45855</v>
      </c>
      <c r="E8191" t="s">
        <v>19</v>
      </c>
      <c r="F8191">
        <v>5950</v>
      </c>
      <c r="J8191">
        <v>711.4</v>
      </c>
      <c r="K8191">
        <v>819.9</v>
      </c>
      <c r="L8191">
        <v>0</v>
      </c>
      <c r="M8191" t="s">
        <v>18</v>
      </c>
      <c r="N8191">
        <v>0</v>
      </c>
      <c r="O8191">
        <v>0</v>
      </c>
    </row>
    <row r="8192" spans="1:15" x14ac:dyDescent="0.2">
      <c r="A8192" s="6">
        <v>45769</v>
      </c>
      <c r="B8192" t="s">
        <v>15</v>
      </c>
      <c r="C8192" t="s">
        <v>16</v>
      </c>
      <c r="D8192" s="1">
        <v>45855</v>
      </c>
      <c r="E8192" t="s">
        <v>17</v>
      </c>
      <c r="F8192">
        <v>4700</v>
      </c>
      <c r="J8192">
        <v>797.1</v>
      </c>
      <c r="K8192">
        <v>692.3</v>
      </c>
      <c r="L8192">
        <v>0</v>
      </c>
      <c r="M8192" t="s">
        <v>18</v>
      </c>
      <c r="N8192">
        <v>0</v>
      </c>
      <c r="O8192">
        <v>0</v>
      </c>
    </row>
    <row r="8193" spans="1:15" x14ac:dyDescent="0.2">
      <c r="A8193" s="6">
        <v>45769</v>
      </c>
      <c r="B8193" t="s">
        <v>15</v>
      </c>
      <c r="C8193" t="s">
        <v>16</v>
      </c>
      <c r="D8193" s="1">
        <v>45855</v>
      </c>
      <c r="E8193" t="s">
        <v>17</v>
      </c>
      <c r="F8193">
        <v>6450</v>
      </c>
      <c r="J8193">
        <v>80.8</v>
      </c>
      <c r="K8193">
        <v>64.3</v>
      </c>
      <c r="L8193">
        <v>0</v>
      </c>
      <c r="M8193" t="s">
        <v>18</v>
      </c>
      <c r="N8193">
        <v>0</v>
      </c>
      <c r="O8193">
        <v>0</v>
      </c>
    </row>
    <row r="8194" spans="1:15" x14ac:dyDescent="0.2">
      <c r="A8194" s="6">
        <v>45769</v>
      </c>
      <c r="B8194" t="s">
        <v>15</v>
      </c>
      <c r="C8194" t="s">
        <v>16</v>
      </c>
      <c r="D8194" s="1">
        <v>45855</v>
      </c>
      <c r="E8194" t="s">
        <v>19</v>
      </c>
      <c r="F8194">
        <v>6450</v>
      </c>
      <c r="J8194">
        <v>1108.9000000000001</v>
      </c>
      <c r="K8194">
        <v>1234.0999999999999</v>
      </c>
      <c r="L8194">
        <v>0</v>
      </c>
      <c r="M8194" t="s">
        <v>18</v>
      </c>
      <c r="N8194">
        <v>0</v>
      </c>
      <c r="O8194">
        <v>0</v>
      </c>
    </row>
    <row r="8195" spans="1:15" x14ac:dyDescent="0.2">
      <c r="A8195" s="6">
        <v>45769</v>
      </c>
      <c r="B8195" t="s">
        <v>15</v>
      </c>
      <c r="C8195" t="s">
        <v>16</v>
      </c>
      <c r="D8195" s="1">
        <v>45855</v>
      </c>
      <c r="E8195" t="s">
        <v>19</v>
      </c>
      <c r="F8195">
        <v>5500</v>
      </c>
      <c r="J8195">
        <v>419</v>
      </c>
      <c r="K8195">
        <v>504.9</v>
      </c>
      <c r="L8195">
        <v>0</v>
      </c>
      <c r="M8195" t="s">
        <v>18</v>
      </c>
      <c r="N8195">
        <v>0</v>
      </c>
      <c r="O8195">
        <v>0</v>
      </c>
    </row>
    <row r="8196" spans="1:15" x14ac:dyDescent="0.2">
      <c r="A8196" s="6">
        <v>45769</v>
      </c>
      <c r="B8196" t="s">
        <v>15</v>
      </c>
      <c r="C8196" t="s">
        <v>16</v>
      </c>
      <c r="D8196" s="1">
        <v>45855</v>
      </c>
      <c r="E8196" t="s">
        <v>19</v>
      </c>
      <c r="F8196">
        <v>5750</v>
      </c>
      <c r="J8196">
        <v>572.4</v>
      </c>
      <c r="K8196">
        <v>671.7</v>
      </c>
      <c r="L8196">
        <v>0</v>
      </c>
      <c r="M8196" t="s">
        <v>18</v>
      </c>
      <c r="N8196">
        <v>0</v>
      </c>
      <c r="O8196">
        <v>0</v>
      </c>
    </row>
    <row r="8197" spans="1:15" x14ac:dyDescent="0.2">
      <c r="A8197" s="6">
        <v>45769</v>
      </c>
      <c r="B8197" t="s">
        <v>15</v>
      </c>
      <c r="C8197" t="s">
        <v>16</v>
      </c>
      <c r="D8197" s="1">
        <v>45855</v>
      </c>
      <c r="E8197" t="s">
        <v>17</v>
      </c>
      <c r="F8197">
        <v>5650</v>
      </c>
      <c r="J8197">
        <v>267.89999999999998</v>
      </c>
      <c r="K8197">
        <v>220.3</v>
      </c>
      <c r="L8197">
        <v>0</v>
      </c>
      <c r="M8197" t="s">
        <v>18</v>
      </c>
      <c r="N8197">
        <v>0</v>
      </c>
      <c r="O8197">
        <v>0</v>
      </c>
    </row>
    <row r="8198" spans="1:15" x14ac:dyDescent="0.2">
      <c r="A8198" s="6">
        <v>45769</v>
      </c>
      <c r="B8198" t="s">
        <v>15</v>
      </c>
      <c r="C8198" t="s">
        <v>16</v>
      </c>
      <c r="D8198" s="1">
        <v>45855</v>
      </c>
      <c r="E8198" t="s">
        <v>19</v>
      </c>
      <c r="F8198">
        <v>6100</v>
      </c>
      <c r="J8198">
        <v>823.9</v>
      </c>
      <c r="K8198">
        <v>938.3</v>
      </c>
      <c r="L8198">
        <v>0</v>
      </c>
      <c r="M8198" t="s">
        <v>18</v>
      </c>
      <c r="N8198">
        <v>0</v>
      </c>
      <c r="O8198">
        <v>0</v>
      </c>
    </row>
    <row r="8199" spans="1:15" x14ac:dyDescent="0.2">
      <c r="A8199" s="6">
        <v>45769</v>
      </c>
      <c r="B8199" t="s">
        <v>15</v>
      </c>
      <c r="C8199" t="s">
        <v>16</v>
      </c>
      <c r="D8199" s="1">
        <v>45855</v>
      </c>
      <c r="E8199" t="s">
        <v>17</v>
      </c>
      <c r="F8199">
        <v>4300</v>
      </c>
      <c r="J8199">
        <v>1124.9000000000001</v>
      </c>
      <c r="K8199">
        <v>1000.7</v>
      </c>
      <c r="L8199">
        <v>0</v>
      </c>
      <c r="M8199" t="s">
        <v>18</v>
      </c>
      <c r="N8199">
        <v>0</v>
      </c>
      <c r="O8199">
        <v>0</v>
      </c>
    </row>
  </sheetData>
  <pageMargins left="0.75" right="0.75" top="1" bottom="1" header="0.5" footer="0.5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6FB9A-1BE9-1549-9C91-9988F3A73C43}">
  <sheetPr codeName="Sheet2"/>
  <dimension ref="A1:O61"/>
  <sheetViews>
    <sheetView workbookViewId="0">
      <selection activeCell="G23" sqref="G23"/>
    </sheetView>
  </sheetViews>
  <sheetFormatPr baseColWidth="10" defaultRowHeight="16" x14ac:dyDescent="0.2"/>
  <cols>
    <col min="1" max="1" width="10.83203125" style="6"/>
  </cols>
  <sheetData>
    <row r="1" spans="1:15" x14ac:dyDescent="0.2">
      <c r="A1" s="5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</row>
    <row r="2" spans="1:15" x14ac:dyDescent="0.2">
      <c r="A2" s="5">
        <v>45852</v>
      </c>
      <c r="B2" s="2" t="s">
        <v>1615</v>
      </c>
      <c r="C2" s="2" t="s">
        <v>16</v>
      </c>
      <c r="D2" s="3">
        <v>45859</v>
      </c>
      <c r="E2" s="2" t="s">
        <v>1616</v>
      </c>
      <c r="F2" s="2">
        <v>0</v>
      </c>
      <c r="G2" s="2">
        <v>5895</v>
      </c>
      <c r="H2" s="2">
        <v>5993</v>
      </c>
      <c r="I2" s="2">
        <v>5758</v>
      </c>
      <c r="J2" s="2">
        <v>5771</v>
      </c>
      <c r="K2" s="2">
        <v>5881</v>
      </c>
      <c r="L2" s="2">
        <v>25989</v>
      </c>
      <c r="M2" s="2" t="s">
        <v>1617</v>
      </c>
      <c r="N2" s="2">
        <v>152797.99</v>
      </c>
      <c r="O2" s="2">
        <v>7600</v>
      </c>
    </row>
    <row r="3" spans="1:15" x14ac:dyDescent="0.2">
      <c r="A3" s="5">
        <v>45849</v>
      </c>
      <c r="B3" s="2" t="s">
        <v>1615</v>
      </c>
      <c r="C3" s="2" t="s">
        <v>16</v>
      </c>
      <c r="D3" s="3">
        <v>45859</v>
      </c>
      <c r="E3" s="2" t="s">
        <v>1616</v>
      </c>
      <c r="F3" s="2">
        <v>0</v>
      </c>
      <c r="G3" s="2">
        <v>5748</v>
      </c>
      <c r="H3" s="2">
        <v>5889</v>
      </c>
      <c r="I3" s="2">
        <v>5716</v>
      </c>
      <c r="J3" s="2">
        <v>5881</v>
      </c>
      <c r="K3" s="2">
        <v>5718</v>
      </c>
      <c r="L3" s="2">
        <v>22385</v>
      </c>
      <c r="M3" s="2" t="s">
        <v>1618</v>
      </c>
      <c r="N3" s="2">
        <v>130111.81</v>
      </c>
      <c r="O3" s="2">
        <v>9883</v>
      </c>
    </row>
    <row r="4" spans="1:15" x14ac:dyDescent="0.2">
      <c r="A4" s="5">
        <v>45848</v>
      </c>
      <c r="B4" s="2" t="s">
        <v>1615</v>
      </c>
      <c r="C4" s="2" t="s">
        <v>16</v>
      </c>
      <c r="D4" s="3">
        <v>45859</v>
      </c>
      <c r="E4" s="2" t="s">
        <v>1616</v>
      </c>
      <c r="F4" s="2">
        <v>0</v>
      </c>
      <c r="G4" s="2">
        <v>5848</v>
      </c>
      <c r="H4" s="2">
        <v>5880</v>
      </c>
      <c r="I4" s="2">
        <v>5710</v>
      </c>
      <c r="J4" s="2">
        <v>5718</v>
      </c>
      <c r="K4" s="2">
        <v>5879</v>
      </c>
      <c r="L4" s="2">
        <v>28204</v>
      </c>
      <c r="M4" s="2" t="s">
        <v>1619</v>
      </c>
      <c r="N4" s="2">
        <v>163203.72</v>
      </c>
      <c r="O4" s="2">
        <v>10451</v>
      </c>
    </row>
    <row r="5" spans="1:15" x14ac:dyDescent="0.2">
      <c r="A5" s="5">
        <v>45847</v>
      </c>
      <c r="B5" s="2" t="s">
        <v>1615</v>
      </c>
      <c r="C5" s="2" t="s">
        <v>16</v>
      </c>
      <c r="D5" s="3">
        <v>45859</v>
      </c>
      <c r="E5" s="2" t="s">
        <v>1616</v>
      </c>
      <c r="F5" s="2">
        <v>0</v>
      </c>
      <c r="G5" s="2">
        <v>5856</v>
      </c>
      <c r="H5" s="2">
        <v>5910</v>
      </c>
      <c r="I5" s="2">
        <v>5809</v>
      </c>
      <c r="J5" s="2">
        <v>5879</v>
      </c>
      <c r="K5" s="2">
        <v>5886</v>
      </c>
      <c r="L5" s="2">
        <v>22337</v>
      </c>
      <c r="M5" s="2" t="s">
        <v>1620</v>
      </c>
      <c r="N5" s="2">
        <v>130945.05</v>
      </c>
      <c r="O5" s="2">
        <v>12218</v>
      </c>
    </row>
    <row r="6" spans="1:15" x14ac:dyDescent="0.2">
      <c r="A6" s="5">
        <v>45846</v>
      </c>
      <c r="B6" s="2" t="s">
        <v>1615</v>
      </c>
      <c r="C6" s="2" t="s">
        <v>16</v>
      </c>
      <c r="D6" s="3">
        <v>45859</v>
      </c>
      <c r="E6" s="2" t="s">
        <v>1616</v>
      </c>
      <c r="F6" s="2">
        <v>0</v>
      </c>
      <c r="G6" s="2">
        <v>5806</v>
      </c>
      <c r="H6" s="2">
        <v>5914</v>
      </c>
      <c r="I6" s="2">
        <v>5776</v>
      </c>
      <c r="J6" s="2">
        <v>5886</v>
      </c>
      <c r="K6" s="2">
        <v>5796</v>
      </c>
      <c r="L6" s="2">
        <v>21613</v>
      </c>
      <c r="M6" s="2" t="s">
        <v>1621</v>
      </c>
      <c r="N6" s="2">
        <v>126242.32</v>
      </c>
      <c r="O6" s="2">
        <v>13719</v>
      </c>
    </row>
    <row r="7" spans="1:15" x14ac:dyDescent="0.2">
      <c r="A7" s="5">
        <v>45845</v>
      </c>
      <c r="B7" s="2" t="s">
        <v>1615</v>
      </c>
      <c r="C7" s="2" t="s">
        <v>16</v>
      </c>
      <c r="D7" s="3">
        <v>45859</v>
      </c>
      <c r="E7" s="2" t="s">
        <v>1616</v>
      </c>
      <c r="F7" s="2">
        <v>0</v>
      </c>
      <c r="G7" s="2">
        <v>5580</v>
      </c>
      <c r="H7" s="2">
        <v>5841</v>
      </c>
      <c r="I7" s="2">
        <v>5580</v>
      </c>
      <c r="J7" s="2">
        <v>5796</v>
      </c>
      <c r="K7" s="2">
        <v>5690</v>
      </c>
      <c r="L7" s="2">
        <v>25928</v>
      </c>
      <c r="M7" s="2" t="s">
        <v>1622</v>
      </c>
      <c r="N7" s="2">
        <v>149689.59</v>
      </c>
      <c r="O7" s="2">
        <v>12356</v>
      </c>
    </row>
    <row r="8" spans="1:15" x14ac:dyDescent="0.2">
      <c r="A8" s="5">
        <v>45842</v>
      </c>
      <c r="B8" s="2" t="s">
        <v>1615</v>
      </c>
      <c r="C8" s="2" t="s">
        <v>16</v>
      </c>
      <c r="D8" s="3">
        <v>45859</v>
      </c>
      <c r="E8" s="2" t="s">
        <v>1616</v>
      </c>
      <c r="F8" s="2">
        <v>0</v>
      </c>
      <c r="G8" s="2">
        <v>5714</v>
      </c>
      <c r="H8" s="2">
        <v>5735</v>
      </c>
      <c r="I8" s="2">
        <v>5653</v>
      </c>
      <c r="J8" s="2">
        <v>5690</v>
      </c>
      <c r="K8" s="2">
        <v>5724</v>
      </c>
      <c r="L8" s="2">
        <v>11102</v>
      </c>
      <c r="M8" s="2" t="s">
        <v>1623</v>
      </c>
      <c r="N8" s="2">
        <v>63153.79</v>
      </c>
      <c r="O8" s="2">
        <v>12134</v>
      </c>
    </row>
    <row r="9" spans="1:15" x14ac:dyDescent="0.2">
      <c r="A9" s="5">
        <v>45841</v>
      </c>
      <c r="B9" s="2" t="s">
        <v>1615</v>
      </c>
      <c r="C9" s="2" t="s">
        <v>16</v>
      </c>
      <c r="D9" s="3">
        <v>45859</v>
      </c>
      <c r="E9" s="2" t="s">
        <v>1616</v>
      </c>
      <c r="F9" s="2">
        <v>0</v>
      </c>
      <c r="G9" s="2">
        <v>5734</v>
      </c>
      <c r="H9" s="2">
        <v>5778</v>
      </c>
      <c r="I9" s="2">
        <v>5690</v>
      </c>
      <c r="J9" s="2">
        <v>5724</v>
      </c>
      <c r="K9" s="2">
        <v>5753</v>
      </c>
      <c r="L9" s="2">
        <v>22238</v>
      </c>
      <c r="M9" s="2" t="s">
        <v>1624</v>
      </c>
      <c r="N9" s="2">
        <v>127457.04</v>
      </c>
      <c r="O9" s="2">
        <v>11893</v>
      </c>
    </row>
    <row r="10" spans="1:15" x14ac:dyDescent="0.2">
      <c r="A10" s="5">
        <v>45840</v>
      </c>
      <c r="B10" s="2" t="s">
        <v>1615</v>
      </c>
      <c r="C10" s="2" t="s">
        <v>16</v>
      </c>
      <c r="D10" s="3">
        <v>45859</v>
      </c>
      <c r="E10" s="2" t="s">
        <v>1616</v>
      </c>
      <c r="F10" s="2">
        <v>0</v>
      </c>
      <c r="G10" s="2">
        <v>5613</v>
      </c>
      <c r="H10" s="2">
        <v>5787</v>
      </c>
      <c r="I10" s="2">
        <v>5603</v>
      </c>
      <c r="J10" s="2">
        <v>5753</v>
      </c>
      <c r="K10" s="2">
        <v>5615</v>
      </c>
      <c r="L10" s="2">
        <v>26342</v>
      </c>
      <c r="M10" s="2" t="s">
        <v>1625</v>
      </c>
      <c r="N10" s="2">
        <v>149494.42000000001</v>
      </c>
      <c r="O10" s="2">
        <v>12920</v>
      </c>
    </row>
    <row r="11" spans="1:15" x14ac:dyDescent="0.2">
      <c r="A11" s="5">
        <v>45839</v>
      </c>
      <c r="B11" s="2" t="s">
        <v>1615</v>
      </c>
      <c r="C11" s="2" t="s">
        <v>16</v>
      </c>
      <c r="D11" s="3">
        <v>45859</v>
      </c>
      <c r="E11" s="2" t="s">
        <v>1616</v>
      </c>
      <c r="F11" s="2">
        <v>0</v>
      </c>
      <c r="G11" s="2">
        <v>5559</v>
      </c>
      <c r="H11" s="2">
        <v>5653</v>
      </c>
      <c r="I11" s="2">
        <v>5528</v>
      </c>
      <c r="J11" s="2">
        <v>5615</v>
      </c>
      <c r="K11" s="2">
        <v>5581</v>
      </c>
      <c r="L11" s="2">
        <v>16513</v>
      </c>
      <c r="M11" s="2" t="s">
        <v>1626</v>
      </c>
      <c r="N11" s="2">
        <v>92570.880000000005</v>
      </c>
      <c r="O11" s="2">
        <v>14054</v>
      </c>
    </row>
    <row r="12" spans="1:15" x14ac:dyDescent="0.2">
      <c r="A12" s="5">
        <v>45838</v>
      </c>
      <c r="B12" s="2" t="s">
        <v>1615</v>
      </c>
      <c r="C12" s="2" t="s">
        <v>16</v>
      </c>
      <c r="D12" s="3">
        <v>45859</v>
      </c>
      <c r="E12" s="2" t="s">
        <v>1616</v>
      </c>
      <c r="F12" s="2">
        <v>0</v>
      </c>
      <c r="G12" s="2">
        <v>5589</v>
      </c>
      <c r="H12" s="2">
        <v>5644</v>
      </c>
      <c r="I12" s="2">
        <v>5553</v>
      </c>
      <c r="J12" s="2">
        <v>5581</v>
      </c>
      <c r="K12" s="2">
        <v>5601</v>
      </c>
      <c r="L12" s="2">
        <v>16800</v>
      </c>
      <c r="M12" s="2" t="s">
        <v>1627</v>
      </c>
      <c r="N12" s="2">
        <v>94002.67</v>
      </c>
      <c r="O12" s="2">
        <v>15420</v>
      </c>
    </row>
    <row r="13" spans="1:15" x14ac:dyDescent="0.2">
      <c r="A13" s="5">
        <v>45835</v>
      </c>
      <c r="B13" s="2" t="s">
        <v>1615</v>
      </c>
      <c r="C13" s="2" t="s">
        <v>16</v>
      </c>
      <c r="D13" s="3">
        <v>45859</v>
      </c>
      <c r="E13" s="2" t="s">
        <v>1616</v>
      </c>
      <c r="F13" s="2">
        <v>0</v>
      </c>
      <c r="G13" s="2">
        <v>5619</v>
      </c>
      <c r="H13" s="2">
        <v>5658</v>
      </c>
      <c r="I13" s="2">
        <v>5550</v>
      </c>
      <c r="J13" s="2">
        <v>5601</v>
      </c>
      <c r="K13" s="2">
        <v>5625</v>
      </c>
      <c r="L13" s="2">
        <v>22618</v>
      </c>
      <c r="M13" s="2" t="s">
        <v>1628</v>
      </c>
      <c r="N13" s="2">
        <v>126925.28</v>
      </c>
      <c r="O13" s="2">
        <v>14054</v>
      </c>
    </row>
    <row r="14" spans="1:15" x14ac:dyDescent="0.2">
      <c r="A14" s="5">
        <v>45834</v>
      </c>
      <c r="B14" s="2" t="s">
        <v>1615</v>
      </c>
      <c r="C14" s="2" t="s">
        <v>16</v>
      </c>
      <c r="D14" s="3">
        <v>45859</v>
      </c>
      <c r="E14" s="2" t="s">
        <v>1616</v>
      </c>
      <c r="F14" s="2">
        <v>0</v>
      </c>
      <c r="G14" s="2">
        <v>5618</v>
      </c>
      <c r="H14" s="2">
        <v>5703</v>
      </c>
      <c r="I14" s="2">
        <v>5557</v>
      </c>
      <c r="J14" s="2">
        <v>5625</v>
      </c>
      <c r="K14" s="2">
        <v>5643</v>
      </c>
      <c r="L14" s="2">
        <v>32287</v>
      </c>
      <c r="M14" s="2" t="s">
        <v>1629</v>
      </c>
      <c r="N14" s="2">
        <v>181618.27</v>
      </c>
      <c r="O14" s="2">
        <v>13443</v>
      </c>
    </row>
    <row r="15" spans="1:15" x14ac:dyDescent="0.2">
      <c r="A15" s="5">
        <v>45833</v>
      </c>
      <c r="B15" s="2" t="s">
        <v>1615</v>
      </c>
      <c r="C15" s="2" t="s">
        <v>16</v>
      </c>
      <c r="D15" s="3">
        <v>45859</v>
      </c>
      <c r="E15" s="2" t="s">
        <v>1616</v>
      </c>
      <c r="F15" s="2">
        <v>0</v>
      </c>
      <c r="G15" s="2">
        <v>5600</v>
      </c>
      <c r="H15" s="2">
        <v>5696</v>
      </c>
      <c r="I15" s="2">
        <v>5571</v>
      </c>
      <c r="J15" s="2">
        <v>5643</v>
      </c>
      <c r="K15" s="2">
        <v>5583</v>
      </c>
      <c r="L15" s="2">
        <v>28266</v>
      </c>
      <c r="M15" s="2" t="s">
        <v>1630</v>
      </c>
      <c r="N15" s="2">
        <v>159098</v>
      </c>
      <c r="O15" s="2">
        <v>12037</v>
      </c>
    </row>
    <row r="16" spans="1:15" x14ac:dyDescent="0.2">
      <c r="A16" s="5">
        <v>45832</v>
      </c>
      <c r="B16" s="2" t="s">
        <v>1615</v>
      </c>
      <c r="C16" s="2" t="s">
        <v>16</v>
      </c>
      <c r="D16" s="3">
        <v>45859</v>
      </c>
      <c r="E16" s="2" t="s">
        <v>1616</v>
      </c>
      <c r="F16" s="2">
        <v>0</v>
      </c>
      <c r="G16" s="2">
        <v>5805</v>
      </c>
      <c r="H16" s="2">
        <v>5805</v>
      </c>
      <c r="I16" s="2">
        <v>5512</v>
      </c>
      <c r="J16" s="2">
        <v>5583</v>
      </c>
      <c r="K16" s="2">
        <v>6046</v>
      </c>
      <c r="L16" s="2">
        <v>64216</v>
      </c>
      <c r="M16" s="2" t="s">
        <v>1631</v>
      </c>
      <c r="N16" s="2">
        <v>364073.29</v>
      </c>
      <c r="O16" s="2">
        <v>13356</v>
      </c>
    </row>
    <row r="17" spans="1:15" x14ac:dyDescent="0.2">
      <c r="A17" s="5">
        <v>45831</v>
      </c>
      <c r="B17" s="2" t="s">
        <v>1615</v>
      </c>
      <c r="C17" s="2" t="s">
        <v>16</v>
      </c>
      <c r="D17" s="3">
        <v>45859</v>
      </c>
      <c r="E17" s="2" t="s">
        <v>1616</v>
      </c>
      <c r="F17" s="2">
        <v>0</v>
      </c>
      <c r="G17" s="2">
        <v>6475</v>
      </c>
      <c r="H17" s="2">
        <v>6550</v>
      </c>
      <c r="I17" s="2">
        <v>6020</v>
      </c>
      <c r="J17" s="2">
        <v>6046</v>
      </c>
      <c r="K17" s="2">
        <v>6404</v>
      </c>
      <c r="L17" s="2">
        <v>74286</v>
      </c>
      <c r="M17" s="2" t="s">
        <v>1632</v>
      </c>
      <c r="N17" s="2">
        <v>470025.26</v>
      </c>
      <c r="O17" s="2">
        <v>11048</v>
      </c>
    </row>
    <row r="18" spans="1:15" x14ac:dyDescent="0.2">
      <c r="A18" s="5">
        <v>45828</v>
      </c>
      <c r="B18" s="2" t="s">
        <v>1615</v>
      </c>
      <c r="C18" s="2" t="s">
        <v>16</v>
      </c>
      <c r="D18" s="3">
        <v>45859</v>
      </c>
      <c r="E18" s="2" t="s">
        <v>1616</v>
      </c>
      <c r="F18" s="2">
        <v>0</v>
      </c>
      <c r="G18" s="2">
        <v>6380</v>
      </c>
      <c r="H18" s="2">
        <v>6465</v>
      </c>
      <c r="I18" s="2">
        <v>6281</v>
      </c>
      <c r="J18" s="2">
        <v>6404</v>
      </c>
      <c r="K18" s="2">
        <v>6449</v>
      </c>
      <c r="L18" s="2">
        <v>33278</v>
      </c>
      <c r="M18" s="2" t="s">
        <v>1633</v>
      </c>
      <c r="N18" s="2">
        <v>212005.23</v>
      </c>
      <c r="O18" s="2">
        <v>8856</v>
      </c>
    </row>
    <row r="19" spans="1:15" x14ac:dyDescent="0.2">
      <c r="A19" s="5">
        <v>45827</v>
      </c>
      <c r="B19" s="2" t="s">
        <v>1615</v>
      </c>
      <c r="C19" s="2" t="s">
        <v>16</v>
      </c>
      <c r="D19" s="3">
        <v>45859</v>
      </c>
      <c r="E19" s="2" t="s">
        <v>1616</v>
      </c>
      <c r="F19" s="2">
        <v>0</v>
      </c>
      <c r="G19" s="2">
        <v>6360</v>
      </c>
      <c r="H19" s="2">
        <v>6585</v>
      </c>
      <c r="I19" s="2">
        <v>6350</v>
      </c>
      <c r="J19" s="2">
        <v>6449</v>
      </c>
      <c r="K19" s="2">
        <v>6334</v>
      </c>
      <c r="L19" s="2">
        <v>46273</v>
      </c>
      <c r="M19" s="2" t="s">
        <v>1634</v>
      </c>
      <c r="N19" s="2">
        <v>299751.42</v>
      </c>
      <c r="O19" s="2">
        <v>8872</v>
      </c>
    </row>
    <row r="20" spans="1:15" x14ac:dyDescent="0.2">
      <c r="A20" s="5">
        <v>45826</v>
      </c>
      <c r="B20" s="2" t="s">
        <v>1615</v>
      </c>
      <c r="C20" s="2" t="s">
        <v>16</v>
      </c>
      <c r="D20" s="3">
        <v>45859</v>
      </c>
      <c r="E20" s="2" t="s">
        <v>1616</v>
      </c>
      <c r="F20" s="2">
        <v>0</v>
      </c>
      <c r="G20" s="2">
        <v>6395</v>
      </c>
      <c r="H20" s="2">
        <v>6430</v>
      </c>
      <c r="I20" s="2">
        <v>6155</v>
      </c>
      <c r="J20" s="2">
        <v>6334</v>
      </c>
      <c r="K20" s="2">
        <v>6299</v>
      </c>
      <c r="L20" s="2">
        <v>55580</v>
      </c>
      <c r="M20" s="2" t="s">
        <v>1635</v>
      </c>
      <c r="N20" s="2">
        <v>350527.45</v>
      </c>
      <c r="O20" s="2">
        <v>8816</v>
      </c>
    </row>
    <row r="21" spans="1:15" x14ac:dyDescent="0.2">
      <c r="A21" s="5">
        <v>45825</v>
      </c>
      <c r="B21" s="2" t="s">
        <v>1615</v>
      </c>
      <c r="C21" s="2" t="s">
        <v>16</v>
      </c>
      <c r="D21" s="3">
        <v>45859</v>
      </c>
      <c r="E21" s="2" t="s">
        <v>1616</v>
      </c>
      <c r="F21" s="2">
        <v>0</v>
      </c>
      <c r="G21" s="2">
        <v>6080</v>
      </c>
      <c r="H21" s="2">
        <v>6320</v>
      </c>
      <c r="I21" s="2">
        <v>6014</v>
      </c>
      <c r="J21" s="2">
        <v>6299</v>
      </c>
      <c r="K21" s="2">
        <v>6048</v>
      </c>
      <c r="L21" s="2">
        <v>36489</v>
      </c>
      <c r="M21" s="2" t="s">
        <v>1636</v>
      </c>
      <c r="N21" s="2">
        <v>225894.08</v>
      </c>
      <c r="O21" s="2">
        <v>7031</v>
      </c>
    </row>
    <row r="22" spans="1:15" x14ac:dyDescent="0.2">
      <c r="A22" s="5">
        <v>45824</v>
      </c>
      <c r="B22" s="2" t="s">
        <v>1615</v>
      </c>
      <c r="C22" s="2" t="s">
        <v>16</v>
      </c>
      <c r="D22" s="3">
        <v>45859</v>
      </c>
      <c r="E22" s="2" t="s">
        <v>1616</v>
      </c>
      <c r="F22" s="2">
        <v>0</v>
      </c>
      <c r="G22" s="2">
        <v>6215</v>
      </c>
      <c r="H22" s="2">
        <v>6238</v>
      </c>
      <c r="I22" s="2">
        <v>5843</v>
      </c>
      <c r="J22" s="2">
        <v>6048</v>
      </c>
      <c r="K22" s="2">
        <v>6161</v>
      </c>
      <c r="L22" s="2">
        <v>25810</v>
      </c>
      <c r="M22" s="2" t="s">
        <v>1637</v>
      </c>
      <c r="N22" s="2">
        <v>156020.12</v>
      </c>
      <c r="O22" s="2">
        <v>7210</v>
      </c>
    </row>
    <row r="23" spans="1:15" x14ac:dyDescent="0.2">
      <c r="A23" s="5">
        <v>45821</v>
      </c>
      <c r="B23" s="2" t="s">
        <v>1615</v>
      </c>
      <c r="C23" s="2" t="s">
        <v>16</v>
      </c>
      <c r="D23" s="3">
        <v>45859</v>
      </c>
      <c r="E23" s="2" t="s">
        <v>1616</v>
      </c>
      <c r="F23" s="2">
        <v>0</v>
      </c>
      <c r="G23" s="2">
        <v>5962</v>
      </c>
      <c r="H23" s="2">
        <v>6311</v>
      </c>
      <c r="I23" s="2">
        <v>5962</v>
      </c>
      <c r="J23" s="2">
        <v>6161</v>
      </c>
      <c r="K23" s="2">
        <v>5733</v>
      </c>
      <c r="L23" s="2">
        <v>31435</v>
      </c>
      <c r="M23" s="2" t="s">
        <v>1638</v>
      </c>
      <c r="N23" s="2">
        <v>193703.43</v>
      </c>
      <c r="O23" s="2">
        <v>5623</v>
      </c>
    </row>
    <row r="24" spans="1:15" x14ac:dyDescent="0.2">
      <c r="A24" s="5">
        <v>45820</v>
      </c>
      <c r="B24" s="2" t="s">
        <v>1615</v>
      </c>
      <c r="C24" s="2" t="s">
        <v>16</v>
      </c>
      <c r="D24" s="3">
        <v>45859</v>
      </c>
      <c r="E24" s="2" t="s">
        <v>1616</v>
      </c>
      <c r="F24" s="2">
        <v>0</v>
      </c>
      <c r="G24" s="2">
        <v>5690</v>
      </c>
      <c r="H24" s="2">
        <v>5749</v>
      </c>
      <c r="I24" s="2">
        <v>5621</v>
      </c>
      <c r="J24" s="2">
        <v>5733</v>
      </c>
      <c r="K24" s="2">
        <v>5642</v>
      </c>
      <c r="L24" s="2">
        <v>8408</v>
      </c>
      <c r="M24" s="2" t="s">
        <v>1639</v>
      </c>
      <c r="N24" s="2">
        <v>47879.16</v>
      </c>
      <c r="O24" s="2">
        <v>6782</v>
      </c>
    </row>
    <row r="25" spans="1:15" x14ac:dyDescent="0.2">
      <c r="A25" s="5">
        <v>45819</v>
      </c>
      <c r="B25" s="2" t="s">
        <v>1615</v>
      </c>
      <c r="C25" s="2" t="s">
        <v>16</v>
      </c>
      <c r="D25" s="3">
        <v>45859</v>
      </c>
      <c r="E25" s="2" t="s">
        <v>1616</v>
      </c>
      <c r="F25" s="2">
        <v>0</v>
      </c>
      <c r="G25" s="2">
        <v>5501</v>
      </c>
      <c r="H25" s="2">
        <v>5664</v>
      </c>
      <c r="I25" s="2">
        <v>5463</v>
      </c>
      <c r="J25" s="2">
        <v>5642</v>
      </c>
      <c r="K25" s="2">
        <v>5511</v>
      </c>
      <c r="L25" s="2">
        <v>6847</v>
      </c>
      <c r="M25" s="2" t="s">
        <v>1640</v>
      </c>
      <c r="N25" s="2">
        <v>38112.53</v>
      </c>
      <c r="O25" s="2">
        <v>6662</v>
      </c>
    </row>
    <row r="26" spans="1:15" x14ac:dyDescent="0.2">
      <c r="A26" s="5">
        <v>45818</v>
      </c>
      <c r="B26" s="2" t="s">
        <v>1615</v>
      </c>
      <c r="C26" s="2" t="s">
        <v>16</v>
      </c>
      <c r="D26" s="3">
        <v>45859</v>
      </c>
      <c r="E26" s="2" t="s">
        <v>1616</v>
      </c>
      <c r="F26" s="2">
        <v>0</v>
      </c>
      <c r="G26" s="2">
        <v>5541</v>
      </c>
      <c r="H26" s="2">
        <v>5590</v>
      </c>
      <c r="I26" s="2">
        <v>5506</v>
      </c>
      <c r="J26" s="2">
        <v>5511</v>
      </c>
      <c r="K26" s="2">
        <v>5500</v>
      </c>
      <c r="L26" s="2">
        <v>3224</v>
      </c>
      <c r="M26" s="2" t="s">
        <v>1641</v>
      </c>
      <c r="N26" s="2">
        <v>17879.63</v>
      </c>
      <c r="O26" s="2">
        <v>6316</v>
      </c>
    </row>
    <row r="27" spans="1:15" x14ac:dyDescent="0.2">
      <c r="A27" s="5">
        <v>45817</v>
      </c>
      <c r="B27" s="2" t="s">
        <v>1615</v>
      </c>
      <c r="C27" s="2" t="s">
        <v>16</v>
      </c>
      <c r="D27" s="3">
        <v>45859</v>
      </c>
      <c r="E27" s="2" t="s">
        <v>1616</v>
      </c>
      <c r="F27" s="2">
        <v>0</v>
      </c>
      <c r="G27" s="2">
        <v>5461</v>
      </c>
      <c r="H27" s="2">
        <v>5524</v>
      </c>
      <c r="I27" s="2">
        <v>5437</v>
      </c>
      <c r="J27" s="2">
        <v>5500</v>
      </c>
      <c r="K27" s="2">
        <v>5470</v>
      </c>
      <c r="L27" s="2">
        <v>2502</v>
      </c>
      <c r="M27" s="2" t="s">
        <v>369</v>
      </c>
      <c r="N27" s="2">
        <v>13729.68</v>
      </c>
      <c r="O27" s="2">
        <v>6311</v>
      </c>
    </row>
    <row r="28" spans="1:15" x14ac:dyDescent="0.2">
      <c r="A28" s="5">
        <v>45814</v>
      </c>
      <c r="B28" s="2" t="s">
        <v>1615</v>
      </c>
      <c r="C28" s="2" t="s">
        <v>16</v>
      </c>
      <c r="D28" s="3">
        <v>45859</v>
      </c>
      <c r="E28" s="2" t="s">
        <v>1616</v>
      </c>
      <c r="F28" s="2">
        <v>0</v>
      </c>
      <c r="G28" s="2">
        <v>5379</v>
      </c>
      <c r="H28" s="2">
        <v>5491</v>
      </c>
      <c r="I28" s="2">
        <v>5339</v>
      </c>
      <c r="J28" s="2">
        <v>5470</v>
      </c>
      <c r="K28" s="2">
        <v>5388</v>
      </c>
      <c r="L28" s="2">
        <v>3010</v>
      </c>
      <c r="M28" s="2" t="s">
        <v>1642</v>
      </c>
      <c r="N28" s="2">
        <v>16353.84</v>
      </c>
      <c r="O28" s="2">
        <v>6200</v>
      </c>
    </row>
    <row r="29" spans="1:15" x14ac:dyDescent="0.2">
      <c r="A29" s="5">
        <v>45813</v>
      </c>
      <c r="B29" s="2" t="s">
        <v>1615</v>
      </c>
      <c r="C29" s="2" t="s">
        <v>16</v>
      </c>
      <c r="D29" s="3">
        <v>45859</v>
      </c>
      <c r="E29" s="2" t="s">
        <v>1616</v>
      </c>
      <c r="F29" s="2">
        <v>0</v>
      </c>
      <c r="G29" s="2">
        <v>5333</v>
      </c>
      <c r="H29" s="2">
        <v>5428</v>
      </c>
      <c r="I29" s="2">
        <v>5315</v>
      </c>
      <c r="J29" s="2">
        <v>5388</v>
      </c>
      <c r="K29" s="2">
        <v>5327</v>
      </c>
      <c r="L29" s="2">
        <v>1994</v>
      </c>
      <c r="M29" s="2" t="s">
        <v>1643</v>
      </c>
      <c r="N29" s="2">
        <v>10738.74</v>
      </c>
      <c r="O29" s="2">
        <v>6317</v>
      </c>
    </row>
    <row r="30" spans="1:15" x14ac:dyDescent="0.2">
      <c r="A30" s="5">
        <v>45812</v>
      </c>
      <c r="B30" s="2" t="s">
        <v>1615</v>
      </c>
      <c r="C30" s="2" t="s">
        <v>16</v>
      </c>
      <c r="D30" s="3">
        <v>45859</v>
      </c>
      <c r="E30" s="2" t="s">
        <v>1616</v>
      </c>
      <c r="F30" s="2">
        <v>0</v>
      </c>
      <c r="G30" s="2">
        <v>5370</v>
      </c>
      <c r="H30" s="2">
        <v>5427</v>
      </c>
      <c r="I30" s="2">
        <v>5298</v>
      </c>
      <c r="J30" s="2">
        <v>5327</v>
      </c>
      <c r="K30" s="2">
        <v>5395</v>
      </c>
      <c r="L30" s="2">
        <v>3139</v>
      </c>
      <c r="M30" s="2" t="s">
        <v>1644</v>
      </c>
      <c r="N30" s="2">
        <v>16861.560000000001</v>
      </c>
      <c r="O30" s="2">
        <v>6394</v>
      </c>
    </row>
    <row r="31" spans="1:15" x14ac:dyDescent="0.2">
      <c r="A31" s="5">
        <v>45811</v>
      </c>
      <c r="B31" s="2" t="s">
        <v>1615</v>
      </c>
      <c r="C31" s="2" t="s">
        <v>16</v>
      </c>
      <c r="D31" s="3">
        <v>45859</v>
      </c>
      <c r="E31" s="2" t="s">
        <v>1616</v>
      </c>
      <c r="F31" s="2">
        <v>0</v>
      </c>
      <c r="G31" s="2">
        <v>5319</v>
      </c>
      <c r="H31" s="2">
        <v>5412</v>
      </c>
      <c r="I31" s="2">
        <v>5287</v>
      </c>
      <c r="J31" s="2">
        <v>5395</v>
      </c>
      <c r="K31" s="2">
        <v>5314</v>
      </c>
      <c r="L31" s="2">
        <v>2441</v>
      </c>
      <c r="M31" s="2" t="s">
        <v>1645</v>
      </c>
      <c r="N31" s="2">
        <v>13090.47</v>
      </c>
      <c r="O31" s="2">
        <v>5992</v>
      </c>
    </row>
    <row r="32" spans="1:15" x14ac:dyDescent="0.2">
      <c r="A32" s="5">
        <v>45810</v>
      </c>
      <c r="B32" s="2" t="s">
        <v>1615</v>
      </c>
      <c r="C32" s="2" t="s">
        <v>16</v>
      </c>
      <c r="D32" s="3">
        <v>45859</v>
      </c>
      <c r="E32" s="2" t="s">
        <v>1616</v>
      </c>
      <c r="F32" s="2">
        <v>0</v>
      </c>
      <c r="G32" s="2">
        <v>5230</v>
      </c>
      <c r="H32" s="2">
        <v>5386</v>
      </c>
      <c r="I32" s="2">
        <v>5230</v>
      </c>
      <c r="J32" s="2">
        <v>5314</v>
      </c>
      <c r="K32" s="2">
        <v>5146</v>
      </c>
      <c r="L32" s="2">
        <v>5740</v>
      </c>
      <c r="M32" s="2" t="s">
        <v>1646</v>
      </c>
      <c r="N32" s="2">
        <v>30483</v>
      </c>
      <c r="O32" s="2">
        <v>6128</v>
      </c>
    </row>
    <row r="33" spans="1:15" x14ac:dyDescent="0.2">
      <c r="A33" s="5">
        <v>45807</v>
      </c>
      <c r="B33" s="2" t="s">
        <v>1615</v>
      </c>
      <c r="C33" s="2" t="s">
        <v>16</v>
      </c>
      <c r="D33" s="3">
        <v>45859</v>
      </c>
      <c r="E33" s="2" t="s">
        <v>1616</v>
      </c>
      <c r="F33" s="2">
        <v>0</v>
      </c>
      <c r="G33" s="2">
        <v>5154</v>
      </c>
      <c r="H33" s="2">
        <v>5250</v>
      </c>
      <c r="I33" s="2">
        <v>5100</v>
      </c>
      <c r="J33" s="2">
        <v>5146</v>
      </c>
      <c r="K33" s="2">
        <v>5175</v>
      </c>
      <c r="L33" s="2">
        <v>5789</v>
      </c>
      <c r="M33" s="2" t="s">
        <v>1647</v>
      </c>
      <c r="N33" s="2">
        <v>29908.75</v>
      </c>
      <c r="O33" s="2">
        <v>5374</v>
      </c>
    </row>
    <row r="34" spans="1:15" x14ac:dyDescent="0.2">
      <c r="A34" s="5">
        <v>45806</v>
      </c>
      <c r="B34" s="2" t="s">
        <v>1615</v>
      </c>
      <c r="C34" s="2" t="s">
        <v>16</v>
      </c>
      <c r="D34" s="3">
        <v>45859</v>
      </c>
      <c r="E34" s="2" t="s">
        <v>1616</v>
      </c>
      <c r="F34" s="2">
        <v>0</v>
      </c>
      <c r="G34" s="2">
        <v>5332</v>
      </c>
      <c r="H34" s="2">
        <v>5359</v>
      </c>
      <c r="I34" s="2">
        <v>5158</v>
      </c>
      <c r="J34" s="2">
        <v>5175</v>
      </c>
      <c r="K34" s="2">
        <v>5274</v>
      </c>
      <c r="L34" s="2">
        <v>3404</v>
      </c>
      <c r="M34" s="2" t="s">
        <v>1648</v>
      </c>
      <c r="N34" s="2">
        <v>17858.150000000001</v>
      </c>
      <c r="O34" s="2">
        <v>3531</v>
      </c>
    </row>
    <row r="35" spans="1:15" x14ac:dyDescent="0.2">
      <c r="A35" s="5">
        <v>45805</v>
      </c>
      <c r="B35" s="2" t="s">
        <v>1615</v>
      </c>
      <c r="C35" s="2" t="s">
        <v>16</v>
      </c>
      <c r="D35" s="3">
        <v>45859</v>
      </c>
      <c r="E35" s="2" t="s">
        <v>1616</v>
      </c>
      <c r="F35" s="2">
        <v>0</v>
      </c>
      <c r="G35" s="2">
        <v>5203</v>
      </c>
      <c r="H35" s="2">
        <v>5317</v>
      </c>
      <c r="I35" s="2">
        <v>5189</v>
      </c>
      <c r="J35" s="2">
        <v>5274</v>
      </c>
      <c r="K35" s="2">
        <v>5167</v>
      </c>
      <c r="L35" s="2">
        <v>1489</v>
      </c>
      <c r="M35" s="2" t="s">
        <v>134</v>
      </c>
      <c r="N35" s="2">
        <v>7813.4</v>
      </c>
      <c r="O35" s="2">
        <v>2419</v>
      </c>
    </row>
    <row r="36" spans="1:15" x14ac:dyDescent="0.2">
      <c r="A36" s="5">
        <v>45804</v>
      </c>
      <c r="B36" s="2" t="s">
        <v>1615</v>
      </c>
      <c r="C36" s="2" t="s">
        <v>16</v>
      </c>
      <c r="D36" s="3">
        <v>45859</v>
      </c>
      <c r="E36" s="2" t="s">
        <v>1616</v>
      </c>
      <c r="F36" s="2">
        <v>0</v>
      </c>
      <c r="G36" s="2">
        <v>5205</v>
      </c>
      <c r="H36" s="2">
        <v>5264</v>
      </c>
      <c r="I36" s="2">
        <v>5139</v>
      </c>
      <c r="J36" s="2">
        <v>5167</v>
      </c>
      <c r="K36" s="2">
        <v>5221</v>
      </c>
      <c r="L36" s="2">
        <v>1550</v>
      </c>
      <c r="M36" s="2" t="s">
        <v>1649</v>
      </c>
      <c r="N36" s="2">
        <v>8055.25</v>
      </c>
      <c r="O36" s="2">
        <v>2796</v>
      </c>
    </row>
    <row r="37" spans="1:15" x14ac:dyDescent="0.2">
      <c r="A37" s="5">
        <v>45803</v>
      </c>
      <c r="B37" s="2" t="s">
        <v>1615</v>
      </c>
      <c r="C37" s="2" t="s">
        <v>16</v>
      </c>
      <c r="D37" s="3">
        <v>45859</v>
      </c>
      <c r="E37" s="2" t="s">
        <v>1616</v>
      </c>
      <c r="F37" s="2">
        <v>0</v>
      </c>
      <c r="G37" s="2">
        <v>5240</v>
      </c>
      <c r="H37" s="2">
        <v>5257</v>
      </c>
      <c r="I37" s="2">
        <v>5202</v>
      </c>
      <c r="J37" s="2">
        <v>5221</v>
      </c>
      <c r="K37" s="2">
        <v>5228</v>
      </c>
      <c r="L37" s="2">
        <v>585</v>
      </c>
      <c r="M37" s="2" t="s">
        <v>1420</v>
      </c>
      <c r="N37" s="2">
        <v>3057.12</v>
      </c>
      <c r="O37" s="2">
        <v>2537</v>
      </c>
    </row>
    <row r="38" spans="1:15" x14ac:dyDescent="0.2">
      <c r="A38" s="5">
        <v>45800</v>
      </c>
      <c r="B38" s="2" t="s">
        <v>1615</v>
      </c>
      <c r="C38" s="2" t="s">
        <v>16</v>
      </c>
      <c r="D38" s="3">
        <v>45859</v>
      </c>
      <c r="E38" s="2" t="s">
        <v>1616</v>
      </c>
      <c r="F38" s="2">
        <v>0</v>
      </c>
      <c r="G38" s="2">
        <v>5225</v>
      </c>
      <c r="H38" s="2">
        <v>5258</v>
      </c>
      <c r="I38" s="2">
        <v>5127</v>
      </c>
      <c r="J38" s="2">
        <v>5228</v>
      </c>
      <c r="K38" s="2">
        <v>5241</v>
      </c>
      <c r="L38" s="2">
        <v>3032</v>
      </c>
      <c r="M38" s="2" t="s">
        <v>1650</v>
      </c>
      <c r="N38" s="2">
        <v>15741.02</v>
      </c>
      <c r="O38" s="2">
        <v>2472</v>
      </c>
    </row>
    <row r="39" spans="1:15" x14ac:dyDescent="0.2">
      <c r="A39" s="5">
        <v>45799</v>
      </c>
      <c r="B39" s="2" t="s">
        <v>1615</v>
      </c>
      <c r="C39" s="2" t="s">
        <v>16</v>
      </c>
      <c r="D39" s="3">
        <v>45859</v>
      </c>
      <c r="E39" s="2" t="s">
        <v>1616</v>
      </c>
      <c r="F39" s="2">
        <v>0</v>
      </c>
      <c r="G39" s="2">
        <v>5277</v>
      </c>
      <c r="H39" s="2">
        <v>5287</v>
      </c>
      <c r="I39" s="2">
        <v>5181</v>
      </c>
      <c r="J39" s="2">
        <v>5241</v>
      </c>
      <c r="K39" s="2">
        <v>5275</v>
      </c>
      <c r="L39" s="2">
        <v>1539</v>
      </c>
      <c r="M39" s="2" t="s">
        <v>1359</v>
      </c>
      <c r="N39" s="2">
        <v>8037.67</v>
      </c>
      <c r="O39" s="2">
        <v>1869</v>
      </c>
    </row>
    <row r="40" spans="1:15" x14ac:dyDescent="0.2">
      <c r="A40" s="5">
        <v>45798</v>
      </c>
      <c r="B40" s="2" t="s">
        <v>1615</v>
      </c>
      <c r="C40" s="2" t="s">
        <v>16</v>
      </c>
      <c r="D40" s="3">
        <v>45859</v>
      </c>
      <c r="E40" s="2" t="s">
        <v>1616</v>
      </c>
      <c r="F40" s="2">
        <v>0</v>
      </c>
      <c r="G40" s="2">
        <v>5377</v>
      </c>
      <c r="H40" s="2">
        <v>5402</v>
      </c>
      <c r="I40" s="2">
        <v>5249</v>
      </c>
      <c r="J40" s="2">
        <v>5275</v>
      </c>
      <c r="K40" s="2">
        <v>5310</v>
      </c>
      <c r="L40" s="2">
        <v>2094</v>
      </c>
      <c r="M40" s="2" t="s">
        <v>1651</v>
      </c>
      <c r="N40" s="2">
        <v>11191.95</v>
      </c>
      <c r="O40" s="2">
        <v>1650</v>
      </c>
    </row>
    <row r="41" spans="1:15" x14ac:dyDescent="0.2">
      <c r="A41" s="5">
        <v>45797</v>
      </c>
      <c r="B41" s="2" t="s">
        <v>1615</v>
      </c>
      <c r="C41" s="2" t="s">
        <v>16</v>
      </c>
      <c r="D41" s="3">
        <v>45859</v>
      </c>
      <c r="E41" s="2" t="s">
        <v>1616</v>
      </c>
      <c r="F41" s="2">
        <v>0</v>
      </c>
      <c r="G41" s="2">
        <v>5305</v>
      </c>
      <c r="H41" s="2">
        <v>5345</v>
      </c>
      <c r="I41" s="2">
        <v>5254</v>
      </c>
      <c r="J41" s="2">
        <v>5310</v>
      </c>
      <c r="K41" s="2">
        <v>5277</v>
      </c>
      <c r="L41" s="2">
        <v>1463</v>
      </c>
      <c r="M41" s="2" t="s">
        <v>1652</v>
      </c>
      <c r="N41" s="2">
        <v>7749.34</v>
      </c>
      <c r="O41" s="2">
        <v>1174</v>
      </c>
    </row>
    <row r="42" spans="1:15" x14ac:dyDescent="0.2">
      <c r="A42" s="5">
        <v>45796</v>
      </c>
      <c r="B42" s="2" t="s">
        <v>1615</v>
      </c>
      <c r="C42" s="2" t="s">
        <v>16</v>
      </c>
      <c r="D42" s="3">
        <v>45859</v>
      </c>
      <c r="E42" s="2" t="s">
        <v>1616</v>
      </c>
      <c r="F42" s="2">
        <v>0</v>
      </c>
      <c r="G42" s="2">
        <v>5258</v>
      </c>
      <c r="H42" s="2">
        <v>5346</v>
      </c>
      <c r="I42" s="2">
        <v>5213</v>
      </c>
      <c r="J42" s="2">
        <v>5277</v>
      </c>
      <c r="K42" s="2">
        <v>5304</v>
      </c>
      <c r="L42" s="2">
        <v>1473</v>
      </c>
      <c r="M42" s="2" t="s">
        <v>1199</v>
      </c>
      <c r="N42" s="2">
        <v>7768.71</v>
      </c>
      <c r="O42" s="2">
        <v>1086</v>
      </c>
    </row>
    <row r="43" spans="1:15" x14ac:dyDescent="0.2">
      <c r="A43" s="5">
        <v>45793</v>
      </c>
      <c r="B43" s="2" t="s">
        <v>1615</v>
      </c>
      <c r="C43" s="2" t="s">
        <v>16</v>
      </c>
      <c r="D43" s="3">
        <v>45859</v>
      </c>
      <c r="E43" s="2" t="s">
        <v>1616</v>
      </c>
      <c r="F43" s="2">
        <v>0</v>
      </c>
      <c r="G43" s="2">
        <v>5207</v>
      </c>
      <c r="H43" s="2">
        <v>5314</v>
      </c>
      <c r="I43" s="2">
        <v>5201</v>
      </c>
      <c r="J43" s="2">
        <v>5304</v>
      </c>
      <c r="K43" s="2">
        <v>5231</v>
      </c>
      <c r="L43" s="2">
        <v>551</v>
      </c>
      <c r="M43" s="2" t="s">
        <v>1653</v>
      </c>
      <c r="N43" s="2">
        <v>2898.58</v>
      </c>
      <c r="O43" s="2">
        <v>1016</v>
      </c>
    </row>
    <row r="44" spans="1:15" x14ac:dyDescent="0.2">
      <c r="A44" s="5">
        <v>45792</v>
      </c>
      <c r="B44" s="2" t="s">
        <v>1615</v>
      </c>
      <c r="C44" s="2" t="s">
        <v>16</v>
      </c>
      <c r="D44" s="3">
        <v>45859</v>
      </c>
      <c r="E44" s="2" t="s">
        <v>1616</v>
      </c>
      <c r="F44" s="2">
        <v>0</v>
      </c>
      <c r="G44" s="2">
        <v>5295</v>
      </c>
      <c r="H44" s="2">
        <v>5295</v>
      </c>
      <c r="I44" s="2">
        <v>5148</v>
      </c>
      <c r="J44" s="2">
        <v>5231</v>
      </c>
      <c r="K44" s="2">
        <v>5372</v>
      </c>
      <c r="L44" s="2">
        <v>1249</v>
      </c>
      <c r="M44" s="2" t="s">
        <v>923</v>
      </c>
      <c r="N44" s="2">
        <v>6506.48</v>
      </c>
      <c r="O44" s="2">
        <v>1050</v>
      </c>
    </row>
    <row r="45" spans="1:15" x14ac:dyDescent="0.2">
      <c r="A45" s="5">
        <v>45791</v>
      </c>
      <c r="B45" s="2" t="s">
        <v>1615</v>
      </c>
      <c r="C45" s="2" t="s">
        <v>16</v>
      </c>
      <c r="D45" s="3">
        <v>45859</v>
      </c>
      <c r="E45" s="2" t="s">
        <v>1616</v>
      </c>
      <c r="F45" s="2">
        <v>0</v>
      </c>
      <c r="G45" s="2">
        <v>5352</v>
      </c>
      <c r="H45" s="2">
        <v>5392</v>
      </c>
      <c r="I45" s="2">
        <v>5315</v>
      </c>
      <c r="J45" s="2">
        <v>5372</v>
      </c>
      <c r="K45" s="2">
        <v>5387</v>
      </c>
      <c r="L45" s="2">
        <v>516</v>
      </c>
      <c r="M45" s="2" t="s">
        <v>1654</v>
      </c>
      <c r="N45" s="2">
        <v>2762.87</v>
      </c>
      <c r="O45" s="2">
        <v>765</v>
      </c>
    </row>
    <row r="46" spans="1:15" x14ac:dyDescent="0.2">
      <c r="A46" s="5">
        <v>45790</v>
      </c>
      <c r="B46" s="2" t="s">
        <v>1615</v>
      </c>
      <c r="C46" s="2" t="s">
        <v>16</v>
      </c>
      <c r="D46" s="3">
        <v>45859</v>
      </c>
      <c r="E46" s="2" t="s">
        <v>1616</v>
      </c>
      <c r="F46" s="2">
        <v>0</v>
      </c>
      <c r="G46" s="2">
        <v>5219</v>
      </c>
      <c r="H46" s="2">
        <v>5400</v>
      </c>
      <c r="I46" s="2">
        <v>5201</v>
      </c>
      <c r="J46" s="2">
        <v>5387</v>
      </c>
      <c r="K46" s="2">
        <v>5263</v>
      </c>
      <c r="L46" s="2">
        <v>595</v>
      </c>
      <c r="M46" s="2" t="s">
        <v>679</v>
      </c>
      <c r="N46" s="2">
        <v>3168.75</v>
      </c>
      <c r="O46" s="2">
        <v>705</v>
      </c>
    </row>
    <row r="47" spans="1:15" x14ac:dyDescent="0.2">
      <c r="A47" s="5">
        <v>45789</v>
      </c>
      <c r="B47" s="2" t="s">
        <v>1615</v>
      </c>
      <c r="C47" s="2" t="s">
        <v>16</v>
      </c>
      <c r="D47" s="3">
        <v>45859</v>
      </c>
      <c r="E47" s="2" t="s">
        <v>1616</v>
      </c>
      <c r="F47" s="2">
        <v>0</v>
      </c>
      <c r="G47" s="2">
        <v>5164</v>
      </c>
      <c r="H47" s="2">
        <v>5350</v>
      </c>
      <c r="I47" s="2">
        <v>5159</v>
      </c>
      <c r="J47" s="2">
        <v>5263</v>
      </c>
      <c r="K47" s="2">
        <v>5175</v>
      </c>
      <c r="L47" s="2">
        <v>591</v>
      </c>
      <c r="M47" s="2" t="s">
        <v>1655</v>
      </c>
      <c r="N47" s="2">
        <v>3123.24</v>
      </c>
      <c r="O47" s="2">
        <v>756</v>
      </c>
    </row>
    <row r="48" spans="1:15" x14ac:dyDescent="0.2">
      <c r="A48" s="5">
        <v>45786</v>
      </c>
      <c r="B48" s="2" t="s">
        <v>1615</v>
      </c>
      <c r="C48" s="2" t="s">
        <v>16</v>
      </c>
      <c r="D48" s="3">
        <v>45859</v>
      </c>
      <c r="E48" s="2" t="s">
        <v>1616</v>
      </c>
      <c r="F48" s="2">
        <v>0</v>
      </c>
      <c r="G48" s="2">
        <v>5156</v>
      </c>
      <c r="H48" s="2">
        <v>5210</v>
      </c>
      <c r="I48" s="2">
        <v>5122</v>
      </c>
      <c r="J48" s="2">
        <v>5175</v>
      </c>
      <c r="K48" s="2">
        <v>5132</v>
      </c>
      <c r="L48" s="2">
        <v>285</v>
      </c>
      <c r="M48" s="2" t="s">
        <v>1309</v>
      </c>
      <c r="N48" s="2">
        <v>1471.22</v>
      </c>
      <c r="O48" s="2">
        <v>712</v>
      </c>
    </row>
    <row r="49" spans="1:15" x14ac:dyDescent="0.2">
      <c r="A49" s="5">
        <v>45785</v>
      </c>
      <c r="B49" s="2" t="s">
        <v>1615</v>
      </c>
      <c r="C49" s="2" t="s">
        <v>16</v>
      </c>
      <c r="D49" s="3">
        <v>45859</v>
      </c>
      <c r="E49" s="2" t="s">
        <v>1616</v>
      </c>
      <c r="F49" s="2">
        <v>0</v>
      </c>
      <c r="G49" s="2">
        <v>4960</v>
      </c>
      <c r="H49" s="2">
        <v>5140</v>
      </c>
      <c r="I49" s="2">
        <v>4938</v>
      </c>
      <c r="J49" s="2">
        <v>5132</v>
      </c>
      <c r="K49" s="2">
        <v>4948</v>
      </c>
      <c r="L49" s="2">
        <v>614</v>
      </c>
      <c r="M49" s="2" t="s">
        <v>1656</v>
      </c>
      <c r="N49" s="2">
        <v>3106.36</v>
      </c>
      <c r="O49" s="2">
        <v>740</v>
      </c>
    </row>
    <row r="50" spans="1:15" x14ac:dyDescent="0.2">
      <c r="A50" s="5">
        <v>45784</v>
      </c>
      <c r="B50" s="2" t="s">
        <v>1615</v>
      </c>
      <c r="C50" s="2" t="s">
        <v>16</v>
      </c>
      <c r="D50" s="3">
        <v>45859</v>
      </c>
      <c r="E50" s="2" t="s">
        <v>1616</v>
      </c>
      <c r="F50" s="2">
        <v>0</v>
      </c>
      <c r="G50" s="2">
        <v>5016</v>
      </c>
      <c r="H50" s="2">
        <v>5070</v>
      </c>
      <c r="I50" s="2">
        <v>4932</v>
      </c>
      <c r="J50" s="2">
        <v>4948</v>
      </c>
      <c r="K50" s="2">
        <v>4989</v>
      </c>
      <c r="L50" s="2">
        <v>304</v>
      </c>
      <c r="M50" s="2" t="s">
        <v>1404</v>
      </c>
      <c r="N50" s="2">
        <v>1522.39</v>
      </c>
      <c r="O50" s="2">
        <v>913</v>
      </c>
    </row>
    <row r="51" spans="1:15" x14ac:dyDescent="0.2">
      <c r="A51" s="5">
        <v>45783</v>
      </c>
      <c r="B51" s="2" t="s">
        <v>1615</v>
      </c>
      <c r="C51" s="2" t="s">
        <v>16</v>
      </c>
      <c r="D51" s="3">
        <v>45859</v>
      </c>
      <c r="E51" s="2" t="s">
        <v>1616</v>
      </c>
      <c r="F51" s="2">
        <v>0</v>
      </c>
      <c r="G51" s="2">
        <v>4892</v>
      </c>
      <c r="H51" s="2">
        <v>5025</v>
      </c>
      <c r="I51" s="2">
        <v>4885</v>
      </c>
      <c r="J51" s="2">
        <v>4989</v>
      </c>
      <c r="K51" s="2">
        <v>4832</v>
      </c>
      <c r="L51" s="2">
        <v>474</v>
      </c>
      <c r="M51" s="2" t="s">
        <v>1657</v>
      </c>
      <c r="N51" s="2">
        <v>2351.13</v>
      </c>
      <c r="O51" s="2">
        <v>882</v>
      </c>
    </row>
    <row r="52" spans="1:15" x14ac:dyDescent="0.2">
      <c r="A52" s="5">
        <v>45782</v>
      </c>
      <c r="B52" s="2" t="s">
        <v>1615</v>
      </c>
      <c r="C52" s="2" t="s">
        <v>16</v>
      </c>
      <c r="D52" s="3">
        <v>45859</v>
      </c>
      <c r="E52" s="2" t="s">
        <v>1616</v>
      </c>
      <c r="F52" s="2">
        <v>0</v>
      </c>
      <c r="G52" s="2">
        <v>4800</v>
      </c>
      <c r="H52" s="2">
        <v>4878</v>
      </c>
      <c r="I52" s="2">
        <v>4733</v>
      </c>
      <c r="J52" s="2">
        <v>4832</v>
      </c>
      <c r="K52" s="2">
        <v>4922</v>
      </c>
      <c r="L52" s="2">
        <v>536</v>
      </c>
      <c r="M52" s="2" t="s">
        <v>1658</v>
      </c>
      <c r="N52" s="2">
        <v>2566.5300000000002</v>
      </c>
      <c r="O52" s="2">
        <v>1008</v>
      </c>
    </row>
    <row r="53" spans="1:15" x14ac:dyDescent="0.2">
      <c r="A53" s="5">
        <v>45779</v>
      </c>
      <c r="B53" s="2" t="s">
        <v>1615</v>
      </c>
      <c r="C53" s="2" t="s">
        <v>16</v>
      </c>
      <c r="D53" s="3">
        <v>45859</v>
      </c>
      <c r="E53" s="2" t="s">
        <v>1616</v>
      </c>
      <c r="F53" s="2">
        <v>0</v>
      </c>
      <c r="G53" s="2">
        <v>5000</v>
      </c>
      <c r="H53" s="2">
        <v>5003</v>
      </c>
      <c r="I53" s="2">
        <v>4866</v>
      </c>
      <c r="J53" s="2">
        <v>4922</v>
      </c>
      <c r="K53" s="2">
        <v>4948</v>
      </c>
      <c r="L53" s="2">
        <v>256</v>
      </c>
      <c r="M53" s="2" t="s">
        <v>90</v>
      </c>
      <c r="N53" s="2">
        <v>1266.67</v>
      </c>
      <c r="O53" s="2">
        <v>790</v>
      </c>
    </row>
    <row r="54" spans="1:15" x14ac:dyDescent="0.2">
      <c r="A54" s="5">
        <v>45778</v>
      </c>
      <c r="B54" s="2" t="s">
        <v>1615</v>
      </c>
      <c r="C54" s="2" t="s">
        <v>16</v>
      </c>
      <c r="D54" s="3">
        <v>45859</v>
      </c>
      <c r="E54" s="2" t="s">
        <v>1616</v>
      </c>
      <c r="F54" s="2">
        <v>0</v>
      </c>
      <c r="G54" s="2">
        <v>4811</v>
      </c>
      <c r="H54" s="2">
        <v>4969</v>
      </c>
      <c r="I54" s="2">
        <v>4810</v>
      </c>
      <c r="J54" s="2">
        <v>4948</v>
      </c>
      <c r="K54" s="2">
        <v>4929</v>
      </c>
      <c r="L54" s="2">
        <v>397</v>
      </c>
      <c r="M54" s="2" t="s">
        <v>197</v>
      </c>
      <c r="N54" s="2">
        <v>1929.48</v>
      </c>
      <c r="O54" s="2">
        <v>765</v>
      </c>
    </row>
    <row r="55" spans="1:15" x14ac:dyDescent="0.2">
      <c r="A55" s="5">
        <v>45777</v>
      </c>
      <c r="B55" s="2" t="s">
        <v>1615</v>
      </c>
      <c r="C55" s="2" t="s">
        <v>16</v>
      </c>
      <c r="D55" s="3">
        <v>45859</v>
      </c>
      <c r="E55" s="2" t="s">
        <v>1616</v>
      </c>
      <c r="F55" s="2">
        <v>0</v>
      </c>
      <c r="G55" s="2">
        <v>5084</v>
      </c>
      <c r="H55" s="2">
        <v>5085</v>
      </c>
      <c r="I55" s="2">
        <v>4900</v>
      </c>
      <c r="J55" s="2">
        <v>4929</v>
      </c>
      <c r="K55" s="2">
        <v>5141</v>
      </c>
      <c r="L55" s="2">
        <v>503</v>
      </c>
      <c r="M55" s="2" t="s">
        <v>1659</v>
      </c>
      <c r="N55" s="2">
        <v>2509.0300000000002</v>
      </c>
      <c r="O55" s="2">
        <v>605</v>
      </c>
    </row>
    <row r="56" spans="1:15" x14ac:dyDescent="0.2">
      <c r="A56" s="5">
        <v>45776</v>
      </c>
      <c r="B56" s="2" t="s">
        <v>1615</v>
      </c>
      <c r="C56" s="2" t="s">
        <v>16</v>
      </c>
      <c r="D56" s="3">
        <v>45859</v>
      </c>
      <c r="E56" s="2" t="s">
        <v>1616</v>
      </c>
      <c r="F56" s="2">
        <v>0</v>
      </c>
      <c r="G56" s="2">
        <v>5229</v>
      </c>
      <c r="H56" s="2">
        <v>5229</v>
      </c>
      <c r="I56" s="2">
        <v>5120</v>
      </c>
      <c r="J56" s="2">
        <v>5141</v>
      </c>
      <c r="K56" s="2">
        <v>5228</v>
      </c>
      <c r="L56" s="2">
        <v>172</v>
      </c>
      <c r="M56" s="2" t="s">
        <v>429</v>
      </c>
      <c r="N56" s="2">
        <v>888.74</v>
      </c>
      <c r="O56" s="2">
        <v>319</v>
      </c>
    </row>
    <row r="57" spans="1:15" x14ac:dyDescent="0.2">
      <c r="A57" s="5">
        <v>45775</v>
      </c>
      <c r="B57" s="2" t="s">
        <v>1615</v>
      </c>
      <c r="C57" s="2" t="s">
        <v>16</v>
      </c>
      <c r="D57" s="3">
        <v>45859</v>
      </c>
      <c r="E57" s="2" t="s">
        <v>1616</v>
      </c>
      <c r="F57" s="2">
        <v>0</v>
      </c>
      <c r="G57" s="2">
        <v>5350</v>
      </c>
      <c r="H57" s="2">
        <v>5355</v>
      </c>
      <c r="I57" s="2">
        <v>5215</v>
      </c>
      <c r="J57" s="2">
        <v>5228</v>
      </c>
      <c r="K57" s="2">
        <v>5326</v>
      </c>
      <c r="L57" s="2">
        <v>140</v>
      </c>
      <c r="M57" s="2" t="s">
        <v>312</v>
      </c>
      <c r="N57" s="2">
        <v>735.98</v>
      </c>
      <c r="O57" s="2">
        <v>195</v>
      </c>
    </row>
    <row r="58" spans="1:15" x14ac:dyDescent="0.2">
      <c r="A58" s="5">
        <v>45772</v>
      </c>
      <c r="B58" s="2" t="s">
        <v>1615</v>
      </c>
      <c r="C58" s="2" t="s">
        <v>16</v>
      </c>
      <c r="D58" s="3">
        <v>45859</v>
      </c>
      <c r="E58" s="2" t="s">
        <v>1616</v>
      </c>
      <c r="F58" s="2">
        <v>0</v>
      </c>
      <c r="G58" s="2">
        <v>5320</v>
      </c>
      <c r="H58" s="2">
        <v>5360</v>
      </c>
      <c r="I58" s="2">
        <v>5252</v>
      </c>
      <c r="J58" s="2">
        <v>5326</v>
      </c>
      <c r="K58" s="2">
        <v>5300</v>
      </c>
      <c r="L58" s="2">
        <v>50</v>
      </c>
      <c r="M58" s="2" t="s">
        <v>171</v>
      </c>
      <c r="N58" s="2">
        <v>265.67</v>
      </c>
      <c r="O58" s="2">
        <v>121</v>
      </c>
    </row>
    <row r="59" spans="1:15" x14ac:dyDescent="0.2">
      <c r="A59" s="5">
        <v>45771</v>
      </c>
      <c r="B59" s="2" t="s">
        <v>1615</v>
      </c>
      <c r="C59" s="2" t="s">
        <v>16</v>
      </c>
      <c r="D59" s="3">
        <v>45859</v>
      </c>
      <c r="E59" s="2" t="s">
        <v>1616</v>
      </c>
      <c r="F59" s="2">
        <v>0</v>
      </c>
      <c r="G59" s="2">
        <v>5275</v>
      </c>
      <c r="H59" s="2">
        <v>5356</v>
      </c>
      <c r="I59" s="2">
        <v>5268</v>
      </c>
      <c r="J59" s="2">
        <v>5300</v>
      </c>
      <c r="K59" s="2">
        <v>5260</v>
      </c>
      <c r="L59" s="2">
        <v>65</v>
      </c>
      <c r="M59" s="2" t="s">
        <v>77</v>
      </c>
      <c r="N59" s="2">
        <v>344.5</v>
      </c>
      <c r="O59" s="2">
        <v>121</v>
      </c>
    </row>
    <row r="60" spans="1:15" x14ac:dyDescent="0.2">
      <c r="A60" s="5">
        <v>45770</v>
      </c>
      <c r="B60" s="2" t="s">
        <v>1615</v>
      </c>
      <c r="C60" s="2" t="s">
        <v>16</v>
      </c>
      <c r="D60" s="3">
        <v>45859</v>
      </c>
      <c r="E60" s="2" t="s">
        <v>1616</v>
      </c>
      <c r="F60" s="2">
        <v>0</v>
      </c>
      <c r="G60" s="2">
        <v>5423</v>
      </c>
      <c r="H60" s="2">
        <v>5481</v>
      </c>
      <c r="I60" s="2">
        <v>5245</v>
      </c>
      <c r="J60" s="2">
        <v>5260</v>
      </c>
      <c r="K60" s="2">
        <v>5406</v>
      </c>
      <c r="L60" s="2">
        <v>135</v>
      </c>
      <c r="M60" s="2" t="s">
        <v>1041</v>
      </c>
      <c r="N60" s="2">
        <v>719.55</v>
      </c>
      <c r="O60" s="2">
        <v>114</v>
      </c>
    </row>
    <row r="61" spans="1:15" x14ac:dyDescent="0.2">
      <c r="A61" s="5">
        <v>45769</v>
      </c>
      <c r="B61" s="2" t="s">
        <v>1615</v>
      </c>
      <c r="C61" s="2" t="s">
        <v>16</v>
      </c>
      <c r="D61" s="3">
        <v>45859</v>
      </c>
      <c r="E61" s="2" t="s">
        <v>1616</v>
      </c>
      <c r="F61" s="2">
        <v>0</v>
      </c>
      <c r="G61" s="2">
        <v>5320</v>
      </c>
      <c r="H61" s="2">
        <v>5429</v>
      </c>
      <c r="I61" s="2">
        <v>5305</v>
      </c>
      <c r="J61" s="2">
        <v>5406</v>
      </c>
      <c r="K61" s="2">
        <v>5262</v>
      </c>
      <c r="L61" s="2">
        <v>44</v>
      </c>
      <c r="M61" s="2" t="s">
        <v>94</v>
      </c>
      <c r="N61" s="2">
        <v>235.91</v>
      </c>
      <c r="O61" s="2">
        <v>57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E9FA-F26B-6746-B202-51E5F5B4C996}">
  <sheetPr codeName="Sheet3"/>
  <dimension ref="A1:Q90"/>
  <sheetViews>
    <sheetView tabSelected="1" zoomScale="160" zoomScaleNormal="160" workbookViewId="0">
      <pane xSplit="13" ySplit="6" topLeftCell="O7" activePane="bottomRight" state="frozen"/>
      <selection pane="topRight" activeCell="N1" sqref="N1"/>
      <selection pane="bottomLeft" activeCell="A7" sqref="A7"/>
      <selection pane="bottomRight" activeCell="C21" sqref="C21"/>
    </sheetView>
  </sheetViews>
  <sheetFormatPr baseColWidth="10" defaultRowHeight="16" x14ac:dyDescent="0.2"/>
  <cols>
    <col min="1" max="2" width="11.1640625" bestFit="1" customWidth="1"/>
    <col min="3" max="3" width="15.6640625" bestFit="1" customWidth="1"/>
    <col min="4" max="4" width="11.6640625" bestFit="1" customWidth="1"/>
    <col min="5" max="5" width="12.6640625" bestFit="1" customWidth="1"/>
    <col min="6" max="7" width="11.1640625" bestFit="1" customWidth="1"/>
    <col min="8" max="8" width="11.1640625" style="9" bestFit="1" customWidth="1"/>
    <col min="9" max="13" width="11.1640625" bestFit="1" customWidth="1"/>
  </cols>
  <sheetData>
    <row r="1" spans="1:17" x14ac:dyDescent="0.2">
      <c r="A1" t="s">
        <v>0</v>
      </c>
      <c r="B1" s="6">
        <v>45852</v>
      </c>
      <c r="D1" s="4" t="s">
        <v>1663</v>
      </c>
      <c r="E1" s="6">
        <f>Options!D2</f>
        <v>45855</v>
      </c>
      <c r="G1" t="s">
        <v>1664</v>
      </c>
      <c r="H1" s="9">
        <f>E1-B1</f>
        <v>3</v>
      </c>
      <c r="J1" t="s">
        <v>1673</v>
      </c>
      <c r="P1" t="s">
        <v>1674</v>
      </c>
      <c r="Q1" t="s">
        <v>1675</v>
      </c>
    </row>
    <row r="2" spans="1:17" x14ac:dyDescent="0.2">
      <c r="B2" s="2" t="s">
        <v>6</v>
      </c>
      <c r="C2" s="2" t="s">
        <v>7</v>
      </c>
      <c r="D2" s="2" t="s">
        <v>8</v>
      </c>
      <c r="E2" s="2" t="s">
        <v>9</v>
      </c>
      <c r="F2" s="2" t="s">
        <v>1661</v>
      </c>
      <c r="G2" t="s">
        <v>1662</v>
      </c>
      <c r="J2">
        <v>50</v>
      </c>
      <c r="P2">
        <v>5.5E-2</v>
      </c>
      <c r="Q2">
        <f>(E1 - B1) / 365</f>
        <v>8.21917808219178E-3</v>
      </c>
    </row>
    <row r="3" spans="1:17" ht="17" x14ac:dyDescent="0.25">
      <c r="A3" t="s">
        <v>1660</v>
      </c>
      <c r="B3">
        <f>_xlfn.XLOOKUP(B1, Futures!A:A, Futures!G:G, "N/A")</f>
        <v>5895</v>
      </c>
      <c r="C3">
        <f>_xlfn.XLOOKUP(B1, Futures!A:A, Futures!H:H, "N/A")</f>
        <v>5993</v>
      </c>
      <c r="D3" s="7">
        <f>_xlfn.XLOOKUP(B1, Futures!A:A, Futures!I:I, "N/A")</f>
        <v>5758</v>
      </c>
      <c r="E3" s="25">
        <f>_xlfn.XLOOKUP(B1, Futures!A:A, Futures!J:J, "N/A")</f>
        <v>5771</v>
      </c>
      <c r="F3">
        <f>B3-E3</f>
        <v>124</v>
      </c>
      <c r="G3" s="8">
        <f>F3/B3</f>
        <v>2.1034775233248516E-2</v>
      </c>
    </row>
    <row r="4" spans="1:17" x14ac:dyDescent="0.2">
      <c r="G4" s="26">
        <f>E3</f>
        <v>5771</v>
      </c>
    </row>
    <row r="5" spans="1:17" x14ac:dyDescent="0.2">
      <c r="A5" s="22" t="s">
        <v>1668</v>
      </c>
      <c r="B5" s="22"/>
      <c r="C5" s="22"/>
      <c r="D5" s="22"/>
      <c r="E5" s="22"/>
      <c r="F5" s="22"/>
      <c r="G5" s="23" t="s">
        <v>1669</v>
      </c>
      <c r="H5" s="21" t="s">
        <v>1670</v>
      </c>
      <c r="I5" s="21"/>
      <c r="J5" s="21"/>
      <c r="K5" s="21"/>
      <c r="L5" s="21"/>
      <c r="M5" s="21"/>
      <c r="N5" s="11"/>
      <c r="O5" s="11"/>
    </row>
    <row r="6" spans="1:17" x14ac:dyDescent="0.2">
      <c r="A6" s="13" t="s">
        <v>1672</v>
      </c>
      <c r="B6" s="13" t="s">
        <v>1671</v>
      </c>
      <c r="C6" s="13" t="s">
        <v>1665</v>
      </c>
      <c r="D6" s="13" t="s">
        <v>1666</v>
      </c>
      <c r="E6" s="13" t="s">
        <v>1667</v>
      </c>
      <c r="F6" s="13" t="s">
        <v>9</v>
      </c>
      <c r="G6" s="24"/>
      <c r="H6" s="14" t="str">
        <f>F6</f>
        <v>Close</v>
      </c>
      <c r="I6" s="14" t="s">
        <v>1667</v>
      </c>
      <c r="J6" s="14" t="s">
        <v>1666</v>
      </c>
      <c r="K6" s="14" t="s">
        <v>1665</v>
      </c>
      <c r="L6" s="14" t="s">
        <v>1671</v>
      </c>
      <c r="M6" s="14" t="s">
        <v>1672</v>
      </c>
      <c r="N6" s="12"/>
      <c r="O6" s="12"/>
    </row>
    <row r="7" spans="1:17" x14ac:dyDescent="0.2">
      <c r="A7" s="17" cm="1">
        <f t="array" ref="A7">-((INDEX($3:$3, 1, $P$8) * C7 * EXP(0) * _xlfn.NORM.S.DIST((LN(INDEX($3:$3, 1, $P$8)/G7)+($P$2+0.5*C7^2)*$Q$2)/(C7*SQRT($Q$2)), FALSE))/(2*SQRT($Q$2)) - $P$2 * G7 * EXP(-$P$2*$Q$2) * _xlfn.NORM.S.DIST((LN(INDEX($3:$3, 1, $P$8)/G7)+($P$2-0.5*C7^2)*$Q$2)/(C7*SQRT($Q$2)), TRUE))/252</f>
        <v>-4.8180329122206826</v>
      </c>
      <c r="B7" s="17" cm="1">
        <f t="array" ref="B7">_xlfn.NORM.S.DIST((LN(INDEX($3:$3, 1, $P$8)/G7)+($P$2+0.5*C7^2)*$Q$2)/(C7*SQRT($Q$2)), TRUE)</f>
        <v>0.94989217700050499</v>
      </c>
      <c r="C7" s="17">
        <v>0.4546</v>
      </c>
      <c r="D7" s="17" cm="1">
        <f t="array" ref="D7">IFERROR(
  INDEX(
    _xlfn._xlws.FILTER(Options!O:O,
      (Options!A:A=B$1) *
      (Options!D:D=$E$1) *
      (Options!E:E="CE") *
      (Options!F:F=G7)
    ), 1
  ), ""
)</f>
        <v>531</v>
      </c>
      <c r="E7" s="17" cm="1">
        <f t="array" ref="E7">IFERROR(
  INDEX(
    _xlfn._xlws.FILTER(Options!L:L,
      (Options!A:A=B$1) *
      (Options!D:D=$E$1) *
      (Options!E:E="CE") *
      (Options!F:F=G7)
    ), 1
  ), ""
)</f>
        <v>222</v>
      </c>
      <c r="F7" s="17" cm="1">
        <f t="array" ref="F7">IFERROR(
  INDEX(
    _xlfn._xlws.FILTER(Options!A:O,
      (Options!A:A=B$1) *
      (Options!D:D=$E$1) *
      (Options!E:E="CE") *
      (Options!F:F=G7)
    ), 1, $P$9
  ), ""
)</f>
        <v>378.5</v>
      </c>
      <c r="G7" s="19" cm="1">
        <f t="array" ref="G7:G22">_xlfn.LET(
  _xlpm.step, $J$2,
  _xlpm.colNum, $P$8,
  _xlpm.spot, INDEX(3:3, 1, _xlpm.colNum),
  _xlpm.downATM, ROUNDDOWN(_xlpm.spot / _xlpm.step, 0) * _xlpm.step,
  _xlpm.upATM, ROUNDUP(_xlpm.spot / _xlpm.step, 0) * _xlpm.step,
  _xlpm.downStrikes, _xlfn.SEQUENCE(8, 1, _xlpm.downATM, -_xlpm.step),
  _xlpm.upStrikes, _xlfn.SEQUENCE(8, 1, _xlpm.upATM, _xlpm.step),
  _xlpm.allStrikes, _xlfn.VSTACK(_xlpm.downStrikes, _xlpm.upStrikes),
  _xlfn._xlws.SORT(_xlpm.allStrikes)
)</f>
        <v>5400</v>
      </c>
      <c r="H7" s="15" cm="1">
        <f t="array" ref="H7">IFERROR(
  INDEX(
    _xlfn._xlws.FILTER(Options!A:O,
      (Options!A:A=B$1) *
      (Options!D:D=$E$1) *
      (Options!E:E="PE") *
      (Options!F:F=G7)
    ), 1, $P$9
  ), ""
)</f>
        <v>11.2</v>
      </c>
      <c r="I7" s="15">
        <f>INDEX(3:3, 1, P8) * _xlfn.NORM.S.DIST((LN(INDEX(3:3, 1, P8)/G7)+(P2+0.5*C7^2)*Q2)/(C7*SQRT(Q2)), TRUE) - G7 * EXP(-P2*Q2) * _xlfn.NORM.S.DIST((LN(INDEX(3:3, 1, P8)/G7)+(P2-0.5*C7^2)*Q2)/(C7*SQRT(Q2)), TRUE)</f>
        <v>378.50021431629193</v>
      </c>
      <c r="J7" s="16">
        <f>G7 * EXP(-P2*Q2) * _xlfn.NORM.S.DIST(-(LN(INDEX(3:3, 1, P8)/G7)+(P2-0.5*K7^2)*Q2)/(K7*SQRT(Q2)), TRUE) - INDEX(3:3, 1, P8) * _xlfn.NORM.S.DIST(-(LN(INDEX(3:3, 1, P8)/G7)+(P2+0.5*K7^2)*Q2)/(K7*SQRT(Q2)), TRUE)</f>
        <v>11.203548343463694</v>
      </c>
      <c r="K7" s="15">
        <v>0.54530000000000001</v>
      </c>
      <c r="L7" s="15" cm="1">
        <f t="array" ref="L7">_xlfn.NORM.S.DIST((LN(INDEX($3:$3, 1, $P$8)/G7)+($P$2+0.5*K7^2)*$Q$2)/(K7*SQRT($Q$2)), TRUE) - 1</f>
        <v>-8.4112059320541999E-2</v>
      </c>
      <c r="M7" s="15" cm="1">
        <f t="array" ref="M7">-((INDEX($3:$3, 1, $P$8) * K7 * EXP(0) * _xlfn.NORM.S.DIST((LN(INDEX($3:$3, 1, $P$8)/G7)+($P$2+0.5*K7^2)*$Q$2)/(K7*SQRT($Q$2)), FALSE))/(2*SQRT($Q$2)) + $P$2 * G7 * EXP(-$P$2*$Q$2) * _xlfn.NORM.S.DIST(-(LN(INDEX($3:$3, 1, $P$8)/G7)+($P$2-0.5*K7^2)*$Q$2)/(K7*SQRT($Q$2)), TRUE))/252</f>
        <v>-10.741364639833964</v>
      </c>
      <c r="N7" s="12"/>
      <c r="O7" s="12"/>
    </row>
    <row r="8" spans="1:17" x14ac:dyDescent="0.2">
      <c r="A8" s="17" cm="1">
        <f t="array" ref="A8">-((INDEX($3:$3, 1, $P$8) * C8 * EXP(0) * _xlfn.NORM.S.DIST((LN(INDEX($3:$3, 1, $P$8)/G8)+($P$2+0.5*C8^2)*$Q$2)/(C8*SQRT($Q$2)), FALSE))/(2*SQRT($Q$2)) - $P$2 * G8 * EXP(-$P$2*$Q$2) * _xlfn.NORM.S.DIST((LN(INDEX($3:$3, 1, $P$8)/G8)+($P$2-0.5*C8^2)*$Q$2)/(C8*SQRT($Q$2)), TRUE))/252</f>
        <v>-10.87017674404296</v>
      </c>
      <c r="B8" s="17" cm="1">
        <f t="array" ref="B8">_xlfn.NORM.S.DIST((LN(INDEX($3:$3, 1, $P$8)/G8)+($P$2+0.5*C8^2)*$Q$2)/(C8*SQRT($Q$2)), TRUE)</f>
        <v>0.89467027186258341</v>
      </c>
      <c r="C8" s="17">
        <v>0.51800000000000002</v>
      </c>
      <c r="D8" s="17" cm="1">
        <f t="array" ref="D8">IFERROR(
  INDEX(
    _xlfn._xlws.FILTER(Options!O:O,
      (Options!A:A=B$1) *
      (Options!D:D=$E$1) *
      (Options!E:E="CE") *
      (Options!F:F=G8)
    ), 1
  ), ""
)</f>
        <v>51</v>
      </c>
      <c r="E8" s="17" cm="1">
        <f t="array" ref="E8">IFERROR(
  INDEX(
    _xlfn._xlws.FILTER(Options!L:L,
      (Options!A:A=B$1) *
      (Options!D:D=$E$1) *
      (Options!E:E="CE") *
      (Options!F:F=G8)
    ), 1
  ), ""
)</f>
        <v>40</v>
      </c>
      <c r="F8" s="17" cm="1">
        <f t="array" ref="F8">IFERROR(
  INDEX(
    _xlfn._xlws.FILTER(Options!A:O,
      (Options!A:A=B$1) *
      (Options!D:D=$E$1) *
      (Options!E:E="CE") *
      (Options!F:F=G8)
    ), 1, $P$9
  ), ""
)</f>
        <v>337.4</v>
      </c>
      <c r="G8" s="19">
        <v>5450</v>
      </c>
      <c r="H8" s="15" cm="1">
        <f t="array" ref="H8">IFERROR(
  INDEX(
    _xlfn._xlws.FILTER(Options!A:O,
      (Options!A:A=B$1) *
      (Options!D:D=$E$1) *
      (Options!E:E="PE") *
      (Options!F:F=G8)
    ), 1, $P$9
  ), ""
)</f>
        <v>15</v>
      </c>
      <c r="I8" s="15">
        <f>INDEX(3:3, 1, P8) * _xlfn.NORM.S.DIST((LN(INDEX(3:3, 1, P8)/G8)+(P2+0.5*C8^2)*Q2)/(C8*SQRT(Q2)), TRUE) - G8 * EXP(-P2*Q2) * _xlfn.NORM.S.DIST((LN(INDEX(3:3, 1, P8)/G8)+(P2-0.5*C8^2)*Q2)/(C8*SQRT(Q2)), TRUE)</f>
        <v>337.39649516927784</v>
      </c>
      <c r="J8" s="16">
        <f>G8 * EXP(-P2*Q2) * _xlfn.NORM.S.DIST(-(LN(INDEX(3:3, 1, P8)/G8)+(P2-0.5*K8^2)*Q2)/(K8*SQRT(Q2)), TRUE) - INDEX(3:3, 1, P8) * _xlfn.NORM.S.DIST(-(LN(INDEX(3:3, 1, P8)/G8)+(P2+0.5*K8^2)*Q2)/(K8*SQRT(Q2)), TRUE)</f>
        <v>14.998843559859893</v>
      </c>
      <c r="K8" s="15">
        <v>0.52900000000000003</v>
      </c>
      <c r="L8" s="15" cm="1">
        <f t="array" ref="L8">_xlfn.NORM.S.DIST((LN(INDEX($3:$3, 1, $P$8)/G8)+($P$2+0.5*K8^2)*$Q$2)/(K8*SQRT($Q$2)), TRUE) - 1</f>
        <v>-0.10996540182080772</v>
      </c>
      <c r="M8" s="15" cm="1">
        <f t="array" ref="M8">-((INDEX($3:$3, 1, $P$8) * K8 * EXP(0) * _xlfn.NORM.S.DIST((LN(INDEX($3:$3, 1, $P$8)/G8)+($P$2+0.5*K8^2)*$Q$2)/(K8*SQRT($Q$2)), FALSE))/(2*SQRT($Q$2)) + $P$2 * G8 * EXP(-$P$2*$Q$2) * _xlfn.NORM.S.DIST(-(LN(INDEX($3:$3, 1, $P$8)/G8)+($P$2-0.5*K8^2)*$Q$2)/(K8*SQRT($Q$2)), TRUE))/252</f>
        <v>-12.702194794087443</v>
      </c>
      <c r="P8" cm="1">
        <f t="array" ref="P8">_xlfn.SWITCH(F6, "Open", 2, "High", 3, "Low", 4, "Close",5 )</f>
        <v>5</v>
      </c>
    </row>
    <row r="9" spans="1:17" x14ac:dyDescent="0.2">
      <c r="A9" s="17" cm="1">
        <f t="array" ref="A9">-((INDEX($3:$3, 1, $P$8) * C9 * EXP(0) * _xlfn.NORM.S.DIST((LN(INDEX($3:$3, 1, $P$8)/G9)+($P$2+0.5*C9^2)*$Q$2)/(C9*SQRT($Q$2)), FALSE))/(2*SQRT($Q$2)) - $P$2 * G9 * EXP(-$P$2*$Q$2) * _xlfn.NORM.S.DIST((LN(INDEX($3:$3, 1, $P$8)/G9)+($P$2-0.5*C9^2)*$Q$2)/(C9*SQRT($Q$2)), TRUE))/252</f>
        <v>-12.337505569089084</v>
      </c>
      <c r="B9" s="17" cm="1">
        <f t="array" ref="B9">_xlfn.NORM.S.DIST((LN(INDEX($3:$3, 1, $P$8)/G9)+($P$2+0.5*C9^2)*$Q$2)/(C9*SQRT($Q$2)), TRUE)</f>
        <v>0.86675341105593451</v>
      </c>
      <c r="C9" s="17">
        <v>0.49180000000000001</v>
      </c>
      <c r="D9" s="17" cm="1">
        <f t="array" ref="D9">IFERROR(
  INDEX(
    _xlfn._xlws.FILTER(Options!O:O,
      (Options!A:A=B$1) *
      (Options!D:D=$E$1) *
      (Options!E:E="CE") *
      (Options!F:F=G9)
    ), 1
  ), ""
)</f>
        <v>956</v>
      </c>
      <c r="E9" s="17" cm="1">
        <f t="array" ref="E9">IFERROR(
  INDEX(
    _xlfn._xlws.FILTER(Options!L:L,
      (Options!A:A=B$1) *
      (Options!D:D=$E$1) *
      (Options!E:E="CE") *
      (Options!F:F=G9)
    ), 1
  ), ""
)</f>
        <v>3550</v>
      </c>
      <c r="F9" s="17" cm="1">
        <f t="array" ref="F9">IFERROR(
  INDEX(
    _xlfn._xlws.FILTER(Options!A:O,
      (Options!A:A=B$1) *
      (Options!D:D=$E$1) *
      (Options!E:E="CE") *
      (Options!F:F=G9)
    ), 1, $P$9
  ), ""
)</f>
        <v>291.10000000000002</v>
      </c>
      <c r="G9" s="19">
        <v>5500</v>
      </c>
      <c r="H9" s="15" cm="1">
        <f t="array" ref="H9">IFERROR(
  INDEX(
    _xlfn._xlws.FILTER(Options!A:O,
      (Options!A:A=B$1) *
      (Options!D:D=$E$1) *
      (Options!E:E="PE") *
      (Options!F:F=G9)
    ), 1, $P$9
  ), ""
)</f>
        <v>17.600000000000001</v>
      </c>
      <c r="I9" s="15">
        <f>INDEX(3:3, 1, P8) * _xlfn.NORM.S.DIST((LN(INDEX(3:3, 1, P8)/G9)+(P2+0.5*C9^2)*Q2)/(C9*SQRT(Q2)), TRUE) - G9 * EXP(-P2*Q2) * _xlfn.NORM.S.DIST((LN(INDEX(3:3, 1, P8)/G9)+(P2-0.5*C9^2)*Q2)/(C9*SQRT(Q2)), TRUE)</f>
        <v>291.09802363893687</v>
      </c>
      <c r="J9" s="16">
        <f>G9 * EXP(-P2*Q2) * _xlfn.NORM.S.DIST(-(LN(INDEX(3:3, 1, P8)/G9)+(P2-0.5*K9^2)*Q2)/(K9*SQRT(Q2)), TRUE) - INDEX(3:3, 1, P8) * _xlfn.NORM.S.DIST(-(LN(INDEX(3:3, 1, P8)/G9)+(P2+0.5*K9^2)*Q2)/(K9*SQRT(Q2)), TRUE)</f>
        <v>17.601027502602051</v>
      </c>
      <c r="K9" s="15">
        <v>0.49170000000000003</v>
      </c>
      <c r="L9" s="15" cm="1">
        <f t="array" ref="L9">_xlfn.NORM.S.DIST((LN(INDEX($3:$3, 1, $P$8)/G9)+($P$2+0.5*K9^2)*$Q$2)/(K9*SQRT($Q$2)), TRUE) - 1</f>
        <v>-0.13319991844261292</v>
      </c>
      <c r="M9" s="15" cm="1">
        <f t="array" ref="M9">-((INDEX($3:$3, 1, $P$8) * K9 * EXP(0) * _xlfn.NORM.S.DIST((LN(INDEX($3:$3, 1, $P$8)/G9)+($P$2+0.5*K9^2)*$Q$2)/(K9*SQRT($Q$2)), FALSE))/(2*SQRT($Q$2)) + $P$2 * G9 * EXP(-$P$2*$Q$2) * _xlfn.NORM.S.DIST(-(LN(INDEX($3:$3, 1, $P$8)/G9)+($P$2-0.5*K9^2)*$Q$2)/(K9*SQRT($Q$2)), TRUE))/252</f>
        <v>-13.531360050049374</v>
      </c>
      <c r="P9" cm="1">
        <f t="array" ref="P9">_xlfn.SWITCH(F6, "Open", 7, "High", 8, "Low", 9, "Close", 10)</f>
        <v>10</v>
      </c>
    </row>
    <row r="10" spans="1:17" x14ac:dyDescent="0.2">
      <c r="A10" s="17" cm="1">
        <f t="array" ref="A10">-((INDEX($3:$3, 1, $P$8) * C10 * EXP(0) * _xlfn.NORM.S.DIST((LN(INDEX($3:$3, 1, $P$8)/G10)+($P$2+0.5*C10^2)*$Q$2)/(C10*SQRT($Q$2)), FALSE))/(2*SQRT($Q$2)) - $P$2 * G10 * EXP(-$P$2*$Q$2) * _xlfn.NORM.S.DIST((LN(INDEX($3:$3, 1, $P$8)/G10)+($P$2-0.5*C10^2)*$Q$2)/(C10*SQRT($Q$2)), TRUE))/252</f>
        <v>-13.360260959170535</v>
      </c>
      <c r="B10" s="17" cm="1">
        <f t="array" ref="B10">_xlfn.NORM.S.DIST((LN(INDEX($3:$3, 1, $P$8)/G10)+($P$2+0.5*C10^2)*$Q$2)/(C10*SQRT($Q$2)), TRUE)</f>
        <v>0.83473973056145712</v>
      </c>
      <c r="C10" s="17">
        <v>0.45750000000000002</v>
      </c>
      <c r="D10" s="17" cm="1">
        <f t="array" ref="D10">IFERROR(
  INDEX(
    _xlfn._xlws.FILTER(Options!O:O,
      (Options!A:A=B$1) *
      (Options!D:D=$E$1) *
      (Options!E:E="CE") *
      (Options!F:F=G10)
    ), 1
  ), ""
)</f>
        <v>135</v>
      </c>
      <c r="E10" s="17" cm="1">
        <f t="array" ref="E10">IFERROR(
  INDEX(
    _xlfn._xlws.FILTER(Options!L:L,
      (Options!A:A=B$1) *
      (Options!D:D=$E$1) *
      (Options!E:E="CE") *
      (Options!F:F=G10)
    ), 1
  ), ""
)</f>
        <v>788</v>
      </c>
      <c r="F10" s="17" cm="1">
        <f t="array" ref="F10">IFERROR(
  INDEX(
    _xlfn._xlws.FILTER(Options!A:O,
      (Options!A:A=B$1) *
      (Options!D:D=$E$1) *
      (Options!E:E="CE") *
      (Options!F:F=G10)
    ), 1, $P$9
  ), ""
)</f>
        <v>244.9</v>
      </c>
      <c r="G10" s="19">
        <v>5550</v>
      </c>
      <c r="H10" s="15" cm="1">
        <f t="array" ref="H10">IFERROR(
  INDEX(
    _xlfn._xlws.FILTER(Options!A:O,
      (Options!A:A=B$1) *
      (Options!D:D=$E$1) *
      (Options!E:E="PE") *
      (Options!F:F=G10)
    ), 1, $P$9
  ), ""
)</f>
        <v>23.8</v>
      </c>
      <c r="I10" s="15">
        <f>INDEX(3:3, 1, P8) * _xlfn.NORM.S.DIST((LN(INDEX(3:3, 1, P8)/G10)+(P2+0.5*C10^2)*Q2)/(C10*SQRT(Q2)), TRUE) - G10 * EXP(-P2*Q2) * _xlfn.NORM.S.DIST((LN(INDEX(3:3, 1, P8)/G10)+(P2-0.5*C10^2)*Q2)/(C10*SQRT(Q2)), TRUE)</f>
        <v>244.89864235730602</v>
      </c>
      <c r="J10" s="16">
        <f>G10 * EXP(-P2*Q2) * _xlfn.NORM.S.DIST(-(LN(INDEX(3:3, 1, P8)/G10)+(P2-0.5*K10^2)*Q2)/(K10*SQRT(Q2)), TRUE) - INDEX(3:3, 1, P8) * _xlfn.NORM.S.DIST(-(LN(INDEX(3:3, 1, P8)/G10)+(P2+0.5*K10^2)*Q2)/(K10*SQRT(Q2)), TRUE)</f>
        <v>23.797942894619155</v>
      </c>
      <c r="K10" s="15">
        <v>0.47570000000000001</v>
      </c>
      <c r="L10" s="15" cm="1">
        <f t="array" ref="L10">_xlfn.NORM.S.DIST((LN(INDEX($3:$3, 1, $P$8)/G10)+($P$2+0.5*K10^2)*$Q$2)/(K10*SQRT($Q$2)), TRUE) - 1</f>
        <v>-0.17426216728729682</v>
      </c>
      <c r="M10" s="15" cm="1">
        <f t="array" ref="M10">-((INDEX($3:$3, 1, $P$8) * K10 * EXP(0) * _xlfn.NORM.S.DIST((LN(INDEX($3:$3, 1, $P$8)/G10)+($P$2+0.5*K10^2)*$Q$2)/(K10*SQRT($Q$2)), FALSE))/(2*SQRT($Q$2)) + $P$2 * G10 * EXP(-$P$2*$Q$2) * _xlfn.NORM.S.DIST(-(LN(INDEX($3:$3, 1, $P$8)/G10)+($P$2-0.5*K10^2)*$Q$2)/(K10*SQRT($Q$2)), TRUE))/252</f>
        <v>-15.670670731190654</v>
      </c>
    </row>
    <row r="11" spans="1:17" x14ac:dyDescent="0.2">
      <c r="A11" s="17" cm="1">
        <f t="array" ref="A11">-((INDEX($3:$3, 1, $P$8) * C11 * EXP(0) * _xlfn.NORM.S.DIST((LN(INDEX($3:$3, 1, $P$8)/G11)+($P$2+0.5*C11^2)*$Q$2)/(C11*SQRT($Q$2)), FALSE))/(2*SQRT($Q$2)) - $P$2 * G11 * EXP(-$P$2*$Q$2) * _xlfn.NORM.S.DIST((LN(INDEX($3:$3, 1, $P$8)/G11)+($P$2-0.5*C11^2)*$Q$2)/(C11*SQRT($Q$2)), TRUE))/252</f>
        <v>-15.041256248231086</v>
      </c>
      <c r="B11" s="17" cm="1">
        <f t="array" ref="B11">_xlfn.NORM.S.DIST((LN(INDEX($3:$3, 1, $P$8)/G11)+($P$2+0.5*C11^2)*$Q$2)/(C11*SQRT($Q$2)), TRUE)</f>
        <v>0.7864197276383581</v>
      </c>
      <c r="C11" s="17">
        <v>0.43490000000000001</v>
      </c>
      <c r="D11" s="17" cm="1">
        <f t="array" ref="D11">IFERROR(
  INDEX(
    _xlfn._xlws.FILTER(Options!O:O,
      (Options!A:A=B$1) *
      (Options!D:D=$E$1) *
      (Options!E:E="CE") *
      (Options!F:F=G11)
    ), 1
  ), ""
)</f>
        <v>2475</v>
      </c>
      <c r="E11" s="17" cm="1">
        <f t="array" ref="E11">IFERROR(
  INDEX(
    _xlfn._xlws.FILTER(Options!L:L,
      (Options!A:A=B$1) *
      (Options!D:D=$E$1) *
      (Options!E:E="CE") *
      (Options!F:F=G11)
    ), 1
  ), ""
)</f>
        <v>14597</v>
      </c>
      <c r="F11" s="17" cm="1">
        <f t="array" ref="F11">IFERROR(
  INDEX(
    _xlfn._xlws.FILTER(Options!A:O,
      (Options!A:A=B$1) *
      (Options!D:D=$E$1) *
      (Options!E:E="CE") *
      (Options!F:F=G11)
    ), 1, $P$9
  ), ""
)</f>
        <v>201.7</v>
      </c>
      <c r="G11" s="19">
        <v>5600</v>
      </c>
      <c r="H11" s="15" cm="1">
        <f t="array" ref="H11">IFERROR(
  INDEX(
    _xlfn._xlws.FILTER(Options!A:O,
      (Options!A:A=B$1) *
      (Options!D:D=$E$1) *
      (Options!E:E="PE") *
      (Options!F:F=G11)
    ), 1, $P$9
  ), ""
)</f>
        <v>31.1</v>
      </c>
      <c r="I11" s="15">
        <f>INDEX(3:3, 1, P8) * _xlfn.NORM.S.DIST((LN(INDEX(3:3, 1, P8)/G11)+(P2+0.5*C11^2)*Q2)/(C11*SQRT(Q2)), TRUE) - G11 * EXP(-P2*Q2) * _xlfn.NORM.S.DIST((LN(INDEX(3:3, 1, P8)/G11)+(P2-0.5*C11^2)*Q2)/(C11*SQRT(Q2)), TRUE)</f>
        <v>201.70456468725843</v>
      </c>
      <c r="J11" s="16">
        <f>G11 * EXP(-P2*Q2) * _xlfn.NORM.S.DIST(-(LN(INDEX(3:3, 1, P8)/G11)+(P2-0.5*K11^2)*Q2)/(K11*SQRT(Q2)), TRUE) - INDEX(3:3, 1, P8) * _xlfn.NORM.S.DIST(-(LN(INDEX(3:3, 1, P8)/G11)+(P2+0.5*K11^2)*Q2)/(K11*SQRT(Q2)), TRUE)</f>
        <v>31.103634295533084</v>
      </c>
      <c r="K11" s="15">
        <v>0.45390000000000003</v>
      </c>
      <c r="L11" s="15" cm="1">
        <f t="array" ref="L11">_xlfn.NORM.S.DIST((LN(INDEX($3:$3, 1, $P$8)/G11)+($P$2+0.5*K11^2)*$Q$2)/(K11*SQRT($Q$2)), TRUE) - 1</f>
        <v>-0.22287858275512851</v>
      </c>
      <c r="M11" s="15" cm="1">
        <f t="array" ref="M11">-((INDEX($3:$3, 1, $P$8) * K11 * EXP(0) * _xlfn.NORM.S.DIST((LN(INDEX($3:$3, 1, $P$8)/G11)+($P$2+0.5*K11^2)*$Q$2)/(K11*SQRT($Q$2)), FALSE))/(2*SQRT($Q$2)) + $P$2 * G11 * EXP(-$P$2*$Q$2) * _xlfn.NORM.S.DIST(-(LN(INDEX($3:$3, 1, $P$8)/G11)+($P$2-0.5*K11^2)*$Q$2)/(K11*SQRT($Q$2)), TRUE))/252</f>
        <v>-17.388586086953772</v>
      </c>
    </row>
    <row r="12" spans="1:17" x14ac:dyDescent="0.2">
      <c r="A12" s="17" cm="1">
        <f t="array" ref="A12">-((INDEX($3:$3, 1, $P$8) * C12 * EXP(0) * _xlfn.NORM.S.DIST((LN(INDEX($3:$3, 1, $P$8)/G12)+($P$2+0.5*C12^2)*$Q$2)/(C12*SQRT($Q$2)), FALSE))/(2*SQRT($Q$2)) - $P$2 * G12 * EXP(-$P$2*$Q$2) * _xlfn.NORM.S.DIST((LN(INDEX($3:$3, 1, $P$8)/G12)+($P$2-0.5*C12^2)*$Q$2)/(C12*SQRT($Q$2)), TRUE))/252</f>
        <v>-17.467255406422133</v>
      </c>
      <c r="B12" s="17" cm="1">
        <f t="array" ref="B12">_xlfn.NORM.S.DIST((LN(INDEX($3:$3, 1, $P$8)/G12)+($P$2+0.5*C12^2)*$Q$2)/(C12*SQRT($Q$2)), TRUE)</f>
        <v>0.71748724120208618</v>
      </c>
      <c r="C12" s="17">
        <v>0.4294</v>
      </c>
      <c r="D12" s="17" cm="1">
        <f t="array" ref="D12">IFERROR(
  INDEX(
    _xlfn._xlws.FILTER(Options!O:O,
      (Options!A:A=B$1) *
      (Options!D:D=$E$1) *
      (Options!E:E="CE") *
      (Options!F:F=G12)
    ), 1
  ), ""
)</f>
        <v>729</v>
      </c>
      <c r="E12" s="17" cm="1">
        <f t="array" ref="E12">IFERROR(
  INDEX(
    _xlfn._xlws.FILTER(Options!L:L,
      (Options!A:A=B$1) *
      (Options!D:D=$E$1) *
      (Options!E:E="CE") *
      (Options!F:F=G12)
    ), 1
  ), ""
)</f>
        <v>7166</v>
      </c>
      <c r="F12" s="17" cm="1">
        <f t="array" ref="F12">IFERROR(
  INDEX(
    _xlfn._xlws.FILTER(Options!A:O,
      (Options!A:A=B$1) *
      (Options!D:D=$E$1) *
      (Options!E:E="CE") *
      (Options!F:F=G12)
    ), 1, $P$9
  ), ""
)</f>
        <v>163.80000000000001</v>
      </c>
      <c r="G12" s="19">
        <v>5650</v>
      </c>
      <c r="H12" s="15" cm="1">
        <f t="array" ref="H12">IFERROR(
  INDEX(
    _xlfn._xlws.FILTER(Options!A:O,
      (Options!A:A=B$1) *
      (Options!D:D=$E$1) *
      (Options!E:E="PE") *
      (Options!F:F=G12)
    ), 1, $P$9
  ), ""
)</f>
        <v>42.7</v>
      </c>
      <c r="I12" s="15">
        <f>INDEX(3:3, 1, P8) * _xlfn.NORM.S.DIST((LN(INDEX(3:3, 1, P8)/G12)+(P2+0.5*C12^2)*Q2)/(C12*SQRT(Q2)), TRUE) - G12 * EXP(-P2*Q2) * _xlfn.NORM.S.DIST((LN(INDEX(3:3, 1, P8)/G12)+(P2-0.5*C12^2)*Q2)/(C12*SQRT(Q2)), TRUE)</f>
        <v>163.79457925039378</v>
      </c>
      <c r="J12" s="16">
        <f>G12 * EXP(-P2*Q2) * _xlfn.NORM.S.DIST(-(LN(INDEX(3:3, 1, P8)/G12)+(P2-0.5*K12^2)*Q2)/(K12*SQRT(Q2)), TRUE) - INDEX(3:3, 1, P8) * _xlfn.NORM.S.DIST(-(LN(INDEX(3:3, 1, P8)/G12)+(P2+0.5*K12^2)*Q2)/(K12*SQRT(Q2)), TRUE)</f>
        <v>42.693781266756787</v>
      </c>
      <c r="K12" s="15">
        <v>0.44319999999999998</v>
      </c>
      <c r="L12" s="15" cm="1">
        <f t="array" ref="L12">_xlfn.NORM.S.DIST((LN(INDEX($3:$3, 1, $P$8)/G12)+($P$2+0.5*K12^2)*$Q$2)/(K12*SQRT($Q$2)), TRUE) - 1</f>
        <v>-0.28818032637375557</v>
      </c>
      <c r="M12" s="15" cm="1">
        <f t="array" ref="M12">-((INDEX($3:$3, 1, $P$8) * K12 * EXP(0) * _xlfn.NORM.S.DIST((LN(INDEX($3:$3, 1, $P$8)/G12)+($P$2+0.5*K12^2)*$Q$2)/(K12*SQRT($Q$2)), FALSE))/(2*SQRT($Q$2)) + $P$2 * G12 * EXP(-$P$2*$Q$2) * _xlfn.NORM.S.DIST(-(LN(INDEX($3:$3, 1, $P$8)/G12)+($P$2-0.5*K12^2)*$Q$2)/(K12*SQRT($Q$2)), TRUE))/252</f>
        <v>-19.476654684630013</v>
      </c>
    </row>
    <row r="13" spans="1:17" x14ac:dyDescent="0.2">
      <c r="A13" s="17" cm="1">
        <f t="array" ref="A13">-((INDEX($3:$3, 1, $P$8) * C13 * EXP(0) * _xlfn.NORM.S.DIST((LN(INDEX($3:$3, 1, $P$8)/G13)+($P$2+0.5*C13^2)*$Q$2)/(C13*SQRT($Q$2)), FALSE))/(2*SQRT($Q$2)) - $P$2 * G13 * EXP(-$P$2*$Q$2) * _xlfn.NORM.S.DIST((LN(INDEX($3:$3, 1, $P$8)/G13)+($P$2-0.5*C13^2)*$Q$2)/(C13*SQRT($Q$2)), TRUE))/252</f>
        <v>-19.276912238123746</v>
      </c>
      <c r="B13" s="17" cm="1">
        <f t="array" ref="B13">_xlfn.NORM.S.DIST((LN(INDEX($3:$3, 1, $P$8)/G13)+($P$2+0.5*C13^2)*$Q$2)/(C13*SQRT($Q$2)), TRUE)</f>
        <v>0.63807537051937002</v>
      </c>
      <c r="C13" s="17">
        <v>0.42359999999999998</v>
      </c>
      <c r="D13" s="17" cm="1">
        <f t="array" ref="D13">IFERROR(
  INDEX(
    _xlfn._xlws.FILTER(Options!O:O,
      (Options!A:A=B$1) *
      (Options!D:D=$E$1) *
      (Options!E:E="CE") *
      (Options!F:F=G13)
    ), 1
  ), ""
)</f>
        <v>5535</v>
      </c>
      <c r="E13" s="17" cm="1">
        <f t="array" ref="E13">IFERROR(
  INDEX(
    _xlfn._xlws.FILTER(Options!L:L,
      (Options!A:A=B$1) *
      (Options!D:D=$E$1) *
      (Options!E:E="CE") *
      (Options!F:F=G13)
    ), 1
  ), ""
)</f>
        <v>55360</v>
      </c>
      <c r="F13" s="17" cm="1">
        <f t="array" ref="F13">IFERROR(
  INDEX(
    _xlfn._xlws.FILTER(Options!A:O,
      (Options!A:A=B$1) *
      (Options!D:D=$E$1) *
      (Options!E:E="CE") *
      (Options!F:F=G13)
    ), 1, $P$9
  ), ""
)</f>
        <v>129.5</v>
      </c>
      <c r="G13" s="19">
        <v>5700</v>
      </c>
      <c r="H13" s="15" cm="1">
        <f t="array" ref="H13">IFERROR(
  INDEX(
    _xlfn._xlws.FILTER(Options!A:O,
      (Options!A:A=B$1) *
      (Options!D:D=$E$1) *
      (Options!E:E="PE") *
      (Options!F:F=G13)
    ), 1, $P$9
  ), ""
)</f>
        <v>57.1</v>
      </c>
      <c r="I13" s="15">
        <f>INDEX(3:3, 1, P8) * _xlfn.NORM.S.DIST((LN(INDEX(3:3, 1, P8)/G13)+(P2+0.5*C13^2)*Q2)/(C13*SQRT(Q2)), TRUE) - G13 * EXP(-P2*Q2) * _xlfn.NORM.S.DIST((LN(INDEX(3:3, 1, P8)/G13)+(P2-0.5*C13^2)*Q2)/(C13*SQRT(Q2)), TRUE)</f>
        <v>129.49271746074101</v>
      </c>
      <c r="J13" s="16">
        <f>G13 * EXP(-P2*Q2) * _xlfn.NORM.S.DIST(-(LN(INDEX(3:3, 1, P8)/G13)+(P2-0.5*K13^2)*Q2)/(K13*SQRT(Q2)), TRUE) - INDEX(3:3, 1, P8) * _xlfn.NORM.S.DIST(-(LN(INDEX(3:3, 1, P8)/G13)+(P2+0.5*K13^2)*Q2)/(K13*SQRT(Q2)), TRUE)</f>
        <v>57.094075793663251</v>
      </c>
      <c r="K13" s="15">
        <v>0.42959999999999998</v>
      </c>
      <c r="L13" s="15" cm="1">
        <f t="array" ref="L13">_xlfn.NORM.S.DIST((LN(INDEX($3:$3, 1, $P$8)/G13)+($P$2+0.5*K13^2)*$Q$2)/(K13*SQRT($Q$2)), TRUE) - 1</f>
        <v>-0.36357296023111396</v>
      </c>
      <c r="M13" s="15" cm="1">
        <f t="array" ref="M13">-((INDEX($3:$3, 1, $P$8) * K13 * EXP(0) * _xlfn.NORM.S.DIST((LN(INDEX($3:$3, 1, $P$8)/G13)+($P$2+0.5*K13^2)*$Q$2)/(K13*SQRT($Q$2)), FALSE))/(2*SQRT($Q$2)) + $P$2 * G13 * EXP(-$P$2*$Q$2) * _xlfn.NORM.S.DIST(-(LN(INDEX($3:$3, 1, $P$8)/G13)+($P$2-0.5*K13^2)*$Q$2)/(K13*SQRT($Q$2)), TRUE))/252</f>
        <v>-20.838161202204383</v>
      </c>
    </row>
    <row r="14" spans="1:17" x14ac:dyDescent="0.2">
      <c r="A14" s="17" cm="1">
        <f t="array" ref="A14">-((INDEX($3:$3, 1, $P$8) * C14 * EXP(0) * _xlfn.NORM.S.DIST((LN(INDEX($3:$3, 1, $P$8)/G14)+($P$2+0.5*C14^2)*$Q$2)/(C14*SQRT($Q$2)), FALSE))/(2*SQRT($Q$2)) - $P$2 * G14 * EXP(-$P$2*$Q$2) * _xlfn.NORM.S.DIST((LN(INDEX($3:$3, 1, $P$8)/G14)+($P$2-0.5*C14^2)*$Q$2)/(C14*SQRT($Q$2)), TRUE))/252</f>
        <v>-20.301646259740238</v>
      </c>
      <c r="B14" s="17" cm="1">
        <f t="array" ref="B14">_xlfn.NORM.S.DIST((LN(INDEX($3:$3, 1, $P$8)/G14)+($P$2+0.5*C14^2)*$Q$2)/(C14*SQRT($Q$2)), TRUE)</f>
        <v>0.55042519786834687</v>
      </c>
      <c r="C14" s="17">
        <v>0.41959999999999997</v>
      </c>
      <c r="D14" s="17" cm="1">
        <f t="array" ref="D14">IFERROR(
  INDEX(
    _xlfn._xlws.FILTER(Options!O:O,
      (Options!A:A=B$1) *
      (Options!D:D=$E$1) *
      (Options!E:E="CE") *
      (Options!F:F=G14)
    ), 1
  ), ""
)</f>
        <v>2053</v>
      </c>
      <c r="E14" s="17" cm="1">
        <f t="array" ref="E14">IFERROR(
  INDEX(
    _xlfn._xlws.FILTER(Options!L:L,
      (Options!A:A=B$1) *
      (Options!D:D=$E$1) *
      (Options!E:E="CE") *
      (Options!F:F=G14)
    ), 1
  ), ""
)</f>
        <v>40332</v>
      </c>
      <c r="F14" s="17" cm="1">
        <f t="array" ref="F14">IFERROR(
  INDEX(
    _xlfn._xlws.FILTER(Options!A:O,
      (Options!A:A=B$1) *
      (Options!D:D=$E$1) *
      (Options!E:E="CE") *
      (Options!F:F=G14)
    ), 1, $P$9
  ), ""
)</f>
        <v>99.7</v>
      </c>
      <c r="G14" s="20">
        <v>5750</v>
      </c>
      <c r="H14" s="15" cm="1">
        <f t="array" ref="H14">IFERROR(
  INDEX(
    _xlfn._xlws.FILTER(Options!A:O,
      (Options!A:A=B$1) *
      (Options!D:D=$E$1) *
      (Options!E:E="PE") *
      (Options!F:F=G14)
    ), 1, $P$9
  ), ""
)</f>
        <v>77</v>
      </c>
      <c r="I14" s="15">
        <f>INDEX(3:3, 1, P8) * _xlfn.NORM.S.DIST((LN(INDEX(3:3, 1, P8)/G14)+(P2+0.5*C14^2)*Q2)/(C14*SQRT(Q2)), TRUE) - G14 * EXP(-P2*Q2) * _xlfn.NORM.S.DIST((LN(INDEX(3:3, 1, P8)/G14)+(P2-0.5*C14^2)*Q2)/(C14*SQRT(Q2)), TRUE)</f>
        <v>99.702673409857653</v>
      </c>
      <c r="J14" s="16">
        <f>G14 * EXP(-P2*Q2) * _xlfn.NORM.S.DIST(-(LN(INDEX(3:3, 1, P8)/G14)+(P2-0.5*K14^2)*Q2)/(K14*SQRT(Q2)), TRUE) - INDEX(3:3, 1, P8) * _xlfn.NORM.S.DIST(-(LN(INDEX(3:3, 1, P8)/G14)+(P2+0.5*K14^2)*Q2)/(K14*SQRT(Q2)), TRUE)</f>
        <v>76.994336717144961</v>
      </c>
      <c r="K14" s="15">
        <v>0.4239</v>
      </c>
      <c r="L14" s="15" cm="1">
        <f t="array" ref="L14">_xlfn.NORM.S.DIST((LN(INDEX($3:$3, 1, $P$8)/G14)+($P$2+0.5*K14^2)*$Q$2)/(K14*SQRT($Q$2)), TRUE) - 1</f>
        <v>-0.44993010197915961</v>
      </c>
      <c r="M14" s="15" cm="1">
        <f t="array" ref="M14">-((INDEX($3:$3, 1, $P$8) * K14 * EXP(0) * _xlfn.NORM.S.DIST((LN(INDEX($3:$3, 1, $P$8)/G14)+($P$2+0.5*K14^2)*$Q$2)/(K14*SQRT($Q$2)), FALSE))/(2*SQRT($Q$2)) + $P$2 * G14 * EXP(-$P$2*$Q$2) * _xlfn.NORM.S.DIST(-(LN(INDEX($3:$3, 1, $P$8)/G14)+($P$2-0.5*K14^2)*$Q$2)/(K14*SQRT($Q$2)), TRUE))/252</f>
        <v>-21.774013527213043</v>
      </c>
    </row>
    <row r="15" spans="1:17" x14ac:dyDescent="0.2">
      <c r="A15" s="15" cm="1">
        <f t="array" ref="A15">-((INDEX($3:$3, 1, $P$8) * C15 * EXP(0) * _xlfn.NORM.S.DIST((LN(INDEX($3:$3, 1, $P$8)/G15)+($P$2+0.5*C15^2)*$Q$2)/(C15*SQRT($Q$2)), FALSE))/(2*SQRT($Q$2)) - $P$2 * G15 * EXP(-$P$2*$Q$2) * _xlfn.NORM.S.DIST((LN(INDEX($3:$3, 1, $P$8)/G15)+($P$2-0.5*C15^2)*$Q$2)/(C15*SQRT($Q$2)), TRUE))/252</f>
        <v>-20.56353431390562</v>
      </c>
      <c r="B15" s="15" cm="1">
        <f t="array" ref="B15">_xlfn.NORM.S.DIST((LN(INDEX($3:$3, 1, $P$8)/G15)+($P$2+0.5*C15^2)*$Q$2)/(C15*SQRT($Q$2)), TRUE)</f>
        <v>0.46006498198745105</v>
      </c>
      <c r="C15" s="15">
        <v>0.4214</v>
      </c>
      <c r="D15" s="15" cm="1">
        <f t="array" ref="D15">IFERROR(
  INDEX(
    _xlfn._xlws.FILTER(Options!O:O,
      (Options!A:A=B$1) *
      (Options!D:D=$E$1) *
      (Options!E:E="CE") *
      (Options!F:F=G15)
    ), 1
  ), ""
)</f>
        <v>10437</v>
      </c>
      <c r="E15" s="15" cm="1">
        <f t="array" ref="E15">IFERROR(
  INDEX(
    _xlfn._xlws.FILTER(Options!L:L,
      (Options!A:A=B$1) *
      (Options!D:D=$E$1) *
      (Options!E:E="CE") *
      (Options!F:F=G15)
    ), 1
  ), ""
)</f>
        <v>213334</v>
      </c>
      <c r="F15" s="15" cm="1">
        <f t="array" ref="F15">IFERROR(
  INDEX(
    _xlfn._xlws.FILTER(Options!A:O,
      (Options!A:A=B$1) *
      (Options!D:D=$E$1) *
      (Options!E:E="CE") *
      (Options!F:F=G15)
    ), 1, $P$9
  ), ""
)</f>
        <v>75.599999999999994</v>
      </c>
      <c r="G15" s="19">
        <v>5800</v>
      </c>
      <c r="H15" s="17" cm="1">
        <f t="array" ref="H15">IFERROR(
  INDEX(
    _xlfn._xlws.FILTER(Options!A:O,
      (Options!A:A=B$1) *
      (Options!D:D=$E$1) *
      (Options!E:E="PE") *
      (Options!F:F=G15)
    ), 1, $P$9
  ), ""
)</f>
        <v>102.5</v>
      </c>
      <c r="I15" s="17">
        <f>INDEX(3:3, 1, P8) * _xlfn.NORM.S.DIST((LN(INDEX(3:3, 1, P8)/G15)+(P2+0.5*C15^2)*Q2)/(C15*SQRT(Q2)), TRUE) - G15 * EXP(-P2*Q2) * _xlfn.NORM.S.DIST((LN(INDEX(3:3, 1, P8)/G15)+(P2-0.5*C15^2)*Q2)/(C15*SQRT(Q2)), TRUE)</f>
        <v>75.590463352070856</v>
      </c>
      <c r="J15" s="18">
        <f>G15 * EXP(-P2*Q2) * _xlfn.NORM.S.DIST(-(LN(INDEX(3:3, 1, P8)/G15)+(P2-0.5*K15^2)*Q2)/(K15*SQRT(Q2)), TRUE) - INDEX(3:3, 1, P8) * _xlfn.NORM.S.DIST(-(LN(INDEX(3:3, 1, P8)/G15)+(P2+0.5*K15^2)*Q2)/(K15*SQRT(Q2)), TRUE)</f>
        <v>102.50912588631491</v>
      </c>
      <c r="K15" s="17">
        <v>0.42399999999999999</v>
      </c>
      <c r="L15" s="17" cm="1">
        <f t="array" ref="L15">_xlfn.NORM.S.DIST((LN(INDEX($3:$3, 1, $P$8)/G15)+($P$2+0.5*K15^2)*$Q$2)/(K15*SQRT($Q$2)), TRUE) - 1</f>
        <v>-0.53959766039621293</v>
      </c>
      <c r="M15" s="17" cm="1">
        <f t="array" ref="M15">-((INDEX($3:$3, 1, $P$8) * K15 * EXP(0) * _xlfn.NORM.S.DIST((LN(INDEX($3:$3, 1, $P$8)/G15)+($P$2+0.5*K15^2)*$Q$2)/(K15*SQRT($Q$2)), FALSE))/(2*SQRT($Q$2)) + $P$2 * G15 * EXP(-$P$2*$Q$2) * _xlfn.NORM.S.DIST(-(LN(INDEX($3:$3, 1, $P$8)/G15)+($P$2-0.5*K15^2)*$Q$2)/(K15*SQRT($Q$2)), TRUE))/252</f>
        <v>-21.960680608379491</v>
      </c>
    </row>
    <row r="16" spans="1:17" x14ac:dyDescent="0.2">
      <c r="A16" s="15" cm="1">
        <f t="array" ref="A16">-((INDEX($3:$3, 1, $P$8) * C16 * EXP(0) * _xlfn.NORM.S.DIST((LN(INDEX($3:$3, 1, $P$8)/G16)+($P$2+0.5*C16^2)*$Q$2)/(C16*SQRT($Q$2)), FALSE))/(2*SQRT($Q$2)) - $P$2 * G16 * EXP(-$P$2*$Q$2) * _xlfn.NORM.S.DIST((LN(INDEX($3:$3, 1, $P$8)/G16)+($P$2-0.5*C16^2)*$Q$2)/(C16*SQRT($Q$2)), TRUE))/252</f>
        <v>-19.779336239345263</v>
      </c>
      <c r="B16" s="15" cm="1">
        <f t="array" ref="B16">_xlfn.NORM.S.DIST((LN(INDEX($3:$3, 1, $P$8)/G16)+($P$2+0.5*C16^2)*$Q$2)/(C16*SQRT($Q$2)), TRUE)</f>
        <v>0.37319354702108803</v>
      </c>
      <c r="C16" s="15">
        <v>0.42320000000000002</v>
      </c>
      <c r="D16" s="15" cm="1">
        <f t="array" ref="D16">IFERROR(
  INDEX(
    _xlfn._xlws.FILTER(Options!O:O,
      (Options!A:A=B$1) *
      (Options!D:D=$E$1) *
      (Options!E:E="CE") *
      (Options!F:F=G16)
    ), 1
  ), ""
)</f>
        <v>5840</v>
      </c>
      <c r="E16" s="15" cm="1">
        <f t="array" ref="E16">IFERROR(
  INDEX(
    _xlfn._xlws.FILTER(Options!L:L,
      (Options!A:A=B$1) *
      (Options!D:D=$E$1) *
      (Options!E:E="CE") *
      (Options!F:F=G16)
    ), 1
  ), ""
)</f>
        <v>127089</v>
      </c>
      <c r="F16" s="15" cm="1">
        <f t="array" ref="F16">IFERROR(
  INDEX(
    _xlfn._xlws.FILTER(Options!A:O,
      (Options!A:A=B$1) *
      (Options!D:D=$E$1) *
      (Options!E:E="CE") *
      (Options!F:F=G16)
    ), 1, $P$9
  ), ""
)</f>
        <v>55.9</v>
      </c>
      <c r="G16" s="19">
        <v>5850</v>
      </c>
      <c r="H16" s="17" cm="1">
        <f t="array" ref="H16">IFERROR(
  INDEX(
    _xlfn._xlws.FILTER(Options!A:O,
      (Options!A:A=B$1) *
      (Options!D:D=$E$1) *
      (Options!E:E="PE") *
      (Options!F:F=G16)
    ), 1, $P$9
  ), ""
)</f>
        <v>132.9</v>
      </c>
      <c r="I16" s="17">
        <f>INDEX(3:3, 1, P8) * _xlfn.NORM.S.DIST((LN(INDEX(3:3, 1, P8)/G16)+(P2+0.5*C16^2)*Q2)/(C16*SQRT(Q2)), TRUE) - G16 * EXP(-P2*Q2) * _xlfn.NORM.S.DIST((LN(INDEX(3:3, 1, P8)/G16)+(P2-0.5*C16^2)*Q2)/(C16*SQRT(Q2)), TRUE)</f>
        <v>55.899995668491556</v>
      </c>
      <c r="J16" s="18">
        <f>G16 * EXP(-P2*Q2) * _xlfn.NORM.S.DIST(-(LN(INDEX(3:3, 1, P8)/G16)+(P2-0.5*K16^2)*Q2)/(K16*SQRT(Q2)), TRUE) - INDEX(3:3, 1, P8) * _xlfn.NORM.S.DIST(-(LN(INDEX(3:3, 1, P8)/G16)+(P2+0.5*K16^2)*Q2)/(K16*SQRT(Q2)), TRUE)</f>
        <v>132.89024046177747</v>
      </c>
      <c r="K16" s="17">
        <v>0.4264</v>
      </c>
      <c r="L16" s="17" cm="1">
        <f t="array" ref="L16">_xlfn.NORM.S.DIST((LN(INDEX($3:$3, 1, $P$8)/G16)+($P$2+0.5*K16^2)*$Q$2)/(K16*SQRT($Q$2)), TRUE) - 1</f>
        <v>-0.62577764870563313</v>
      </c>
      <c r="M16" s="17" cm="1">
        <f t="array" ref="M16">-((INDEX($3:$3, 1, $P$8) * K16 * EXP(0) * _xlfn.NORM.S.DIST((LN(INDEX($3:$3, 1, $P$8)/G16)+($P$2+0.5*K16^2)*$Q$2)/(K16*SQRT($Q$2)), FALSE))/(2*SQRT($Q$2)) + $P$2 * G16 * EXP(-$P$2*$Q$2) * _xlfn.NORM.S.DIST(-(LN(INDEX($3:$3, 1, $P$8)/G16)+($P$2-0.5*K16^2)*$Q$2)/(K16*SQRT($Q$2)), TRUE))/252</f>
        <v>-21.225253126938526</v>
      </c>
    </row>
    <row r="17" spans="1:13" x14ac:dyDescent="0.2">
      <c r="A17" s="15" cm="1">
        <f t="array" ref="A17">-((INDEX($3:$3, 1, $P$8) * C17 * EXP(0) * _xlfn.NORM.S.DIST((LN(INDEX($3:$3, 1, $P$8)/G17)+($P$2+0.5*C17^2)*$Q$2)/(C17*SQRT($Q$2)), FALSE))/(2*SQRT($Q$2)) - $P$2 * G17 * EXP(-$P$2*$Q$2) * _xlfn.NORM.S.DIST((LN(INDEX($3:$3, 1, $P$8)/G17)+($P$2-0.5*C17^2)*$Q$2)/(C17*SQRT($Q$2)), TRUE))/252</f>
        <v>-18.928540696355348</v>
      </c>
      <c r="B17" s="15" cm="1">
        <f t="array" ref="B17">_xlfn.NORM.S.DIST((LN(INDEX($3:$3, 1, $P$8)/G17)+($P$2+0.5*C17^2)*$Q$2)/(C17*SQRT($Q$2)), TRUE)</f>
        <v>0.30020396851814157</v>
      </c>
      <c r="C17" s="15">
        <v>0.43930000000000002</v>
      </c>
      <c r="D17" s="15" cm="1">
        <f t="array" ref="D17">IFERROR(
  INDEX(
    _xlfn._xlws.FILTER(Options!O:O,
      (Options!A:A=B$1) *
      (Options!D:D=$E$1) *
      (Options!E:E="CE") *
      (Options!F:F=G17)
    ), 1
  ), ""
)</f>
        <v>11783</v>
      </c>
      <c r="E17" s="15" cm="1">
        <f t="array" ref="E17">IFERROR(
  INDEX(
    _xlfn._xlws.FILTER(Options!L:L,
      (Options!A:A=B$1) *
      (Options!D:D=$E$1) *
      (Options!E:E="CE") *
      (Options!F:F=G17)
    ), 1
  ), ""
)</f>
        <v>312041</v>
      </c>
      <c r="F17" s="15" cm="1">
        <f t="array" ref="F17">IFERROR(
  INDEX(
    _xlfn._xlws.FILTER(Options!A:O,
      (Options!A:A=B$1) *
      (Options!D:D=$E$1) *
      (Options!E:E="CE") *
      (Options!F:F=G17)
    ), 1, $P$9
  ), ""
)</f>
        <v>42.9</v>
      </c>
      <c r="G17" s="19">
        <v>5900</v>
      </c>
      <c r="H17" s="17" cm="1">
        <f t="array" ref="H17">IFERROR(
  INDEX(
    _xlfn._xlws.FILTER(Options!A:O,
      (Options!A:A=B$1) *
      (Options!D:D=$E$1) *
      (Options!E:E="PE") *
      (Options!F:F=G17)
    ), 1, $P$9
  ), ""
)</f>
        <v>169.4</v>
      </c>
      <c r="I17" s="17">
        <f>INDEX(3:3, 1, P8) * _xlfn.NORM.S.DIST((LN(INDEX(3:3, 1, P8)/G17)+(P2+0.5*C17^2)*Q2)/(C17*SQRT(Q2)), TRUE) - G17 * EXP(-P2*Q2) * _xlfn.NORM.S.DIST((LN(INDEX(3:3, 1, P8)/G17)+(P2-0.5*C17^2)*Q2)/(C17*SQRT(Q2)), TRUE)</f>
        <v>42.895080825128389</v>
      </c>
      <c r="J17" s="18">
        <f>G17 * EXP(-P2*Q2) * _xlfn.NORM.S.DIST(-(LN(INDEX(3:3, 1, P8)/G17)+(P2-0.5*K17^2)*Q2)/(K17*SQRT(Q2)), TRUE) - INDEX(3:3, 1, P8) * _xlfn.NORM.S.DIST(-(LN(INDEX(3:3, 1, P8)/G17)+(P2+0.5*K17^2)*Q2)/(K17*SQRT(Q2)), TRUE)</f>
        <v>169.39238063398489</v>
      </c>
      <c r="K17" s="17">
        <v>0.44019999999999998</v>
      </c>
      <c r="L17" s="17" cm="1">
        <f t="array" ref="L17">_xlfn.NORM.S.DIST((LN(INDEX($3:$3, 1, $P$8)/G17)+($P$2+0.5*K17^2)*$Q$2)/(K17*SQRT($Q$2)), TRUE) - 1</f>
        <v>-0.69939508512513415</v>
      </c>
      <c r="M17" s="17" cm="1">
        <f t="array" ref="M17">-((INDEX($3:$3, 1, $P$8) * K17 * EXP(0) * _xlfn.NORM.S.DIST((LN(INDEX($3:$3, 1, $P$8)/G17)+($P$2+0.5*K17^2)*$Q$2)/(K17*SQRT($Q$2)), FALSE))/(2*SQRT($Q$2)) + $P$2 * G17 * EXP(-$P$2*$Q$2) * _xlfn.NORM.S.DIST(-(LN(INDEX($3:$3, 1, $P$8)/G17)+($P$2-0.5*K17^2)*$Q$2)/(K17*SQRT($Q$2)), TRUE))/252</f>
        <v>-20.266386361643445</v>
      </c>
    </row>
    <row r="18" spans="1:13" x14ac:dyDescent="0.2">
      <c r="A18" s="15" cm="1">
        <f t="array" ref="A18">-((INDEX($3:$3, 1, $P$8) * C18 * EXP(0) * _xlfn.NORM.S.DIST((LN(INDEX($3:$3, 1, $P$8)/G18)+($P$2+0.5*C18^2)*$Q$2)/(C18*SQRT($Q$2)), FALSE))/(2*SQRT($Q$2)) - $P$2 * G18 * EXP(-$P$2*$Q$2) * _xlfn.NORM.S.DIST((LN(INDEX($3:$3, 1, $P$8)/G18)+($P$2-0.5*C18^2)*$Q$2)/(C18*SQRT($Q$2)), TRUE))/252</f>
        <v>-17.781250602616449</v>
      </c>
      <c r="B18" s="15" cm="1">
        <f t="array" ref="B18">_xlfn.NORM.S.DIST((LN(INDEX($3:$3, 1, $P$8)/G18)+($P$2+0.5*C18^2)*$Q$2)/(C18*SQRT($Q$2)), TRUE)</f>
        <v>0.24127176178094023</v>
      </c>
      <c r="C18" s="15">
        <v>0.45910000000000001</v>
      </c>
      <c r="D18" s="15" cm="1">
        <f t="array" ref="D18">IFERROR(
  INDEX(
    _xlfn._xlws.FILTER(Options!O:O,
      (Options!A:A=B$1) *
      (Options!D:D=$E$1) *
      (Options!E:E="CE") *
      (Options!F:F=G18)
    ), 1
  ), ""
)</f>
        <v>4793</v>
      </c>
      <c r="E18" s="15" cm="1">
        <f t="array" ref="E18">IFERROR(
  INDEX(
    _xlfn._xlws.FILTER(Options!L:L,
      (Options!A:A=B$1) *
      (Options!D:D=$E$1) *
      (Options!E:E="CE") *
      (Options!F:F=G18)
    ), 1
  ), ""
)</f>
        <v>148265</v>
      </c>
      <c r="F18" s="15" cm="1">
        <f t="array" ref="F18">IFERROR(
  INDEX(
    _xlfn._xlws.FILTER(Options!A:O,
      (Options!A:A=B$1) *
      (Options!D:D=$E$1) *
      (Options!E:E="CE") *
      (Options!F:F=G18)
    ), 1, $P$9
  ), ""
)</f>
        <v>33.5</v>
      </c>
      <c r="G18" s="19">
        <v>5950</v>
      </c>
      <c r="H18" s="17" cm="1">
        <f t="array" ref="H18">IFERROR(
  INDEX(
    _xlfn._xlws.FILTER(Options!A:O,
      (Options!A:A=B$1) *
      (Options!D:D=$E$1) *
      (Options!E:E="PE") *
      (Options!F:F=G18)
    ), 1, $P$9
  ), ""
)</f>
        <v>211.9</v>
      </c>
      <c r="I18" s="17">
        <f>INDEX(3:3, 1, P8) * _xlfn.NORM.S.DIST((LN(INDEX(3:3, 1, P8)/G18)+(P2+0.5*C18^2)*Q2)/(C18*SQRT(Q2)), TRUE) - G18 * EXP(-P2*Q2) * _xlfn.NORM.S.DIST((LN(INDEX(3:3, 1, P8)/G18)+(P2-0.5*C18^2)*Q2)/(C18*SQRT(Q2)), TRUE)</f>
        <v>33.497141848470164</v>
      </c>
      <c r="J18" s="18">
        <f>G18 * EXP(-P2*Q2) * _xlfn.NORM.S.DIST(-(LN(INDEX(3:3, 1, P8)/G18)+(P2-0.5*K18^2)*Q2)/(K18*SQRT(Q2)), TRUE) - INDEX(3:3, 1, P8) * _xlfn.NORM.S.DIST(-(LN(INDEX(3:3, 1, P8)/G18)+(P2+0.5*K18^2)*Q2)/(K18*SQRT(Q2)), TRUE)</f>
        <v>211.89423481102222</v>
      </c>
      <c r="K18" s="17">
        <v>0.4718</v>
      </c>
      <c r="L18" s="17" cm="1">
        <f t="array" ref="L18">_xlfn.NORM.S.DIST((LN(INDEX($3:$3, 1, $P$8)/G18)+($P$2+0.5*K18^2)*$Q$2)/(K18*SQRT($Q$2)), TRUE) - 1</f>
        <v>-0.75243718151564343</v>
      </c>
      <c r="M18" s="17" cm="1">
        <f t="array" ref="M18">-((INDEX($3:$3, 1, $P$8) * K18 * EXP(0) * _xlfn.NORM.S.DIST((LN(INDEX($3:$3, 1, $P$8)/G18)+($P$2+0.5*K18^2)*$Q$2)/(K18*SQRT($Q$2)), FALSE))/(2*SQRT($Q$2)) + $P$2 * G18 * EXP(-$P$2*$Q$2) * _xlfn.NORM.S.DIST(-(LN(INDEX($3:$3, 1, $P$8)/G18)+($P$2-0.5*K18^2)*$Q$2)/(K18*SQRT($Q$2)), TRUE))/252</f>
        <v>-19.831370069738991</v>
      </c>
    </row>
    <row r="19" spans="1:13" x14ac:dyDescent="0.2">
      <c r="A19" s="15" cm="1">
        <f t="array" ref="A19">-((INDEX($3:$3, 1, $P$8) * C19 * EXP(0) * _xlfn.NORM.S.DIST((LN(INDEX($3:$3, 1, $P$8)/G19)+($P$2+0.5*C19^2)*$Q$2)/(C19*SQRT($Q$2)), FALSE))/(2*SQRT($Q$2)) - $P$2 * G19 * EXP(-$P$2*$Q$2) * _xlfn.NORM.S.DIST((LN(INDEX($3:$3, 1, $P$8)/G19)+($P$2-0.5*C19^2)*$Q$2)/(C19*SQRT($Q$2)), TRUE))/252</f>
        <v>-16.48920371056608</v>
      </c>
      <c r="B19" s="15" cm="1">
        <f t="array" ref="B19">_xlfn.NORM.S.DIST((LN(INDEX($3:$3, 1, $P$8)/G19)+($P$2+0.5*C19^2)*$Q$2)/(C19*SQRT($Q$2)), TRUE)</f>
        <v>0.19473433624237257</v>
      </c>
      <c r="C19" s="15">
        <v>0.48080000000000001</v>
      </c>
      <c r="D19" s="15" cm="1">
        <f t="array" ref="D19">IFERROR(
  INDEX(
    _xlfn._xlws.FILTER(Options!O:O,
      (Options!A:A=B$1) *
      (Options!D:D=$E$1) *
      (Options!E:E="CE") *
      (Options!F:F=G19)
    ), 1
  ), ""
)</f>
        <v>16449</v>
      </c>
      <c r="E19" s="15" cm="1">
        <f t="array" ref="E19">IFERROR(
  INDEX(
    _xlfn._xlws.FILTER(Options!L:L,
      (Options!A:A=B$1) *
      (Options!D:D=$E$1) *
      (Options!E:E="CE") *
      (Options!F:F=G19)
    ), 1
  ), ""
)</f>
        <v>302113</v>
      </c>
      <c r="F19" s="15" cm="1">
        <f t="array" ref="F19">IFERROR(
  INDEX(
    _xlfn._xlws.FILTER(Options!A:O,
      (Options!A:A=B$1) *
      (Options!D:D=$E$1) *
      (Options!E:E="CE") *
      (Options!F:F=G19)
    ), 1, $P$9
  ), ""
)</f>
        <v>26.6</v>
      </c>
      <c r="G19" s="19">
        <v>6000</v>
      </c>
      <c r="H19" s="17" cm="1">
        <f t="array" ref="H19">IFERROR(
  INDEX(
    _xlfn._xlws.FILTER(Options!A:O,
      (Options!A:A=B$1) *
      (Options!D:D=$E$1) *
      (Options!E:E="PE") *
      (Options!F:F=G19)
    ), 1, $P$9
  ), ""
)</f>
        <v>252.4</v>
      </c>
      <c r="I19" s="17">
        <f>INDEX(3:3, 1, P8) * _xlfn.NORM.S.DIST((LN(INDEX(3:3, 1, P8)/G19)+(P2+0.5*C19^2)*Q2)/(C19*SQRT(Q2)), TRUE) - G19 * EXP(-P2*Q2) * _xlfn.NORM.S.DIST((LN(INDEX(3:3, 1, P8)/G19)+(P2-0.5*C19^2)*Q2)/(C19*SQRT(Q2)), TRUE)</f>
        <v>26.592977616741337</v>
      </c>
      <c r="J19" s="18">
        <f>G19 * EXP(-P2*Q2) * _xlfn.NORM.S.DIST(-(LN(INDEX(3:3, 1, P8)/G19)+(P2-0.5*K19^2)*Q2)/(K19*SQRT(Q2)), TRUE) - INDEX(3:3, 1, P8) * _xlfn.NORM.S.DIST(-(LN(INDEX(3:3, 1, P8)/G19)+(P2+0.5*K19^2)*Q2)/(K19*SQRT(Q2)), TRUE)</f>
        <v>252.40690758066648</v>
      </c>
      <c r="K19" s="17">
        <v>0.47749999999999998</v>
      </c>
      <c r="L19" s="17" cm="1">
        <f t="array" ref="L19">_xlfn.NORM.S.DIST((LN(INDEX($3:$3, 1, $P$8)/G19)+($P$2+0.5*K19^2)*$Q$2)/(K19*SQRT($Q$2)), TRUE) - 1</f>
        <v>-0.80698214867761342</v>
      </c>
      <c r="M19" s="17" cm="1">
        <f t="array" ref="M19">-((INDEX($3:$3, 1, $P$8) * K19 * EXP(0) * _xlfn.NORM.S.DIST((LN(INDEX($3:$3, 1, $P$8)/G19)+($P$2+0.5*K19^2)*$Q$2)/(K19*SQRT($Q$2)), FALSE))/(2*SQRT($Q$2)) + $P$2 * G19 * EXP(-$P$2*$Q$2) * _xlfn.NORM.S.DIST(-(LN(INDEX($3:$3, 1, $P$8)/G19)+($P$2-0.5*K19^2)*$Q$2)/(K19*SQRT($Q$2)), TRUE))/252</f>
        <v>-17.595966319753739</v>
      </c>
    </row>
    <row r="20" spans="1:13" x14ac:dyDescent="0.2">
      <c r="A20" s="15" cm="1">
        <f t="array" ref="A20">-((INDEX($3:$3, 1, $P$8) * C20 * EXP(0) * _xlfn.NORM.S.DIST((LN(INDEX($3:$3, 1, $P$8)/G20)+($P$2+0.5*C20^2)*$Q$2)/(C20*SQRT($Q$2)), FALSE))/(2*SQRT($Q$2)) - $P$2 * G20 * EXP(-$P$2*$Q$2) * _xlfn.NORM.S.DIST((LN(INDEX($3:$3, 1, $P$8)/G20)+($P$2-0.5*C20^2)*$Q$2)/(C20*SQRT($Q$2)), TRUE))/252</f>
        <v>-14.605432806162941</v>
      </c>
      <c r="B20" s="15" cm="1">
        <f t="array" ref="B20">_xlfn.NORM.S.DIST((LN(INDEX($3:$3, 1, $P$8)/G20)+($P$2+0.5*C20^2)*$Q$2)/(C20*SQRT($Q$2)), TRUE)</f>
        <v>0.1536646577627884</v>
      </c>
      <c r="C20" s="15">
        <v>0.49440000000000001</v>
      </c>
      <c r="D20" s="15" cm="1">
        <f t="array" ref="D20">IFERROR(
  INDEX(
    _xlfn._xlws.FILTER(Options!O:O,
      (Options!A:A=B$1) *
      (Options!D:D=$E$1) *
      (Options!E:E="CE") *
      (Options!F:F=G20)
    ), 1
  ), ""
)</f>
        <v>3371</v>
      </c>
      <c r="E20" s="15" cm="1">
        <f t="array" ref="E20">IFERROR(
  INDEX(
    _xlfn._xlws.FILTER(Options!L:L,
      (Options!A:A=B$1) *
      (Options!D:D=$E$1) *
      (Options!E:E="CE") *
      (Options!F:F=G20)
    ), 1
  ), ""
)</f>
        <v>96048</v>
      </c>
      <c r="F20" s="15" cm="1">
        <f t="array" ref="F20">IFERROR(
  INDEX(
    _xlfn._xlws.FILTER(Options!A:O,
      (Options!A:A=B$1) *
      (Options!D:D=$E$1) *
      (Options!E:E="CE") *
      (Options!F:F=G20)
    ), 1, $P$9
  ), ""
)</f>
        <v>20.3</v>
      </c>
      <c r="G20" s="19">
        <v>6050</v>
      </c>
      <c r="H20" s="17" cm="1">
        <f t="array" ref="H20">IFERROR(
  INDEX(
    _xlfn._xlws.FILTER(Options!A:O,
      (Options!A:A=B$1) *
      (Options!D:D=$E$1) *
      (Options!E:E="PE") *
      (Options!F:F=G20)
    ), 1, $P$9
  ), ""
)</f>
        <v>294.3</v>
      </c>
      <c r="I20" s="17">
        <f>INDEX(3:3, 1, P8) * _xlfn.NORM.S.DIST((LN(INDEX(3:3, 1, P8)/G20)+(P2+0.5*C20^2)*Q2)/(C20*SQRT(Q2)), TRUE) - G20 * EXP(-P2*Q2) * _xlfn.NORM.S.DIST((LN(INDEX(3:3, 1, P8)/G20)+(P2-0.5*C20^2)*Q2)/(C20*SQRT(Q2)), TRUE)</f>
        <v>20.299636373547628</v>
      </c>
      <c r="J20" s="18">
        <f>G20 * EXP(-P2*Q2) * _xlfn.NORM.S.DIST(-(LN(INDEX(3:3, 1, P8)/G20)+(P2-0.5*K20^2)*Q2)/(K20*SQRT(Q2)), TRUE) - INDEX(3:3, 1, P8) * _xlfn.NORM.S.DIST(-(LN(INDEX(3:3, 1, P8)/G20)+(P2+0.5*K20^2)*Q2)/(K20*SQRT(Q2)), TRUE)</f>
        <v>294.2961284482808</v>
      </c>
      <c r="K20" s="17">
        <v>0.47570000000000001</v>
      </c>
      <c r="L20" s="17" cm="1">
        <f t="array" ref="L20">_xlfn.NORM.S.DIST((LN(INDEX($3:$3, 1, $P$8)/G20)+($P$2+0.5*K20^2)*$Q$2)/(K20*SQRT($Q$2)), TRUE) - 1</f>
        <v>-0.8560410865768856</v>
      </c>
      <c r="M20" s="17" cm="1">
        <f t="array" ref="M20">-((INDEX($3:$3, 1, $P$8) * K20 * EXP(0) * _xlfn.NORM.S.DIST((LN(INDEX($3:$3, 1, $P$8)/G20)+($P$2+0.5*K20^2)*$Q$2)/(K20*SQRT($Q$2)), FALSE))/(2*SQRT($Q$2)) + $P$2 * G20 * EXP(-$P$2*$Q$2) * _xlfn.NORM.S.DIST(-(LN(INDEX($3:$3, 1, $P$8)/G20)+($P$2-0.5*K20^2)*$Q$2)/(K20*SQRT($Q$2)), TRUE))/252</f>
        <v>-14.770015111605268</v>
      </c>
    </row>
    <row r="21" spans="1:13" x14ac:dyDescent="0.2">
      <c r="A21" s="15" cm="1">
        <f t="array" ref="A21">-((INDEX($3:$3, 1, $P$8) * C21 * EXP(0) * _xlfn.NORM.S.DIST((LN(INDEX($3:$3, 1, $P$8)/G21)+($P$2+0.5*C21^2)*$Q$2)/(C21*SQRT($Q$2)), FALSE))/(2*SQRT($Q$2)) - $P$2 * G21 * EXP(-$P$2*$Q$2) * _xlfn.NORM.S.DIST((LN(INDEX($3:$3, 1, $P$8)/G21)+($P$2-0.5*C21^2)*$Q$2)/(C21*SQRT($Q$2)), TRUE))/252</f>
        <v>-13.479879596443931</v>
      </c>
      <c r="B21" s="15" cm="1">
        <f t="array" ref="B21">_xlfn.NORM.S.DIST((LN(INDEX($3:$3, 1, $P$8)/G21)+($P$2+0.5*C21^2)*$Q$2)/(C21*SQRT($Q$2)), TRUE)</f>
        <v>0.12653858963883463</v>
      </c>
      <c r="C21" s="15">
        <v>0.52</v>
      </c>
      <c r="D21" s="15" cm="1">
        <f t="array" ref="D21">IFERROR(
  INDEX(
    _xlfn._xlws.FILTER(Options!O:O,
      (Options!A:A=B$1) *
      (Options!D:D=$E$1) *
      (Options!E:E="CE") *
      (Options!F:F=G21)
    ), 1
  ), ""
)</f>
        <v>5237</v>
      </c>
      <c r="E21" s="15" cm="1">
        <f t="array" ref="E21">IFERROR(
  INDEX(
    _xlfn._xlws.FILTER(Options!L:L,
      (Options!A:A=B$1) *
      (Options!D:D=$E$1) *
      (Options!E:E="CE") *
      (Options!F:F=G21)
    ), 1
  ), ""
)</f>
        <v>132693</v>
      </c>
      <c r="F21" s="15" cm="1">
        <f t="array" ref="F21">IFERROR(
  INDEX(
    _xlfn._xlws.FILTER(Options!A:O,
      (Options!A:A=B$1) *
      (Options!D:D=$E$1) *
      (Options!E:E="CE") *
      (Options!F:F=G21)
    ), 1, $P$9
  ), ""
)</f>
        <v>16.8</v>
      </c>
      <c r="G21" s="19">
        <v>6100</v>
      </c>
      <c r="H21" s="17" cm="1">
        <f t="array" ref="H21">IFERROR(
  INDEX(
    _xlfn._xlws.FILTER(Options!A:O,
      (Options!A:A=B$1) *
      (Options!D:D=$E$1) *
      (Options!E:E="PE") *
      (Options!F:F=G21)
    ), 1, $P$9
  ), ""
)</f>
        <v>343.3</v>
      </c>
      <c r="I21" s="17">
        <f>INDEX(3:3, 1, P8) * _xlfn.NORM.S.DIST((LN(INDEX(3:3, 1, P8)/G21)+(P2+0.5*C21^2)*Q2)/(C21*SQRT(Q2)), TRUE) - G21 * EXP(-P2*Q2) * _xlfn.NORM.S.DIST((LN(INDEX(3:3, 1, P8)/G21)+(P2-0.5*C21^2)*Q2)/(C21*SQRT(Q2)), TRUE)</f>
        <v>16.795356310383227</v>
      </c>
      <c r="J21" s="18">
        <f>G21 * EXP(-P2*Q2) * _xlfn.NORM.S.DIST(-(LN(INDEX(3:3, 1, P8)/G21)+(P2-0.5*K21^2)*Q2)/(K21*SQRT(Q2)), TRUE) - INDEX(3:3, 1, P8) * _xlfn.NORM.S.DIST(-(LN(INDEX(3:3, 1, P8)/G21)+(P2+0.5*K21^2)*Q2)/(K21*SQRT(Q2)), TRUE)</f>
        <v>343.29996137975559</v>
      </c>
      <c r="K21" s="17">
        <v>0.52239999999999998</v>
      </c>
      <c r="L21" s="17" cm="1">
        <f t="array" ref="L21">_xlfn.NORM.S.DIST((LN(INDEX($3:$3, 1, $P$8)/G21)+($P$2+0.5*K21^2)*$Q$2)/(K21*SQRT($Q$2)), TRUE) - 1</f>
        <v>-0.8723226483929245</v>
      </c>
      <c r="M21" s="17" cm="1">
        <f t="array" ref="M21">-((INDEX($3:$3, 1, $P$8) * K21 * EXP(0) * _xlfn.NORM.S.DIST((LN(INDEX($3:$3, 1, $P$8)/G21)+($P$2+0.5*K21^2)*$Q$2)/(K21*SQRT($Q$2)), FALSE))/(2*SQRT($Q$2)) + $P$2 * G21 * EXP(-$P$2*$Q$2) * _xlfn.NORM.S.DIST(-(LN(INDEX($3:$3, 1, $P$8)/G21)+($P$2-0.5*K21^2)*$Q$2)/(K21*SQRT($Q$2)), TRUE))/252</f>
        <v>-14.957850098611512</v>
      </c>
    </row>
    <row r="22" spans="1:13" x14ac:dyDescent="0.2">
      <c r="A22" s="15" cm="1">
        <f t="array" ref="A22">-((INDEX($3:$3, 1, $P$8) * C22 * EXP(0) * _xlfn.NORM.S.DIST((LN(INDEX($3:$3, 1, $P$8)/G22)+($P$2+0.5*C22^2)*$Q$2)/(C22*SQRT($Q$2)), FALSE))/(2*SQRT($Q$2)) - $P$2 * G22 * EXP(-$P$2*$Q$2) * _xlfn.NORM.S.DIST((LN(INDEX($3:$3, 1, $P$8)/G22)+($P$2-0.5*C22^2)*$Q$2)/(C22*SQRT($Q$2)), TRUE))/252</f>
        <v>-12.304669352524185</v>
      </c>
      <c r="B22" s="15" cm="1">
        <f t="array" ref="B22">_xlfn.NORM.S.DIST((LN(INDEX($3:$3, 1, $P$8)/G22)+($P$2+0.5*C22^2)*$Q$2)/(C22*SQRT($Q$2)), TRUE)</f>
        <v>0.10440609670510613</v>
      </c>
      <c r="C22" s="15">
        <v>0.54359999999999997</v>
      </c>
      <c r="D22" s="15" cm="1">
        <f t="array" ref="D22">IFERROR(
  INDEX(
    _xlfn._xlws.FILTER(Options!O:O,
      (Options!A:A=B$1) *
      (Options!D:D=$E$1) *
      (Options!E:E="CE") *
      (Options!F:F=G22)
    ), 1
  ), ""
)</f>
        <v>1947</v>
      </c>
      <c r="E22" s="15" cm="1">
        <f t="array" ref="E22">IFERROR(
  INDEX(
    _xlfn._xlws.FILTER(Options!L:L,
      (Options!A:A=B$1) *
      (Options!D:D=$E$1) *
      (Options!E:E="CE") *
      (Options!F:F=G22)
    ), 1
  ), ""
)</f>
        <v>44953</v>
      </c>
      <c r="F22" s="15" cm="1">
        <f t="array" ref="F22">IFERROR(
  INDEX(
    _xlfn._xlws.FILTER(Options!A:O,
      (Options!A:A=B$1) *
      (Options!D:D=$E$1) *
      (Options!E:E="CE") *
      (Options!F:F=G22)
    ), 1, $P$9
  ), ""
)</f>
        <v>13.9</v>
      </c>
      <c r="G22" s="19">
        <v>6150</v>
      </c>
      <c r="H22" s="17" cm="1">
        <f t="array" ref="H22">IFERROR(
  INDEX(
    _xlfn._xlws.FILTER(Options!A:O,
      (Options!A:A=B$1) *
      (Options!D:D=$E$1) *
      (Options!E:E="PE") *
      (Options!F:F=G22)
    ), 1, $P$9
  ), ""
)</f>
        <v>388.1</v>
      </c>
      <c r="I22" s="17">
        <f>INDEX(3:3, 1, P8) * _xlfn.NORM.S.DIST((LN(INDEX(3:3, 1, P8)/G22)+(P2+0.5*C22^2)*Q2)/(C22*SQRT(Q2)), TRUE) - G22 * EXP(-P2*Q2) * _xlfn.NORM.S.DIST((LN(INDEX(3:3, 1, P8)/G22)+(P2-0.5*C22^2)*Q2)/(C22*SQRT(Q2)), TRUE)</f>
        <v>13.896045755770388</v>
      </c>
      <c r="J22" s="18">
        <f>G22 * EXP(-P2*Q2) * _xlfn.NORM.S.DIST(-(LN(INDEX(3:3, 1, P8)/G22)+(P2-0.5*K22^2)*Q2)/(K22*SQRT(Q2)), TRUE) - INDEX(3:3, 1, P8) * _xlfn.NORM.S.DIST(-(LN(INDEX(3:3, 1, P8)/G22)+(P2+0.5*K22^2)*Q2)/(K22*SQRT(Q2)), TRUE)</f>
        <v>388.10263599908649</v>
      </c>
      <c r="K22" s="17">
        <v>0.52159999999999995</v>
      </c>
      <c r="L22" s="17" cm="1">
        <f t="array" ref="L22">_xlfn.NORM.S.DIST((LN(INDEX($3:$3, 1, $P$8)/G22)+($P$2+0.5*K22^2)*$Q$2)/(K22*SQRT($Q$2)), TRUE) - 1</f>
        <v>-0.90522064765439747</v>
      </c>
      <c r="M22" s="17" cm="1">
        <f t="array" ref="M22">-((INDEX($3:$3, 1, $P$8) * K22 * EXP(0) * _xlfn.NORM.S.DIST((LN(INDEX($3:$3, 1, $P$8)/G22)+($P$2+0.5*K22^2)*$Q$2)/(K22*SQRT($Q$2)), FALSE))/(2*SQRT($Q$2)) + $P$2 * G22 * EXP(-$P$2*$Q$2) * _xlfn.NORM.S.DIST(-(LN(INDEX($3:$3, 1, $P$8)/G22)+($P$2-0.5*K22^2)*$Q$2)/(K22*SQRT($Q$2)), TRUE))/252</f>
        <v>-12.340498221734293</v>
      </c>
    </row>
    <row r="23" spans="1:13" x14ac:dyDescent="0.2">
      <c r="H23"/>
    </row>
    <row r="24" spans="1:13" x14ac:dyDescent="0.2">
      <c r="H24"/>
      <c r="J24" s="10"/>
    </row>
    <row r="25" spans="1:13" x14ac:dyDescent="0.2">
      <c r="H25"/>
      <c r="J25" s="10"/>
    </row>
    <row r="26" spans="1:13" x14ac:dyDescent="0.2">
      <c r="H26"/>
      <c r="J26" s="10"/>
    </row>
    <row r="27" spans="1:13" x14ac:dyDescent="0.2">
      <c r="H27"/>
      <c r="J27" s="10"/>
    </row>
    <row r="28" spans="1:13" x14ac:dyDescent="0.2">
      <c r="H28"/>
      <c r="J28" s="10"/>
    </row>
    <row r="29" spans="1:13" x14ac:dyDescent="0.2">
      <c r="H29"/>
      <c r="J29" s="10"/>
    </row>
    <row r="30" spans="1:13" x14ac:dyDescent="0.2">
      <c r="H30"/>
      <c r="J30" s="10"/>
    </row>
    <row r="31" spans="1:13" x14ac:dyDescent="0.2">
      <c r="H31"/>
      <c r="J31" s="10"/>
    </row>
    <row r="32" spans="1:13" x14ac:dyDescent="0.2">
      <c r="H32"/>
      <c r="J32" s="10"/>
    </row>
    <row r="33" spans="8:10" x14ac:dyDescent="0.2">
      <c r="H33"/>
      <c r="J33" s="10"/>
    </row>
    <row r="34" spans="8:10" x14ac:dyDescent="0.2">
      <c r="H34"/>
      <c r="J34" s="10"/>
    </row>
    <row r="35" spans="8:10" x14ac:dyDescent="0.2">
      <c r="H35"/>
      <c r="J35" s="10"/>
    </row>
    <row r="36" spans="8:10" x14ac:dyDescent="0.2">
      <c r="H36"/>
      <c r="J36" s="10"/>
    </row>
    <row r="37" spans="8:10" x14ac:dyDescent="0.2">
      <c r="H37"/>
      <c r="J37" s="10"/>
    </row>
    <row r="38" spans="8:10" x14ac:dyDescent="0.2">
      <c r="H38"/>
      <c r="J38" s="10"/>
    </row>
    <row r="39" spans="8:10" x14ac:dyDescent="0.2">
      <c r="H39"/>
      <c r="J39" s="10"/>
    </row>
    <row r="40" spans="8:10" x14ac:dyDescent="0.2">
      <c r="H40"/>
      <c r="J40" s="10"/>
    </row>
    <row r="41" spans="8:10" x14ac:dyDescent="0.2">
      <c r="H41"/>
      <c r="J41" s="10"/>
    </row>
    <row r="42" spans="8:10" x14ac:dyDescent="0.2">
      <c r="H42"/>
      <c r="J42" s="10"/>
    </row>
    <row r="43" spans="8:10" x14ac:dyDescent="0.2">
      <c r="H43"/>
      <c r="J43" s="10"/>
    </row>
    <row r="44" spans="8:10" x14ac:dyDescent="0.2">
      <c r="H44"/>
      <c r="J44" s="10"/>
    </row>
    <row r="45" spans="8:10" x14ac:dyDescent="0.2">
      <c r="H45"/>
      <c r="J45" s="10"/>
    </row>
    <row r="46" spans="8:10" x14ac:dyDescent="0.2">
      <c r="H46"/>
      <c r="J46" s="10"/>
    </row>
    <row r="47" spans="8:10" x14ac:dyDescent="0.2">
      <c r="H47"/>
      <c r="J47" s="10"/>
    </row>
    <row r="48" spans="8:10" x14ac:dyDescent="0.2">
      <c r="H48"/>
      <c r="J48" s="10"/>
    </row>
    <row r="49" spans="8:10" x14ac:dyDescent="0.2">
      <c r="H49"/>
      <c r="J49" s="10"/>
    </row>
    <row r="50" spans="8:10" x14ac:dyDescent="0.2">
      <c r="H50"/>
      <c r="J50" s="10"/>
    </row>
    <row r="51" spans="8:10" x14ac:dyDescent="0.2">
      <c r="H51"/>
      <c r="J51" s="10"/>
    </row>
    <row r="52" spans="8:10" x14ac:dyDescent="0.2">
      <c r="H52"/>
      <c r="J52" s="10"/>
    </row>
    <row r="53" spans="8:10" x14ac:dyDescent="0.2">
      <c r="H53"/>
      <c r="J53" s="10"/>
    </row>
    <row r="54" spans="8:10" x14ac:dyDescent="0.2">
      <c r="H54"/>
      <c r="J54" s="10"/>
    </row>
    <row r="55" spans="8:10" x14ac:dyDescent="0.2">
      <c r="H55"/>
      <c r="J55" s="10"/>
    </row>
    <row r="56" spans="8:10" x14ac:dyDescent="0.2">
      <c r="H56"/>
      <c r="J56" s="10"/>
    </row>
    <row r="57" spans="8:10" x14ac:dyDescent="0.2">
      <c r="H57"/>
      <c r="J57" s="10"/>
    </row>
    <row r="58" spans="8:10" x14ac:dyDescent="0.2">
      <c r="H58"/>
      <c r="J58" s="10"/>
    </row>
    <row r="59" spans="8:10" x14ac:dyDescent="0.2">
      <c r="H59"/>
      <c r="J59" s="10"/>
    </row>
    <row r="60" spans="8:10" x14ac:dyDescent="0.2">
      <c r="H60"/>
      <c r="J60" s="10"/>
    </row>
    <row r="61" spans="8:10" x14ac:dyDescent="0.2">
      <c r="H61"/>
      <c r="J61" s="10"/>
    </row>
    <row r="62" spans="8:10" x14ac:dyDescent="0.2">
      <c r="H62"/>
      <c r="J62" s="10"/>
    </row>
    <row r="63" spans="8:10" x14ac:dyDescent="0.2">
      <c r="H63"/>
      <c r="J63" s="10"/>
    </row>
    <row r="64" spans="8:10" x14ac:dyDescent="0.2">
      <c r="H64"/>
      <c r="J64" s="10"/>
    </row>
    <row r="65" spans="8:10" x14ac:dyDescent="0.2">
      <c r="H65"/>
      <c r="J65" s="10"/>
    </row>
    <row r="66" spans="8:10" x14ac:dyDescent="0.2">
      <c r="H66"/>
      <c r="J66" s="10"/>
    </row>
    <row r="67" spans="8:10" x14ac:dyDescent="0.2">
      <c r="H67"/>
      <c r="J67" s="10"/>
    </row>
    <row r="68" spans="8:10" x14ac:dyDescent="0.2">
      <c r="H68"/>
      <c r="J68" s="10"/>
    </row>
    <row r="69" spans="8:10" x14ac:dyDescent="0.2">
      <c r="H69"/>
      <c r="J69" s="10"/>
    </row>
    <row r="70" spans="8:10" x14ac:dyDescent="0.2">
      <c r="H70"/>
      <c r="J70" s="10"/>
    </row>
    <row r="71" spans="8:10" x14ac:dyDescent="0.2">
      <c r="H71"/>
      <c r="J71" s="10"/>
    </row>
    <row r="72" spans="8:10" x14ac:dyDescent="0.2">
      <c r="H72"/>
      <c r="J72" s="10"/>
    </row>
    <row r="73" spans="8:10" x14ac:dyDescent="0.2">
      <c r="H73"/>
      <c r="J73" s="10"/>
    </row>
    <row r="74" spans="8:10" x14ac:dyDescent="0.2">
      <c r="H74"/>
      <c r="J74" s="10"/>
    </row>
    <row r="75" spans="8:10" x14ac:dyDescent="0.2">
      <c r="H75"/>
      <c r="J75" s="10"/>
    </row>
    <row r="76" spans="8:10" x14ac:dyDescent="0.2">
      <c r="H76"/>
      <c r="J76" s="10"/>
    </row>
    <row r="77" spans="8:10" x14ac:dyDescent="0.2">
      <c r="H77"/>
      <c r="J77" s="10"/>
    </row>
    <row r="78" spans="8:10" x14ac:dyDescent="0.2">
      <c r="H78"/>
      <c r="J78" s="10"/>
    </row>
    <row r="79" spans="8:10" x14ac:dyDescent="0.2">
      <c r="H79"/>
      <c r="J79" s="10"/>
    </row>
    <row r="80" spans="8:10" x14ac:dyDescent="0.2">
      <c r="H80"/>
      <c r="J80" s="10"/>
    </row>
    <row r="81" spans="8:10" x14ac:dyDescent="0.2">
      <c r="H81"/>
      <c r="J81" s="10"/>
    </row>
    <row r="82" spans="8:10" x14ac:dyDescent="0.2">
      <c r="H82"/>
      <c r="J82" s="10"/>
    </row>
    <row r="83" spans="8:10" x14ac:dyDescent="0.2">
      <c r="H83"/>
      <c r="J83" s="10"/>
    </row>
    <row r="84" spans="8:10" x14ac:dyDescent="0.2">
      <c r="H84"/>
      <c r="J84" s="10"/>
    </row>
    <row r="85" spans="8:10" x14ac:dyDescent="0.2">
      <c r="H85"/>
      <c r="J85" s="10"/>
    </row>
    <row r="86" spans="8:10" x14ac:dyDescent="0.2">
      <c r="H86"/>
      <c r="J86" s="10"/>
    </row>
    <row r="87" spans="8:10" x14ac:dyDescent="0.2">
      <c r="H87"/>
      <c r="J87" s="10"/>
    </row>
    <row r="88" spans="8:10" x14ac:dyDescent="0.2">
      <c r="H88"/>
      <c r="J88" s="10"/>
    </row>
    <row r="89" spans="8:10" x14ac:dyDescent="0.2">
      <c r="H89"/>
      <c r="J89" s="10"/>
    </row>
    <row r="90" spans="8:10" x14ac:dyDescent="0.2">
      <c r="J90" s="10"/>
    </row>
  </sheetData>
  <mergeCells count="3">
    <mergeCell ref="G5:G6"/>
    <mergeCell ref="A5:F5"/>
    <mergeCell ref="H5:M5"/>
  </mergeCells>
  <conditionalFormatting sqref="F3:G3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1">
    <dataValidation type="list" allowBlank="1" showInputMessage="1" showErrorMessage="1" sqref="F6" xr:uid="{584BDFAE-2CA8-3B41-91F4-4A6D4913DDEA}">
      <formula1>B2:E2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FD371C-7909-984B-88F1-29478B1AC886}">
          <x14:formula1>
            <xm:f>Futures!A2:A61</xm:f>
          </x14:formula1>
          <xm:sqref>B1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Options</vt:lpstr>
      <vt:lpstr>Futures</vt:lpstr>
      <vt:lpstr>Option chain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Manan Agarwal</dc:creator>
  <cp:lastModifiedBy>Manan Agarwal</cp:lastModifiedBy>
  <dcterms:created xsi:type="dcterms:W3CDTF">2025-07-15T06:56:14Z</dcterms:created>
  <dcterms:modified xsi:type="dcterms:W3CDTF">2025-07-15T18:37:00Z</dcterms:modified>
</cp:coreProperties>
</file>